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/>
  <mc:AlternateContent xmlns:mc="http://schemas.openxmlformats.org/markup-compatibility/2006">
    <mc:Choice Requires="x15">
      <x15ac:absPath xmlns:x15ac="http://schemas.microsoft.com/office/spreadsheetml/2010/11/ac" url="C:\Users\User\Desktop\J&amp;T data\"/>
    </mc:Choice>
  </mc:AlternateContent>
  <xr:revisionPtr revIDLastSave="0" documentId="13_ncr:1_{D1C2C467-BBE4-4D93-9DEE-67FD733B73CC}" xr6:coauthVersionLast="47" xr6:coauthVersionMax="47" xr10:uidLastSave="{00000000-0000-0000-0000-000000000000}"/>
  <bookViews>
    <workbookView xWindow="-108" yWindow="-108" windowWidth="23256" windowHeight="12456" activeTab="3" xr2:uid="{00000000-000D-0000-FFFF-FFFF00000000}"/>
  </bookViews>
  <sheets>
    <sheet name="06.30, 07.30, &amp; 12.00" sheetId="7" r:id="rId1"/>
    <sheet name="R-2, TPTW, Persentase TTD" sheetId="5" r:id="rId2"/>
    <sheet name="Pickup &amp; Retur Non Ecom" sheetId="8" r:id="rId3"/>
    <sheet name="ALL DP DATA" sheetId="21" r:id="rId4"/>
    <sheet name="Fr&amp;Ag" sheetId="22" r:id="rId5"/>
  </sheets>
  <externalReferences>
    <externalReference r:id="rId6"/>
  </externalReferences>
  <definedNames>
    <definedName name="_xlnm._FilterDatabase" localSheetId="3" hidden="1">'ALL DP DATA'!$C$8:$AV$1684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4" i="8" l="1"/>
  <c r="L4" i="8" s="1"/>
  <c r="M4" i="8" s="1"/>
  <c r="G4" i="8"/>
  <c r="H4" i="8" s="1"/>
  <c r="F4" i="8"/>
  <c r="L4" i="5"/>
  <c r="R4" i="5" s="1"/>
  <c r="G4" i="5"/>
  <c r="M4" i="5" s="1"/>
  <c r="F4" i="5"/>
  <c r="K4" i="5" s="1"/>
  <c r="R4" i="7"/>
  <c r="Q4" i="7"/>
  <c r="P4" i="7"/>
  <c r="M4" i="7"/>
  <c r="L4" i="7"/>
  <c r="K4" i="7"/>
  <c r="H4" i="7"/>
  <c r="G4" i="7"/>
  <c r="AU8" i="21"/>
  <c r="AT8" i="21"/>
  <c r="AS8" i="21"/>
  <c r="AP8" i="21"/>
  <c r="AO8" i="21"/>
  <c r="AN8" i="21"/>
  <c r="AK8" i="21"/>
  <c r="AJ8" i="21"/>
  <c r="AI8" i="21"/>
  <c r="AF8" i="21"/>
  <c r="AE8" i="21"/>
  <c r="AD8" i="21"/>
  <c r="AA8" i="21"/>
  <c r="Z8" i="21"/>
  <c r="Y8" i="21"/>
  <c r="V8" i="21"/>
  <c r="U8" i="21"/>
  <c r="T8" i="21"/>
  <c r="Q8" i="21"/>
  <c r="P8" i="21"/>
  <c r="O8" i="21"/>
  <c r="L8" i="21"/>
  <c r="K8" i="21"/>
  <c r="J8" i="21"/>
  <c r="AZ7" i="21"/>
  <c r="BA3" i="21"/>
  <c r="AZ3" i="21"/>
  <c r="BG2" i="21"/>
  <c r="BF2" i="21"/>
  <c r="BE2" i="21"/>
  <c r="BA2" i="21"/>
  <c r="B1" i="21"/>
  <c r="Q4" i="5" l="1"/>
  <c r="P4" i="5"/>
  <c r="H4" i="5"/>
</calcChain>
</file>

<file path=xl/sharedStrings.xml><?xml version="1.0" encoding="utf-8"?>
<sst xmlns="http://schemas.openxmlformats.org/spreadsheetml/2006/main" count="16821" uniqueCount="1739">
  <si>
    <t>Area</t>
  </si>
  <si>
    <t>Agent</t>
  </si>
  <si>
    <t>Kode Agent</t>
  </si>
  <si>
    <t>Penilaian Kualitas Delivery Ritase Pertama</t>
  </si>
  <si>
    <t>06:30 ABSENSI</t>
  </si>
  <si>
    <t>Persentase Keluar Gudang 0730</t>
  </si>
  <si>
    <t>Persentase TTD 1200</t>
  </si>
  <si>
    <t>Target</t>
  </si>
  <si>
    <t>Pencapaian Bulanan</t>
  </si>
  <si>
    <t>Jawa - Bali</t>
  </si>
  <si>
    <t>TANGERANG</t>
  </si>
  <si>
    <t>AGENT12</t>
  </si>
  <si>
    <t>BEKASI</t>
  </si>
  <si>
    <t>AGENT13</t>
  </si>
  <si>
    <t>BOGOR</t>
  </si>
  <si>
    <t>AGENT14</t>
  </si>
  <si>
    <t>DEPOK</t>
  </si>
  <si>
    <t>AGENT15</t>
  </si>
  <si>
    <t>BANDUNG</t>
  </si>
  <si>
    <t>AGENT16</t>
  </si>
  <si>
    <t>SEMARANG</t>
  </si>
  <si>
    <t>AGENT17</t>
  </si>
  <si>
    <t>YOGYAKARTA</t>
  </si>
  <si>
    <t>AGENT18</t>
  </si>
  <si>
    <t>SURABAYA</t>
  </si>
  <si>
    <t>AGENT19</t>
  </si>
  <si>
    <t>BALI</t>
  </si>
  <si>
    <t>AGENT21</t>
  </si>
  <si>
    <t>JAKARTA</t>
  </si>
  <si>
    <t>AGENT40</t>
  </si>
  <si>
    <t>合计 Total</t>
  </si>
  <si>
    <t>-</t>
  </si>
  <si>
    <t>Penilaian Kualitas Delivery Ritase Kedua</t>
  </si>
  <si>
    <t>Pencapaian Kualitas Operasional Harian</t>
  </si>
  <si>
    <t>Pencapaian TTD Delivery Kedua</t>
  </si>
  <si>
    <t xml:space="preserve">TPTW  </t>
  </si>
  <si>
    <t>Persentase TTD</t>
  </si>
  <si>
    <t>PICKUP NON-ECOMMERCE</t>
  </si>
  <si>
    <t>RETUR COD NON-ECOMMERCE</t>
  </si>
  <si>
    <t>目标
Target</t>
  </si>
  <si>
    <t>代理区 
Agent</t>
  </si>
  <si>
    <t>代理区编码 Kode Agent</t>
  </si>
  <si>
    <t>网点
Nama Drop point</t>
  </si>
  <si>
    <t>Nama agent</t>
  </si>
  <si>
    <t>一派质量达成
Penilaian Kualitas Delivery Ritase Pertama</t>
  </si>
  <si>
    <t>二派质量达成
Penilaian Kualitas Delivery Ritase Kedua</t>
  </si>
  <si>
    <r>
      <rPr>
        <b/>
        <sz val="11"/>
        <color rgb="FFFFFFFF"/>
        <rFont val="SimSun"/>
      </rPr>
      <t>全天收派质量达成</t>
    </r>
    <r>
      <rPr>
        <b/>
        <sz val="11"/>
        <color rgb="FFFFFFFF"/>
        <rFont val="Aptos"/>
        <family val="2"/>
      </rPr>
      <t xml:space="preserve">
Pencapaian Kualitas Operasional Harian</t>
    </r>
  </si>
  <si>
    <t xml:space="preserve">快递员出勤准点率
Tingkat Ketepatan Waktu Kehadiran Spirnter </t>
  </si>
  <si>
    <t>0730出仓率
Persenase Keluar Gudang 0730</t>
  </si>
  <si>
    <r>
      <rPr>
        <b/>
        <sz val="11"/>
        <color rgb="FFFFFFFF"/>
        <rFont val="Aptos"/>
        <family val="2"/>
      </rPr>
      <t>1200</t>
    </r>
    <r>
      <rPr>
        <b/>
        <sz val="11"/>
        <color rgb="FFFFFFFF"/>
        <rFont val="SimSun"/>
      </rPr>
      <t>签收率</t>
    </r>
    <r>
      <rPr>
        <b/>
        <sz val="11"/>
        <color rgb="FFFFFFFF"/>
        <rFont val="Aptos"/>
        <family val="2"/>
      </rPr>
      <t xml:space="preserve">
Persentase TTD 1200</t>
    </r>
  </si>
  <si>
    <r>
      <rPr>
        <b/>
        <sz val="11"/>
        <color rgb="FFFFFFFF"/>
        <rFont val="Microsoft YaHei"/>
        <family val="2"/>
      </rPr>
      <t xml:space="preserve">二派签收率
</t>
    </r>
    <r>
      <rPr>
        <b/>
        <sz val="11"/>
        <color rgb="FFFFFFFF"/>
        <rFont val="Aptos"/>
        <family val="2"/>
      </rPr>
      <t>Persentase TTD Delivery Kedua</t>
    </r>
  </si>
  <si>
    <t xml:space="preserve">交件准点率
TPTW  </t>
  </si>
  <si>
    <t>全天签收率
Persentase TTD</t>
  </si>
  <si>
    <t>非平台揽收及时率
% Pickup Non- Ecommerce</t>
  </si>
  <si>
    <t>非平台COD退件率
% Retur COD Non-Ecommerce</t>
  </si>
  <si>
    <t>月度达成
Pencapaian Bulanan</t>
  </si>
  <si>
    <t>JAKARTA雅加达</t>
  </si>
  <si>
    <t>CP_PLUIT_PERMAI</t>
  </si>
  <si>
    <t>CP_DANAUSUNTER_UTARA</t>
  </si>
  <si>
    <t>KAMAL_MUARA</t>
  </si>
  <si>
    <t>TELUK_GONG</t>
  </si>
  <si>
    <t>CP_TELUK_GONG_RAYA</t>
  </si>
  <si>
    <t>CP_PADEMANGAN_4</t>
  </si>
  <si>
    <t>CP_ANCOL_SELATAN_1</t>
  </si>
  <si>
    <t>KEPULAUAN_SERIBU</t>
  </si>
  <si>
    <t>TANAH_ABANG</t>
  </si>
  <si>
    <t>SENEN</t>
  </si>
  <si>
    <t>CP_PINANGSIA_RAYA</t>
  </si>
  <si>
    <t>JOHAR_BARU_01</t>
  </si>
  <si>
    <t>CP_ZAINUL_ARIFIN</t>
  </si>
  <si>
    <t>CP_MANGGA_BESAR_2</t>
  </si>
  <si>
    <t>CP_CEGER</t>
  </si>
  <si>
    <t>KAMPUNG_TENGAH</t>
  </si>
  <si>
    <t>CP_CIJANTUNG</t>
  </si>
  <si>
    <t>DC_MAKASAR</t>
  </si>
  <si>
    <t>DC_CIRACAS</t>
  </si>
  <si>
    <t>CP_RAYA_KELAPA</t>
  </si>
  <si>
    <t>CP_PONDOK_BAMBU</t>
  </si>
  <si>
    <t>DC_JATINEGARA</t>
  </si>
  <si>
    <t>SETIABUDI</t>
  </si>
  <si>
    <t>KLENDER</t>
  </si>
  <si>
    <t>CP_JATINEGARA_BARAT</t>
  </si>
  <si>
    <t>TEBET</t>
  </si>
  <si>
    <t>CP_HAJI_NAMAN_1</t>
  </si>
  <si>
    <t>PULOGEBANG_01</t>
  </si>
  <si>
    <t>DC_PULO_GADUNG</t>
  </si>
  <si>
    <t>ROROTAN</t>
  </si>
  <si>
    <t>DC_UJUNG_MENTENG</t>
  </si>
  <si>
    <t>CP_UTAN_KAYU</t>
  </si>
  <si>
    <t>KALIBARU_01</t>
  </si>
  <si>
    <t>DC_CAKUNG</t>
  </si>
  <si>
    <t>KEDOYA_UTARA</t>
  </si>
  <si>
    <t>DC_GAMBIR</t>
  </si>
  <si>
    <t>TAMBORA</t>
  </si>
  <si>
    <t>CP_ANGGREK_2</t>
  </si>
  <si>
    <t>CP_KEBON_JERUK_RAYA</t>
  </si>
  <si>
    <t>CP_KEMBANGAN</t>
  </si>
  <si>
    <t>CP_ANGKE_INDAH</t>
  </si>
  <si>
    <t>DC_KEBAYORAN_BARU</t>
  </si>
  <si>
    <t>JATIPADANG_01</t>
  </si>
  <si>
    <t>DC_KALIBATA_UTARA</t>
  </si>
  <si>
    <t>CP_BANGKA</t>
  </si>
  <si>
    <t>CP_TANJUNG_BARAT</t>
  </si>
  <si>
    <t>CP_SRENGSENG_SAWAH</t>
  </si>
  <si>
    <t>DC_PASAR_MINGGU</t>
  </si>
  <si>
    <t>CP_CIGANJUR</t>
  </si>
  <si>
    <t>CP_TEGAL_PARANG</t>
  </si>
  <si>
    <t>DC_PALMERAH</t>
  </si>
  <si>
    <t>CP_KEBAYORAN_2</t>
  </si>
  <si>
    <t>CP_PONDOK_PINANG_2</t>
  </si>
  <si>
    <t>DC_GELORA</t>
  </si>
  <si>
    <t>DC_PESANGGRAHAN</t>
  </si>
  <si>
    <t>CP_LEBAK_BULUS</t>
  </si>
  <si>
    <t>GUNUNG_SAHARI_01</t>
  </si>
  <si>
    <t>CP_KEDOYA_RAYA_2</t>
  </si>
  <si>
    <t>GADING_GRIYA_L</t>
  </si>
  <si>
    <t>DC_KELAPA_GADING</t>
  </si>
  <si>
    <t>DC_KEMAYORAN</t>
  </si>
  <si>
    <t>CP_KOJA_1</t>
  </si>
  <si>
    <t>CP_TANJUNG_DUREN_2</t>
  </si>
  <si>
    <t>CP_KOSAMBI_BARU_1</t>
  </si>
  <si>
    <t>CP_RAWA_BUAYA_2</t>
  </si>
  <si>
    <t>CP_PERMATA_PALEM_1</t>
  </si>
  <si>
    <t>CP_KALIDERES</t>
  </si>
  <si>
    <t>CP_NEW_KAPUK</t>
  </si>
  <si>
    <t>KAPUK_RAYA</t>
  </si>
  <si>
    <t>DC_PEGADUNGAN</t>
  </si>
  <si>
    <t>TANGERANG唐格朗</t>
  </si>
  <si>
    <t>SERANG_JAYA</t>
  </si>
  <si>
    <t>KASEMEN_JAYA</t>
  </si>
  <si>
    <t>KALODRAN_CIRUAS</t>
  </si>
  <si>
    <t>CIPOCOK_JAYA</t>
  </si>
  <si>
    <t>PEJATEN_MAS</t>
  </si>
  <si>
    <t>PELABUHAN_MERAK</t>
  </si>
  <si>
    <t>PERUMNAS_RAYA</t>
  </si>
  <si>
    <t>PALKA_CIOMAS</t>
  </si>
  <si>
    <t>CITANGKIL</t>
  </si>
  <si>
    <t>DP_PANGGUNGRAWI</t>
  </si>
  <si>
    <t>PONTANG_RAYA</t>
  </si>
  <si>
    <t>CIL05B</t>
  </si>
  <si>
    <t>PANTAI_ANYER</t>
  </si>
  <si>
    <t>CIWANDAN</t>
  </si>
  <si>
    <t>TAKTAKAN_JAYA</t>
  </si>
  <si>
    <t>UNYUR_JAYA</t>
  </si>
  <si>
    <t>SURADITA_CISAUK</t>
  </si>
  <si>
    <t>BAKTI_JAYA</t>
  </si>
  <si>
    <t>RODA_HIAS</t>
  </si>
  <si>
    <t>TERAS_KOTA</t>
  </si>
  <si>
    <t>PONDOK_PUCUNG</t>
  </si>
  <si>
    <t>PONDOKJAYA</t>
  </si>
  <si>
    <t>PAKOJAN</t>
  </si>
  <si>
    <t>SENTRA_JATIUWUNG</t>
  </si>
  <si>
    <t>TGR54B</t>
  </si>
  <si>
    <t>CIMONE_RAYA</t>
  </si>
  <si>
    <t>CIBODAS_RAYA</t>
  </si>
  <si>
    <t>BUARAN_INDAH</t>
  </si>
  <si>
    <t>MODERN_PARK</t>
  </si>
  <si>
    <t>KAVLING_KENANGA</t>
  </si>
  <si>
    <t>TANGCITY_MALL</t>
  </si>
  <si>
    <t>ARCADIA_BATUCEPER</t>
  </si>
  <si>
    <t>BAL01C</t>
  </si>
  <si>
    <t>HUSEIN_SASTRANEGARA</t>
  </si>
  <si>
    <t>SALEMBARAN</t>
  </si>
  <si>
    <t>PINANG_CIPONDOH</t>
  </si>
  <si>
    <t>RKS08B</t>
  </si>
  <si>
    <t>DC_LABUAN</t>
  </si>
  <si>
    <t>BAYAH</t>
  </si>
  <si>
    <t>PANIMBANG</t>
  </si>
  <si>
    <t>CIBALIUNG</t>
  </si>
  <si>
    <t>CIKEUSIK</t>
  </si>
  <si>
    <t>CILANGKAHAN</t>
  </si>
  <si>
    <t>SUDIRMAN_LABUAN</t>
  </si>
  <si>
    <t>GAJRUG</t>
  </si>
  <si>
    <t>LEUWIDAMAR</t>
  </si>
  <si>
    <t>SUKANAGARA_JAYA</t>
  </si>
  <si>
    <t>MAJASARI_PANDEGLANG</t>
  </si>
  <si>
    <t>BANJAR_KENCANA</t>
  </si>
  <si>
    <t>CIKULUR</t>
  </si>
  <si>
    <t>CITRA_MAJA</t>
  </si>
  <si>
    <t>CILELES_KENCANA</t>
  </si>
  <si>
    <t>WARUNG_BANTEN</t>
  </si>
  <si>
    <t>MUNJUL_FLAMBOYANT</t>
  </si>
  <si>
    <t>CIGADUNG_INOVASI</t>
  </si>
  <si>
    <t>MANDALA_RANGKAS</t>
  </si>
  <si>
    <t>CIMANUK</t>
  </si>
  <si>
    <t>WANASALAM</t>
  </si>
  <si>
    <t>MENES</t>
  </si>
  <si>
    <t>INFINITY_BIZPARK</t>
  </si>
  <si>
    <t>WANAKERTA_SINJAY</t>
  </si>
  <si>
    <t>PANGKALAN_TELUKNAGA</t>
  </si>
  <si>
    <t>DC_SEPATAN</t>
  </si>
  <si>
    <t>RAJEG</t>
  </si>
  <si>
    <t>MAUK_2</t>
  </si>
  <si>
    <t>PAKUHAJI</t>
  </si>
  <si>
    <t>BAL15E</t>
  </si>
  <si>
    <t>BAL15D</t>
  </si>
  <si>
    <t>SEPATAN</t>
  </si>
  <si>
    <t>TGR05D</t>
  </si>
  <si>
    <t>PIK_2_RIVERSIDE</t>
  </si>
  <si>
    <t>PERIUK</t>
  </si>
  <si>
    <t>TERITI_KUTABUMI</t>
  </si>
  <si>
    <t>CANGKUDU</t>
  </si>
  <si>
    <t>CISOKA</t>
  </si>
  <si>
    <t>CIKUPA_RAYA</t>
  </si>
  <si>
    <t>KATOMAS_RAYA</t>
  </si>
  <si>
    <t>KIBIN_RAYA</t>
  </si>
  <si>
    <t>CIKANDE_RAYA</t>
  </si>
  <si>
    <t>HARENDONG</t>
  </si>
  <si>
    <t>JAMBE_RAYA</t>
  </si>
  <si>
    <t>DP_PETIR</t>
  </si>
  <si>
    <t>KRAGILAN</t>
  </si>
  <si>
    <t>DUKUH_RAYA</t>
  </si>
  <si>
    <t>TALAGA_PASGAD</t>
  </si>
  <si>
    <t>PANONGAN_RAYA</t>
  </si>
  <si>
    <t>TUNJUNG_TEJA</t>
  </si>
  <si>
    <t>JAYANTI</t>
  </si>
  <si>
    <t>MATAGARA</t>
  </si>
  <si>
    <t>TANAH_TINGAL</t>
  </si>
  <si>
    <t>ALAM_SEGAR</t>
  </si>
  <si>
    <t>CIPUTAT_TIMUR</t>
  </si>
  <si>
    <t>GAPLEK</t>
  </si>
  <si>
    <t>DIAN_MANSION</t>
  </si>
  <si>
    <t>LARANGAN_2</t>
  </si>
  <si>
    <t>RADEN_SALEH</t>
  </si>
  <si>
    <t>SERUA_INDAH_CIPUTAT</t>
  </si>
  <si>
    <t>PONDOK_BETUNG</t>
  </si>
  <si>
    <t>CURUG_RAYA</t>
  </si>
  <si>
    <t>GRAHA_SUTERA</t>
  </si>
  <si>
    <t>GADING_KELAPA_DUA</t>
  </si>
  <si>
    <t>EDISON</t>
  </si>
  <si>
    <t>EAST_FORESTA</t>
  </si>
  <si>
    <t>PRIMA_JAYA</t>
  </si>
  <si>
    <t>KADU_JAYA</t>
  </si>
  <si>
    <t>TUGU_LEGOK</t>
  </si>
  <si>
    <t>GADING_CARTENZ</t>
  </si>
  <si>
    <t>SP_ALAM_SUTERA</t>
  </si>
  <si>
    <t>BEKASI勿加西</t>
  </si>
  <si>
    <t>DC_BEKASI_UTARA_01</t>
  </si>
  <si>
    <t>KALIABANG_TENGAH_02</t>
  </si>
  <si>
    <t>HARAPAN_BARU</t>
  </si>
  <si>
    <t>JATI_SAMPURNA</t>
  </si>
  <si>
    <t>PONDOK_GEDE_01</t>
  </si>
  <si>
    <t>JATIBENING_01</t>
  </si>
  <si>
    <t>JATIBENING_02</t>
  </si>
  <si>
    <t>BEKASI_BARAT_01</t>
  </si>
  <si>
    <t>BINTARA_JAYA_01</t>
  </si>
  <si>
    <t>BANTAR_GEBANG</t>
  </si>
  <si>
    <t>MANGUNJAYA_01</t>
  </si>
  <si>
    <t>TAMBUN_SELATAN_01</t>
  </si>
  <si>
    <t>DC_CIBITUNG_01</t>
  </si>
  <si>
    <t>CIBUNTU_01</t>
  </si>
  <si>
    <t>DP_MUKTIWARI_01</t>
  </si>
  <si>
    <t>HARAPAN_INDAH</t>
  </si>
  <si>
    <t>TAMBUN_UTARA</t>
  </si>
  <si>
    <t>DP_BABELAN_KOTA_01</t>
  </si>
  <si>
    <t>BABELAN</t>
  </si>
  <si>
    <t>DC_TAMBUN</t>
  </si>
  <si>
    <t>DC_JATIASIH</t>
  </si>
  <si>
    <t>DC_MUSTIKA_JAYA</t>
  </si>
  <si>
    <t>DC_PONDOK_MELATI</t>
  </si>
  <si>
    <t>DC_BEKASI_TIMUR</t>
  </si>
  <si>
    <t>DC_MEDAN_SATRIA</t>
  </si>
  <si>
    <t>DC_BEKASI_SELATAN</t>
  </si>
  <si>
    <t>TAMBUN_UTARA_02</t>
  </si>
  <si>
    <t>TARUMAJAYA_02</t>
  </si>
  <si>
    <t>BABELAN_02</t>
  </si>
  <si>
    <t>SETU_02</t>
  </si>
  <si>
    <t>RAWALUMBU_02</t>
  </si>
  <si>
    <t>CIKARANG</t>
  </si>
  <si>
    <t>DELTA_MAS</t>
  </si>
  <si>
    <t>SUKATANI</t>
  </si>
  <si>
    <t>KEDUNG_WARINGIN</t>
  </si>
  <si>
    <t>SERANG_BARU_01</t>
  </si>
  <si>
    <t>CIBARUSAH_JAYA</t>
  </si>
  <si>
    <t>PASIR_GOMBONG</t>
  </si>
  <si>
    <t>TELAGA_MURNI</t>
  </si>
  <si>
    <t>KARANG_BAHAGIA</t>
  </si>
  <si>
    <t>DC_CIKARANG_SELATAN</t>
  </si>
  <si>
    <t>DC_CIKARANG_BARAT</t>
  </si>
  <si>
    <t>DC_CIKARANG_UTARA</t>
  </si>
  <si>
    <t>DC_CIBARUSAH</t>
  </si>
  <si>
    <t>DC_CIKARANG_PUSAT</t>
  </si>
  <si>
    <t>JATI_WANGI</t>
  </si>
  <si>
    <t>CABANG_BUNGIN</t>
  </si>
  <si>
    <t>BOGOR茂物</t>
  </si>
  <si>
    <t>CIB11A</t>
  </si>
  <si>
    <t>CIBATOK</t>
  </si>
  <si>
    <t>DC_CIGUDEG</t>
  </si>
  <si>
    <t>DC_DRAMAGA</t>
  </si>
  <si>
    <t>DC_JASINGA</t>
  </si>
  <si>
    <t>CIAMPEA</t>
  </si>
  <si>
    <t>DC_NANGGUNG</t>
  </si>
  <si>
    <t>DRAMAGA_2</t>
  </si>
  <si>
    <t>CIBATOK_RAYA</t>
  </si>
  <si>
    <t>LEUWILIANG1</t>
  </si>
  <si>
    <t>CP_PAMIJAHAN</t>
  </si>
  <si>
    <t>DRAMAGA_CANTIK</t>
  </si>
  <si>
    <t>LEUWISADENG</t>
  </si>
  <si>
    <t>TENJOLAYA</t>
  </si>
  <si>
    <t>BGR06D</t>
  </si>
  <si>
    <t>DC_BOGOR_KOTA</t>
  </si>
  <si>
    <t>BOGOR_UTARA</t>
  </si>
  <si>
    <t>CILEBUT_RAYA</t>
  </si>
  <si>
    <t>AIR_MANCUR</t>
  </si>
  <si>
    <t>GUNUNG_BATU</t>
  </si>
  <si>
    <t>SAWOJAJAR</t>
  </si>
  <si>
    <t>SEMPLAK_RAYA</t>
  </si>
  <si>
    <t>TAMAN_CIMANGGU</t>
  </si>
  <si>
    <t>CP_BCC</t>
  </si>
  <si>
    <t>MARGAJAYA</t>
  </si>
  <si>
    <t>SINDANG_BARANG</t>
  </si>
  <si>
    <t>YASMIN</t>
  </si>
  <si>
    <t>CIOMAS</t>
  </si>
  <si>
    <t>DC_CIOMAS</t>
  </si>
  <si>
    <t>TAJUR_4</t>
  </si>
  <si>
    <t>MUARASARI</t>
  </si>
  <si>
    <t>CILEUNGSI_2</t>
  </si>
  <si>
    <t>DC_CILEUNGSI</t>
  </si>
  <si>
    <t>DC_JONGGOL</t>
  </si>
  <si>
    <t>GUNUNG_PUTRI_4</t>
  </si>
  <si>
    <t>PASAR_GANDOANG</t>
  </si>
  <si>
    <t>CARIU_2</t>
  </si>
  <si>
    <t>GUNUNG_PUTRI</t>
  </si>
  <si>
    <t>BOJONG_KULUR</t>
  </si>
  <si>
    <t>CILEUNGSI</t>
  </si>
  <si>
    <t>JONGGOL</t>
  </si>
  <si>
    <t>GUNUNG_PUTRI_RAYA</t>
  </si>
  <si>
    <t>METLAND_TRANSYOGI</t>
  </si>
  <si>
    <t>CITEUREUP</t>
  </si>
  <si>
    <t>PAKANSARI_2</t>
  </si>
  <si>
    <t>DC_GUNUNG_SINDUR</t>
  </si>
  <si>
    <t>DC_KEMANG</t>
  </si>
  <si>
    <t>DC_PARUNG</t>
  </si>
  <si>
    <t>KEMANG_2</t>
  </si>
  <si>
    <t>PARUNG_PANJANG</t>
  </si>
  <si>
    <t>SASAK_PANJANG</t>
  </si>
  <si>
    <t>PARUNG</t>
  </si>
  <si>
    <t>CISEENG</t>
  </si>
  <si>
    <t>CP_PEMBANGUNAN</t>
  </si>
  <si>
    <t>JAMPANG</t>
  </si>
  <si>
    <t>KEMANG_TONJONG</t>
  </si>
  <si>
    <t>SALABENDA</t>
  </si>
  <si>
    <t>RUMPIN_1</t>
  </si>
  <si>
    <t>KEDUNG_HALANG</t>
  </si>
  <si>
    <t>SUKARAJA_1</t>
  </si>
  <si>
    <t>DC_PAKANSARI</t>
  </si>
  <si>
    <t>GAPERI_BOJONG</t>
  </si>
  <si>
    <t>KARADENAN_RAYA</t>
  </si>
  <si>
    <t>CITAYAM_PABUARAN</t>
  </si>
  <si>
    <t>CIB01F</t>
  </si>
  <si>
    <t>RAGAJAYA</t>
  </si>
  <si>
    <t>PABUARAN_ASRI</t>
  </si>
  <si>
    <t>WON_CIMANDALA</t>
  </si>
  <si>
    <t>PAKANSARI_3</t>
  </si>
  <si>
    <t>BABAKAN_MANDANG</t>
  </si>
  <si>
    <t>CP_MAYOR_OKING</t>
  </si>
  <si>
    <t>PAKANSARI_4</t>
  </si>
  <si>
    <t>DC_CISARUA</t>
  </si>
  <si>
    <t>DC_TAJUR</t>
  </si>
  <si>
    <t>DC_CIAWI</t>
  </si>
  <si>
    <t>DC_MEGAMENDUNG</t>
  </si>
  <si>
    <t>CIGOMBONG</t>
  </si>
  <si>
    <t>CP_CARINGIN_1</t>
  </si>
  <si>
    <t>MAYOR_KH</t>
  </si>
  <si>
    <t>PUNCAK_CISARUA</t>
  </si>
  <si>
    <t>CIBEDUG</t>
  </si>
  <si>
    <t>CIJERUK</t>
  </si>
  <si>
    <t>BOGOR_SELATAN</t>
  </si>
  <si>
    <t>CIAPUS_RAYA</t>
  </si>
  <si>
    <t>PAHLAWAN_SUKSES</t>
  </si>
  <si>
    <t>PAMOYANAN_BOGOR</t>
  </si>
  <si>
    <t>CP_BNR</t>
  </si>
  <si>
    <t>DEPOK德波</t>
  </si>
  <si>
    <t>MAMPANG_DEPOK</t>
  </si>
  <si>
    <t>RANGKAPAN_JAYA</t>
  </si>
  <si>
    <t>CISALAK_PASAR</t>
  </si>
  <si>
    <t>TUGU_DEPOK</t>
  </si>
  <si>
    <t>SAWANGAN_LAMA</t>
  </si>
  <si>
    <t>ABADIJAYA</t>
  </si>
  <si>
    <t>MEKARJAYA</t>
  </si>
  <si>
    <t>GROGOL_DEPOK</t>
  </si>
  <si>
    <t>TANAH_BARU</t>
  </si>
  <si>
    <t>MARGONDA_RAYA_BARU</t>
  </si>
  <si>
    <t>SUKAMAJU_BARU</t>
  </si>
  <si>
    <t>CINERE_BARU</t>
  </si>
  <si>
    <t>PANGKALAN_JATI_BARU</t>
  </si>
  <si>
    <t>JATIMULYA</t>
  </si>
  <si>
    <t>CILODONG_BARU</t>
  </si>
  <si>
    <t>BOJONGSARI_LAMA</t>
  </si>
  <si>
    <t>SERUA_DEPOK</t>
  </si>
  <si>
    <t>PONDOK_JAYA_DEPOK</t>
  </si>
  <si>
    <t>CP_ARIF_RAHMAN_HAKIM</t>
  </si>
  <si>
    <t>CP_CINERE</t>
  </si>
  <si>
    <t>CP_CIPAYUNG_JAYA</t>
  </si>
  <si>
    <t>CP_PENGASINAN</t>
  </si>
  <si>
    <t>DEPOK_SALES</t>
  </si>
  <si>
    <t>BANDUNG万隆</t>
  </si>
  <si>
    <t>KADIPATEN_2</t>
  </si>
  <si>
    <t>MJA13C</t>
  </si>
  <si>
    <t>MJA20B</t>
  </si>
  <si>
    <t>JATIWANGI_2</t>
  </si>
  <si>
    <t>RAJAGALUH_2</t>
  </si>
  <si>
    <t>MJA22A</t>
  </si>
  <si>
    <t>MJA19A</t>
  </si>
  <si>
    <t>MJA07B</t>
  </si>
  <si>
    <t>TELAGA_2</t>
  </si>
  <si>
    <t>MAJALENGKA_2</t>
  </si>
  <si>
    <t>MJA02B</t>
  </si>
  <si>
    <t>JATITUJUH_2</t>
  </si>
  <si>
    <t>MJA14A</t>
  </si>
  <si>
    <t>SARIJADI</t>
  </si>
  <si>
    <t>DC_CIMAHI_TENGAH</t>
  </si>
  <si>
    <t>DC_DUNGUS_CARIANG</t>
  </si>
  <si>
    <t>DC_SARIWANGI</t>
  </si>
  <si>
    <t>DC_CIMAHI_UTARA</t>
  </si>
  <si>
    <t>DC_CIDADAP</t>
  </si>
  <si>
    <t>DC_CIMAHI_SELATAN</t>
  </si>
  <si>
    <t>IDM11C</t>
  </si>
  <si>
    <t>IDM20D</t>
  </si>
  <si>
    <t>IDM07E</t>
  </si>
  <si>
    <t>IDM18</t>
  </si>
  <si>
    <t>IDM30B</t>
  </si>
  <si>
    <t>IDM13C</t>
  </si>
  <si>
    <t>IDM28B</t>
  </si>
  <si>
    <t>IDM06D</t>
  </si>
  <si>
    <t>IDM19C</t>
  </si>
  <si>
    <t>IDM15E</t>
  </si>
  <si>
    <t>IDM10C</t>
  </si>
  <si>
    <t>IDM04E</t>
  </si>
  <si>
    <t>BDO_SALES</t>
  </si>
  <si>
    <t>GRT40A</t>
  </si>
  <si>
    <t>GRT17B</t>
  </si>
  <si>
    <t>GRT27B</t>
  </si>
  <si>
    <t>GRT06C</t>
  </si>
  <si>
    <t>GRT10B</t>
  </si>
  <si>
    <t>GRT24B</t>
  </si>
  <si>
    <t>GRT11A</t>
  </si>
  <si>
    <t>GRT07C</t>
  </si>
  <si>
    <t>GRT19A</t>
  </si>
  <si>
    <t>GRT42</t>
  </si>
  <si>
    <t>GRT05C</t>
  </si>
  <si>
    <t>GRT36A</t>
  </si>
  <si>
    <t>GRT22C</t>
  </si>
  <si>
    <t>GRT26C</t>
  </si>
  <si>
    <t>GRT41A</t>
  </si>
  <si>
    <t>GRT16B</t>
  </si>
  <si>
    <t>GRT31B</t>
  </si>
  <si>
    <t>GRT03D</t>
  </si>
  <si>
    <t>GRT02A</t>
  </si>
  <si>
    <t>GRT37C</t>
  </si>
  <si>
    <t>GRT41C</t>
  </si>
  <si>
    <t>GRT25B</t>
  </si>
  <si>
    <t>GRT32A</t>
  </si>
  <si>
    <t>GRT33C</t>
  </si>
  <si>
    <t>SOG26A</t>
  </si>
  <si>
    <t>BABAKAN_CIPARAY_2</t>
  </si>
  <si>
    <t>KUTAWARINGIN_2</t>
  </si>
  <si>
    <t>DC_HOLIS</t>
  </si>
  <si>
    <t>WARGALUYU</t>
  </si>
  <si>
    <t>PENGALENGAN_CIPINANG</t>
  </si>
  <si>
    <t>CILUNCAT</t>
  </si>
  <si>
    <t>DC_BOJONGLOA_KALER</t>
  </si>
  <si>
    <t>DC_MARGAHAYU_SELATAN</t>
  </si>
  <si>
    <t>DC_BANDUNG_SELATAN</t>
  </si>
  <si>
    <t>WARNASARI</t>
  </si>
  <si>
    <t>DC_KATAPANG</t>
  </si>
  <si>
    <t>DC_CIBADUYUT_RAYA</t>
  </si>
  <si>
    <t>SOG25C</t>
  </si>
  <si>
    <t>CIWIDEY</t>
  </si>
  <si>
    <t>DC_MARGAASIH</t>
  </si>
  <si>
    <t>SOG31E</t>
  </si>
  <si>
    <t>CANGKUANG_3</t>
  </si>
  <si>
    <t>DC_KARAWANG_BARAT</t>
  </si>
  <si>
    <t>PANGKAL_PERJUANGAN</t>
  </si>
  <si>
    <t>TEMPURAN</t>
  </si>
  <si>
    <t>PULOJAYA</t>
  </si>
  <si>
    <t>KARAWANG_WETAN</t>
  </si>
  <si>
    <t>CIBUAYA</t>
  </si>
  <si>
    <t>LOJI_2</t>
  </si>
  <si>
    <t>DC_KOSAMBI</t>
  </si>
  <si>
    <t>CIAMPEL</t>
  </si>
  <si>
    <t>NAGASARI_3</t>
  </si>
  <si>
    <t>TELUK_JAMBE_BARAT</t>
  </si>
  <si>
    <t>DC_MAJA</t>
  </si>
  <si>
    <t>KRW20F</t>
  </si>
  <si>
    <t>DC_GALUH_MAS</t>
  </si>
  <si>
    <t>SUKAHARJA_KRW</t>
  </si>
  <si>
    <t>BATUJAYA</t>
  </si>
  <si>
    <t>KRW17A</t>
  </si>
  <si>
    <t>TELAGASARI</t>
  </si>
  <si>
    <t>DAUWAN_T</t>
  </si>
  <si>
    <t>CKM_CITY</t>
  </si>
  <si>
    <t>DC_BATULAYANG</t>
  </si>
  <si>
    <t>CIKAMUNING</t>
  </si>
  <si>
    <t>NGP05B</t>
  </si>
  <si>
    <t>NGP09A</t>
  </si>
  <si>
    <t>CIPONGKOR</t>
  </si>
  <si>
    <t>SIRNAJAYA</t>
  </si>
  <si>
    <t>DC_LEMBANG</t>
  </si>
  <si>
    <t>DC_PADALARANG</t>
  </si>
  <si>
    <t>CISARUA</t>
  </si>
  <si>
    <t>NGP02E</t>
  </si>
  <si>
    <t>NGP07A</t>
  </si>
  <si>
    <t>CIPATAT</t>
  </si>
  <si>
    <t>CITAPEN</t>
  </si>
  <si>
    <t>NGP16B</t>
  </si>
  <si>
    <t>DC_NGAMPRAH</t>
  </si>
  <si>
    <t>BANJAR_PATROMAN</t>
  </si>
  <si>
    <t>PGR01C</t>
  </si>
  <si>
    <t>LANGENSARI_3</t>
  </si>
  <si>
    <t>PGR04B</t>
  </si>
  <si>
    <t>CIAMIS</t>
  </si>
  <si>
    <t>CMI01B</t>
  </si>
  <si>
    <t>PARUNGLESANG_3</t>
  </si>
  <si>
    <t>PANUMBANGAN</t>
  </si>
  <si>
    <t>SINDANGKASIH</t>
  </si>
  <si>
    <t>WINDURAJA</t>
  </si>
  <si>
    <t>CMI13C</t>
  </si>
  <si>
    <t>BJA04A</t>
  </si>
  <si>
    <t>RANCAH</t>
  </si>
  <si>
    <t>PGR05B</t>
  </si>
  <si>
    <t>PGR10B</t>
  </si>
  <si>
    <t>CMI02A</t>
  </si>
  <si>
    <t>PGR08B</t>
  </si>
  <si>
    <t>SUM12C</t>
  </si>
  <si>
    <t>SUM17B</t>
  </si>
  <si>
    <t>SUM26B</t>
  </si>
  <si>
    <t>SUM04D</t>
  </si>
  <si>
    <t>SUM06D</t>
  </si>
  <si>
    <t>SUM08D</t>
  </si>
  <si>
    <t>SUM11D</t>
  </si>
  <si>
    <t>SUM10E</t>
  </si>
  <si>
    <t>SUM01B</t>
  </si>
  <si>
    <t>SUM02B</t>
  </si>
  <si>
    <t>SUM22</t>
  </si>
  <si>
    <t>SUM05C</t>
  </si>
  <si>
    <t>SUKARAJA</t>
  </si>
  <si>
    <t>DC_CITAMIANG</t>
  </si>
  <si>
    <t>DC_PONDOKASO_LANDEUH</t>
  </si>
  <si>
    <t>SMI17B</t>
  </si>
  <si>
    <t>CICANTAYAN</t>
  </si>
  <si>
    <t>SMI02A</t>
  </si>
  <si>
    <t>CIBADAK</t>
  </si>
  <si>
    <t>PER06C</t>
  </si>
  <si>
    <t>SMI29B</t>
  </si>
  <si>
    <t>DC_BOJONG_KEMBAR</t>
  </si>
  <si>
    <t>SMI09B</t>
  </si>
  <si>
    <t>DC_CIKOLE</t>
  </si>
  <si>
    <t>KALAPA_NUNGGAL</t>
  </si>
  <si>
    <t>SMI21A</t>
  </si>
  <si>
    <t>PER11</t>
  </si>
  <si>
    <t>PER10A</t>
  </si>
  <si>
    <t>SMI19A</t>
  </si>
  <si>
    <t>PER05B</t>
  </si>
  <si>
    <t>SMI16B</t>
  </si>
  <si>
    <t>PER17A</t>
  </si>
  <si>
    <t>PER08A</t>
  </si>
  <si>
    <t>PER04D</t>
  </si>
  <si>
    <t>PER15</t>
  </si>
  <si>
    <t>SMI27B</t>
  </si>
  <si>
    <t>SMI22B</t>
  </si>
  <si>
    <t>DC_CISAAT</t>
  </si>
  <si>
    <t>SMI35A</t>
  </si>
  <si>
    <t>SMI20A</t>
  </si>
  <si>
    <t>TANGGULUN_BARAT_2</t>
  </si>
  <si>
    <t>SBG16A</t>
  </si>
  <si>
    <t>GEMBOR_4</t>
  </si>
  <si>
    <t>SUKAMANDIJAYA_2</t>
  </si>
  <si>
    <t>PUSAKARATU_4</t>
  </si>
  <si>
    <t>KALIANGSANA_2</t>
  </si>
  <si>
    <t>SBG01B</t>
  </si>
  <si>
    <t>LENGKONGJAYA_2</t>
  </si>
  <si>
    <t>SBG21B</t>
  </si>
  <si>
    <t>SBG29A</t>
  </si>
  <si>
    <t>SBG08C</t>
  </si>
  <si>
    <t>CIBOGO_SBG</t>
  </si>
  <si>
    <t>SOKLAT_4</t>
  </si>
  <si>
    <t>PATOKBEUSI_2</t>
  </si>
  <si>
    <t>CISALAK_4</t>
  </si>
  <si>
    <t>SUKARESMI_3</t>
  </si>
  <si>
    <t>SBG27A</t>
  </si>
  <si>
    <t>CIEUNDEUR</t>
  </si>
  <si>
    <t>CJR22A</t>
  </si>
  <si>
    <t>CJR16B</t>
  </si>
  <si>
    <t>CIRANJANG</t>
  </si>
  <si>
    <t>CJR26B</t>
  </si>
  <si>
    <t>CJR09B</t>
  </si>
  <si>
    <t>CJR13B</t>
  </si>
  <si>
    <t>CILAKU</t>
  </si>
  <si>
    <t>CJR06A</t>
  </si>
  <si>
    <t>CJR04A</t>
  </si>
  <si>
    <t>DC_SOLOKPANDAN</t>
  </si>
  <si>
    <t>CJR17A</t>
  </si>
  <si>
    <t>CJR14B</t>
  </si>
  <si>
    <t>SADAMAYA</t>
  </si>
  <si>
    <t>MUKA</t>
  </si>
  <si>
    <t>CIPANAS</t>
  </si>
  <si>
    <t>PACET_CJR_2</t>
  </si>
  <si>
    <t>CJR18C</t>
  </si>
  <si>
    <t>CJR07B</t>
  </si>
  <si>
    <t>PWK05B</t>
  </si>
  <si>
    <t>JATISARI_BARU</t>
  </si>
  <si>
    <t>PWK01B</t>
  </si>
  <si>
    <t>PASAR_PERMAI</t>
  </si>
  <si>
    <t>CILAMAYA</t>
  </si>
  <si>
    <t>PWK08A</t>
  </si>
  <si>
    <t>PWK03B</t>
  </si>
  <si>
    <t>PWK12A</t>
  </si>
  <si>
    <t>PWK04B</t>
  </si>
  <si>
    <t>PWK15K</t>
  </si>
  <si>
    <t>PWK10C</t>
  </si>
  <si>
    <t>PWK06B</t>
  </si>
  <si>
    <t>PWK15L</t>
  </si>
  <si>
    <t>PWK02D</t>
  </si>
  <si>
    <t>DC_KOTABARU</t>
  </si>
  <si>
    <t>KRW28B</t>
  </si>
  <si>
    <t>PWK07D</t>
  </si>
  <si>
    <t>PWK15M</t>
  </si>
  <si>
    <t>MANONJAYA</t>
  </si>
  <si>
    <t>SIN03A</t>
  </si>
  <si>
    <t>SIN07A</t>
  </si>
  <si>
    <t>TARAJU_2</t>
  </si>
  <si>
    <t>TSK03E</t>
  </si>
  <si>
    <t>KAWALU</t>
  </si>
  <si>
    <t>DC_KAMASAN</t>
  </si>
  <si>
    <t>TAMANSARI</t>
  </si>
  <si>
    <t>CIKATOMAS</t>
  </si>
  <si>
    <t>SINGAPARNA</t>
  </si>
  <si>
    <t>SALAWU_2</t>
  </si>
  <si>
    <t>TASIKMALAYA</t>
  </si>
  <si>
    <t>INDIHIANG_2</t>
  </si>
  <si>
    <t>SINDANGRERET</t>
  </si>
  <si>
    <t>CIPEDES_4</t>
  </si>
  <si>
    <t>SIN31</t>
  </si>
  <si>
    <t>SIN29B</t>
  </si>
  <si>
    <t>SIN20</t>
  </si>
  <si>
    <t>CIBEUREUM_2</t>
  </si>
  <si>
    <t>SUKAMANTRI_CIAWI</t>
  </si>
  <si>
    <t>DC_ARGASARI</t>
  </si>
  <si>
    <t>SIN26A</t>
  </si>
  <si>
    <t>CIGANITRI</t>
  </si>
  <si>
    <t>RANCAMANYAR_3</t>
  </si>
  <si>
    <t>DC_SAMOJA</t>
  </si>
  <si>
    <t>BEC</t>
  </si>
  <si>
    <t>DC_ANTAPANI_WETAN</t>
  </si>
  <si>
    <t>SOG07A</t>
  </si>
  <si>
    <t>DC_BALEENDAH</t>
  </si>
  <si>
    <t>DC_MAJALAYA</t>
  </si>
  <si>
    <t>SOG05A</t>
  </si>
  <si>
    <t>PACET</t>
  </si>
  <si>
    <t>DC_BURANGRANG</t>
  </si>
  <si>
    <t>DC_CIJAGRA</t>
  </si>
  <si>
    <t>DC_BINONG</t>
  </si>
  <si>
    <t>PARAKAN_SAAT</t>
  </si>
  <si>
    <t>SERANGMEKAR_2</t>
  </si>
  <si>
    <t>CIRENDANG</t>
  </si>
  <si>
    <t>KOJENGKANG</t>
  </si>
  <si>
    <t>KADUGEDE</t>
  </si>
  <si>
    <t>KNG18</t>
  </si>
  <si>
    <t>KNG03A</t>
  </si>
  <si>
    <t>INDANGKERTA</t>
  </si>
  <si>
    <t>KNG26</t>
  </si>
  <si>
    <t>DC_PANAWUAN</t>
  </si>
  <si>
    <t>SOG12E</t>
  </si>
  <si>
    <t>DC_RANCASARI</t>
  </si>
  <si>
    <t>DC_CIBIRU</t>
  </si>
  <si>
    <t>SOG02C</t>
  </si>
  <si>
    <t>SOG13C</t>
  </si>
  <si>
    <t>DC_MARGACINTA</t>
  </si>
  <si>
    <t>DC_PANYAWANGAN</t>
  </si>
  <si>
    <t>SOG11E</t>
  </si>
  <si>
    <t>DC_PEUNDEUY</t>
  </si>
  <si>
    <t>DC_CINAMBO</t>
  </si>
  <si>
    <t>SMB11B</t>
  </si>
  <si>
    <t>SMB08B</t>
  </si>
  <si>
    <t>SMB02B</t>
  </si>
  <si>
    <t>CRN03E</t>
  </si>
  <si>
    <t>SMB13C</t>
  </si>
  <si>
    <t>SMB10C</t>
  </si>
  <si>
    <t>SMB05D</t>
  </si>
  <si>
    <t>SMB14C</t>
  </si>
  <si>
    <t>SMB29B</t>
  </si>
  <si>
    <t>SMB37C</t>
  </si>
  <si>
    <t>CRN02C</t>
  </si>
  <si>
    <t>SMB40A</t>
  </si>
  <si>
    <t>DC_CIREBON_BARAT</t>
  </si>
  <si>
    <t>SMB03C</t>
  </si>
  <si>
    <t>SMB28C</t>
  </si>
  <si>
    <t>SEMARANG三宝垄</t>
  </si>
  <si>
    <t>BANJARNEGARA</t>
  </si>
  <si>
    <t>KLAMPOK</t>
  </si>
  <si>
    <t>KARANG_KOBAR</t>
  </si>
  <si>
    <t>BAWANG</t>
  </si>
  <si>
    <t>WANADADI</t>
  </si>
  <si>
    <t>SIGALUH</t>
  </si>
  <si>
    <t>PUNGGELAN01</t>
  </si>
  <si>
    <t>MANDIRAJA01</t>
  </si>
  <si>
    <t>PEJAWARAN</t>
  </si>
  <si>
    <t>KAJEN</t>
  </si>
  <si>
    <t>BOJONG</t>
  </si>
  <si>
    <t>KARANGSARI_KAJEN</t>
  </si>
  <si>
    <t>DORO</t>
  </si>
  <si>
    <t>PANINGGARAN</t>
  </si>
  <si>
    <t>TIRTO01</t>
  </si>
  <si>
    <t>KESESI01</t>
  </si>
  <si>
    <t>WONOPRINGGO01</t>
  </si>
  <si>
    <t>KEDUNGWUNI01</t>
  </si>
  <si>
    <t>KARANGDADAP01</t>
  </si>
  <si>
    <t>TEMANGGUNG</t>
  </si>
  <si>
    <t>NGADIREJO</t>
  </si>
  <si>
    <t>CANDIROTO</t>
  </si>
  <si>
    <t>PARAKAN</t>
  </si>
  <si>
    <t>KRANGGAN</t>
  </si>
  <si>
    <t>KEDU</t>
  </si>
  <si>
    <t>WADAS</t>
  </si>
  <si>
    <t>PRINGSURAT_TIMUR</t>
  </si>
  <si>
    <t>BLORA</t>
  </si>
  <si>
    <t>NGAWEN</t>
  </si>
  <si>
    <t>JEPON</t>
  </si>
  <si>
    <t>KUNDURAN</t>
  </si>
  <si>
    <t>CEPU</t>
  </si>
  <si>
    <t>RANDUBLATUNG</t>
  </si>
  <si>
    <t>KEDUNGTUBAN</t>
  </si>
  <si>
    <t>TUNJUNGAN</t>
  </si>
  <si>
    <t>JATI_BLORA</t>
  </si>
  <si>
    <t>SAMBONG</t>
  </si>
  <si>
    <t>SUMOWONO</t>
  </si>
  <si>
    <t>AMBARAWA</t>
  </si>
  <si>
    <t>UNGARAN</t>
  </si>
  <si>
    <t>BAWEN</t>
  </si>
  <si>
    <t>BERGAS</t>
  </si>
  <si>
    <t>BANYUBIRU</t>
  </si>
  <si>
    <t>CANDIREJO</t>
  </si>
  <si>
    <t>PRINGAPUS</t>
  </si>
  <si>
    <t>SALATIGA</t>
  </si>
  <si>
    <t>SURUH</t>
  </si>
  <si>
    <t>BRINGIN</t>
  </si>
  <si>
    <t>TINGKIR</t>
  </si>
  <si>
    <t>TENGARAN</t>
  </si>
  <si>
    <t>AJIBARANG</t>
  </si>
  <si>
    <t>BANYUMAS</t>
  </si>
  <si>
    <t>PATIKRAJA</t>
  </si>
  <si>
    <t>SUMPIUH</t>
  </si>
  <si>
    <t>WANGON</t>
  </si>
  <si>
    <t>KEMBARAN</t>
  </si>
  <si>
    <t>KARANGLEWAS</t>
  </si>
  <si>
    <t>CILONGOK</t>
  </si>
  <si>
    <t>RAWALO</t>
  </si>
  <si>
    <t>SOMAGEDE</t>
  </si>
  <si>
    <t>PURWOKERTO_UTARA</t>
  </si>
  <si>
    <t>PEKUNCEN</t>
  </si>
  <si>
    <t>SUMBANG01</t>
  </si>
  <si>
    <t>KEMRANJEN01</t>
  </si>
  <si>
    <t>KARANGRAYUNG</t>
  </si>
  <si>
    <t>PURWODADI</t>
  </si>
  <si>
    <t>GODONG</t>
  </si>
  <si>
    <t>WIROSARI</t>
  </si>
  <si>
    <t>GUBUG</t>
  </si>
  <si>
    <t>KRADENAN</t>
  </si>
  <si>
    <t>GROBOGAN</t>
  </si>
  <si>
    <t>TEGOWANU</t>
  </si>
  <si>
    <t>PULOKULON</t>
  </si>
  <si>
    <t>PENAWANGAN</t>
  </si>
  <si>
    <t>TANGGUNGHARJO01</t>
  </si>
  <si>
    <t>GEYER</t>
  </si>
  <si>
    <t>GEMUH</t>
  </si>
  <si>
    <t>KENDAL</t>
  </si>
  <si>
    <t>WELERI</t>
  </si>
  <si>
    <t>BOJA</t>
  </si>
  <si>
    <t>SUKOREJO</t>
  </si>
  <si>
    <t>KALIWUNGU</t>
  </si>
  <si>
    <t>BRANGSONG</t>
  </si>
  <si>
    <t>TAMPINGAN</t>
  </si>
  <si>
    <t>PAGERUYUNG</t>
  </si>
  <si>
    <t>MEJOBO</t>
  </si>
  <si>
    <t>KUDUS</t>
  </si>
  <si>
    <t>JEKULO</t>
  </si>
  <si>
    <t>JATI</t>
  </si>
  <si>
    <t>DAWE</t>
  </si>
  <si>
    <t>UNDAAN</t>
  </si>
  <si>
    <t>KALIWUNGU_KUDUS</t>
  </si>
  <si>
    <t>GEBOG</t>
  </si>
  <si>
    <t>REJOSARI_KUDUS</t>
  </si>
  <si>
    <t>KEDUNG</t>
  </si>
  <si>
    <t>JEPARA</t>
  </si>
  <si>
    <t>BANGSRI</t>
  </si>
  <si>
    <t>PECANGAAN</t>
  </si>
  <si>
    <t>WONOREJO</t>
  </si>
  <si>
    <t>MAYONG</t>
  </si>
  <si>
    <t>TAHUNAN</t>
  </si>
  <si>
    <t>KELET</t>
  </si>
  <si>
    <t>WELAHAN</t>
  </si>
  <si>
    <t>KALINYAMATAN</t>
  </si>
  <si>
    <t>SENENAN</t>
  </si>
  <si>
    <t>NALUMSARI</t>
  </si>
  <si>
    <t>TULIS</t>
  </si>
  <si>
    <t>WARUNGASEM</t>
  </si>
  <si>
    <t>REBAN</t>
  </si>
  <si>
    <t>GRINGSING_LAMA</t>
  </si>
  <si>
    <t>BATANG_UTARA</t>
  </si>
  <si>
    <t>BATANG01</t>
  </si>
  <si>
    <t>BANDAR01</t>
  </si>
  <si>
    <t>LIMPUNG01</t>
  </si>
  <si>
    <t>SUBAH01</t>
  </si>
  <si>
    <t>TERSONO</t>
  </si>
  <si>
    <t>BLADO01</t>
  </si>
  <si>
    <t>PEKALONGAN</t>
  </si>
  <si>
    <t>WIRADESA</t>
  </si>
  <si>
    <t>BUARAN</t>
  </si>
  <si>
    <t>JATILONDO</t>
  </si>
  <si>
    <t>WONOKERTO</t>
  </si>
  <si>
    <t>KLEGO</t>
  </si>
  <si>
    <t>MEDONO</t>
  </si>
  <si>
    <t>KURIPAN</t>
  </si>
  <si>
    <t>PANJANG01</t>
  </si>
  <si>
    <t>GUNUNG_PATI</t>
  </si>
  <si>
    <t>TUGU</t>
  </si>
  <si>
    <t>MIJEN</t>
  </si>
  <si>
    <t>PLALANGAN</t>
  </si>
  <si>
    <t>BRINGIN_SEMARANG</t>
  </si>
  <si>
    <t>SILAYUR</t>
  </si>
  <si>
    <t>SEMARANG_TENGAH</t>
  </si>
  <si>
    <t>HASANUDIN</t>
  </si>
  <si>
    <t>ANJASMORO</t>
  </si>
  <si>
    <t>S_PARMAN</t>
  </si>
  <si>
    <t>SIMONGAN</t>
  </si>
  <si>
    <t>GRAHAPADMA_01</t>
  </si>
  <si>
    <t>PATI</t>
  </si>
  <si>
    <t>JUWANA</t>
  </si>
  <si>
    <t>TAMBAKROMO</t>
  </si>
  <si>
    <t>MARGOYOSO</t>
  </si>
  <si>
    <t>TAYU</t>
  </si>
  <si>
    <t>JAKENAN</t>
  </si>
  <si>
    <t>KAYEN</t>
  </si>
  <si>
    <t>WEDARIJAKSA</t>
  </si>
  <si>
    <t>BATANGAN</t>
  </si>
  <si>
    <t>TLOGOWUNGU_PTI</t>
  </si>
  <si>
    <t>WINONG</t>
  </si>
  <si>
    <t>DUKUHSETI</t>
  </si>
  <si>
    <t>PATI_KIDUL</t>
  </si>
  <si>
    <t>SUKOLILO</t>
  </si>
  <si>
    <t>TRANGKIL</t>
  </si>
  <si>
    <t>GABUS</t>
  </si>
  <si>
    <t>CLUWAK</t>
  </si>
  <si>
    <t>JUWANA_TIMUR</t>
  </si>
  <si>
    <t>REMBANG</t>
  </si>
  <si>
    <t>LASEM</t>
  </si>
  <si>
    <t>KRAGAN</t>
  </si>
  <si>
    <t>PAMOTAN</t>
  </si>
  <si>
    <t>SEDAN</t>
  </si>
  <si>
    <t>BULU</t>
  </si>
  <si>
    <t>SLUKE</t>
  </si>
  <si>
    <t>SARANG</t>
  </si>
  <si>
    <t>PANCUR</t>
  </si>
  <si>
    <t>BANYUMANIK</t>
  </si>
  <si>
    <t>TENTARA_PELAJAR</t>
  </si>
  <si>
    <t>SENDANGMULYO</t>
  </si>
  <si>
    <t>KETILENG_RAYA</t>
  </si>
  <si>
    <t>SUPRIYADI_FNC</t>
  </si>
  <si>
    <t>TLOGOSARI_FNC</t>
  </si>
  <si>
    <t>WOLTER_FNC</t>
  </si>
  <si>
    <t>SIDODADI</t>
  </si>
  <si>
    <t>GENUK</t>
  </si>
  <si>
    <t>PURBALINGGA</t>
  </si>
  <si>
    <t>BOBOTSARI</t>
  </si>
  <si>
    <t>KALIGONDANG</t>
  </si>
  <si>
    <t>BOJONGSARI</t>
  </si>
  <si>
    <t>SUMAMPIR</t>
  </si>
  <si>
    <t>PURBALINGGA_LOR</t>
  </si>
  <si>
    <t>KEMANGKON01</t>
  </si>
  <si>
    <t>KARANGREJA01</t>
  </si>
  <si>
    <t>MOJOTENGAH</t>
  </si>
  <si>
    <t>KEJAJAR</t>
  </si>
  <si>
    <t>KALIWIRO</t>
  </si>
  <si>
    <t>MADUKORO_01</t>
  </si>
  <si>
    <t>SELOMERTO_01</t>
  </si>
  <si>
    <t>SAPURAN_01</t>
  </si>
  <si>
    <t>KALIKAJAR</t>
  </si>
  <si>
    <t>SLAWI</t>
  </si>
  <si>
    <t>SURADADI</t>
  </si>
  <si>
    <t>BUMIJAWA</t>
  </si>
  <si>
    <t>SLAWI_KULON</t>
  </si>
  <si>
    <t>MARGASARI</t>
  </si>
  <si>
    <t>KRAMAT_SLAWI</t>
  </si>
  <si>
    <t>BALAPULANG</t>
  </si>
  <si>
    <t>TALANG</t>
  </si>
  <si>
    <t>TARUB</t>
  </si>
  <si>
    <t>DUKUHWARU</t>
  </si>
  <si>
    <t>KEDUNGBANTENG</t>
  </si>
  <si>
    <t>BANDARSARI</t>
  </si>
  <si>
    <t>WONOSALAM</t>
  </si>
  <si>
    <t>DEMAK</t>
  </si>
  <si>
    <t>MRANGGEN</t>
  </si>
  <si>
    <t>GAJAH</t>
  </si>
  <si>
    <t>WEDUNG</t>
  </si>
  <si>
    <t>DEMPET</t>
  </si>
  <si>
    <t>SAYUNG</t>
  </si>
  <si>
    <t>BATURSARI</t>
  </si>
  <si>
    <t>GUNTUR</t>
  </si>
  <si>
    <t>BONANG</t>
  </si>
  <si>
    <t>KARANGANYAR</t>
  </si>
  <si>
    <t>BREBES</t>
  </si>
  <si>
    <t>BUMIAYU</t>
  </si>
  <si>
    <t>KETANGGUNGAN</t>
  </si>
  <si>
    <t>LOSARI</t>
  </si>
  <si>
    <t>JATIBARANG_KIDUL</t>
  </si>
  <si>
    <t>BULAKAMBA</t>
  </si>
  <si>
    <t>LARANGAN_BREBES</t>
  </si>
  <si>
    <t>WANASARI_BREBES</t>
  </si>
  <si>
    <t>BANJARHARJO</t>
  </si>
  <si>
    <t>TONJONG</t>
  </si>
  <si>
    <t>SALEM</t>
  </si>
  <si>
    <t>BANTARKAWUNG</t>
  </si>
  <si>
    <t>PAGUYANGAN</t>
  </si>
  <si>
    <t>TANJUNG_BREBES</t>
  </si>
  <si>
    <t>SIRAMPOG01</t>
  </si>
  <si>
    <t>PEMALANG</t>
  </si>
  <si>
    <t>RANDUDONGKAL</t>
  </si>
  <si>
    <t>COMAL</t>
  </si>
  <si>
    <t>AMBOKULON</t>
  </si>
  <si>
    <t>KEBANGGAN</t>
  </si>
  <si>
    <t>BANJARDAWA</t>
  </si>
  <si>
    <t>PETARUKAN</t>
  </si>
  <si>
    <t>BODEH</t>
  </si>
  <si>
    <t>BELIK</t>
  </si>
  <si>
    <t>WATUKUMPUL</t>
  </si>
  <si>
    <t>BANTARBOLANG</t>
  </si>
  <si>
    <t>MULYOHARJO01</t>
  </si>
  <si>
    <t>TEGAL</t>
  </si>
  <si>
    <t>MARGADANA</t>
  </si>
  <si>
    <t>TEGAL_BARAT</t>
  </si>
  <si>
    <t>DUKUHTURI</t>
  </si>
  <si>
    <t>PURWOKERTO</t>
  </si>
  <si>
    <t>KEBASEN</t>
  </si>
  <si>
    <t>SRG_SALES</t>
  </si>
  <si>
    <t>PROTOMULYO</t>
  </si>
  <si>
    <t>NGALIYAN</t>
  </si>
  <si>
    <t>BSB_SEMARANG</t>
  </si>
  <si>
    <t>GAJAHMUNGKUR</t>
  </si>
  <si>
    <t>PANGGUNG_LOR</t>
  </si>
  <si>
    <t>PUDAKPAYUNG</t>
  </si>
  <si>
    <t>TEMBALANG</t>
  </si>
  <si>
    <t>BUGANGAN</t>
  </si>
  <si>
    <t>DEBONG</t>
  </si>
  <si>
    <t>YOGYAKARTA日惹</t>
  </si>
  <si>
    <t>BANTUL</t>
  </si>
  <si>
    <t>KASIHAN</t>
  </si>
  <si>
    <t>SEWON</t>
  </si>
  <si>
    <t>DIRO</t>
  </si>
  <si>
    <t>GOSE</t>
  </si>
  <si>
    <t>PERWITA</t>
  </si>
  <si>
    <t>TAMANAN</t>
  </si>
  <si>
    <t>WONOCATUR</t>
  </si>
  <si>
    <t>SITIMULYO</t>
  </si>
  <si>
    <t>BOYOLALI</t>
  </si>
  <si>
    <t>TERAS</t>
  </si>
  <si>
    <t>AMPEL</t>
  </si>
  <si>
    <t>BYL03A</t>
  </si>
  <si>
    <t>SIMO</t>
  </si>
  <si>
    <t>BYL04A</t>
  </si>
  <si>
    <t>NGEMPLAK</t>
  </si>
  <si>
    <t>PULISEN</t>
  </si>
  <si>
    <t>ANDONG</t>
  </si>
  <si>
    <t>SAWIT</t>
  </si>
  <si>
    <t>KARANGGEDE</t>
  </si>
  <si>
    <t>BYL12</t>
  </si>
  <si>
    <t>CILACAP</t>
  </si>
  <si>
    <t>MAJENANG</t>
  </si>
  <si>
    <t>KROYA</t>
  </si>
  <si>
    <t>CLP03A</t>
  </si>
  <si>
    <t>SIDAREJA</t>
  </si>
  <si>
    <t>ADIPALA</t>
  </si>
  <si>
    <t>KAWUNGANTEN</t>
  </si>
  <si>
    <t>CIMANGGU</t>
  </si>
  <si>
    <t>MERTASINGA</t>
  </si>
  <si>
    <t>SALIWANGI</t>
  </si>
  <si>
    <t>NUSAWUNGU</t>
  </si>
  <si>
    <t>CLP13A</t>
  </si>
  <si>
    <t>WANAREJA</t>
  </si>
  <si>
    <t>UMBULHARJO</t>
  </si>
  <si>
    <t>KATAMSO</t>
  </si>
  <si>
    <t>SURYOWIJAYAN</t>
  </si>
  <si>
    <t>GEDONG_KUNING</t>
  </si>
  <si>
    <t>GIWANGAN</t>
  </si>
  <si>
    <t>COLOMADU</t>
  </si>
  <si>
    <t>TASIKMADU</t>
  </si>
  <si>
    <t>GONDANGREJO</t>
  </si>
  <si>
    <t>KARANG_PANDAN</t>
  </si>
  <si>
    <t>MATESI</t>
  </si>
  <si>
    <t>BEJEN</t>
  </si>
  <si>
    <t>NGRINGO</t>
  </si>
  <si>
    <t>MOJOGEDANG</t>
  </si>
  <si>
    <t>TUGU_BOTO</t>
  </si>
  <si>
    <t>JUMAPOLO</t>
  </si>
  <si>
    <t>KEBAKKRAMAT</t>
  </si>
  <si>
    <t>GOMBONG</t>
  </si>
  <si>
    <t>KBM02A</t>
  </si>
  <si>
    <t>PREMBUN</t>
  </si>
  <si>
    <t>KEBUMEN_KOTA</t>
  </si>
  <si>
    <t>AYAH</t>
  </si>
  <si>
    <t>PETANAHAN</t>
  </si>
  <si>
    <t>KUTOWINANGUN</t>
  </si>
  <si>
    <t>CANDI_KEBUMEN</t>
  </si>
  <si>
    <t>KBM17</t>
  </si>
  <si>
    <t>WATES</t>
  </si>
  <si>
    <t>SENTOLO</t>
  </si>
  <si>
    <t>KULONPROGO</t>
  </si>
  <si>
    <t>NANGGULAN</t>
  </si>
  <si>
    <t>KLATEN_SELATAN</t>
  </si>
  <si>
    <t>PRAMBANAN</t>
  </si>
  <si>
    <t>DELANGGU</t>
  </si>
  <si>
    <t>BELANG_WETAN</t>
  </si>
  <si>
    <t>PEDAN</t>
  </si>
  <si>
    <t>KLATEN_TENGAH</t>
  </si>
  <si>
    <t>KARANGDOWO</t>
  </si>
  <si>
    <t>DC_KLATEN</t>
  </si>
  <si>
    <t>MOJAYAN</t>
  </si>
  <si>
    <t>MAYUNGAN</t>
  </si>
  <si>
    <t>TULUNG</t>
  </si>
  <si>
    <t>KLT26</t>
  </si>
  <si>
    <t>MAGELANG</t>
  </si>
  <si>
    <t>KUPATAN</t>
  </si>
  <si>
    <t>MUNGKID</t>
  </si>
  <si>
    <t>GRABAG</t>
  </si>
  <si>
    <t>SALAM</t>
  </si>
  <si>
    <t>SECANG</t>
  </si>
  <si>
    <t>MERTOYUDAN</t>
  </si>
  <si>
    <t>BOROBUDUR</t>
  </si>
  <si>
    <t>KEDUNGDOWO</t>
  </si>
  <si>
    <t>TEGALREJO</t>
  </si>
  <si>
    <t>TEMPURAN_MUNGKID</t>
  </si>
  <si>
    <t>PURWOREJO</t>
  </si>
  <si>
    <t>LOANO</t>
  </si>
  <si>
    <t>BUTUH</t>
  </si>
  <si>
    <t>BAGELEN</t>
  </si>
  <si>
    <t>WIRUN</t>
  </si>
  <si>
    <t>DC_BANYUURIP</t>
  </si>
  <si>
    <t>SLEMAN</t>
  </si>
  <si>
    <t>GODEAN</t>
  </si>
  <si>
    <t>NGAGLIK</t>
  </si>
  <si>
    <t>SLM03A</t>
  </si>
  <si>
    <t>DENGGUNG</t>
  </si>
  <si>
    <t>MAGUWOHARJO</t>
  </si>
  <si>
    <t>CATUR_TUNGGAL</t>
  </si>
  <si>
    <t>SETURAN</t>
  </si>
  <si>
    <t>KALASAN</t>
  </si>
  <si>
    <t>SLM10A</t>
  </si>
  <si>
    <t>BERJO</t>
  </si>
  <si>
    <t>GEJAYAN</t>
  </si>
  <si>
    <t>PALAGAN</t>
  </si>
  <si>
    <t>SLM17A</t>
  </si>
  <si>
    <t>JOMBOR</t>
  </si>
  <si>
    <t>TRIDADI</t>
  </si>
  <si>
    <t>GAMPING</t>
  </si>
  <si>
    <t>KENTUNGAN</t>
  </si>
  <si>
    <t>SOLO</t>
  </si>
  <si>
    <t>KARTASURA</t>
  </si>
  <si>
    <t>SERENGAN</t>
  </si>
  <si>
    <t>MOJOSONGO</t>
  </si>
  <si>
    <t>SUMBER_BANJARSARI</t>
  </si>
  <si>
    <t>TIPES</t>
  </si>
  <si>
    <t>JAGALAN</t>
  </si>
  <si>
    <t>BETENG</t>
  </si>
  <si>
    <t>TIMURAN</t>
  </si>
  <si>
    <t>SEMANGGI</t>
  </si>
  <si>
    <t>DANUKUSUMAN</t>
  </si>
  <si>
    <t>BUMI_LAWEYAN</t>
  </si>
  <si>
    <t>SEKIP_KADIPIRO</t>
  </si>
  <si>
    <t>DC_SOLO_BARAT</t>
  </si>
  <si>
    <t>IR_SUTAMI</t>
  </si>
  <si>
    <t>SAMPANGAN_SOLO</t>
  </si>
  <si>
    <t>SRAGEN</t>
  </si>
  <si>
    <t>GEMOLONG</t>
  </si>
  <si>
    <t>MASARAN</t>
  </si>
  <si>
    <t>GONDANG</t>
  </si>
  <si>
    <t>PILANGSARI</t>
  </si>
  <si>
    <t>TANON</t>
  </si>
  <si>
    <t>TUGU_GADING_MASARAN</t>
  </si>
  <si>
    <t>KARANGMALANG</t>
  </si>
  <si>
    <t>LANGENHARJO</t>
  </si>
  <si>
    <t>POLOKARTO</t>
  </si>
  <si>
    <t>BAKI</t>
  </si>
  <si>
    <t>TAWANGSARI</t>
  </si>
  <si>
    <t>PUCANGAN</t>
  </si>
  <si>
    <t>SLAMET_RIYADI_BARAT</t>
  </si>
  <si>
    <t>MOJOLABAN</t>
  </si>
  <si>
    <t>TELUKAN</t>
  </si>
  <si>
    <t>JETIS</t>
  </si>
  <si>
    <t>WONOGIRI</t>
  </si>
  <si>
    <t>BATURETNO</t>
  </si>
  <si>
    <t>NGADIROJO</t>
  </si>
  <si>
    <t>WURYANTORO</t>
  </si>
  <si>
    <t>SLOGOHIMO</t>
  </si>
  <si>
    <t>SELOGIRI</t>
  </si>
  <si>
    <t>PURWANTORO</t>
  </si>
  <si>
    <t>NGUNTORONADI</t>
  </si>
  <si>
    <t>JATISRONO_WGI</t>
  </si>
  <si>
    <t>WONOSARI</t>
  </si>
  <si>
    <t>NGLIPAR</t>
  </si>
  <si>
    <t>KARANGMOJO</t>
  </si>
  <si>
    <t>SURABAYA泗水</t>
  </si>
  <si>
    <t>PADANGAN</t>
  </si>
  <si>
    <t>KALITIDU</t>
  </si>
  <si>
    <t>SUMBEREJO</t>
  </si>
  <si>
    <t>DC_SRATU</t>
  </si>
  <si>
    <t>DC_KLANGON</t>
  </si>
  <si>
    <t>GAYAM</t>
  </si>
  <si>
    <t>NGRAHO</t>
  </si>
  <si>
    <t>DANDER</t>
  </si>
  <si>
    <t>BALEN_1</t>
  </si>
  <si>
    <t>KEDUNGADEM_1</t>
  </si>
  <si>
    <t>TUBAN</t>
  </si>
  <si>
    <t>JATIROGO</t>
  </si>
  <si>
    <t>KEREK</t>
  </si>
  <si>
    <t>PLUMPANG</t>
  </si>
  <si>
    <t>PARENGAN</t>
  </si>
  <si>
    <t>TAMBAKBOYO</t>
  </si>
  <si>
    <t>RENGEL_1</t>
  </si>
  <si>
    <t>MERAKURAK_1</t>
  </si>
  <si>
    <t>TUBAN_1</t>
  </si>
  <si>
    <t>PALANG_1</t>
  </si>
  <si>
    <t>DRIYOREJO</t>
  </si>
  <si>
    <t>PANCENG</t>
  </si>
  <si>
    <t>MANYAR_2</t>
  </si>
  <si>
    <t>BAWEAN</t>
  </si>
  <si>
    <t>CERME</t>
  </si>
  <si>
    <t>KEBON</t>
  </si>
  <si>
    <t>MENGANTI</t>
  </si>
  <si>
    <t>KEDAMEAN</t>
  </si>
  <si>
    <t>BUNGAH_1</t>
  </si>
  <si>
    <t>DUKUN_2</t>
  </si>
  <si>
    <t>WRINGINANOM</t>
  </si>
  <si>
    <t>KEBOMAS_1</t>
  </si>
  <si>
    <t>BALONGPANGGANG_1</t>
  </si>
  <si>
    <t>DUDUKSAMPEYAN_1</t>
  </si>
  <si>
    <t>BABAT</t>
  </si>
  <si>
    <t>KEDUNGPRING_2</t>
  </si>
  <si>
    <t>PACIRAN</t>
  </si>
  <si>
    <t>MANTUP_1</t>
  </si>
  <si>
    <t>KARANGGENENG</t>
  </si>
  <si>
    <t>LAMONGAN_2</t>
  </si>
  <si>
    <t>RAYA_PACIRAN</t>
  </si>
  <si>
    <t>MOROPELANG</t>
  </si>
  <si>
    <t>SAMBENG</t>
  </si>
  <si>
    <t>SUGIO_1</t>
  </si>
  <si>
    <t>GLAGAH_LMG_1</t>
  </si>
  <si>
    <t>TIKUNG_2</t>
  </si>
  <si>
    <t>BANGKALAN</t>
  </si>
  <si>
    <t>BLEGA</t>
  </si>
  <si>
    <t>BANGKALAN_KOTA</t>
  </si>
  <si>
    <t>SEPULU</t>
  </si>
  <si>
    <t>TANAH_MERAH_1</t>
  </si>
  <si>
    <t>BURNEH_1</t>
  </si>
  <si>
    <t>TANJUNG_BUMI_1</t>
  </si>
  <si>
    <t>KAMAL_1</t>
  </si>
  <si>
    <t>AROSBAYA_1</t>
  </si>
  <si>
    <t>GALIS_1</t>
  </si>
  <si>
    <t>PAMEKASAN</t>
  </si>
  <si>
    <t>PROPPO</t>
  </si>
  <si>
    <t>PAKONG</t>
  </si>
  <si>
    <t>LARANGAN_PAMEKASAN</t>
  </si>
  <si>
    <t>PALENGAAN_1</t>
  </si>
  <si>
    <t>PEGANTENAN</t>
  </si>
  <si>
    <t>PASEAN_1</t>
  </si>
  <si>
    <t>SUMENEP</t>
  </si>
  <si>
    <t>ARJASA</t>
  </si>
  <si>
    <t>AMBUNTEN</t>
  </si>
  <si>
    <t>BATUAN_1</t>
  </si>
  <si>
    <t>KALIANGET_1</t>
  </si>
  <si>
    <t>BLUTO_1</t>
  </si>
  <si>
    <t>GAPURA_1</t>
  </si>
  <si>
    <t>PRAGAAN_1</t>
  </si>
  <si>
    <t>KOTA_SUMENEP_1</t>
  </si>
  <si>
    <t>GUNUNG_SEKAR</t>
  </si>
  <si>
    <t>CAMPLONG</t>
  </si>
  <si>
    <t>KEDUNGDUNG_1</t>
  </si>
  <si>
    <t>SAMPANG_UTARA</t>
  </si>
  <si>
    <t>SOKOBANAH</t>
  </si>
  <si>
    <t>TORJUN_RAYA</t>
  </si>
  <si>
    <t>KARANGPENANG_1</t>
  </si>
  <si>
    <t>ROBATAL</t>
  </si>
  <si>
    <t>BANYUATES_1</t>
  </si>
  <si>
    <t>OMBEN_1</t>
  </si>
  <si>
    <t>TAMBELANGAN_1</t>
  </si>
  <si>
    <t>MADIUN_1</t>
  </si>
  <si>
    <t>MEJAYAN</t>
  </si>
  <si>
    <t>DOLOPO</t>
  </si>
  <si>
    <t>JIWAN</t>
  </si>
  <si>
    <t>TAMAN_PRAJA</t>
  </si>
  <si>
    <t>MUNENG</t>
  </si>
  <si>
    <t>DC_TUGU_PENDEKAR</t>
  </si>
  <si>
    <t>MAGETAN_2</t>
  </si>
  <si>
    <t>MAOSPATI_1</t>
  </si>
  <si>
    <t>TAKERAN_1</t>
  </si>
  <si>
    <t>PLAOSAN_2</t>
  </si>
  <si>
    <t>NGAWI</t>
  </si>
  <si>
    <t>WALIKUKUN</t>
  </si>
  <si>
    <t>DC_KARTONYONO</t>
  </si>
  <si>
    <t>PARON</t>
  </si>
  <si>
    <t>PACITAN</t>
  </si>
  <si>
    <t>BALEHARJO</t>
  </si>
  <si>
    <t>NGADIROJO_1</t>
  </si>
  <si>
    <t>ARJOSARI_2</t>
  </si>
  <si>
    <t>PONOROGO</t>
  </si>
  <si>
    <t>SUMOROTO</t>
  </si>
  <si>
    <t>BALONG</t>
  </si>
  <si>
    <t>BABADAN_RAYA</t>
  </si>
  <si>
    <t>SAMBIT_1</t>
  </si>
  <si>
    <t>KEDIRI</t>
  </si>
  <si>
    <t>GROGOL</t>
  </si>
  <si>
    <t>TOSAREN</t>
  </si>
  <si>
    <t>NGADILUWIH</t>
  </si>
  <si>
    <t>TIRTO_UDAN</t>
  </si>
  <si>
    <t>PLOSOKLATEN</t>
  </si>
  <si>
    <t>PAPAR</t>
  </si>
  <si>
    <t>DC_KEDIRI</t>
  </si>
  <si>
    <t>KDR_NGASEM_2</t>
  </si>
  <si>
    <t>MOJO</t>
  </si>
  <si>
    <t>KEPUNG_2</t>
  </si>
  <si>
    <t>RINGINREJO</t>
  </si>
  <si>
    <t>PARE_4</t>
  </si>
  <si>
    <t>PLEMAHAN_3</t>
  </si>
  <si>
    <t>TULUNG_AGUNG</t>
  </si>
  <si>
    <t>CAMPUR_DARAT</t>
  </si>
  <si>
    <t>NGUNUT</t>
  </si>
  <si>
    <t>KAUMAN</t>
  </si>
  <si>
    <t>BOYOLANGU</t>
  </si>
  <si>
    <t>GONDANGRAYA</t>
  </si>
  <si>
    <t>DC_TULUNG_AGUNG</t>
  </si>
  <si>
    <t>TRENGGALEK</t>
  </si>
  <si>
    <t>GANDUSARI_1</t>
  </si>
  <si>
    <t>POGALAN</t>
  </si>
  <si>
    <t>KARANGAN_1</t>
  </si>
  <si>
    <t>DIWEK_1</t>
  </si>
  <si>
    <t>MOJOAGUNG</t>
  </si>
  <si>
    <t>PERAK</t>
  </si>
  <si>
    <t>JOMBANG_2</t>
  </si>
  <si>
    <t>TEMBELANG_1</t>
  </si>
  <si>
    <t>KABUH</t>
  </si>
  <si>
    <t>MOJOWARNO</t>
  </si>
  <si>
    <t>NGANJUK_3</t>
  </si>
  <si>
    <t>KERTOSONO</t>
  </si>
  <si>
    <t>LOCERET</t>
  </si>
  <si>
    <t>WARUJAYENG</t>
  </si>
  <si>
    <t>PRAMBON</t>
  </si>
  <si>
    <t>NGANJUK_1</t>
  </si>
  <si>
    <t>MOJOSARI</t>
  </si>
  <si>
    <t>DC_MAJAPAHIT</t>
  </si>
  <si>
    <t>BRANGKAL</t>
  </si>
  <si>
    <t>DLANGGU</t>
  </si>
  <si>
    <t>TROWULAN</t>
  </si>
  <si>
    <t>JETIS_1</t>
  </si>
  <si>
    <t>KEMLAGI_1</t>
  </si>
  <si>
    <t>NGORO</t>
  </si>
  <si>
    <t>BANGSAL</t>
  </si>
  <si>
    <t>DC_GAJAH_MADA</t>
  </si>
  <si>
    <t>TEGALSARI_4</t>
  </si>
  <si>
    <t>BULAK_1</t>
  </si>
  <si>
    <t>DC_KENJERAN</t>
  </si>
  <si>
    <t>DUKUH_SETRO_2</t>
  </si>
  <si>
    <t>GUBENG_3</t>
  </si>
  <si>
    <t>SUB_GENTENG</t>
  </si>
  <si>
    <t>KARANG_EMPAT_BESAR_2</t>
  </si>
  <si>
    <t>GUBENG_2</t>
  </si>
  <si>
    <t>TAMBAKSARI_2</t>
  </si>
  <si>
    <t>ARIEF_RAHMAN_HAKIM</t>
  </si>
  <si>
    <t>DC_SUKOLILO</t>
  </si>
  <si>
    <t>KENJERAN_3</t>
  </si>
  <si>
    <t>KEPUTIH_2</t>
  </si>
  <si>
    <t>MULYOREJO</t>
  </si>
  <si>
    <t>MULYOREJO_1</t>
  </si>
  <si>
    <t>ABDUL_KARIM</t>
  </si>
  <si>
    <t>DC_KARANGPILANG</t>
  </si>
  <si>
    <t>GUNUNG_ANYAR</t>
  </si>
  <si>
    <t>SURABAYA_KIDUL</t>
  </si>
  <si>
    <t>WONOCOLO_2</t>
  </si>
  <si>
    <t>DUKUH_PAKIS_1</t>
  </si>
  <si>
    <t>DUKUH_PAKIS_2</t>
  </si>
  <si>
    <t>DC_ARJUNO</t>
  </si>
  <si>
    <t>DC_WIYUNG</t>
  </si>
  <si>
    <t>PETEMON_BARAT</t>
  </si>
  <si>
    <t>WONOKROMO_2</t>
  </si>
  <si>
    <t>PANJANG_JIWO_2</t>
  </si>
  <si>
    <t>RAYA_TENGGILIS</t>
  </si>
  <si>
    <t>RUNGKUT_2</t>
  </si>
  <si>
    <t>RUNGKUT_ALANG_ALANG</t>
  </si>
  <si>
    <t>KALI_RUNGKUT_1</t>
  </si>
  <si>
    <t>BUBUTAN_5</t>
  </si>
  <si>
    <t>DC_MADE</t>
  </si>
  <si>
    <t>LAKARSANTRI_2</t>
  </si>
  <si>
    <t>DC_PAKAL</t>
  </si>
  <si>
    <t>MAYJEND_BARAT</t>
  </si>
  <si>
    <t>PAKAL_2</t>
  </si>
  <si>
    <t>SAMBIKEREP</t>
  </si>
  <si>
    <t>SUKOMANUNGGAL_2</t>
  </si>
  <si>
    <t>TANDES_2</t>
  </si>
  <si>
    <t>PABEAN_CANTIAN_4</t>
  </si>
  <si>
    <t>PABEAN_CANTIAN_5</t>
  </si>
  <si>
    <t>SIMOKERTO_2</t>
  </si>
  <si>
    <t>SEMAMPIR_2</t>
  </si>
  <si>
    <t>SEMAMPIR_3</t>
  </si>
  <si>
    <t>AMBULU</t>
  </si>
  <si>
    <t>TANGGUL</t>
  </si>
  <si>
    <t>RAMBIPUJI</t>
  </si>
  <si>
    <t>PUGER_1</t>
  </si>
  <si>
    <t>BALUNG</t>
  </si>
  <si>
    <t>KENCONG</t>
  </si>
  <si>
    <t>WULUHAN</t>
  </si>
  <si>
    <t>SEMBORO</t>
  </si>
  <si>
    <t>BANGSALSARI</t>
  </si>
  <si>
    <t>GUMUKMAS_1</t>
  </si>
  <si>
    <t>SUMBERBARU_1</t>
  </si>
  <si>
    <t>PASIRIAN</t>
  </si>
  <si>
    <t>JATIROTO</t>
  </si>
  <si>
    <t>MAHAKAM</t>
  </si>
  <si>
    <t>SANDTOWN</t>
  </si>
  <si>
    <t>CENTRAL_LUMAJANG</t>
  </si>
  <si>
    <t>SENDURO</t>
  </si>
  <si>
    <t>TEMPEH</t>
  </si>
  <si>
    <t>YOSOWILANGUN_1</t>
  </si>
  <si>
    <t>KLAKAH_1</t>
  </si>
  <si>
    <t>RANDUAGUNG_1</t>
  </si>
  <si>
    <t>PRONOJIWO_1</t>
  </si>
  <si>
    <t>CANDIPURO_1</t>
  </si>
  <si>
    <t>MAYANGAN_1</t>
  </si>
  <si>
    <t>WONOASIH_2</t>
  </si>
  <si>
    <t>BANTARAN_1</t>
  </si>
  <si>
    <t>MARON</t>
  </si>
  <si>
    <t>GENDING</t>
  </si>
  <si>
    <t>KRAKSAAN_2</t>
  </si>
  <si>
    <t>BESUK</t>
  </si>
  <si>
    <t>TONGAS_1</t>
  </si>
  <si>
    <t>KOTAANYAR_1</t>
  </si>
  <si>
    <t>LECES_1</t>
  </si>
  <si>
    <t>SUMBERASIH_1</t>
  </si>
  <si>
    <t>GADING_1</t>
  </si>
  <si>
    <t>JEMBER</t>
  </si>
  <si>
    <t>KALISAT</t>
  </si>
  <si>
    <t>PATRANG</t>
  </si>
  <si>
    <t>KALIWATES_2</t>
  </si>
  <si>
    <t>SUMBERSARI</t>
  </si>
  <si>
    <t>MUMBULSARI_1</t>
  </si>
  <si>
    <t>MAYANG</t>
  </si>
  <si>
    <t>PAKUSARI</t>
  </si>
  <si>
    <t>JENGGAWAH</t>
  </si>
  <si>
    <t>JEMBER_LINTAS_UTARA</t>
  </si>
  <si>
    <t>SILO_1</t>
  </si>
  <si>
    <t>SUMBERSARI_1</t>
  </si>
  <si>
    <t>JBR_ARJASA_1</t>
  </si>
  <si>
    <t>BONDOWOSO_2</t>
  </si>
  <si>
    <t>PRAJEKAN</t>
  </si>
  <si>
    <t>MAESAN_1</t>
  </si>
  <si>
    <t>JAVA_IJEN</t>
  </si>
  <si>
    <t>KAMPUNG_DURIAN</t>
  </si>
  <si>
    <t>BONDOWOSO_3</t>
  </si>
  <si>
    <t>WRINGIN</t>
  </si>
  <si>
    <t>SUMBERWRINGIN_1</t>
  </si>
  <si>
    <t>SITUBONDO</t>
  </si>
  <si>
    <t>ASEMBAGUS</t>
  </si>
  <si>
    <t>BESUKI_CITY</t>
  </si>
  <si>
    <t>PANARUKAN</t>
  </si>
  <si>
    <t>ARJASA_SBD</t>
  </si>
  <si>
    <t>DC_PANJI</t>
  </si>
  <si>
    <t>MLANDINGAN_1</t>
  </si>
  <si>
    <t>BANYUPUTIH_1</t>
  </si>
  <si>
    <t>PURWOHARJO</t>
  </si>
  <si>
    <t>JAJAG</t>
  </si>
  <si>
    <t>MOJOPANGGUNG</t>
  </si>
  <si>
    <t>GENTENG_2</t>
  </si>
  <si>
    <t>GLENMORE_1</t>
  </si>
  <si>
    <t>KALIBARU_1</t>
  </si>
  <si>
    <t>KALIPURO</t>
  </si>
  <si>
    <t>SUMBERAYU</t>
  </si>
  <si>
    <t>BWI_TEGALSARI_2</t>
  </si>
  <si>
    <t>CLURING</t>
  </si>
  <si>
    <t>SRONO</t>
  </si>
  <si>
    <t>GLAGAH</t>
  </si>
  <si>
    <t>KABAT</t>
  </si>
  <si>
    <t>WONGSOREJO</t>
  </si>
  <si>
    <t>SEMPU_1</t>
  </si>
  <si>
    <t>BANGOREJO_1</t>
  </si>
  <si>
    <t>PESANGGARAN_1</t>
  </si>
  <si>
    <t>GENTENG_BWI_1</t>
  </si>
  <si>
    <t>BWI_GENTENG</t>
  </si>
  <si>
    <t>MALANG</t>
  </si>
  <si>
    <t>BLIMBING</t>
  </si>
  <si>
    <t>KLOJEN</t>
  </si>
  <si>
    <t>SOEHAT</t>
  </si>
  <si>
    <t>KALPATARU</t>
  </si>
  <si>
    <t>SUKUN_TANJUNG</t>
  </si>
  <si>
    <t>MALANG_HITS</t>
  </si>
  <si>
    <t>DC_SUDARMO</t>
  </si>
  <si>
    <t>OLD_CITY</t>
  </si>
  <si>
    <t>PARANG_ARGO</t>
  </si>
  <si>
    <t>KLOJEN_1</t>
  </si>
  <si>
    <t>LAWANG_1</t>
  </si>
  <si>
    <t>SINGOSARI_1</t>
  </si>
  <si>
    <t>MLG_SALES</t>
  </si>
  <si>
    <t>KARANG_PLOSO_1</t>
  </si>
  <si>
    <t>BATU</t>
  </si>
  <si>
    <t>PUJON</t>
  </si>
  <si>
    <t>NGANTANG</t>
  </si>
  <si>
    <t>BUMIAJI_1</t>
  </si>
  <si>
    <t>JUNREJO_1</t>
  </si>
  <si>
    <t>KASEMBON_1</t>
  </si>
  <si>
    <t>DAU_1</t>
  </si>
  <si>
    <t>BLITAR</t>
  </si>
  <si>
    <t>TALUN</t>
  </si>
  <si>
    <t>SRENGAT</t>
  </si>
  <si>
    <t>SUKOREJO_1</t>
  </si>
  <si>
    <t>KADEMANGAN</t>
  </si>
  <si>
    <t>PONGGOK</t>
  </si>
  <si>
    <t>KESAMBEN</t>
  </si>
  <si>
    <t>KEPANJEN</t>
  </si>
  <si>
    <t>TUREN</t>
  </si>
  <si>
    <t>SUMBERPUCUNG</t>
  </si>
  <si>
    <t>DAMPIT</t>
  </si>
  <si>
    <t>PAKISAJI</t>
  </si>
  <si>
    <t>SUPER_HERO</t>
  </si>
  <si>
    <t>BULULAWANG</t>
  </si>
  <si>
    <t>BANTUR</t>
  </si>
  <si>
    <t>TALANGAGUNG_KPJ</t>
  </si>
  <si>
    <t>TIRTOYUDO</t>
  </si>
  <si>
    <t>SUMBERMANJINGWETAN_1</t>
  </si>
  <si>
    <t>PAGAK_1</t>
  </si>
  <si>
    <t>RED_DEER</t>
  </si>
  <si>
    <t>TAJINAN_1</t>
  </si>
  <si>
    <t>BEAUTIFUL_BROMO</t>
  </si>
  <si>
    <t>KEDUNGKANDANG_1</t>
  </si>
  <si>
    <t>PAKIS_1</t>
  </si>
  <si>
    <t>PANDAAN</t>
  </si>
  <si>
    <t>SUKOREJO_PND</t>
  </si>
  <si>
    <t>PURWOSARI_PND</t>
  </si>
  <si>
    <t>PURWODADI_1</t>
  </si>
  <si>
    <t>TUTUR_1</t>
  </si>
  <si>
    <t>PANDAAN_2</t>
  </si>
  <si>
    <t>PASURUAN</t>
  </si>
  <si>
    <t>BANGIL</t>
  </si>
  <si>
    <t>GEMPOL</t>
  </si>
  <si>
    <t>BUGULKIDUL</t>
  </si>
  <si>
    <t>WONOREJO_PSR</t>
  </si>
  <si>
    <t>GONDANGWETAN</t>
  </si>
  <si>
    <t>BEJI_PSR</t>
  </si>
  <si>
    <t>GRATI</t>
  </si>
  <si>
    <t>PUSPO_2</t>
  </si>
  <si>
    <t>BANGIL_1</t>
  </si>
  <si>
    <t>KRATON_1</t>
  </si>
  <si>
    <t>DC_PORONG</t>
  </si>
  <si>
    <t>DC_TANGGULANGIN</t>
  </si>
  <si>
    <t>WONOAYU_3</t>
  </si>
  <si>
    <t>PRAMBON_1</t>
  </si>
  <si>
    <t>BALONGBENDO_1</t>
  </si>
  <si>
    <t>TARIK_2</t>
  </si>
  <si>
    <t>TULANGAN_1</t>
  </si>
  <si>
    <t>SUKODONO_1</t>
  </si>
  <si>
    <t>DC_SAFELOCK</t>
  </si>
  <si>
    <t>GELAM</t>
  </si>
  <si>
    <t>TAMAN</t>
  </si>
  <si>
    <t>TAMAN_3</t>
  </si>
  <si>
    <t>DC_TAMAN</t>
  </si>
  <si>
    <t>SEDATI</t>
  </si>
  <si>
    <t>GEDANGAN</t>
  </si>
  <si>
    <t>WARU_6</t>
  </si>
  <si>
    <t>SEDATI_1</t>
  </si>
  <si>
    <t>BUDURAN_1</t>
  </si>
  <si>
    <t>WARU_7</t>
  </si>
  <si>
    <t>TCSDA003</t>
  </si>
  <si>
    <t>TCSPG101</t>
  </si>
  <si>
    <t>BALI巴厘</t>
  </si>
  <si>
    <t>CP_SESETAN</t>
  </si>
  <si>
    <t>CP_BULUH_INDAH</t>
  </si>
  <si>
    <t>SINGARAJA</t>
  </si>
  <si>
    <t>CP_LETDA_MADE_PUTRA</t>
  </si>
  <si>
    <t>BATUKARU</t>
  </si>
  <si>
    <t>CP_PATIH_NAMBI</t>
  </si>
  <si>
    <t>CP_PULAU_NIAS</t>
  </si>
  <si>
    <t>CP_BATUBULAN</t>
  </si>
  <si>
    <t>CP_NANGKA</t>
  </si>
  <si>
    <t>BLAMBANGAN</t>
  </si>
  <si>
    <t>CP_TANGKUBAN_PERAHU</t>
  </si>
  <si>
    <t>CP_MADE_LEBAH</t>
  </si>
  <si>
    <t>CP_WR_SUPRATMAN</t>
  </si>
  <si>
    <t>CP_BUANA_RAYA</t>
  </si>
  <si>
    <t>CP_SEBATU</t>
  </si>
  <si>
    <t>CP_UDAYANA</t>
  </si>
  <si>
    <t>SAELUS</t>
  </si>
  <si>
    <t>CP_DALUNG</t>
  </si>
  <si>
    <t>CP_GATSU_TENGAH</t>
  </si>
  <si>
    <t>CP_GANTI</t>
  </si>
  <si>
    <t>CP_KALIUNTU</t>
  </si>
  <si>
    <t>CP_TUKAD_YEH_AYA</t>
  </si>
  <si>
    <t>CP_ASEMAN</t>
  </si>
  <si>
    <t>CP_BUDUK_TENGAH</t>
  </si>
  <si>
    <t>CP_MASBAGIK_UTARA</t>
  </si>
  <si>
    <t>CP_KESAMBI_1</t>
  </si>
  <si>
    <t>CP_PANJITILAR_NEGARA</t>
  </si>
  <si>
    <t>CP_TUKAD_BARU</t>
  </si>
  <si>
    <t>CP_UDAYANA_1</t>
  </si>
  <si>
    <t>CP_KENYERI</t>
  </si>
  <si>
    <t>CP_SUBUR</t>
  </si>
  <si>
    <t>CP_BITERA</t>
  </si>
  <si>
    <t>GUWANG</t>
  </si>
  <si>
    <t>SATELIT</t>
  </si>
  <si>
    <t>GLOGOR_CARIK</t>
  </si>
  <si>
    <t>PEMENANG</t>
  </si>
  <si>
    <t>MASBAGIK_1</t>
  </si>
  <si>
    <t>TCABU021</t>
  </si>
  <si>
    <t>ADONARA</t>
  </si>
  <si>
    <t>MADAPANGGA</t>
  </si>
  <si>
    <t>PUJUT</t>
  </si>
  <si>
    <t>PEKAT</t>
  </si>
  <si>
    <t>LABUAN_HAJI</t>
  </si>
  <si>
    <t>SEKONGKANG</t>
  </si>
  <si>
    <t>UTAN_RHEE</t>
  </si>
  <si>
    <t>KEDIRI_1</t>
  </si>
  <si>
    <t>AMPENAN</t>
  </si>
  <si>
    <t>LASIANA</t>
  </si>
  <si>
    <t>ATAMBUA</t>
  </si>
  <si>
    <t>BORONG</t>
  </si>
  <si>
    <t>WOHA</t>
  </si>
  <si>
    <t>KEFAMENANU</t>
  </si>
  <si>
    <t>BETUN</t>
  </si>
  <si>
    <t>ENDE</t>
  </si>
  <si>
    <t>SELONG</t>
  </si>
  <si>
    <t>OELAMASI</t>
  </si>
  <si>
    <t>ALAK</t>
  </si>
  <si>
    <t>OEBUFU</t>
  </si>
  <si>
    <t>CAKRANEGARA</t>
  </si>
  <si>
    <t>SERUNI</t>
  </si>
  <si>
    <t>KARANG_GENTENG</t>
  </si>
  <si>
    <t>BAA</t>
  </si>
  <si>
    <t>KELAPA_LIMA</t>
  </si>
  <si>
    <t>KUPANG</t>
  </si>
  <si>
    <t>MATARAM</t>
  </si>
  <si>
    <t>WAIKABUBAK</t>
  </si>
  <si>
    <t>MAUMERE</t>
  </si>
  <si>
    <t>SOE</t>
  </si>
  <si>
    <t>AMI_SALES</t>
  </si>
  <si>
    <t>MAULAFA</t>
  </si>
  <si>
    <t>DOMPU</t>
  </si>
  <si>
    <t>WAINGAPU</t>
  </si>
  <si>
    <t>KUANINO</t>
  </si>
  <si>
    <t>RUTENG</t>
  </si>
  <si>
    <t>MBAY</t>
  </si>
  <si>
    <t>LEWOLEBA</t>
  </si>
  <si>
    <t>TAMBOLAKA</t>
  </si>
  <si>
    <t>BAJAWA</t>
  </si>
  <si>
    <t>LARANTUKA</t>
  </si>
  <si>
    <t>TODE_KISAR</t>
  </si>
  <si>
    <t>BIMA</t>
  </si>
  <si>
    <t>KALABAHI</t>
  </si>
  <si>
    <t>LABUAN_BAJO</t>
  </si>
  <si>
    <t>DASAN_CERMEN</t>
  </si>
  <si>
    <t>GIA04A</t>
  </si>
  <si>
    <t>MONJOK_1</t>
  </si>
  <si>
    <t>KETEWEL</t>
  </si>
  <si>
    <t>BAYAN_1</t>
  </si>
  <si>
    <t>KAYANGAN_1</t>
  </si>
  <si>
    <t>GIANYAR_1</t>
  </si>
  <si>
    <t>KLUMPU</t>
  </si>
  <si>
    <t>MARGA</t>
  </si>
  <si>
    <t>KLUNGKUNG_1</t>
  </si>
  <si>
    <t>MELAYA_1</t>
  </si>
  <si>
    <t>PELIATAN_1</t>
  </si>
  <si>
    <t>PAYANGAN_1</t>
  </si>
  <si>
    <t>MUNCAN_1</t>
  </si>
  <si>
    <t>MANGGIS_1</t>
  </si>
  <si>
    <t>ABANG_1</t>
  </si>
  <si>
    <t>AMLAPURA_1</t>
  </si>
  <si>
    <t>UBUD_1</t>
  </si>
  <si>
    <t>NEGARA_1</t>
  </si>
  <si>
    <t>CELUK_1</t>
  </si>
  <si>
    <t>MERITA_1</t>
  </si>
  <si>
    <t>SUKAWATI_1</t>
  </si>
  <si>
    <t>PEKUTATAN_1</t>
  </si>
  <si>
    <t>MENDOYO_1</t>
  </si>
  <si>
    <t>BULELENG_1</t>
  </si>
  <si>
    <t>ANTURAN_1</t>
  </si>
  <si>
    <t>BATURITI_1</t>
  </si>
  <si>
    <t>TEJAKULA_1</t>
  </si>
  <si>
    <t>SELEMADEG_1</t>
  </si>
  <si>
    <t>SERIRIT_1</t>
  </si>
  <si>
    <t>BUNGKULAN_1</t>
  </si>
  <si>
    <t>GEROKGAK_1</t>
  </si>
  <si>
    <t>BADUNG_SELATAN_1</t>
  </si>
  <si>
    <t>CANGGU_1</t>
  </si>
  <si>
    <t>JIMBARAN_1</t>
  </si>
  <si>
    <t>KUTA_2</t>
  </si>
  <si>
    <t>DC_KUTA_1</t>
  </si>
  <si>
    <t>UNGASAN_1</t>
  </si>
  <si>
    <t>JEMBRANA</t>
  </si>
  <si>
    <t>PRAYA_TENGAH</t>
  </si>
  <si>
    <t>KEDEWATAN</t>
  </si>
  <si>
    <t>SUMBERKIMA</t>
  </si>
  <si>
    <t>BANJAR_SGA</t>
  </si>
  <si>
    <t>LEMBONGAN</t>
  </si>
  <si>
    <t>SUKASADA</t>
  </si>
  <si>
    <t>CP_SANGSIT</t>
  </si>
  <si>
    <t>PENGADANG</t>
  </si>
  <si>
    <t>WOJA</t>
  </si>
  <si>
    <t>PRINGGABAYA</t>
  </si>
  <si>
    <t>KERUAK</t>
  </si>
  <si>
    <t>TEMBUKU</t>
  </si>
  <si>
    <t>MOYO</t>
  </si>
  <si>
    <t>MONTA</t>
  </si>
  <si>
    <t>LUNYUK</t>
  </si>
  <si>
    <t>BRANG_REA</t>
  </si>
  <si>
    <t>MPUNDA</t>
  </si>
  <si>
    <t>REMPUNG</t>
  </si>
  <si>
    <t>BANJARANGKAN</t>
  </si>
  <si>
    <t>MALUK</t>
  </si>
  <si>
    <t>BOLO</t>
  </si>
  <si>
    <t>NUSA_PENIDA</t>
  </si>
  <si>
    <t>SAKRA_BARAT</t>
  </si>
  <si>
    <t>KINTAMANI</t>
  </si>
  <si>
    <t>SAPE</t>
  </si>
  <si>
    <t>EMPANG_TARANO</t>
  </si>
  <si>
    <t>PUYUNG</t>
  </si>
  <si>
    <t>RABA_SASAMBO</t>
  </si>
  <si>
    <t>PLAMPANG</t>
  </si>
  <si>
    <t>SETELUK</t>
  </si>
  <si>
    <t>LAPE</t>
  </si>
  <si>
    <t>ALAS</t>
  </si>
  <si>
    <t>MANTANG</t>
  </si>
  <si>
    <t>NARMADA</t>
  </si>
  <si>
    <t>GUNUNG_SARI</t>
  </si>
  <si>
    <t>SIKUR</t>
  </si>
  <si>
    <t>TANAK_AWU</t>
  </si>
  <si>
    <t>SEGANTENG</t>
  </si>
  <si>
    <t>EMPANG</t>
  </si>
  <si>
    <t>SUSUT</t>
  </si>
  <si>
    <t>GERUNG</t>
  </si>
  <si>
    <t>TALIWANG</t>
  </si>
  <si>
    <t>SUMBAWA</t>
  </si>
  <si>
    <t>SEMARAPURA</t>
  </si>
  <si>
    <t>BANGLI</t>
  </si>
  <si>
    <t>KESRA</t>
  </si>
  <si>
    <t>TAMAN_SARI</t>
  </si>
  <si>
    <t>LABUAN_LOMBOK</t>
  </si>
  <si>
    <t>PUPUAN_1</t>
  </si>
  <si>
    <t>TAMAN_GRIYA_1</t>
  </si>
  <si>
    <t>SEMINYAK_1</t>
  </si>
  <si>
    <t>KELAN_1</t>
  </si>
  <si>
    <t>MERTANADI_1</t>
  </si>
  <si>
    <t>SUNSET_ROAD_1</t>
  </si>
  <si>
    <t>ABIANBASE_1</t>
  </si>
  <si>
    <t>BLAHKIUH_1</t>
  </si>
  <si>
    <t>CICA_1</t>
  </si>
  <si>
    <t>MENGWI_1</t>
  </si>
  <si>
    <t>DC_MENGWI_1</t>
  </si>
  <si>
    <t>DC_DENPASAR_SELATAN1</t>
  </si>
  <si>
    <t>NANGKA_SELATAN_1</t>
  </si>
  <si>
    <t>PEMECUTAN_1</t>
  </si>
  <si>
    <t>DENPASAR_UTARA_1</t>
  </si>
  <si>
    <t>KEBO_IWA_UTARA_1</t>
  </si>
  <si>
    <t>PEGUYANGAN_1</t>
  </si>
  <si>
    <t>KEMUDA_1</t>
  </si>
  <si>
    <t>AYANI_UTARA_1</t>
  </si>
  <si>
    <t>SESETAN_2</t>
  </si>
  <si>
    <t>GRIYA_ANYAR_1</t>
  </si>
  <si>
    <t>PUPUTAN_RENON_1</t>
  </si>
  <si>
    <t>WIBISANA_1</t>
  </si>
  <si>
    <t>KEBO_IWA_1</t>
  </si>
  <si>
    <t>DC_PULAU_MOYO_1</t>
  </si>
  <si>
    <t>PULAU_BUNGIN_1</t>
  </si>
  <si>
    <t>SIDAKARYA_1</t>
  </si>
  <si>
    <t>PEMOGAN_1</t>
  </si>
  <si>
    <t>DC_DENPASAR_BARAT_3</t>
  </si>
  <si>
    <t>SANUR_KAUH_1</t>
  </si>
  <si>
    <t>SANUR_1</t>
  </si>
  <si>
    <t>KEBO_IWA_SELATAN_1</t>
  </si>
  <si>
    <t>PADANG_SAMBIAN_1</t>
  </si>
  <si>
    <t>HAYAM_WURUK_1</t>
  </si>
  <si>
    <t>RENON_1</t>
  </si>
  <si>
    <t>MAHENDRADATTA_1</t>
  </si>
  <si>
    <t>CANDIKUNING</t>
  </si>
  <si>
    <t>SUWUNG_KAUH</t>
  </si>
  <si>
    <t>PERANG</t>
  </si>
  <si>
    <t>SEDANG</t>
  </si>
  <si>
    <t>KEROBOKAN_1</t>
  </si>
  <si>
    <t>PERMATA_HIJAU</t>
  </si>
  <si>
    <t>PURA_DEMAK</t>
  </si>
  <si>
    <t>PENEBEL</t>
  </si>
  <si>
    <t>DAUH_PEKEN_05</t>
  </si>
  <si>
    <t>KERAMBITAN_04</t>
  </si>
  <si>
    <t>COKROAMINOTO</t>
  </si>
  <si>
    <t>TUKAD_PETANU</t>
  </si>
  <si>
    <t>PANJER</t>
  </si>
  <si>
    <t>TABANANAN_01</t>
  </si>
  <si>
    <t>BADAK_AGUNG</t>
  </si>
  <si>
    <t>AYANI_UTARA2</t>
  </si>
  <si>
    <t>KARYA_MAKMUR</t>
  </si>
  <si>
    <t>DENPASAR_SELATAN_2</t>
  </si>
  <si>
    <t>PULAU_MOYO_2</t>
  </si>
  <si>
    <t>RAYA_KUTA</t>
  </si>
  <si>
    <t>BATU_BOLONG</t>
  </si>
  <si>
    <t>KESIMAN</t>
  </si>
  <si>
    <t>PADANG_UDAYANA</t>
  </si>
  <si>
    <t>CP_PEMECUTAN_KAJA</t>
  </si>
  <si>
    <t>KALIMUTU</t>
  </si>
  <si>
    <t>CP_SEMER</t>
  </si>
  <si>
    <t>KARTINI</t>
  </si>
  <si>
    <t>DENPASAR_BARAT2</t>
  </si>
  <si>
    <t>ULUWATU1</t>
  </si>
  <si>
    <t>DC_DENPASAR_BARAT</t>
  </si>
  <si>
    <t>SOPUTAN</t>
  </si>
  <si>
    <t>DENPASAR</t>
  </si>
  <si>
    <t>KUTA_SELATAN</t>
  </si>
  <si>
    <t>SIULAN</t>
  </si>
  <si>
    <t>SANUR_KAJA</t>
  </si>
  <si>
    <t>NUSA_KAMBANGAN</t>
  </si>
  <si>
    <t>MOYO_HULU</t>
  </si>
  <si>
    <t>PRAYA</t>
  </si>
  <si>
    <t>TCWHO131</t>
  </si>
  <si>
    <t>TCWHO231</t>
  </si>
  <si>
    <t>PEDUNGAN_1</t>
  </si>
  <si>
    <t>TEMBAU</t>
  </si>
  <si>
    <t>DPS_SALES</t>
  </si>
  <si>
    <t>PYW03A</t>
  </si>
  <si>
    <t>WHO22</t>
  </si>
  <si>
    <t>APU07A</t>
  </si>
  <si>
    <t>TNW02B</t>
  </si>
  <si>
    <t>BNL02A</t>
  </si>
  <si>
    <t>TAW02B</t>
  </si>
  <si>
    <t>BMU01A</t>
  </si>
  <si>
    <t>GIA07B</t>
  </si>
  <si>
    <t>APU05A</t>
  </si>
  <si>
    <t>KUPANG_TIMUR</t>
  </si>
  <si>
    <t>Date</t>
  </si>
  <si>
    <t>report kualitas agent</t>
  </si>
  <si>
    <t>report ramadan</t>
  </si>
  <si>
    <t>定义:
 一派质量考核项
1. 快递员出勤准点率 = 当天当地时间06:30前打卡且当日有签收的快递员人数/ 当天已打卡且有签收的快递员人数
2. 0730出仓率 = 0730前出仓量/ 一班应签收量
3. 1200签收率 = 1200前签收量/ 一班应签收量
4. 一班：散货数量,按照散货班次第一班
目标：90%
质量达成
1. 交件准点率: 准点交件票数 / 应交件票数*100%
目标: 93%
2. 全天签收率 = 按规划时效网点当天签收票数/应签收票数 
目标：A92%，B90%，C90%
非平台质量
1. 非平台揽收及时率 = (实际揽收及时量 + 揽收失败及时量)/ 订单量
目标：98%
2. 非平台COD退件率 = (退件登记票数 - 退件作废票数) / 派件量</t>
  </si>
  <si>
    <t xml:space="preserve">Penjelasan: 
Penilaian Kualitas Delivery Ritase Pertama
1. Tingkat Ketepatan Waktu Kehadiran Spirnter = Jumlah sprinter yang melakukan absen sebelum 06.30 waktu setempat dan melakukan TTD/ jumlah sprinter yang melakukan absen dan melakukan TTD
2. Persentase Deliv 7.30 = Total delivery sebelum jam 7.30/ Total Seharusnya TTD Rit 1
3. Persentase TTD 12.00 = Total TTD sebelum  jam 1200/ Total seharusnya TTD Rit 1
4. Ritase Pertama: Jumlah penyebaran paket massal kargo Rit 1
Target : 90%
Pencapaian Kualitas 
1. TPTW = Total kirim tepat waktu / Total seharusnya kirim
Target: 93%
2. Persentase TTD = Jumlah TTD Hari H/Jumlah Seharusnya TTD 
Target: A92%, B90%, C90%
Kualitas Non Platform
1. % Pickup Non-ecommerce = (On Time Pick Up + On Time Gagal Pick Up) / Total Order  
Target : 98%
2. % Retur COD Non-Ecommerce =  (Jumlah regis retur - jumlah batal retur)/ jumlah delivery  </t>
  </si>
  <si>
    <t>a</t>
  </si>
  <si>
    <r>
      <rPr>
        <sz val="11"/>
        <color indexed="8"/>
        <rFont val="Aptos"/>
        <family val="2"/>
      </rPr>
      <t xml:space="preserve">定义:
</t>
    </r>
    <r>
      <rPr>
        <b/>
        <sz val="11"/>
        <color rgb="FF000000"/>
        <rFont val="Aptos"/>
        <family val="2"/>
      </rPr>
      <t xml:space="preserve">
一派质量考核项</t>
    </r>
    <r>
      <rPr>
        <sz val="11"/>
        <color rgb="FF000000"/>
        <rFont val="Aptos"/>
        <family val="2"/>
      </rPr>
      <t xml:space="preserve">
快递员出勤准点率 = 当天当地时间06:30前打卡且当日有签收的快递员人数/ 当天已打卡且有签收的快递员人数</t>
    </r>
    <r>
      <rPr>
        <b/>
        <sz val="11"/>
        <color rgb="FF000000"/>
        <rFont val="Aptos"/>
        <family val="2"/>
      </rPr>
      <t xml:space="preserve">
</t>
    </r>
    <r>
      <rPr>
        <sz val="11"/>
        <color indexed="8"/>
        <rFont val="Aptos"/>
        <family val="2"/>
      </rPr>
      <t xml:space="preserve">0730出仓率 = 0730前出仓量/ 一班应签收量
1200签收率 = 1200前签收量/ 一班应签收量
一班：散货数量,按照散货班次第一班
目标：90%
</t>
    </r>
    <r>
      <rPr>
        <b/>
        <sz val="11"/>
        <color rgb="FF000000"/>
        <rFont val="Aptos"/>
        <family val="2"/>
      </rPr>
      <t xml:space="preserve">非平台揽收及时率
</t>
    </r>
    <r>
      <rPr>
        <sz val="11"/>
        <color indexed="8"/>
        <rFont val="Aptos"/>
        <family val="2"/>
      </rPr>
      <t xml:space="preserve">JMS - 经营指标 - 时效 - 订单收派件时效监控-DB-订单录入时间
未算订单来源 : 
SHOPEE, SHOPEECB, MAGELLAN, TOKOPEDIA, KURIRREKOMENDASI, LAZADA, BUKALAPAK, BUKASEND, BUKAEXPRESS, TTREVERSE, TOKOREVERSE
揽收操作及时率 = (实际揽收及时量 + 揽收失败及时量)/ 订单量*100%
目标：97%
</t>
    </r>
    <r>
      <rPr>
        <b/>
        <sz val="11"/>
        <color rgb="FF000000"/>
        <rFont val="Aptos"/>
        <family val="2"/>
      </rPr>
      <t>交件准点率</t>
    </r>
    <r>
      <rPr>
        <sz val="11"/>
        <color indexed="8"/>
        <rFont val="Aptos"/>
        <family val="2"/>
      </rPr>
      <t xml:space="preserve">
JMS - 经营指标 - 时效 - 交件准点率(新)
取值时间: 按规划到件日期统计 天-1
交件准点率: 准点交件票数 / 应交件票数*100%
目标: 93%
</t>
    </r>
    <r>
      <rPr>
        <b/>
        <sz val="11"/>
        <color rgb="FF000000"/>
        <rFont val="Aptos"/>
        <family val="2"/>
      </rPr>
      <t>全天签收率</t>
    </r>
    <r>
      <rPr>
        <sz val="11"/>
        <color indexed="8"/>
        <rFont val="Aptos"/>
        <family val="2"/>
      </rPr>
      <t xml:space="preserve">
JMS-经营指标-末端-实际签收(半截路由)
取值时间：T-1
如果退件 = Y，预测签收时间 + 7 天
全天签收率 = 按规划时效网点当天签收票数/应签收票数 
目标：A92%，B90%，C90%
</t>
    </r>
    <r>
      <rPr>
        <b/>
        <sz val="11"/>
        <color rgb="FF000000"/>
        <rFont val="Aptos"/>
        <family val="2"/>
      </rPr>
      <t>非平台COD退件率</t>
    </r>
    <r>
      <rPr>
        <sz val="11"/>
        <color indexed="8"/>
        <rFont val="Aptos"/>
        <family val="2"/>
      </rPr>
      <t xml:space="preserve">
JMS -操作平台-数据监控-退件量报表(新)
COD: Y
未算订单来源 : 
SHOPEE, SHOPEECB, MAGELLAN, TOKOPEDIA, KURIRREKOMENDASI, LAZADA, BUKALAPAK, BUKASEND, BUKAEXPRESS, TTREVERSE, TOKOREVERSE
退件量=退件登记票数-退件作废票数
退件率=退件量/派件量</t>
    </r>
  </si>
  <si>
    <r>
      <rPr>
        <sz val="11"/>
        <color indexed="8"/>
        <rFont val="Aptos"/>
        <family val="2"/>
      </rPr>
      <t xml:space="preserve">Penjelasan:
</t>
    </r>
    <r>
      <rPr>
        <b/>
        <sz val="11"/>
        <color rgb="FF000000"/>
        <rFont val="Aptos"/>
        <family val="2"/>
      </rPr>
      <t xml:space="preserve">
Penilaian Kualitas Delivery Ritase Pertama
</t>
    </r>
    <r>
      <rPr>
        <sz val="11"/>
        <color rgb="FF000000"/>
        <rFont val="Aptos"/>
        <family val="2"/>
      </rPr>
      <t>Tingkat Ketepatan Waktu Kehadiran Spirnter = Jumlah sprinter yang melakukan absen sebelum 06.30 waktu setempat dan melakukan TTD/ jumlah sprinter yang melakukan absen dan melakukan TTD</t>
    </r>
    <r>
      <rPr>
        <b/>
        <sz val="11"/>
        <color rgb="FF000000"/>
        <rFont val="Aptos"/>
        <family val="2"/>
      </rPr>
      <t xml:space="preserve">
</t>
    </r>
    <r>
      <rPr>
        <sz val="11"/>
        <color indexed="8"/>
        <rFont val="Aptos"/>
        <family val="2"/>
      </rPr>
      <t xml:space="preserve">Persentase Deliv 7.30 = Total delivery sebelum jam 7.30/ Total Seharusnya TTD Rit 1
Persentase TTD 12.00 = Total TTD sebelum  jam 1200/ Total seharusnya TTD Rit 1
Ritase Pertama: Jumlah penyebaran paket massal kargo Rit 1
Target : 90%
</t>
    </r>
    <r>
      <rPr>
        <b/>
        <sz val="11"/>
        <color rgb="FF000000"/>
        <rFont val="Aptos"/>
        <family val="2"/>
      </rPr>
      <t>PU Rate Non-ecomm</t>
    </r>
    <r>
      <rPr>
        <sz val="11"/>
        <color indexed="8"/>
        <rFont val="Aptos"/>
        <family val="2"/>
      </rPr>
      <t xml:space="preserve">
JMS - Penilaian - SLA - SLA Order PU - Deliv (Refine)-Waktu Upload
Sumber Order yang Tidak Masuk : 
SHOPEE, SHOPEECB, MAGELLAN, TOKOPEDIA, KURIRREKOMENDASI, LAZADA, BUKALAPAK, BUKASEND, BUKAEXPRESS, TTREVERSE, TOKOREVERSE
% On Time Pickup + Gagal Pick up = (On Time Pick Up + On Time Gagal Pick Up) / Total Order * 100% 
Target : 97%
</t>
    </r>
    <r>
      <rPr>
        <b/>
        <sz val="11"/>
        <color rgb="FF000000"/>
        <rFont val="Aptos"/>
        <family val="2"/>
      </rPr>
      <t>TPTW</t>
    </r>
    <r>
      <rPr>
        <sz val="11"/>
        <color indexed="8"/>
        <rFont val="Aptos"/>
        <family val="2"/>
      </rPr>
      <t xml:space="preserve">
JMS - Penilaian - Laporan SLA - TPTW (New)
Waktu Penarikan: Berdasarkan Waktu Perencanaan Sampai H-1
Tingkat Pengiriman Tepat Waktu: Total kirim tepat waktu / Total seharusnya kirim
Target: 96%
</t>
    </r>
    <r>
      <rPr>
        <b/>
        <sz val="11"/>
        <color rgb="FF000000"/>
        <rFont val="Aptos"/>
        <family val="2"/>
      </rPr>
      <t>TTD Aktual</t>
    </r>
    <r>
      <rPr>
        <sz val="11"/>
        <color indexed="8"/>
        <rFont val="Aptos"/>
        <family val="2"/>
      </rPr>
      <t xml:space="preserve">
JMS-Penilaian-Incoming-TTD Aktual(Rute Statis)
Waktu Penarikan: T-1
Jika Retur = Y, maka waktu prediksi + 7 hari
Persentase Keseluruhan Hari TTD = Jumlah TTD Hari H/Jumlah Seharusnya TTD 
Target: A92%, B90%, C90%
</t>
    </r>
    <r>
      <rPr>
        <b/>
        <sz val="11"/>
        <color rgb="FF000000"/>
        <rFont val="Aptos"/>
        <family val="2"/>
      </rPr>
      <t>Retur COD Non-ecomm</t>
    </r>
    <r>
      <rPr>
        <sz val="11"/>
        <color indexed="8"/>
        <rFont val="Aptos"/>
        <family val="2"/>
      </rPr>
      <t xml:space="preserve">
JMS - Operasi - Monitor - Laporan Total Retur (Refine) - Sisi Delivery &amp; Retur
COD: Y;
Sumber Order yang Tidak Masuk : 
SHOPEE, SHOPEECB, MAGELLAN, TOKOPEDIA, KURIRREKOMENDASI, LAZADA, BUKALAPAK, BUKASEND, BUKAEXPRESS, TTREVERSE, TOKOREVERSE
Total Retur = Total Regis Retur - Total Void Retur</t>
    </r>
  </si>
  <si>
    <r>
      <rPr>
        <sz val="11"/>
        <color indexed="8"/>
        <rFont val="Aptos"/>
        <family val="2"/>
      </rPr>
      <t xml:space="preserve">Penjelasan:
</t>
    </r>
    <r>
      <rPr>
        <b/>
        <sz val="11"/>
        <color rgb="FF000000"/>
        <rFont val="Aptos"/>
        <family val="2"/>
      </rPr>
      <t xml:space="preserve">PU Rate Non-ecomm
</t>
    </r>
    <r>
      <rPr>
        <sz val="11"/>
        <color rgb="FF000000"/>
        <rFont val="Aptos"/>
        <family val="2"/>
      </rPr>
      <t>JMS - Penilaian - SLA - SLA Order PU - Deliv (Refine)-</t>
    </r>
    <r>
      <rPr>
        <sz val="11"/>
        <color indexed="8"/>
        <rFont val="Aptos"/>
        <family val="2"/>
      </rPr>
      <t xml:space="preserve">Waktu Upload
Sumber Order yang Tidak Masuk : 
SHOPEE, SHOPEECB, MAGELLAN, TOKOPEDIA, KURIRREKOMENDASI, LAZADA, BUKALAPAK, BUKASEND, BUKAEXPRESS, TTREVERSE, TOKOREVERSE
% On Time Pickup + Gagal Pick up = (On Time Pick Up + On Time Gagal Pick Up) / Total Order * 100% 
Target : 97%
</t>
    </r>
    <r>
      <rPr>
        <b/>
        <sz val="11"/>
        <color rgb="FF000000"/>
        <rFont val="Aptos"/>
        <family val="2"/>
      </rPr>
      <t>TPTW</t>
    </r>
    <r>
      <rPr>
        <sz val="11"/>
        <color indexed="8"/>
        <rFont val="Aptos"/>
        <family val="2"/>
      </rPr>
      <t xml:space="preserve">
JMS - Penilaian - Laporan SLA - TPTW (New)
Waktu Penarikan: Berdasarkan Waktu Perencanaan Sampai H-1
Tingkat Pengiriman Tepat Waktu: Total kirim tepat waktu / Total seharusnya kirim
Target: 96%
</t>
    </r>
    <r>
      <rPr>
        <b/>
        <sz val="11"/>
        <color rgb="FF000000"/>
        <rFont val="Aptos"/>
        <family val="2"/>
      </rPr>
      <t>TTD Aktual</t>
    </r>
    <r>
      <rPr>
        <sz val="11"/>
        <color indexed="8"/>
        <rFont val="Aptos"/>
        <family val="2"/>
      </rPr>
      <t xml:space="preserve">
JMS-Penilaian-Incoming-TTD Aktual(Rute Statis)
Waktu Penarikan: T-1
Jika Retur = Y, maka waktu prediksi + 7 hari
Persentase Keseluruhan Hari TTD = Jumlah TTD Hari H/Jumlah Seharusnya TTD 
Target: A92%, B90%, C90%
</t>
    </r>
    <r>
      <rPr>
        <b/>
        <sz val="11"/>
        <color rgb="FF000000"/>
        <rFont val="Aptos"/>
        <family val="2"/>
      </rPr>
      <t>Persentase TTD EZ 3 Hari 3 kali Delivery</t>
    </r>
    <r>
      <rPr>
        <sz val="11"/>
        <color indexed="8"/>
        <rFont val="Aptos"/>
        <family val="2"/>
      </rPr>
      <t xml:space="preserve">
JMS-Penilaian-Incoming-TTD Aktual(Rute Statis)
Waktu Penarikan: T-3, Jenis Layanan: EZ, Status Retur: N
Persentase TTD EZ 3 Hari 3 kali Delivery = jumlah pesanan EZ yang ditandatangani dalam 3 hari / jumlah pesanan EZ yang seharusnya ditandatangani
</t>
    </r>
    <r>
      <rPr>
        <b/>
        <sz val="11"/>
        <color rgb="FF000000"/>
        <rFont val="Aptos"/>
        <family val="2"/>
      </rPr>
      <t>Retur COD Non-ecomm</t>
    </r>
    <r>
      <rPr>
        <sz val="11"/>
        <color indexed="8"/>
        <rFont val="Aptos"/>
        <family val="2"/>
      </rPr>
      <t xml:space="preserve">
JMS - Operasi - Monitor - Laporan Total Retur (Refine) - Sisi Delivery &amp; Retur
COD: Y;
Sumber Order yang Tidak Masuk : 
SHOPEE, SHOPEECB, MAGELLAN, TOKOPEDIA, KURIRREKOMENDASI, LAZADA, BUKALAPAK, BUKASEND, BUKAEXPRESS, TTREVERSE, TOKOREVERSE
Total Retur = Total Regis Retur - Total Void Retur
</t>
    </r>
  </si>
  <si>
    <t>商业模式 Model Bisnis</t>
  </si>
  <si>
    <t>Franchise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</si>
</sst>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dd/mm/yyyy;@"/>
    <numFmt numFmtId="165" formatCode="###,###,###,###,###,##0.00%"/>
  </numFmts>
  <fonts count="27">
    <font>
      <sz val="11"/>
      <color theme="1"/>
      <name val="Calibri"/>
      <charset val="134"/>
      <scheme val="minor"/>
    </font>
    <font>
      <sz val="11"/>
      <color indexed="8"/>
      <name val="Aptos"/>
      <family val="2"/>
    </font>
    <font>
      <sz val="11"/>
      <color rgb="FFFF0000"/>
      <name val="Aptos"/>
      <family val="2"/>
    </font>
    <font>
      <b/>
      <sz val="22"/>
      <color rgb="FFFFFFFF"/>
      <name val="Aptos"/>
      <family val="2"/>
    </font>
    <font>
      <sz val="11"/>
      <color theme="1"/>
      <name val="Aptos"/>
      <family val="2"/>
    </font>
    <font>
      <b/>
      <sz val="11"/>
      <color rgb="FFFFFFFF"/>
      <name val="Aptos"/>
      <family val="2"/>
    </font>
    <font>
      <b/>
      <sz val="11"/>
      <color rgb="FFFFFFFF"/>
      <name val="Calibri"/>
      <family val="2"/>
      <scheme val="minor"/>
    </font>
    <font>
      <b/>
      <sz val="11"/>
      <color rgb="FFFFFFFF"/>
      <name val="SimSun"/>
    </font>
    <font>
      <b/>
      <sz val="11"/>
      <color rgb="FFFFFFFF"/>
      <name val="Microsoft YaHei"/>
      <family val="2"/>
    </font>
    <font>
      <sz val="11"/>
      <color indexed="8"/>
      <name val="Calibri"/>
      <family val="2"/>
      <scheme val="minor"/>
    </font>
    <font>
      <sz val="11"/>
      <color theme="1"/>
      <name val="DengXian"/>
    </font>
    <font>
      <sz val="11"/>
      <color rgb="FF000000"/>
      <name val="DengXian"/>
    </font>
    <font>
      <sz val="11"/>
      <color rgb="FF000000"/>
      <name val="Calibri"/>
      <family val="2"/>
      <scheme val="minor"/>
    </font>
    <font>
      <sz val="11"/>
      <color rgb="FF000000"/>
      <name val="Arial"/>
      <family val="2"/>
    </font>
    <font>
      <sz val="11"/>
      <color rgb="FF000000"/>
      <name val="&quot;Aptos Narrow&quot;"/>
      <charset val="134"/>
    </font>
    <font>
      <sz val="11"/>
      <color theme="1"/>
      <name val="Arial"/>
      <family val="2"/>
    </font>
    <font>
      <sz val="11"/>
      <color theme="1" tint="4.9989318521683403E-2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0"/>
      <name val="Aptos"/>
      <family val="2"/>
    </font>
    <font>
      <b/>
      <sz val="11"/>
      <color theme="0"/>
      <name val="Calibri"/>
      <family val="2"/>
      <scheme val="minor"/>
    </font>
    <font>
      <b/>
      <sz val="11"/>
      <name val="Aptos"/>
      <family val="2"/>
    </font>
    <font>
      <b/>
      <sz val="11"/>
      <color rgb="FF000000"/>
      <name val="Aptos"/>
      <family val="2"/>
    </font>
    <font>
      <sz val="11"/>
      <color rgb="FF000000"/>
      <name val="Aptos"/>
      <family val="2"/>
    </font>
    <font>
      <sz val="11"/>
      <color theme="1"/>
      <name val="Calibri"/>
      <family val="2"/>
      <scheme val="minor"/>
    </font>
    <font>
      <b/>
      <sz val="11"/>
      <color rgb="FFFFFFFF"/>
      <name val="Aptos"/>
      <charset val="134"/>
    </font>
    <font>
      <b/>
      <sz val="11"/>
      <color rgb="FFFFFFFF"/>
      <name val="Calibri"/>
      <charset val="134"/>
      <scheme val="minor"/>
    </font>
    <font>
      <sz val="11"/>
      <color indexed="8"/>
      <name val="Aptos"/>
      <charset val="134"/>
    </font>
  </fonts>
  <fills count="14">
    <fill>
      <patternFill patternType="none"/>
    </fill>
    <fill>
      <patternFill patternType="gray125"/>
    </fill>
    <fill>
      <patternFill patternType="solid">
        <fgColor rgb="FFFFCCCC"/>
        <bgColor indexed="64"/>
      </patternFill>
    </fill>
    <fill>
      <patternFill patternType="solid">
        <fgColor rgb="FFF1C7C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1111"/>
        <bgColor indexed="64"/>
      </patternFill>
    </fill>
    <fill>
      <patternFill patternType="solid">
        <fgColor rgb="FFC4ECCC"/>
        <bgColor indexed="64"/>
      </patternFill>
    </fill>
    <fill>
      <patternFill patternType="solid">
        <fgColor rgb="FFFFF6D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6" tint="0.59999389629810485"/>
        <bgColor indexed="64"/>
      </patternFill>
    </fill>
  </fills>
  <borders count="87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auto="1"/>
      </right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 style="thin">
        <color auto="1"/>
      </left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/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auto="1"/>
      </right>
      <top/>
      <bottom/>
      <diagonal/>
    </border>
    <border>
      <left style="thin">
        <color auto="1"/>
      </left>
      <right style="thin">
        <color theme="0"/>
      </right>
      <top/>
      <bottom/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auto="1"/>
      </right>
      <top style="thin">
        <color theme="0"/>
      </top>
      <bottom style="thin">
        <color theme="0"/>
      </bottom>
      <diagonal/>
    </border>
    <border>
      <left style="thin">
        <color auto="1"/>
      </left>
      <right style="thin">
        <color auto="1"/>
      </right>
      <top style="thin">
        <color theme="0"/>
      </top>
      <bottom style="thin">
        <color theme="0"/>
      </bottom>
      <diagonal/>
    </border>
    <border>
      <left style="thin">
        <color auto="1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rgb="FFF1C7C7"/>
      </bottom>
      <diagonal/>
    </border>
    <border>
      <left style="thin">
        <color theme="0"/>
      </left>
      <right style="thin">
        <color auto="1"/>
      </right>
      <top/>
      <bottom style="thin">
        <color rgb="FFF1C7C7"/>
      </bottom>
      <diagonal/>
    </border>
    <border>
      <left/>
      <right/>
      <top/>
      <bottom style="thin">
        <color rgb="FFF1C7C7"/>
      </bottom>
      <diagonal/>
    </border>
    <border>
      <left style="thin">
        <color auto="1"/>
      </left>
      <right style="thin">
        <color theme="0"/>
      </right>
      <top/>
      <bottom style="thin">
        <color rgb="FFF1C7C7"/>
      </bottom>
      <diagonal/>
    </border>
    <border>
      <left/>
      <right/>
      <top style="thin">
        <color rgb="FFFFCCCC"/>
      </top>
      <bottom/>
      <diagonal/>
    </border>
    <border>
      <left style="thin">
        <color rgb="FFFFCCCC"/>
      </left>
      <right style="thin">
        <color rgb="FFFFCCCC"/>
      </right>
      <top style="thin">
        <color rgb="FFFFCCCC"/>
      </top>
      <bottom style="thin">
        <color rgb="FFFFCCCC"/>
      </bottom>
      <diagonal/>
    </border>
    <border>
      <left style="thin">
        <color rgb="FFFFCCCC"/>
      </left>
      <right/>
      <top style="thin">
        <color rgb="FFFFCCCC"/>
      </top>
      <bottom style="thin">
        <color rgb="FFFFCCCC"/>
      </bottom>
      <diagonal/>
    </border>
    <border>
      <left/>
      <right style="thin">
        <color rgb="FFFFCCCC"/>
      </right>
      <top style="thin">
        <color rgb="FFFFCCCC"/>
      </top>
      <bottom style="thin">
        <color rgb="FFFFCCCC"/>
      </bottom>
      <diagonal/>
    </border>
    <border>
      <left style="thin">
        <color rgb="FFFFCCCC"/>
      </left>
      <right style="thin">
        <color rgb="FFFFCCCC"/>
      </right>
      <top style="thin">
        <color rgb="FFFFCCCC"/>
      </top>
      <bottom/>
      <diagonal/>
    </border>
    <border>
      <left style="thin">
        <color rgb="FFF1C7C7"/>
      </left>
      <right/>
      <top style="thin">
        <color rgb="FFF1C7C7"/>
      </top>
      <bottom style="thin">
        <color rgb="FFF1C7C7"/>
      </bottom>
      <diagonal/>
    </border>
    <border>
      <left/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theme="0"/>
      </left>
      <right/>
      <top style="thin">
        <color rgb="FFF1C7C7"/>
      </top>
      <bottom style="thin">
        <color theme="0"/>
      </bottom>
      <diagonal/>
    </border>
    <border>
      <left/>
      <right/>
      <top style="thin">
        <color rgb="FFF1C7C7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 style="medium">
        <color theme="9" tint="0.39994506668294322"/>
      </left>
      <right style="thin">
        <color theme="0"/>
      </right>
      <top style="medium">
        <color theme="9" tint="0.39994506668294322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medium">
        <color theme="9" tint="0.39994506668294322"/>
      </top>
      <bottom style="thin">
        <color theme="0"/>
      </bottom>
      <diagonal/>
    </border>
    <border>
      <left style="medium">
        <color theme="9" tint="0.39994506668294322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9" tint="0.39994506668294322"/>
      </left>
      <right style="thin">
        <color theme="0"/>
      </right>
      <top style="thin">
        <color theme="0"/>
      </top>
      <bottom/>
      <diagonal/>
    </border>
    <border>
      <left style="medium">
        <color theme="9" tint="0.39994506668294322"/>
      </left>
      <right style="medium">
        <color theme="9" tint="0.39994506668294322"/>
      </right>
      <top style="medium">
        <color theme="9" tint="0.39994506668294322"/>
      </top>
      <bottom/>
      <diagonal/>
    </border>
    <border>
      <left style="medium">
        <color theme="9" tint="0.39994506668294322"/>
      </left>
      <right style="medium">
        <color theme="9" tint="0.39994506668294322"/>
      </right>
      <top style="medium">
        <color theme="9" tint="0.39994506668294322"/>
      </top>
      <bottom style="medium">
        <color theme="9" tint="0.39994506668294322"/>
      </bottom>
      <diagonal/>
    </border>
    <border>
      <left style="medium">
        <color theme="9" tint="0.39994506668294322"/>
      </left>
      <right style="medium">
        <color theme="9" tint="0.39994506668294322"/>
      </right>
      <top/>
      <bottom/>
      <diagonal/>
    </border>
    <border>
      <left style="medium">
        <color theme="9" tint="0.39994506668294322"/>
      </left>
      <right style="medium">
        <color theme="9" tint="0.39994506668294322"/>
      </right>
      <top/>
      <bottom style="medium">
        <color theme="9" tint="0.39994506668294322"/>
      </bottom>
      <diagonal/>
    </border>
    <border>
      <left style="medium">
        <color theme="9" tint="0.39994506668294322"/>
      </left>
      <right/>
      <top/>
      <bottom style="medium">
        <color theme="9" tint="0.39994506668294322"/>
      </bottom>
      <diagonal/>
    </border>
    <border>
      <left/>
      <right/>
      <top style="medium">
        <color rgb="FFFF7C80"/>
      </top>
      <bottom style="medium">
        <color theme="9" tint="0.39994506668294322"/>
      </bottom>
      <diagonal/>
    </border>
    <border>
      <left/>
      <right/>
      <top/>
      <bottom style="medium">
        <color theme="9" tint="0.39994506668294322"/>
      </bottom>
      <diagonal/>
    </border>
    <border>
      <left style="thin">
        <color theme="0"/>
      </left>
      <right style="thin">
        <color theme="0"/>
      </right>
      <top style="medium">
        <color rgb="FFFF7C80"/>
      </top>
      <bottom style="medium">
        <color rgb="FFFF7C80"/>
      </bottom>
      <diagonal/>
    </border>
    <border>
      <left style="thin">
        <color theme="0"/>
      </left>
      <right style="medium">
        <color rgb="FFFF7C80"/>
      </right>
      <top style="medium">
        <color rgb="FFFF7C80"/>
      </top>
      <bottom style="medium">
        <color rgb="FFFF7C80"/>
      </bottom>
      <diagonal/>
    </border>
    <border>
      <left style="thin">
        <color theme="0"/>
      </left>
      <right/>
      <top style="medium">
        <color theme="9" tint="0.39994506668294322"/>
      </top>
      <bottom style="thin">
        <color theme="0"/>
      </bottom>
      <diagonal/>
    </border>
    <border>
      <left/>
      <right/>
      <top style="medium">
        <color theme="9" tint="0.39994506668294322"/>
      </top>
      <bottom style="thin">
        <color theme="0"/>
      </bottom>
      <diagonal/>
    </border>
    <border>
      <left/>
      <right style="medium">
        <color theme="9" tint="0.39994506668294322"/>
      </right>
      <top style="medium">
        <color theme="9" tint="0.39994506668294322"/>
      </top>
      <bottom style="thin">
        <color theme="0"/>
      </bottom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/>
      <right style="medium">
        <color theme="9" tint="0.39994506668294322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medium">
        <color theme="9" tint="0.39994506668294322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medium">
        <color theme="9" tint="0.39994506668294322"/>
      </bottom>
      <diagonal/>
    </border>
    <border>
      <left style="thin">
        <color theme="0"/>
      </left>
      <right style="medium">
        <color theme="9" tint="0.39994506668294322"/>
      </right>
      <top/>
      <bottom style="medium">
        <color theme="9" tint="0.39994506668294322"/>
      </bottom>
      <diagonal/>
    </border>
    <border>
      <left style="thin">
        <color theme="0"/>
      </left>
      <right/>
      <top/>
      <bottom style="medium">
        <color auto="1"/>
      </bottom>
      <diagonal/>
    </border>
    <border>
      <left style="thin">
        <color theme="0"/>
      </left>
      <right style="medium">
        <color theme="9" tint="0.39994506668294322"/>
      </right>
      <top style="medium">
        <color theme="9" tint="0.39994506668294322"/>
      </top>
      <bottom style="thin">
        <color theme="0"/>
      </bottom>
      <diagonal/>
    </border>
    <border>
      <left style="thin">
        <color theme="0"/>
      </left>
      <right style="medium">
        <color theme="9" tint="0.39994506668294322"/>
      </right>
      <top style="thin">
        <color theme="0"/>
      </top>
      <bottom style="thin">
        <color theme="0"/>
      </bottom>
      <diagonal/>
    </border>
    <border>
      <left style="medium">
        <color theme="9" tint="0.39994506668294322"/>
      </left>
      <right style="thin">
        <color theme="0"/>
      </right>
      <top style="thin">
        <color theme="0"/>
      </top>
      <bottom style="medium">
        <color theme="9" tint="0.39994506668294322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medium">
        <color theme="9" tint="0.39994506668294322"/>
      </bottom>
      <diagonal/>
    </border>
    <border>
      <left style="thin">
        <color theme="0"/>
      </left>
      <right style="medium">
        <color theme="9" tint="0.39994506668294322"/>
      </right>
      <top style="thin">
        <color theme="0"/>
      </top>
      <bottom style="medium">
        <color theme="9" tint="0.39994506668294322"/>
      </bottom>
      <diagonal/>
    </border>
    <border>
      <left style="thin">
        <color theme="0"/>
      </left>
      <right style="thin">
        <color theme="0"/>
      </right>
      <top style="medium">
        <color rgb="FFFF7C80"/>
      </top>
      <bottom style="medium">
        <color theme="9" tint="0.39994506668294322"/>
      </bottom>
      <diagonal/>
    </border>
    <border>
      <left style="thin">
        <color theme="0"/>
      </left>
      <right style="medium">
        <color theme="9" tint="0.39994506668294322"/>
      </right>
      <top style="medium">
        <color rgb="FFFF7C80"/>
      </top>
      <bottom style="medium">
        <color theme="9" tint="0.39994506668294322"/>
      </bottom>
      <diagonal/>
    </border>
    <border>
      <left style="medium">
        <color auto="1"/>
      </left>
      <right style="thin">
        <color theme="0"/>
      </right>
      <top style="medium">
        <color auto="1"/>
      </top>
      <bottom/>
      <diagonal/>
    </border>
    <border>
      <left style="thin">
        <color theme="0"/>
      </left>
      <right style="thin">
        <color theme="0"/>
      </right>
      <top style="medium">
        <color auto="1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medium">
        <color auto="1"/>
      </top>
      <bottom/>
      <diagonal/>
    </border>
    <border>
      <left style="thin">
        <color theme="0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theme="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>
      <alignment vertical="center"/>
    </xf>
    <xf numFmtId="9" fontId="23" fillId="0" borderId="0" applyFont="0" applyFill="0" applyBorder="0" applyAlignment="0" applyProtection="0">
      <alignment vertical="center"/>
    </xf>
    <xf numFmtId="0" fontId="9" fillId="0" borderId="0"/>
    <xf numFmtId="0" fontId="9" fillId="0" borderId="0">
      <alignment vertical="center"/>
    </xf>
  </cellStyleXfs>
  <cellXfs count="224">
    <xf numFmtId="0" fontId="0" fillId="0" borderId="0" xfId="0">
      <alignment vertical="center"/>
    </xf>
    <xf numFmtId="0" fontId="1" fillId="2" borderId="0" xfId="0" applyFont="1" applyFill="1" applyAlignment="1"/>
    <xf numFmtId="0" fontId="1" fillId="3" borderId="0" xfId="0" applyFont="1" applyFill="1" applyAlignment="1"/>
    <xf numFmtId="0" fontId="1" fillId="4" borderId="0" xfId="0" applyFont="1" applyFill="1" applyAlignment="1"/>
    <xf numFmtId="0" fontId="1" fillId="0" borderId="0" xfId="0" applyFont="1" applyAlignment="1"/>
    <xf numFmtId="0" fontId="1" fillId="0" borderId="0" xfId="0" applyFont="1" applyAlignment="1">
      <alignment wrapText="1"/>
    </xf>
    <xf numFmtId="0" fontId="2" fillId="0" borderId="0" xfId="0" applyFont="1" applyAlignment="1"/>
    <xf numFmtId="0" fontId="1" fillId="5" borderId="0" xfId="0" applyFont="1" applyFill="1" applyAlignment="1"/>
    <xf numFmtId="0" fontId="2" fillId="5" borderId="0" xfId="0" applyFont="1" applyFill="1" applyAlignment="1"/>
    <xf numFmtId="14" fontId="1" fillId="0" borderId="0" xfId="0" applyNumberFormat="1" applyFont="1" applyAlignment="1"/>
    <xf numFmtId="0" fontId="1" fillId="6" borderId="0" xfId="0" applyFont="1" applyFill="1" applyAlignment="1"/>
    <xf numFmtId="0" fontId="3" fillId="6" borderId="0" xfId="0" applyFont="1" applyFill="1" applyAlignment="1">
      <alignment horizontal="center" vertical="center" wrapText="1"/>
    </xf>
    <xf numFmtId="0" fontId="4" fillId="6" borderId="2" xfId="0" applyFont="1" applyFill="1" applyBorder="1" applyAlignment="1">
      <alignment horizontal="left" vertical="top" wrapText="1"/>
    </xf>
    <xf numFmtId="0" fontId="5" fillId="7" borderId="4" xfId="0" applyFont="1" applyFill="1" applyBorder="1" applyAlignment="1">
      <alignment horizontal="center" vertical="center" wrapText="1"/>
    </xf>
    <xf numFmtId="0" fontId="5" fillId="7" borderId="7" xfId="0" applyFont="1" applyFill="1" applyBorder="1" applyAlignment="1">
      <alignment horizontal="center" vertical="center" wrapText="1"/>
    </xf>
    <xf numFmtId="0" fontId="5" fillId="7" borderId="0" xfId="0" applyFont="1" applyFill="1" applyAlignment="1">
      <alignment horizontal="center" vertical="center" wrapText="1"/>
    </xf>
    <xf numFmtId="164" fontId="1" fillId="0" borderId="0" xfId="0" applyNumberFormat="1" applyFont="1" applyAlignment="1"/>
    <xf numFmtId="0" fontId="6" fillId="7" borderId="4" xfId="0" applyFont="1" applyFill="1" applyBorder="1" applyAlignment="1">
      <alignment horizontal="center" vertical="center" wrapText="1"/>
    </xf>
    <xf numFmtId="0" fontId="5" fillId="7" borderId="22" xfId="0" applyFont="1" applyFill="1" applyBorder="1" applyAlignment="1">
      <alignment horizontal="center" vertical="center" wrapText="1"/>
    </xf>
    <xf numFmtId="14" fontId="5" fillId="7" borderId="4" xfId="0" applyNumberFormat="1" applyFont="1" applyFill="1" applyBorder="1" applyAlignment="1">
      <alignment horizontal="center" vertical="center" wrapText="1"/>
    </xf>
    <xf numFmtId="164" fontId="5" fillId="7" borderId="4" xfId="0" applyNumberFormat="1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1" fillId="8" borderId="24" xfId="0" applyFont="1" applyFill="1" applyBorder="1">
      <alignment vertical="center"/>
    </xf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horizontal="left"/>
    </xf>
    <xf numFmtId="10" fontId="1" fillId="9" borderId="25" xfId="1" applyNumberFormat="1" applyFont="1" applyFill="1" applyBorder="1" applyAlignment="1">
      <alignment horizontal="center"/>
    </xf>
    <xf numFmtId="165" fontId="1" fillId="0" borderId="25" xfId="0" applyNumberFormat="1" applyFont="1" applyBorder="1" applyAlignment="1">
      <alignment horizontal="center" vertical="center"/>
    </xf>
    <xf numFmtId="165" fontId="1" fillId="0" borderId="26" xfId="0" applyNumberFormat="1" applyFont="1" applyBorder="1" applyAlignment="1">
      <alignment horizontal="center" vertical="center"/>
    </xf>
    <xf numFmtId="10" fontId="9" fillId="9" borderId="0" xfId="1" applyNumberFormat="1" applyFont="1" applyFill="1" applyBorder="1" applyAlignment="1">
      <alignment horizontal="center" vertical="center"/>
    </xf>
    <xf numFmtId="165" fontId="1" fillId="0" borderId="27" xfId="0" applyNumberFormat="1" applyFont="1" applyBorder="1" applyAlignment="1">
      <alignment horizontal="center" vertical="center"/>
    </xf>
    <xf numFmtId="10" fontId="1" fillId="0" borderId="25" xfId="1" applyNumberFormat="1" applyFont="1" applyFill="1" applyBorder="1" applyAlignment="1">
      <alignment horizontal="center"/>
    </xf>
    <xf numFmtId="10" fontId="1" fillId="0" borderId="26" xfId="1" applyNumberFormat="1" applyFont="1" applyFill="1" applyBorder="1" applyAlignment="1">
      <alignment horizontal="center"/>
    </xf>
    <xf numFmtId="165" fontId="9" fillId="9" borderId="0" xfId="0" applyNumberFormat="1" applyFont="1" applyFill="1" applyAlignment="1">
      <alignment horizontal="center" vertical="center"/>
    </xf>
    <xf numFmtId="10" fontId="1" fillId="0" borderId="27" xfId="1" applyNumberFormat="1" applyFont="1" applyBorder="1" applyAlignment="1">
      <alignment horizontal="center"/>
    </xf>
    <xf numFmtId="10" fontId="1" fillId="0" borderId="25" xfId="1" applyNumberFormat="1" applyFont="1" applyBorder="1" applyAlignment="1">
      <alignment horizontal="center"/>
    </xf>
    <xf numFmtId="0" fontId="1" fillId="0" borderId="0" xfId="0" applyFont="1" applyAlignment="1">
      <alignment horizontal="left"/>
    </xf>
    <xf numFmtId="0" fontId="1" fillId="2" borderId="24" xfId="0" applyFont="1" applyFill="1" applyBorder="1">
      <alignment vertical="center"/>
    </xf>
    <xf numFmtId="0" fontId="1" fillId="2" borderId="0" xfId="0" applyFont="1" applyFill="1" applyAlignment="1">
      <alignment horizontal="center"/>
    </xf>
    <xf numFmtId="0" fontId="1" fillId="2" borderId="0" xfId="0" applyFont="1" applyFill="1" applyAlignment="1">
      <alignment horizontal="left"/>
    </xf>
    <xf numFmtId="10" fontId="1" fillId="2" borderId="25" xfId="1" applyNumberFormat="1" applyFont="1" applyFill="1" applyBorder="1" applyAlignment="1">
      <alignment horizontal="center"/>
    </xf>
    <xf numFmtId="165" fontId="1" fillId="2" borderId="25" xfId="0" applyNumberFormat="1" applyFont="1" applyFill="1" applyBorder="1" applyAlignment="1">
      <alignment horizontal="center" vertical="center"/>
    </xf>
    <xf numFmtId="165" fontId="1" fillId="2" borderId="26" xfId="0" applyNumberFormat="1" applyFont="1" applyFill="1" applyBorder="1" applyAlignment="1">
      <alignment horizontal="center" vertical="center"/>
    </xf>
    <xf numFmtId="165" fontId="1" fillId="2" borderId="27" xfId="0" applyNumberFormat="1" applyFont="1" applyFill="1" applyBorder="1" applyAlignment="1">
      <alignment horizontal="center" vertical="center"/>
    </xf>
    <xf numFmtId="10" fontId="9" fillId="2" borderId="0" xfId="1" applyNumberFormat="1" applyFont="1" applyFill="1" applyBorder="1" applyAlignment="1">
      <alignment horizontal="center" vertical="center"/>
    </xf>
    <xf numFmtId="165" fontId="1" fillId="2" borderId="28" xfId="0" applyNumberFormat="1" applyFont="1" applyFill="1" applyBorder="1" applyAlignment="1">
      <alignment horizontal="center" vertical="center"/>
    </xf>
    <xf numFmtId="0" fontId="9" fillId="8" borderId="0" xfId="0" applyFont="1" applyFill="1" applyAlignment="1">
      <alignment horizontal="left" vertical="center"/>
    </xf>
    <xf numFmtId="0" fontId="10" fillId="0" borderId="0" xfId="0" applyFont="1" applyAlignment="1"/>
    <xf numFmtId="0" fontId="9" fillId="2" borderId="0" xfId="0" applyFont="1" applyFill="1" applyAlignment="1">
      <alignment horizontal="left" vertical="center"/>
    </xf>
    <xf numFmtId="0" fontId="9" fillId="2" borderId="0" xfId="0" applyFont="1" applyFill="1">
      <alignment vertical="center"/>
    </xf>
    <xf numFmtId="0" fontId="11" fillId="0" borderId="0" xfId="0" applyFont="1" applyAlignment="1">
      <alignment horizontal="left" vertical="center"/>
    </xf>
    <xf numFmtId="165" fontId="1" fillId="9" borderId="25" xfId="0" applyNumberFormat="1" applyFont="1" applyFill="1" applyBorder="1" applyAlignment="1">
      <alignment horizontal="center" vertical="center"/>
    </xf>
    <xf numFmtId="0" fontId="1" fillId="2" borderId="0" xfId="0" applyFont="1" applyFill="1" applyAlignment="1">
      <alignment horizontal="left" vertical="center"/>
    </xf>
    <xf numFmtId="0" fontId="9" fillId="2" borderId="0" xfId="0" applyFont="1" applyFill="1" applyAlignment="1">
      <alignment horizontal="center" vertical="center"/>
    </xf>
    <xf numFmtId="10" fontId="1" fillId="2" borderId="27" xfId="1" applyNumberFormat="1" applyFont="1" applyFill="1" applyBorder="1" applyAlignment="1">
      <alignment horizontal="center"/>
    </xf>
    <xf numFmtId="0" fontId="9" fillId="10" borderId="0" xfId="0" applyFont="1" applyFill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5" borderId="0" xfId="0" applyFill="1" applyAlignment="1">
      <alignment horizontal="left" vertical="center"/>
    </xf>
    <xf numFmtId="0" fontId="2" fillId="2" borderId="0" xfId="0" applyFont="1" applyFill="1" applyAlignment="1">
      <alignment horizontal="left" vertical="center"/>
    </xf>
    <xf numFmtId="10" fontId="2" fillId="2" borderId="27" xfId="1" applyNumberFormat="1" applyFont="1" applyFill="1" applyBorder="1" applyAlignment="1">
      <alignment horizontal="center"/>
    </xf>
    <xf numFmtId="165" fontId="2" fillId="2" borderId="25" xfId="0" applyNumberFormat="1" applyFont="1" applyFill="1" applyBorder="1" applyAlignment="1">
      <alignment horizontal="center" vertical="center"/>
    </xf>
    <xf numFmtId="10" fontId="2" fillId="2" borderId="25" xfId="1" applyNumberFormat="1" applyFont="1" applyFill="1" applyBorder="1" applyAlignment="1">
      <alignment horizontal="center"/>
    </xf>
    <xf numFmtId="0" fontId="9" fillId="0" borderId="0" xfId="0" applyFont="1">
      <alignment vertical="center"/>
    </xf>
    <xf numFmtId="0" fontId="0" fillId="0" borderId="0" xfId="0" applyAlignment="1"/>
    <xf numFmtId="0" fontId="10" fillId="0" borderId="0" xfId="0" applyFont="1">
      <alignment vertical="center"/>
    </xf>
    <xf numFmtId="0" fontId="1" fillId="2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/>
    </xf>
    <xf numFmtId="10" fontId="1" fillId="2" borderId="0" xfId="1" applyNumberFormat="1" applyFont="1" applyFill="1" applyBorder="1" applyAlignment="1">
      <alignment horizontal="center"/>
    </xf>
    <xf numFmtId="165" fontId="1" fillId="2" borderId="0" xfId="0" applyNumberFormat="1" applyFont="1" applyFill="1" applyAlignment="1">
      <alignment horizontal="center" vertical="center"/>
    </xf>
    <xf numFmtId="0" fontId="10" fillId="0" borderId="0" xfId="0" applyFont="1" applyAlignment="1">
      <alignment horizontal="left" vertical="center"/>
    </xf>
    <xf numFmtId="0" fontId="9" fillId="8" borderId="29" xfId="0" applyFont="1" applyFill="1" applyBorder="1" applyAlignment="1">
      <alignment horizontal="left" vertical="center"/>
    </xf>
    <xf numFmtId="0" fontId="12" fillId="0" borderId="30" xfId="0" applyFont="1" applyBorder="1" applyAlignment="1">
      <alignment horizontal="left" vertical="center"/>
    </xf>
    <xf numFmtId="0" fontId="12" fillId="0" borderId="31" xfId="0" applyFont="1" applyBorder="1" applyAlignment="1">
      <alignment horizontal="left" vertical="center"/>
    </xf>
    <xf numFmtId="0" fontId="12" fillId="0" borderId="30" xfId="0" applyFont="1" applyBorder="1" applyAlignment="1">
      <alignment horizontal="left"/>
    </xf>
    <xf numFmtId="0" fontId="12" fillId="0" borderId="31" xfId="0" applyFont="1" applyBorder="1" applyAlignment="1">
      <alignment horizontal="left"/>
    </xf>
    <xf numFmtId="0" fontId="12" fillId="0" borderId="30" xfId="0" applyFont="1" applyBorder="1" applyAlignment="1"/>
    <xf numFmtId="0" fontId="12" fillId="0" borderId="31" xfId="0" applyFont="1" applyBorder="1" applyAlignment="1"/>
    <xf numFmtId="0" fontId="12" fillId="11" borderId="30" xfId="0" applyFont="1" applyFill="1" applyBorder="1" applyAlignment="1">
      <alignment horizontal="left"/>
    </xf>
    <xf numFmtId="0" fontId="12" fillId="11" borderId="31" xfId="0" applyFont="1" applyFill="1" applyBorder="1" applyAlignment="1">
      <alignment horizontal="left"/>
    </xf>
    <xf numFmtId="0" fontId="9" fillId="11" borderId="30" xfId="0" applyFont="1" applyFill="1" applyBorder="1">
      <alignment vertical="center"/>
    </xf>
    <xf numFmtId="0" fontId="9" fillId="11" borderId="31" xfId="0" applyFont="1" applyFill="1" applyBorder="1">
      <alignment vertical="center"/>
    </xf>
    <xf numFmtId="0" fontId="12" fillId="11" borderId="30" xfId="0" applyFont="1" applyFill="1" applyBorder="1" applyAlignment="1">
      <alignment horizontal="left" vertical="center"/>
    </xf>
    <xf numFmtId="0" fontId="12" fillId="11" borderId="31" xfId="0" applyFont="1" applyFill="1" applyBorder="1" applyAlignment="1">
      <alignment horizontal="left" vertical="center"/>
    </xf>
    <xf numFmtId="165" fontId="1" fillId="4" borderId="25" xfId="0" applyNumberFormat="1" applyFont="1" applyFill="1" applyBorder="1" applyAlignment="1">
      <alignment horizontal="center" vertical="center"/>
    </xf>
    <xf numFmtId="0" fontId="13" fillId="0" borderId="0" xfId="0" applyFont="1" applyAlignment="1">
      <alignment horizontal="left" vertical="center" wrapText="1"/>
    </xf>
    <xf numFmtId="0" fontId="14" fillId="0" borderId="0" xfId="0" applyFont="1" applyAlignment="1">
      <alignment horizontal="left" vertical="center"/>
    </xf>
    <xf numFmtId="0" fontId="15" fillId="0" borderId="0" xfId="0" applyFont="1" applyAlignment="1">
      <alignment horizontal="left" vertical="center" wrapText="1"/>
    </xf>
    <xf numFmtId="0" fontId="13" fillId="0" borderId="0" xfId="0" applyFont="1" applyAlignment="1">
      <alignment horizontal="left" vertical="center"/>
    </xf>
    <xf numFmtId="165" fontId="1" fillId="4" borderId="0" xfId="0" applyNumberFormat="1" applyFont="1" applyFill="1" applyAlignment="1">
      <alignment horizontal="center" vertical="center"/>
    </xf>
    <xf numFmtId="0" fontId="16" fillId="0" borderId="0" xfId="0" applyFont="1" applyAlignment="1"/>
    <xf numFmtId="0" fontId="16" fillId="0" borderId="0" xfId="2" applyFont="1"/>
    <xf numFmtId="0" fontId="17" fillId="0" borderId="0" xfId="0" applyFont="1" applyAlignment="1"/>
    <xf numFmtId="10" fontId="5" fillId="7" borderId="34" xfId="1" applyNumberFormat="1" applyFont="1" applyFill="1" applyBorder="1" applyAlignment="1">
      <alignment horizontal="center" vertical="center" wrapText="1"/>
    </xf>
    <xf numFmtId="10" fontId="5" fillId="12" borderId="34" xfId="1" applyNumberFormat="1" applyFont="1" applyFill="1" applyBorder="1" applyAlignment="1">
      <alignment horizontal="center" vertical="center" wrapText="1"/>
    </xf>
    <xf numFmtId="165" fontId="18" fillId="12" borderId="25" xfId="0" applyNumberFormat="1" applyFont="1" applyFill="1" applyBorder="1" applyAlignment="1">
      <alignment horizontal="center" vertical="center"/>
    </xf>
    <xf numFmtId="10" fontId="18" fillId="12" borderId="34" xfId="1" applyNumberFormat="1" applyFont="1" applyFill="1" applyBorder="1" applyAlignment="1">
      <alignment horizontal="center" vertical="center" wrapText="1"/>
    </xf>
    <xf numFmtId="10" fontId="19" fillId="12" borderId="0" xfId="1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center" wrapText="1"/>
    </xf>
    <xf numFmtId="10" fontId="5" fillId="6" borderId="0" xfId="1" applyNumberFormat="1" applyFont="1" applyFill="1" applyBorder="1" applyAlignment="1">
      <alignment horizontal="center" vertical="center" wrapText="1"/>
    </xf>
    <xf numFmtId="10" fontId="20" fillId="6" borderId="0" xfId="1" applyNumberFormat="1" applyFont="1" applyFill="1" applyBorder="1" applyAlignment="1">
      <alignment horizontal="center" vertical="center" wrapText="1"/>
    </xf>
    <xf numFmtId="0" fontId="2" fillId="5" borderId="0" xfId="0" applyFont="1" applyFill="1" applyAlignment="1">
      <alignment wrapText="1"/>
    </xf>
    <xf numFmtId="0" fontId="2" fillId="5" borderId="0" xfId="0" applyFont="1" applyFill="1" applyAlignment="1">
      <alignment horizontal="center" vertical="center"/>
    </xf>
    <xf numFmtId="10" fontId="2" fillId="5" borderId="0" xfId="1" applyNumberFormat="1" applyFont="1" applyFill="1" applyBorder="1" applyAlignment="1">
      <alignment horizontal="center"/>
    </xf>
    <xf numFmtId="165" fontId="2" fillId="5" borderId="0" xfId="0" applyNumberFormat="1" applyFont="1" applyFill="1" applyAlignment="1">
      <alignment horizontal="center" vertical="center"/>
    </xf>
    <xf numFmtId="0" fontId="1" fillId="0" borderId="0" xfId="0" applyFont="1" applyAlignment="1">
      <alignment horizontal="left" vertical="top" wrapText="1"/>
    </xf>
    <xf numFmtId="14" fontId="6" fillId="7" borderId="4" xfId="0" applyNumberFormat="1" applyFont="1" applyFill="1" applyBorder="1" applyAlignment="1">
      <alignment horizontal="center" vertical="center" wrapText="1"/>
    </xf>
    <xf numFmtId="164" fontId="6" fillId="7" borderId="4" xfId="0" applyNumberFormat="1" applyFont="1" applyFill="1" applyBorder="1" applyAlignment="1">
      <alignment horizontal="center" vertical="center" wrapText="1"/>
    </xf>
    <xf numFmtId="0" fontId="9" fillId="0" borderId="48" xfId="0" applyFont="1" applyBorder="1" applyAlignment="1">
      <alignment horizontal="center" vertical="center"/>
    </xf>
    <xf numFmtId="10" fontId="9" fillId="13" borderId="48" xfId="1" applyNumberFormat="1" applyFont="1" applyFill="1" applyBorder="1" applyAlignment="1">
      <alignment horizontal="center"/>
    </xf>
    <xf numFmtId="10" fontId="9" fillId="0" borderId="48" xfId="1" applyNumberFormat="1" applyFont="1" applyFill="1" applyBorder="1" applyAlignment="1">
      <alignment horizontal="center"/>
    </xf>
    <xf numFmtId="165" fontId="9" fillId="13" borderId="48" xfId="0" applyNumberFormat="1" applyFont="1" applyFill="1" applyBorder="1" applyAlignment="1">
      <alignment horizontal="center" vertical="center"/>
    </xf>
    <xf numFmtId="10" fontId="9" fillId="0" borderId="48" xfId="1" applyNumberFormat="1" applyFont="1" applyBorder="1" applyAlignment="1">
      <alignment horizontal="center"/>
    </xf>
    <xf numFmtId="0" fontId="6" fillId="7" borderId="54" xfId="0" applyFont="1" applyFill="1" applyBorder="1" applyAlignment="1">
      <alignment horizontal="center" vertical="center" wrapText="1"/>
    </xf>
    <xf numFmtId="10" fontId="6" fillId="5" borderId="54" xfId="1" applyNumberFormat="1" applyFont="1" applyFill="1" applyBorder="1" applyAlignment="1">
      <alignment horizontal="center" vertical="center" wrapText="1"/>
    </xf>
    <xf numFmtId="10" fontId="19" fillId="5" borderId="54" xfId="1" applyNumberFormat="1" applyFont="1" applyFill="1" applyBorder="1" applyAlignment="1">
      <alignment horizontal="center" vertical="center" wrapText="1"/>
    </xf>
    <xf numFmtId="10" fontId="6" fillId="7" borderId="55" xfId="1" applyNumberFormat="1" applyFont="1" applyFill="1" applyBorder="1" applyAlignment="1">
      <alignment horizontal="center" vertical="center" wrapText="1"/>
    </xf>
    <xf numFmtId="0" fontId="6" fillId="7" borderId="62" xfId="0" applyFont="1" applyFill="1" applyBorder="1" applyAlignment="1">
      <alignment horizontal="center" vertical="center" wrapText="1"/>
    </xf>
    <xf numFmtId="14" fontId="6" fillId="7" borderId="42" xfId="0" applyNumberFormat="1" applyFont="1" applyFill="1" applyBorder="1" applyAlignment="1">
      <alignment horizontal="center" vertical="center" wrapText="1"/>
    </xf>
    <xf numFmtId="10" fontId="9" fillId="13" borderId="48" xfId="0" applyNumberFormat="1" applyFont="1" applyFill="1" applyBorder="1" applyAlignment="1">
      <alignment horizontal="center" vertical="center"/>
    </xf>
    <xf numFmtId="10" fontId="9" fillId="0" borderId="48" xfId="0" applyNumberFormat="1" applyFont="1" applyBorder="1" applyAlignment="1">
      <alignment horizontal="center" vertical="center"/>
    </xf>
    <xf numFmtId="165" fontId="9" fillId="0" borderId="48" xfId="0" applyNumberFormat="1" applyFont="1" applyBorder="1" applyAlignment="1">
      <alignment horizontal="center" vertical="center"/>
    </xf>
    <xf numFmtId="10" fontId="6" fillId="7" borderId="53" xfId="1" applyNumberFormat="1" applyFont="1" applyFill="1" applyBorder="1" applyAlignment="1">
      <alignment horizontal="center" vertical="center" wrapText="1"/>
    </xf>
    <xf numFmtId="10" fontId="6" fillId="7" borderId="63" xfId="1" applyNumberFormat="1" applyFont="1" applyFill="1" applyBorder="1" applyAlignment="1">
      <alignment horizontal="center" vertical="center" wrapText="1"/>
    </xf>
    <xf numFmtId="10" fontId="6" fillId="5" borderId="64" xfId="1" applyNumberFormat="1" applyFont="1" applyFill="1" applyBorder="1" applyAlignment="1">
      <alignment horizontal="center" vertical="center" wrapText="1"/>
    </xf>
    <xf numFmtId="10" fontId="6" fillId="5" borderId="65" xfId="1" applyNumberFormat="1" applyFont="1" applyFill="1" applyBorder="1" applyAlignment="1">
      <alignment horizontal="center" vertical="center" wrapText="1"/>
    </xf>
    <xf numFmtId="10" fontId="6" fillId="7" borderId="54" xfId="1" applyNumberFormat="1" applyFont="1" applyFill="1" applyBorder="1" applyAlignment="1">
      <alignment horizontal="center" vertical="center" wrapText="1"/>
    </xf>
    <xf numFmtId="0" fontId="6" fillId="7" borderId="69" xfId="0" applyFont="1" applyFill="1" applyBorder="1" applyAlignment="1">
      <alignment horizontal="center" vertical="center" wrapText="1"/>
    </xf>
    <xf numFmtId="164" fontId="6" fillId="7" borderId="69" xfId="0" applyNumberFormat="1" applyFont="1" applyFill="1" applyBorder="1" applyAlignment="1">
      <alignment horizontal="center" vertical="center" wrapText="1"/>
    </xf>
    <xf numFmtId="14" fontId="6" fillId="7" borderId="69" xfId="0" applyNumberFormat="1" applyFont="1" applyFill="1" applyBorder="1" applyAlignment="1">
      <alignment horizontal="center" vertical="center" wrapText="1"/>
    </xf>
    <xf numFmtId="0" fontId="6" fillId="7" borderId="70" xfId="0" applyFont="1" applyFill="1" applyBorder="1" applyAlignment="1">
      <alignment horizontal="center" vertical="center" wrapText="1"/>
    </xf>
    <xf numFmtId="10" fontId="9" fillId="13" borderId="48" xfId="1" applyNumberFormat="1" applyFont="1" applyFill="1" applyBorder="1" applyAlignment="1">
      <alignment horizontal="center" vertical="center"/>
    </xf>
    <xf numFmtId="10" fontId="17" fillId="0" borderId="48" xfId="0" applyNumberFormat="1" applyFont="1" applyBorder="1" applyAlignment="1">
      <alignment horizontal="center" vertical="center"/>
    </xf>
    <xf numFmtId="10" fontId="6" fillId="7" borderId="71" xfId="1" applyNumberFormat="1" applyFont="1" applyFill="1" applyBorder="1" applyAlignment="1">
      <alignment horizontal="center" vertical="center" wrapText="1"/>
    </xf>
    <xf numFmtId="10" fontId="6" fillId="5" borderId="72" xfId="1" applyNumberFormat="1" applyFont="1" applyFill="1" applyBorder="1" applyAlignment="1">
      <alignment horizontal="center" vertical="center" wrapText="1"/>
    </xf>
    <xf numFmtId="0" fontId="0" fillId="0" borderId="78" xfId="0" applyBorder="1">
      <alignment vertical="center"/>
    </xf>
    <xf numFmtId="0" fontId="0" fillId="0" borderId="78" xfId="0" applyBorder="1" applyAlignment="1">
      <alignment horizontal="center" vertical="center"/>
    </xf>
    <xf numFmtId="10" fontId="0" fillId="0" borderId="78" xfId="0" applyNumberFormat="1" applyBorder="1">
      <alignment vertical="center"/>
    </xf>
    <xf numFmtId="10" fontId="0" fillId="0" borderId="78" xfId="0" applyNumberFormat="1" applyBorder="1" applyAlignment="1">
      <alignment horizontal="center" vertical="center"/>
    </xf>
    <xf numFmtId="0" fontId="26" fillId="6" borderId="79" xfId="0" applyFont="1" applyFill="1" applyBorder="1">
      <alignment vertical="center"/>
    </xf>
    <xf numFmtId="0" fontId="0" fillId="0" borderId="80" xfId="0" applyBorder="1">
      <alignment vertical="center"/>
    </xf>
    <xf numFmtId="0" fontId="0" fillId="0" borderId="80" xfId="0" applyBorder="1" applyAlignment="1">
      <alignment horizontal="center" vertical="center"/>
    </xf>
    <xf numFmtId="0" fontId="0" fillId="0" borderId="81" xfId="0" applyBorder="1" applyAlignment="1">
      <alignment horizontal="center" vertical="center"/>
    </xf>
    <xf numFmtId="0" fontId="26" fillId="6" borderId="82" xfId="0" applyFont="1" applyFill="1" applyBorder="1">
      <alignment vertical="center"/>
    </xf>
    <xf numFmtId="0" fontId="0" fillId="0" borderId="83" xfId="0" applyBorder="1" applyAlignment="1">
      <alignment horizontal="center" vertical="center"/>
    </xf>
    <xf numFmtId="10" fontId="26" fillId="6" borderId="82" xfId="0" applyNumberFormat="1" applyFont="1" applyFill="1" applyBorder="1">
      <alignment vertical="center"/>
    </xf>
    <xf numFmtId="10" fontId="0" fillId="0" borderId="83" xfId="0" applyNumberFormat="1" applyBorder="1" applyAlignment="1">
      <alignment horizontal="center" vertical="center"/>
    </xf>
    <xf numFmtId="10" fontId="26" fillId="6" borderId="84" xfId="0" applyNumberFormat="1" applyFont="1" applyFill="1" applyBorder="1">
      <alignment vertical="center"/>
    </xf>
    <xf numFmtId="10" fontId="0" fillId="0" borderId="85" xfId="0" applyNumberFormat="1" applyBorder="1">
      <alignment vertical="center"/>
    </xf>
    <xf numFmtId="10" fontId="0" fillId="0" borderId="85" xfId="0" applyNumberFormat="1" applyBorder="1" applyAlignment="1">
      <alignment horizontal="center" vertical="center"/>
    </xf>
    <xf numFmtId="10" fontId="0" fillId="0" borderId="86" xfId="0" applyNumberFormat="1" applyBorder="1" applyAlignment="1">
      <alignment horizontal="center" vertical="center"/>
    </xf>
    <xf numFmtId="0" fontId="24" fillId="7" borderId="73" xfId="0" applyFont="1" applyFill="1" applyBorder="1" applyAlignment="1">
      <alignment horizontal="center" vertical="center" wrapText="1"/>
    </xf>
    <xf numFmtId="0" fontId="24" fillId="7" borderId="77" xfId="0" applyFont="1" applyFill="1" applyBorder="1" applyAlignment="1">
      <alignment horizontal="center" vertical="center" wrapText="1"/>
    </xf>
    <xf numFmtId="0" fontId="25" fillId="7" borderId="74" xfId="0" applyFont="1" applyFill="1" applyBorder="1" applyAlignment="1">
      <alignment horizontal="center" vertical="center" wrapText="1"/>
    </xf>
    <xf numFmtId="0" fontId="25" fillId="7" borderId="5" xfId="0" applyFont="1" applyFill="1" applyBorder="1" applyAlignment="1">
      <alignment horizontal="center" vertical="center" wrapText="1"/>
    </xf>
    <xf numFmtId="0" fontId="25" fillId="7" borderId="4" xfId="0" applyFont="1" applyFill="1" applyBorder="1" applyAlignment="1">
      <alignment horizontal="center" vertical="center" wrapText="1"/>
    </xf>
    <xf numFmtId="0" fontId="24" fillId="7" borderId="75" xfId="0" applyFont="1" applyFill="1" applyBorder="1" applyAlignment="1">
      <alignment horizontal="center" vertical="center" wrapText="1"/>
    </xf>
    <xf numFmtId="0" fontId="24" fillId="7" borderId="13" xfId="0" applyFont="1" applyFill="1" applyBorder="1" applyAlignment="1">
      <alignment horizontal="center" vertical="center" wrapText="1"/>
    </xf>
    <xf numFmtId="0" fontId="24" fillId="7" borderId="76" xfId="0" applyFont="1" applyFill="1" applyBorder="1" applyAlignment="1">
      <alignment horizontal="center" vertical="center" wrapText="1"/>
    </xf>
    <xf numFmtId="0" fontId="24" fillId="7" borderId="14" xfId="0" applyFont="1" applyFill="1" applyBorder="1" applyAlignment="1">
      <alignment horizontal="center" vertical="center" wrapText="1"/>
    </xf>
    <xf numFmtId="0" fontId="6" fillId="7" borderId="44" xfId="0" applyFont="1" applyFill="1" applyBorder="1" applyAlignment="1">
      <alignment horizontal="center" vertical="center" wrapText="1"/>
    </xf>
    <xf numFmtId="0" fontId="6" fillId="7" borderId="56" xfId="0" applyFont="1" applyFill="1" applyBorder="1" applyAlignment="1">
      <alignment horizontal="center" vertical="center" wrapText="1"/>
    </xf>
    <xf numFmtId="0" fontId="6" fillId="7" borderId="66" xfId="0" applyFont="1" applyFill="1" applyBorder="1" applyAlignment="1">
      <alignment horizontal="center" vertical="center" wrapText="1"/>
    </xf>
    <xf numFmtId="0" fontId="6" fillId="7" borderId="5" xfId="0" applyFont="1" applyFill="1" applyBorder="1" applyAlignment="1">
      <alignment horizontal="center" vertical="center" wrapText="1"/>
    </xf>
    <xf numFmtId="0" fontId="6" fillId="7" borderId="16" xfId="0" applyFont="1" applyFill="1" applyBorder="1" applyAlignment="1">
      <alignment horizontal="center" vertical="center" wrapText="1"/>
    </xf>
    <xf numFmtId="0" fontId="6" fillId="7" borderId="67" xfId="0" applyFont="1" applyFill="1" applyBorder="1" applyAlignment="1">
      <alignment horizontal="center" vertical="center" wrapText="1"/>
    </xf>
    <xf numFmtId="0" fontId="6" fillId="7" borderId="51" xfId="0" applyFont="1" applyFill="1" applyBorder="1" applyAlignment="1">
      <alignment horizontal="center" vertical="center" wrapText="1"/>
    </xf>
    <xf numFmtId="0" fontId="6" fillId="7" borderId="52" xfId="0" applyFont="1" applyFill="1" applyBorder="1" applyAlignment="1">
      <alignment horizontal="center" vertical="center" wrapText="1"/>
    </xf>
    <xf numFmtId="0" fontId="6" fillId="7" borderId="43" xfId="0" applyFont="1" applyFill="1" applyBorder="1" applyAlignment="1">
      <alignment horizontal="center" vertical="center" wrapText="1"/>
    </xf>
    <xf numFmtId="0" fontId="6" fillId="7" borderId="45" xfId="0" applyFont="1" applyFill="1" applyBorder="1" applyAlignment="1">
      <alignment horizontal="center" vertical="center" wrapText="1"/>
    </xf>
    <xf numFmtId="0" fontId="6" fillId="7" borderId="68" xfId="0" applyFont="1" applyFill="1" applyBorder="1" applyAlignment="1">
      <alignment horizontal="center" vertical="center" wrapText="1"/>
    </xf>
    <xf numFmtId="0" fontId="9" fillId="0" borderId="47" xfId="0" applyFont="1" applyBorder="1" applyAlignment="1">
      <alignment horizontal="center" vertical="center" wrapText="1"/>
    </xf>
    <xf numFmtId="0" fontId="9" fillId="0" borderId="49" xfId="0" applyFont="1" applyBorder="1" applyAlignment="1">
      <alignment horizontal="center" vertical="center" wrapText="1"/>
    </xf>
    <xf numFmtId="0" fontId="9" fillId="0" borderId="50" xfId="0" applyFont="1" applyBorder="1" applyAlignment="1">
      <alignment horizontal="center" vertical="center" wrapText="1"/>
    </xf>
    <xf numFmtId="0" fontId="6" fillId="7" borderId="69" xfId="0" applyFont="1" applyFill="1" applyBorder="1" applyAlignment="1">
      <alignment horizontal="center" vertical="center" wrapText="1"/>
    </xf>
    <xf numFmtId="0" fontId="5" fillId="7" borderId="56" xfId="0" applyFont="1" applyFill="1" applyBorder="1" applyAlignment="1">
      <alignment horizontal="center" vertical="center" wrapText="1"/>
    </xf>
    <xf numFmtId="0" fontId="7" fillId="7" borderId="57" xfId="0" applyFont="1" applyFill="1" applyBorder="1" applyAlignment="1">
      <alignment horizontal="center" vertical="center" wrapText="1"/>
    </xf>
    <xf numFmtId="0" fontId="7" fillId="7" borderId="58" xfId="0" applyFont="1" applyFill="1" applyBorder="1" applyAlignment="1">
      <alignment horizontal="center" vertical="center" wrapText="1"/>
    </xf>
    <xf numFmtId="0" fontId="6" fillId="7" borderId="59" xfId="0" applyFont="1" applyFill="1" applyBorder="1" applyAlignment="1">
      <alignment horizontal="center" vertical="center" wrapText="1"/>
    </xf>
    <xf numFmtId="0" fontId="6" fillId="7" borderId="9" xfId="0" applyFont="1" applyFill="1" applyBorder="1" applyAlignment="1">
      <alignment horizontal="center" vertical="center" wrapText="1"/>
    </xf>
    <xf numFmtId="0" fontId="6" fillId="7" borderId="60" xfId="0" applyFont="1" applyFill="1" applyBorder="1" applyAlignment="1">
      <alignment horizontal="center" vertical="center" wrapText="1"/>
    </xf>
    <xf numFmtId="0" fontId="5" fillId="7" borderId="16" xfId="3" applyFont="1" applyFill="1" applyBorder="1" applyAlignment="1">
      <alignment horizontal="center" vertical="center" wrapText="1"/>
    </xf>
    <xf numFmtId="0" fontId="8" fillId="7" borderId="11" xfId="3" applyFont="1" applyFill="1" applyBorder="1" applyAlignment="1">
      <alignment horizontal="center" vertical="center" wrapText="1"/>
    </xf>
    <xf numFmtId="0" fontId="8" fillId="7" borderId="61" xfId="3" applyFont="1" applyFill="1" applyBorder="1" applyAlignment="1">
      <alignment horizontal="center" vertical="center" wrapText="1"/>
    </xf>
    <xf numFmtId="0" fontId="6" fillId="7" borderId="11" xfId="0" applyFont="1" applyFill="1" applyBorder="1" applyAlignment="1">
      <alignment horizontal="center" vertical="center" wrapText="1"/>
    </xf>
    <xf numFmtId="0" fontId="6" fillId="7" borderId="12" xfId="0" applyFont="1" applyFill="1" applyBorder="1" applyAlignment="1">
      <alignment horizontal="center" vertical="center" wrapText="1"/>
    </xf>
    <xf numFmtId="0" fontId="6" fillId="7" borderId="53" xfId="0" applyFont="1" applyFill="1" applyBorder="1" applyAlignment="1">
      <alignment horizontal="center" vertical="center" wrapText="1"/>
    </xf>
    <xf numFmtId="0" fontId="6" fillId="7" borderId="46" xfId="0" applyFont="1" applyFill="1" applyBorder="1" applyAlignment="1">
      <alignment horizontal="center" vertical="center" wrapText="1"/>
    </xf>
    <xf numFmtId="0" fontId="6" fillId="7" borderId="4" xfId="0" applyFont="1" applyFill="1" applyBorder="1" applyAlignment="1">
      <alignment horizontal="center" vertical="center" wrapText="1"/>
    </xf>
    <xf numFmtId="0" fontId="8" fillId="7" borderId="5" xfId="3" applyFont="1" applyFill="1" applyBorder="1" applyAlignment="1">
      <alignment horizontal="center" vertical="center" wrapText="1"/>
    </xf>
    <xf numFmtId="0" fontId="5" fillId="7" borderId="5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left" vertical="top" wrapText="1"/>
    </xf>
    <xf numFmtId="0" fontId="4" fillId="6" borderId="2" xfId="0" applyFont="1" applyFill="1" applyBorder="1" applyAlignment="1">
      <alignment horizontal="left" vertical="top" wrapText="1"/>
    </xf>
    <xf numFmtId="0" fontId="4" fillId="6" borderId="3" xfId="0" applyFont="1" applyFill="1" applyBorder="1" applyAlignment="1">
      <alignment horizontal="left" vertical="top" wrapText="1"/>
    </xf>
    <xf numFmtId="0" fontId="5" fillId="7" borderId="0" xfId="0" applyFont="1" applyFill="1" applyAlignment="1">
      <alignment horizontal="center" vertical="center" wrapText="1"/>
    </xf>
    <xf numFmtId="0" fontId="5" fillId="7" borderId="9" xfId="0" applyFont="1" applyFill="1" applyBorder="1" applyAlignment="1">
      <alignment horizontal="center" vertical="center" wrapText="1"/>
    </xf>
    <xf numFmtId="0" fontId="5" fillId="7" borderId="10" xfId="0" applyFont="1" applyFill="1" applyBorder="1" applyAlignment="1">
      <alignment horizontal="center" vertical="center" wrapText="1"/>
    </xf>
    <xf numFmtId="0" fontId="6" fillId="7" borderId="0" xfId="0" applyFont="1" applyFill="1" applyAlignment="1">
      <alignment horizontal="center" vertical="center" wrapText="1"/>
    </xf>
    <xf numFmtId="0" fontId="6" fillId="7" borderId="10" xfId="0" applyFont="1" applyFill="1" applyBorder="1" applyAlignment="1">
      <alignment horizontal="center" vertical="center" wrapText="1"/>
    </xf>
    <xf numFmtId="0" fontId="7" fillId="7" borderId="0" xfId="0" applyFont="1" applyFill="1" applyAlignment="1">
      <alignment horizontal="center" vertical="center" wrapText="1"/>
    </xf>
    <xf numFmtId="0" fontId="5" fillId="7" borderId="11" xfId="0" applyFont="1" applyFill="1" applyBorder="1" applyAlignment="1">
      <alignment horizontal="center" vertical="center" wrapText="1"/>
    </xf>
    <xf numFmtId="0" fontId="5" fillId="7" borderId="12" xfId="0" applyFont="1" applyFill="1" applyBorder="1" applyAlignment="1">
      <alignment horizontal="center" vertical="center" wrapText="1"/>
    </xf>
    <xf numFmtId="0" fontId="3" fillId="5" borderId="0" xfId="0" applyFont="1" applyFill="1" applyAlignment="1">
      <alignment horizontal="center" vertical="center" wrapText="1"/>
    </xf>
    <xf numFmtId="0" fontId="1" fillId="0" borderId="35" xfId="0" applyFont="1" applyBorder="1" applyAlignment="1">
      <alignment horizontal="left" vertical="top" wrapText="1"/>
    </xf>
    <xf numFmtId="0" fontId="1" fillId="0" borderId="0" xfId="0" applyFont="1" applyAlignment="1">
      <alignment horizontal="left" vertical="top" wrapText="1"/>
    </xf>
    <xf numFmtId="0" fontId="1" fillId="0" borderId="36" xfId="0" applyFont="1" applyBorder="1" applyAlignment="1">
      <alignment horizontal="left" vertical="top" wrapText="1"/>
    </xf>
    <xf numFmtId="0" fontId="1" fillId="0" borderId="37" xfId="0" applyFont="1" applyBorder="1" applyAlignment="1">
      <alignment horizontal="left" vertical="top" wrapText="1"/>
    </xf>
    <xf numFmtId="0" fontId="1" fillId="0" borderId="38" xfId="0" applyFont="1" applyBorder="1" applyAlignment="1">
      <alignment horizontal="left" vertical="top" wrapText="1"/>
    </xf>
    <xf numFmtId="0" fontId="1" fillId="0" borderId="39" xfId="0" applyFont="1" applyBorder="1" applyAlignment="1">
      <alignment horizontal="left" vertical="top" wrapText="1"/>
    </xf>
    <xf numFmtId="0" fontId="1" fillId="0" borderId="40" xfId="0" applyFont="1" applyBorder="1" applyAlignment="1">
      <alignment horizontal="left" vertical="top" wrapText="1"/>
    </xf>
    <xf numFmtId="0" fontId="1" fillId="0" borderId="41" xfId="0" applyFont="1" applyBorder="1" applyAlignment="1">
      <alignment horizontal="left" vertical="top" wrapText="1"/>
    </xf>
    <xf numFmtId="0" fontId="5" fillId="7" borderId="16" xfId="0" applyFont="1" applyFill="1" applyBorder="1" applyAlignment="1">
      <alignment horizontal="center" vertical="center" wrapText="1"/>
    </xf>
    <xf numFmtId="0" fontId="5" fillId="7" borderId="32" xfId="0" applyFont="1" applyFill="1" applyBorder="1" applyAlignment="1">
      <alignment horizontal="center" vertical="center" wrapText="1"/>
    </xf>
    <xf numFmtId="0" fontId="5" fillId="7" borderId="33" xfId="0" applyFont="1" applyFill="1" applyBorder="1" applyAlignment="1">
      <alignment horizontal="center" vertical="center" wrapText="1"/>
    </xf>
    <xf numFmtId="0" fontId="5" fillId="7" borderId="4" xfId="0" applyFont="1" applyFill="1" applyBorder="1" applyAlignment="1">
      <alignment horizontal="center" vertical="center" wrapText="1"/>
    </xf>
    <xf numFmtId="0" fontId="5" fillId="7" borderId="13" xfId="0" applyFont="1" applyFill="1" applyBorder="1" applyAlignment="1">
      <alignment horizontal="center" vertical="center" wrapText="1"/>
    </xf>
    <xf numFmtId="0" fontId="5" fillId="7" borderId="20" xfId="0" applyFont="1" applyFill="1" applyBorder="1" applyAlignment="1">
      <alignment horizontal="center" vertical="center" wrapText="1"/>
    </xf>
    <xf numFmtId="0" fontId="5" fillId="7" borderId="6" xfId="0" applyFont="1" applyFill="1" applyBorder="1" applyAlignment="1">
      <alignment horizontal="center" vertical="center" wrapText="1"/>
    </xf>
    <xf numFmtId="0" fontId="5" fillId="7" borderId="14" xfId="0" applyFont="1" applyFill="1" applyBorder="1" applyAlignment="1">
      <alignment horizontal="center" vertical="center" wrapText="1"/>
    </xf>
    <xf numFmtId="0" fontId="5" fillId="7" borderId="21" xfId="0" applyFont="1" applyFill="1" applyBorder="1" applyAlignment="1">
      <alignment horizontal="center" vertical="center" wrapText="1"/>
    </xf>
    <xf numFmtId="0" fontId="5" fillId="7" borderId="8" xfId="0" applyFont="1" applyFill="1" applyBorder="1" applyAlignment="1">
      <alignment horizontal="center" vertical="center" wrapText="1"/>
    </xf>
    <xf numFmtId="0" fontId="5" fillId="7" borderId="15" xfId="0" applyFont="1" applyFill="1" applyBorder="1" applyAlignment="1">
      <alignment horizontal="center" vertical="center" wrapText="1"/>
    </xf>
    <xf numFmtId="0" fontId="5" fillId="7" borderId="23" xfId="0" applyFont="1" applyFill="1" applyBorder="1" applyAlignment="1">
      <alignment horizontal="center" vertical="center" wrapText="1"/>
    </xf>
    <xf numFmtId="0" fontId="5" fillId="7" borderId="17" xfId="0" applyFont="1" applyFill="1" applyBorder="1" applyAlignment="1">
      <alignment horizontal="center" vertical="center" wrapText="1"/>
    </xf>
    <xf numFmtId="0" fontId="5" fillId="7" borderId="18" xfId="0" applyFont="1" applyFill="1" applyBorder="1" applyAlignment="1">
      <alignment horizontal="center" vertical="center" wrapText="1"/>
    </xf>
    <xf numFmtId="0" fontId="5" fillId="7" borderId="19" xfId="0" applyFont="1" applyFill="1" applyBorder="1" applyAlignment="1">
      <alignment horizontal="center" vertical="center" wrapText="1"/>
    </xf>
  </cellXfs>
  <cellStyles count="4">
    <cellStyle name="Normal" xfId="0" builtinId="0"/>
    <cellStyle name="Normal 2" xfId="2" xr:uid="{00000000-0005-0000-0000-000031000000}"/>
    <cellStyle name="Normal 3" xfId="3" xr:uid="{00000000-0005-0000-0000-000032000000}"/>
    <cellStyle name="Percent" xfId="1" builtinId="5"/>
  </cellStyles>
  <dxfs count="245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244"/>
      <tableStyleElement type="headerRow" dxfId="243"/>
      <tableStyleElement type="totalRow" dxfId="242"/>
      <tableStyleElement type="firstColumn" dxfId="241"/>
      <tableStyleElement type="lastColumn" dxfId="240"/>
      <tableStyleElement type="firstRowStripe" dxfId="239"/>
      <tableStyleElement type="firstColumnStripe" dxfId="238"/>
    </tableStyle>
    <tableStyle name="PivotStylePreset2_Accent1" table="0" count="10" xr9:uid="{267968C8-6FFD-4C36-ACC1-9EA1FD1885CA}">
      <tableStyleElement type="headerRow" dxfId="237"/>
      <tableStyleElement type="totalRow" dxfId="236"/>
      <tableStyleElement type="firstRowStripe" dxfId="235"/>
      <tableStyleElement type="firstColumnStripe" dxfId="234"/>
      <tableStyleElement type="firstSubtotalRow" dxfId="233"/>
      <tableStyleElement type="secondSubtotalRow" dxfId="232"/>
      <tableStyleElement type="firstRowSubheading" dxfId="231"/>
      <tableStyleElement type="secondRowSubheading" dxfId="230"/>
      <tableStyleElement type="pageFieldLabels" dxfId="229"/>
      <tableStyleElement type="pageFieldValues" dxfId="228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dennis.huang/Documents/Data%20Dashboard%20Dennis.xlsx" TargetMode="External"/><Relationship Id="rId1" Type="http://schemas.openxmlformats.org/officeDocument/2006/relationships/externalLinkPath" Target="/Users/dennis.huang/Documents/Data%20Dashboard%20Denni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per DP"/>
      <sheetName val="Raw Abnsensi"/>
      <sheetName val="Raw Abnsensi (2)"/>
      <sheetName val="Raw Deliv TTD 730 1200"/>
      <sheetName val="TTD rit 2"/>
      <sheetName val="Raw TPTW TTD"/>
      <sheetName val="Raw PU Non Ecom"/>
      <sheetName val="Raw Retur COD Non Ecom"/>
      <sheetName val="非平台目标 Target Non Ecom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S15"/>
  <sheetViews>
    <sheetView topLeftCell="D1" workbookViewId="0">
      <selection activeCell="F5" sqref="F5"/>
    </sheetView>
  </sheetViews>
  <sheetFormatPr defaultColWidth="8.77734375" defaultRowHeight="14.4"/>
  <cols>
    <col min="2" max="2" width="12.21875" customWidth="1"/>
    <col min="3" max="3" width="21" customWidth="1"/>
    <col min="4" max="4" width="14.6640625" customWidth="1"/>
    <col min="5" max="5" width="10.88671875" customWidth="1"/>
    <col min="6" max="8" width="11.33203125" customWidth="1"/>
    <col min="9" max="9" width="12.6640625" customWidth="1"/>
    <col min="10" max="10" width="8.77734375" customWidth="1"/>
    <col min="11" max="13" width="11.33203125" customWidth="1"/>
    <col min="14" max="14" width="12.5546875" customWidth="1"/>
    <col min="15" max="15" width="8.77734375" customWidth="1"/>
    <col min="16" max="17" width="11.33203125"/>
    <col min="18" max="18" width="11.44140625" customWidth="1"/>
    <col min="19" max="19" width="12.5546875" customWidth="1"/>
  </cols>
  <sheetData>
    <row r="2" spans="2:19" ht="40.950000000000003" customHeight="1">
      <c r="B2" s="166" t="s">
        <v>0</v>
      </c>
      <c r="C2" s="158" t="s">
        <v>1</v>
      </c>
      <c r="D2" s="158" t="s">
        <v>2</v>
      </c>
      <c r="E2" s="158" t="s">
        <v>3</v>
      </c>
      <c r="F2" s="158"/>
      <c r="G2" s="158"/>
      <c r="H2" s="158"/>
      <c r="I2" s="158"/>
      <c r="J2" s="158"/>
      <c r="K2" s="158"/>
      <c r="L2" s="158"/>
      <c r="M2" s="158"/>
      <c r="N2" s="158"/>
      <c r="O2" s="158"/>
      <c r="P2" s="158"/>
      <c r="Q2" s="158"/>
      <c r="R2" s="159"/>
      <c r="S2" s="160"/>
    </row>
    <row r="3" spans="2:19" ht="36" customHeight="1">
      <c r="B3" s="167"/>
      <c r="C3" s="161"/>
      <c r="D3" s="161"/>
      <c r="E3" s="161" t="s">
        <v>4</v>
      </c>
      <c r="F3" s="161"/>
      <c r="G3" s="161"/>
      <c r="H3" s="161"/>
      <c r="I3" s="161"/>
      <c r="J3" s="161" t="s">
        <v>5</v>
      </c>
      <c r="K3" s="161"/>
      <c r="L3" s="161"/>
      <c r="M3" s="161"/>
      <c r="N3" s="161"/>
      <c r="O3" s="161" t="s">
        <v>6</v>
      </c>
      <c r="P3" s="161"/>
      <c r="Q3" s="161"/>
      <c r="R3" s="162"/>
      <c r="S3" s="163"/>
    </row>
    <row r="4" spans="2:19" ht="28.8">
      <c r="B4" s="168"/>
      <c r="C4" s="172"/>
      <c r="D4" s="172"/>
      <c r="E4" s="125" t="s">
        <v>7</v>
      </c>
      <c r="F4" s="126">
        <v>46242</v>
      </c>
      <c r="G4" s="126">
        <f>F4-1</f>
        <v>46241</v>
      </c>
      <c r="H4" s="126">
        <f>G4-1</f>
        <v>46240</v>
      </c>
      <c r="I4" s="125" t="s">
        <v>8</v>
      </c>
      <c r="J4" s="125" t="s">
        <v>7</v>
      </c>
      <c r="K4" s="127">
        <f>F4</f>
        <v>46242</v>
      </c>
      <c r="L4" s="126">
        <f>F4-1</f>
        <v>46241</v>
      </c>
      <c r="M4" s="126">
        <f>G4-1</f>
        <v>46240</v>
      </c>
      <c r="N4" s="125" t="s">
        <v>8</v>
      </c>
      <c r="O4" s="125" t="s">
        <v>7</v>
      </c>
      <c r="P4" s="127">
        <f>F4</f>
        <v>46242</v>
      </c>
      <c r="Q4" s="126">
        <f>F4-1</f>
        <v>46241</v>
      </c>
      <c r="R4" s="126">
        <f>G4-1</f>
        <v>46240</v>
      </c>
      <c r="S4" s="128" t="s">
        <v>8</v>
      </c>
    </row>
    <row r="5" spans="2:19">
      <c r="B5" s="169" t="s">
        <v>9</v>
      </c>
      <c r="C5" s="106" t="s">
        <v>10</v>
      </c>
      <c r="D5" s="106" t="s">
        <v>11</v>
      </c>
      <c r="E5" s="129">
        <v>0.9</v>
      </c>
      <c r="F5" s="118">
        <v>0.95225610597488619</v>
      </c>
      <c r="G5" s="118">
        <v>0.93818181818181823</v>
      </c>
      <c r="H5" s="118">
        <v>0.95495735607675902</v>
      </c>
      <c r="I5" s="118">
        <v>0.94406560207164436</v>
      </c>
      <c r="J5" s="129">
        <v>0.9</v>
      </c>
      <c r="K5" s="118">
        <v>0.92796888109221265</v>
      </c>
      <c r="L5" s="118">
        <v>0.92572907968738261</v>
      </c>
      <c r="M5" s="118">
        <v>0.91432013372761689</v>
      </c>
      <c r="N5" s="130">
        <v>0.91750203465321201</v>
      </c>
      <c r="O5" s="129">
        <v>0.9</v>
      </c>
      <c r="P5" s="118">
        <v>0.90472776403674127</v>
      </c>
      <c r="Q5" s="118">
        <v>0.9097845343653771</v>
      </c>
      <c r="R5" s="118">
        <v>0.90557003013722448</v>
      </c>
      <c r="S5" s="118">
        <v>0.89785710708906741</v>
      </c>
    </row>
    <row r="6" spans="2:19">
      <c r="B6" s="170"/>
      <c r="C6" s="106" t="s">
        <v>12</v>
      </c>
      <c r="D6" s="106" t="s">
        <v>13</v>
      </c>
      <c r="E6" s="129">
        <v>0.9</v>
      </c>
      <c r="F6" s="118">
        <v>0.94222343921139107</v>
      </c>
      <c r="G6" s="118">
        <v>0.94846434148880787</v>
      </c>
      <c r="H6" s="118">
        <v>0.95064540622627181</v>
      </c>
      <c r="I6" s="118">
        <v>0.94773329708421128</v>
      </c>
      <c r="J6" s="129">
        <v>0.9</v>
      </c>
      <c r="K6" s="118">
        <v>0.95021560172481379</v>
      </c>
      <c r="L6" s="118">
        <v>0.95015158908558583</v>
      </c>
      <c r="M6" s="118">
        <v>0.95232412664806088</v>
      </c>
      <c r="N6" s="130">
        <v>0.93835541383398446</v>
      </c>
      <c r="O6" s="129">
        <v>0.9</v>
      </c>
      <c r="P6" s="118">
        <v>0.90290967489030238</v>
      </c>
      <c r="Q6" s="118">
        <v>0.91575406570726903</v>
      </c>
      <c r="R6" s="118">
        <v>0.92002694639591953</v>
      </c>
      <c r="S6" s="118">
        <v>0.90431413927202031</v>
      </c>
    </row>
    <row r="7" spans="2:19">
      <c r="B7" s="170"/>
      <c r="C7" s="106" t="s">
        <v>14</v>
      </c>
      <c r="D7" s="106" t="s">
        <v>15</v>
      </c>
      <c r="E7" s="129">
        <v>0.9</v>
      </c>
      <c r="F7" s="118">
        <v>0.93636577893000239</v>
      </c>
      <c r="G7" s="118">
        <v>0.95</v>
      </c>
      <c r="H7" s="118">
        <v>0.95450625269512723</v>
      </c>
      <c r="I7" s="118">
        <v>0.94420822799356474</v>
      </c>
      <c r="J7" s="129">
        <v>0.9</v>
      </c>
      <c r="K7" s="118">
        <v>0.94280877842832678</v>
      </c>
      <c r="L7" s="118">
        <v>0.95721271393643037</v>
      </c>
      <c r="M7" s="118">
        <v>0.94671557558137509</v>
      </c>
      <c r="N7" s="130">
        <v>0.93743992577230806</v>
      </c>
      <c r="O7" s="129">
        <v>0.9</v>
      </c>
      <c r="P7" s="118">
        <v>0.93105110128649382</v>
      </c>
      <c r="Q7" s="118">
        <v>0.93946586420914047</v>
      </c>
      <c r="R7" s="118">
        <v>0.93803901311954874</v>
      </c>
      <c r="S7" s="118">
        <v>0.93166184485154935</v>
      </c>
    </row>
    <row r="8" spans="2:19">
      <c r="B8" s="171"/>
      <c r="C8" s="106" t="s">
        <v>16</v>
      </c>
      <c r="D8" s="106" t="s">
        <v>17</v>
      </c>
      <c r="E8" s="129">
        <v>0.9</v>
      </c>
      <c r="F8" s="118">
        <v>0.91379310344827591</v>
      </c>
      <c r="G8" s="118">
        <v>0.94620253164556967</v>
      </c>
      <c r="H8" s="118">
        <v>0.9331983805668016</v>
      </c>
      <c r="I8" s="118">
        <v>0.92964686558992604</v>
      </c>
      <c r="J8" s="129">
        <v>0.9</v>
      </c>
      <c r="K8" s="118">
        <v>0.95209072673970063</v>
      </c>
      <c r="L8" s="118">
        <v>0.95647617843140798</v>
      </c>
      <c r="M8" s="118">
        <v>0.94561956083653032</v>
      </c>
      <c r="N8" s="130">
        <v>0.94690271201033149</v>
      </c>
      <c r="O8" s="129">
        <v>0.9</v>
      </c>
      <c r="P8" s="118">
        <v>0.90572442524301811</v>
      </c>
      <c r="Q8" s="118">
        <v>0.90912211602738979</v>
      </c>
      <c r="R8" s="118">
        <v>0.91694406711349286</v>
      </c>
      <c r="S8" s="118">
        <v>0.91153250107619455</v>
      </c>
    </row>
    <row r="9" spans="2:19">
      <c r="B9" s="170"/>
      <c r="C9" s="106" t="s">
        <v>18</v>
      </c>
      <c r="D9" s="106" t="s">
        <v>19</v>
      </c>
      <c r="E9" s="129">
        <v>0.9</v>
      </c>
      <c r="F9" s="118">
        <v>0.90851940169087364</v>
      </c>
      <c r="G9" s="118">
        <v>0.91361256544502623</v>
      </c>
      <c r="H9" s="118">
        <v>0.92102816153028688</v>
      </c>
      <c r="I9" s="118">
        <v>0.91212210103380531</v>
      </c>
      <c r="J9" s="129">
        <v>0.9</v>
      </c>
      <c r="K9" s="118">
        <v>0.94928323137956816</v>
      </c>
      <c r="L9" s="118">
        <v>0.95102829556870183</v>
      </c>
      <c r="M9" s="118">
        <v>0.95150303441827078</v>
      </c>
      <c r="N9" s="130">
        <v>0.94356922694244871</v>
      </c>
      <c r="O9" s="129">
        <v>0.9</v>
      </c>
      <c r="P9" s="118">
        <v>0.87942762192160562</v>
      </c>
      <c r="Q9" s="118">
        <v>0.88456579975443683</v>
      </c>
      <c r="R9" s="118">
        <v>0.87873872452694735</v>
      </c>
      <c r="S9" s="118">
        <v>0.87001926096335092</v>
      </c>
    </row>
    <row r="10" spans="2:19">
      <c r="B10" s="170"/>
      <c r="C10" s="106" t="s">
        <v>20</v>
      </c>
      <c r="D10" s="106" t="s">
        <v>21</v>
      </c>
      <c r="E10" s="129">
        <v>0.9</v>
      </c>
      <c r="F10" s="118">
        <v>0.91603243917654398</v>
      </c>
      <c r="G10" s="118">
        <v>0.91648458363680507</v>
      </c>
      <c r="H10" s="118">
        <v>0.92176470588235293</v>
      </c>
      <c r="I10" s="118">
        <v>0.91459809488057808</v>
      </c>
      <c r="J10" s="129">
        <v>0.9</v>
      </c>
      <c r="K10" s="118">
        <v>0.95029084541008069</v>
      </c>
      <c r="L10" s="118">
        <v>0.93964211520156971</v>
      </c>
      <c r="M10" s="118">
        <v>0.95237681951664366</v>
      </c>
      <c r="N10" s="130">
        <v>0.94531080960653746</v>
      </c>
      <c r="O10" s="129">
        <v>0.9</v>
      </c>
      <c r="P10" s="118">
        <v>0.91791264602964451</v>
      </c>
      <c r="Q10" s="118">
        <v>0.92665160743694264</v>
      </c>
      <c r="R10" s="118">
        <v>0.92504310361578135</v>
      </c>
      <c r="S10" s="118">
        <v>0.92049816928441586</v>
      </c>
    </row>
    <row r="11" spans="2:19">
      <c r="B11" s="170"/>
      <c r="C11" s="106" t="s">
        <v>22</v>
      </c>
      <c r="D11" s="106" t="s">
        <v>23</v>
      </c>
      <c r="E11" s="129">
        <v>0.9</v>
      </c>
      <c r="F11" s="118">
        <v>0.91882202304737515</v>
      </c>
      <c r="G11" s="118">
        <v>0.93226205191594558</v>
      </c>
      <c r="H11" s="118">
        <v>0.93812709030100339</v>
      </c>
      <c r="I11" s="118">
        <v>0.91791233848492526</v>
      </c>
      <c r="J11" s="129">
        <v>0.9</v>
      </c>
      <c r="K11" s="118">
        <v>0.92721291143098894</v>
      </c>
      <c r="L11" s="118">
        <v>0.93425594957542157</v>
      </c>
      <c r="M11" s="118">
        <v>0.92792127817519232</v>
      </c>
      <c r="N11" s="130">
        <v>0.92603040590600316</v>
      </c>
      <c r="O11" s="129">
        <v>0.9</v>
      </c>
      <c r="P11" s="118">
        <v>0.89431157078215906</v>
      </c>
      <c r="Q11" s="118">
        <v>0.90634307158853222</v>
      </c>
      <c r="R11" s="118">
        <v>0.89682944729383185</v>
      </c>
      <c r="S11" s="118">
        <v>0.89292306983084779</v>
      </c>
    </row>
    <row r="12" spans="2:19">
      <c r="B12" s="170"/>
      <c r="C12" s="106" t="s">
        <v>24</v>
      </c>
      <c r="D12" s="106" t="s">
        <v>25</v>
      </c>
      <c r="E12" s="129">
        <v>0.9</v>
      </c>
      <c r="F12" s="118">
        <v>0.93756236635780466</v>
      </c>
      <c r="G12" s="118">
        <v>0.94049996556710969</v>
      </c>
      <c r="H12" s="118">
        <v>0.94688620369140886</v>
      </c>
      <c r="I12" s="118">
        <v>0.93409331919406147</v>
      </c>
      <c r="J12" s="129">
        <v>0.9</v>
      </c>
      <c r="K12" s="118">
        <v>0.9583728013922308</v>
      </c>
      <c r="L12" s="118">
        <v>0.96308732178529399</v>
      </c>
      <c r="M12" s="118">
        <v>0.94584341357666968</v>
      </c>
      <c r="N12" s="130">
        <v>0.95293150294059603</v>
      </c>
      <c r="O12" s="129">
        <v>0.9</v>
      </c>
      <c r="P12" s="118">
        <v>0.89577348883507635</v>
      </c>
      <c r="Q12" s="118">
        <v>0.9053617199828512</v>
      </c>
      <c r="R12" s="118">
        <v>0.89313408946656736</v>
      </c>
      <c r="S12" s="118">
        <v>0.89785947917766207</v>
      </c>
    </row>
    <row r="13" spans="2:19">
      <c r="B13" s="170"/>
      <c r="C13" s="106" t="s">
        <v>26</v>
      </c>
      <c r="D13" s="106" t="s">
        <v>27</v>
      </c>
      <c r="E13" s="129">
        <v>0.9</v>
      </c>
      <c r="F13" s="118">
        <v>0.9013671875</v>
      </c>
      <c r="G13" s="118">
        <v>0.90591271703425624</v>
      </c>
      <c r="H13" s="118">
        <v>0.91474121996303137</v>
      </c>
      <c r="I13" s="118">
        <v>0.90378343118069149</v>
      </c>
      <c r="J13" s="129">
        <v>0.9</v>
      </c>
      <c r="K13" s="118">
        <v>0.92314574156657825</v>
      </c>
      <c r="L13" s="118">
        <v>0.90520749422595037</v>
      </c>
      <c r="M13" s="118">
        <v>0.89675654343449207</v>
      </c>
      <c r="N13" s="130">
        <v>0.90062026470653644</v>
      </c>
      <c r="O13" s="129">
        <v>0.9</v>
      </c>
      <c r="P13" s="118">
        <v>0.78428497168340128</v>
      </c>
      <c r="Q13" s="118">
        <v>0.75601853640846683</v>
      </c>
      <c r="R13" s="118">
        <v>0.77167376806844101</v>
      </c>
      <c r="S13" s="118">
        <v>0.76416418147082943</v>
      </c>
    </row>
    <row r="14" spans="2:19">
      <c r="B14" s="170"/>
      <c r="C14" s="106" t="s">
        <v>28</v>
      </c>
      <c r="D14" s="106" t="s">
        <v>29</v>
      </c>
      <c r="E14" s="129">
        <v>0.9</v>
      </c>
      <c r="F14" s="118">
        <v>0.90638594049069077</v>
      </c>
      <c r="G14" s="118">
        <v>0.92021101219914281</v>
      </c>
      <c r="H14" s="118">
        <v>0.92545687720423209</v>
      </c>
      <c r="I14" s="118">
        <v>0.91162542662116042</v>
      </c>
      <c r="J14" s="129">
        <v>0.9</v>
      </c>
      <c r="K14" s="118">
        <v>0.94300352225424267</v>
      </c>
      <c r="L14" s="118">
        <v>0.94960213935910764</v>
      </c>
      <c r="M14" s="118">
        <v>0.94958454974174711</v>
      </c>
      <c r="N14" s="130">
        <v>0.94100364770814449</v>
      </c>
      <c r="O14" s="129">
        <v>0.9</v>
      </c>
      <c r="P14" s="118">
        <v>0.78135013211176241</v>
      </c>
      <c r="Q14" s="118">
        <v>0.81507489718391823</v>
      </c>
      <c r="R14" s="118">
        <v>0.8100402180348284</v>
      </c>
      <c r="S14" s="118">
        <v>0.78592730563538094</v>
      </c>
    </row>
    <row r="15" spans="2:19">
      <c r="B15" s="164" t="s">
        <v>30</v>
      </c>
      <c r="C15" s="165"/>
      <c r="D15" s="165"/>
      <c r="E15" s="131" t="s">
        <v>31</v>
      </c>
      <c r="F15" s="131">
        <v>0.92419718481506308</v>
      </c>
      <c r="G15" s="131">
        <v>0.92835938756708536</v>
      </c>
      <c r="H15" s="131">
        <v>0.93531674497168249</v>
      </c>
      <c r="I15" s="131">
        <v>0.9246701566344212</v>
      </c>
      <c r="J15" s="131" t="s">
        <v>31</v>
      </c>
      <c r="K15" s="131">
        <v>0.94453238356183478</v>
      </c>
      <c r="L15" s="131">
        <v>0.94534627508851876</v>
      </c>
      <c r="M15" s="131">
        <v>0.94114144616198603</v>
      </c>
      <c r="N15" s="131">
        <v>0.93802358471767688</v>
      </c>
      <c r="O15" s="131" t="s">
        <v>31</v>
      </c>
      <c r="P15" s="131">
        <v>0.87901604764301877</v>
      </c>
      <c r="Q15" s="131">
        <v>0.88857725470198168</v>
      </c>
      <c r="R15" s="131">
        <v>0.88644027735189956</v>
      </c>
      <c r="S15" s="132">
        <v>0.8776159568332198</v>
      </c>
    </row>
  </sheetData>
  <mergeCells count="9">
    <mergeCell ref="E2:S2"/>
    <mergeCell ref="E3:I3"/>
    <mergeCell ref="J3:N3"/>
    <mergeCell ref="O3:S3"/>
    <mergeCell ref="B15:D15"/>
    <mergeCell ref="B2:B4"/>
    <mergeCell ref="B5:B14"/>
    <mergeCell ref="C2:C4"/>
    <mergeCell ref="D2:D4"/>
  </mergeCells>
  <conditionalFormatting sqref="F5:I14">
    <cfRule type="cellIs" dxfId="227" priority="1" operator="lessThan">
      <formula>$E$5</formula>
    </cfRule>
    <cfRule type="cellIs" dxfId="226" priority="2" operator="greaterThan">
      <formula>$E$5</formula>
    </cfRule>
  </conditionalFormatting>
  <conditionalFormatting sqref="K5:N14">
    <cfRule type="cellIs" dxfId="225" priority="5" operator="greaterThan">
      <formula>$J$5</formula>
    </cfRule>
    <cfRule type="cellIs" dxfId="224" priority="6" operator="lessThan">
      <formula>$J$5</formula>
    </cfRule>
  </conditionalFormatting>
  <conditionalFormatting sqref="P5:S14">
    <cfRule type="cellIs" dxfId="223" priority="3" operator="lessThan">
      <formula>$O$5</formula>
    </cfRule>
    <cfRule type="cellIs" dxfId="222" priority="4" operator="greaterThan">
      <formula>$O$5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S15"/>
  <sheetViews>
    <sheetView topLeftCell="D2" zoomScale="85" zoomScaleNormal="85" workbookViewId="0">
      <selection activeCell="E5" sqref="E5:S15"/>
    </sheetView>
  </sheetViews>
  <sheetFormatPr defaultColWidth="8.77734375" defaultRowHeight="14.4"/>
  <cols>
    <col min="2" max="2" width="12.33203125" customWidth="1"/>
    <col min="3" max="3" width="21.21875" customWidth="1"/>
    <col min="4" max="4" width="12" customWidth="1"/>
    <col min="5" max="11" width="14.33203125" customWidth="1"/>
    <col min="12" max="12" width="14.44140625" customWidth="1"/>
    <col min="13" max="14" width="14.21875" customWidth="1"/>
    <col min="15" max="17" width="14.33203125" customWidth="1"/>
    <col min="18" max="19" width="14.21875" customWidth="1"/>
  </cols>
  <sheetData>
    <row r="2" spans="2:19" ht="57" customHeight="1">
      <c r="B2" s="166" t="s">
        <v>0</v>
      </c>
      <c r="C2" s="158" t="s">
        <v>1</v>
      </c>
      <c r="D2" s="158" t="s">
        <v>2</v>
      </c>
      <c r="E2" s="173" t="s">
        <v>32</v>
      </c>
      <c r="F2" s="174"/>
      <c r="G2" s="174"/>
      <c r="H2" s="174"/>
      <c r="I2" s="175"/>
      <c r="J2" s="176" t="s">
        <v>33</v>
      </c>
      <c r="K2" s="177"/>
      <c r="L2" s="177"/>
      <c r="M2" s="177"/>
      <c r="N2" s="177"/>
      <c r="O2" s="177"/>
      <c r="P2" s="177"/>
      <c r="Q2" s="177"/>
      <c r="R2" s="177"/>
      <c r="S2" s="178"/>
    </row>
    <row r="3" spans="2:19" ht="55.05" customHeight="1">
      <c r="B3" s="167"/>
      <c r="C3" s="161"/>
      <c r="D3" s="161"/>
      <c r="E3" s="179" t="s">
        <v>34</v>
      </c>
      <c r="F3" s="180"/>
      <c r="G3" s="180"/>
      <c r="H3" s="180"/>
      <c r="I3" s="181"/>
      <c r="J3" s="162" t="s">
        <v>35</v>
      </c>
      <c r="K3" s="182"/>
      <c r="L3" s="182"/>
      <c r="M3" s="182"/>
      <c r="N3" s="183"/>
      <c r="O3" s="162" t="s">
        <v>36</v>
      </c>
      <c r="P3" s="182"/>
      <c r="Q3" s="182"/>
      <c r="R3" s="182"/>
      <c r="S3" s="183"/>
    </row>
    <row r="4" spans="2:19" ht="28.8">
      <c r="B4" s="185"/>
      <c r="C4" s="186"/>
      <c r="D4" s="186"/>
      <c r="E4" s="104" t="s">
        <v>7</v>
      </c>
      <c r="F4" s="104">
        <f>'06.30, 07.30, &amp; 12.00'!F4</f>
        <v>46242</v>
      </c>
      <c r="G4" s="105">
        <f>F4-1</f>
        <v>46241</v>
      </c>
      <c r="H4" s="105">
        <f>G4-1</f>
        <v>46240</v>
      </c>
      <c r="I4" s="115" t="s">
        <v>8</v>
      </c>
      <c r="J4" s="116" t="s">
        <v>7</v>
      </c>
      <c r="K4" s="104">
        <f>F4</f>
        <v>46242</v>
      </c>
      <c r="L4" s="105">
        <f>F4-1</f>
        <v>46241</v>
      </c>
      <c r="M4" s="105">
        <f>G4-1</f>
        <v>46240</v>
      </c>
      <c r="N4" s="17" t="s">
        <v>8</v>
      </c>
      <c r="O4" s="104" t="s">
        <v>7</v>
      </c>
      <c r="P4" s="104">
        <f>K4</f>
        <v>46242</v>
      </c>
      <c r="Q4" s="105">
        <f>K4-1</f>
        <v>46241</v>
      </c>
      <c r="R4" s="105">
        <f>L4-1</f>
        <v>46240</v>
      </c>
      <c r="S4" s="17" t="s">
        <v>8</v>
      </c>
    </row>
    <row r="5" spans="2:19">
      <c r="B5" s="169" t="s">
        <v>9</v>
      </c>
      <c r="C5" s="106" t="s">
        <v>10</v>
      </c>
      <c r="D5" s="106" t="s">
        <v>11</v>
      </c>
      <c r="E5" s="117">
        <v>0.92</v>
      </c>
      <c r="F5" s="118">
        <v>0.92294472601013633</v>
      </c>
      <c r="G5" s="118">
        <v>0.94386777513855902</v>
      </c>
      <c r="H5" s="118">
        <v>0.94929207839356688</v>
      </c>
      <c r="I5" s="118">
        <v>0.94100660549409498</v>
      </c>
      <c r="J5" s="109">
        <v>0.92</v>
      </c>
      <c r="K5" s="119">
        <v>0.97867252796329973</v>
      </c>
      <c r="L5" s="119">
        <v>0.9638122517010137</v>
      </c>
      <c r="M5" s="119">
        <v>0.97286003882534444</v>
      </c>
      <c r="N5" s="119">
        <v>0.9697644482712805</v>
      </c>
      <c r="O5" s="109">
        <v>0.93</v>
      </c>
      <c r="P5" s="119">
        <v>0.9531315581843457</v>
      </c>
      <c r="Q5" s="119">
        <v>0.96886458088903371</v>
      </c>
      <c r="R5" s="119">
        <v>0.97326505845431244</v>
      </c>
      <c r="S5" s="119">
        <v>0.96733285649424428</v>
      </c>
    </row>
    <row r="6" spans="2:19">
      <c r="B6" s="170"/>
      <c r="C6" s="106" t="s">
        <v>12</v>
      </c>
      <c r="D6" s="106" t="s">
        <v>13</v>
      </c>
      <c r="E6" s="117">
        <v>0.92</v>
      </c>
      <c r="F6" s="118">
        <v>0.91741182693970558</v>
      </c>
      <c r="G6" s="118">
        <v>0.94344566602492319</v>
      </c>
      <c r="H6" s="118">
        <v>0.95224019487095268</v>
      </c>
      <c r="I6" s="118">
        <v>0.93849993829691525</v>
      </c>
      <c r="J6" s="109">
        <v>0.92</v>
      </c>
      <c r="K6" s="119">
        <v>0.99498303450861281</v>
      </c>
      <c r="L6" s="119">
        <v>0.96389633494007765</v>
      </c>
      <c r="M6" s="119">
        <v>0.9921636447158646</v>
      </c>
      <c r="N6" s="119">
        <v>0.97578909065125397</v>
      </c>
      <c r="O6" s="109">
        <v>0.93</v>
      </c>
      <c r="P6" s="119">
        <v>0.94270658119697504</v>
      </c>
      <c r="Q6" s="119">
        <v>0.96237512664111824</v>
      </c>
      <c r="R6" s="119">
        <v>0.96956877420871135</v>
      </c>
      <c r="S6" s="119">
        <v>0.96001357328310311</v>
      </c>
    </row>
    <row r="7" spans="2:19">
      <c r="B7" s="170"/>
      <c r="C7" s="106" t="s">
        <v>14</v>
      </c>
      <c r="D7" s="106" t="s">
        <v>15</v>
      </c>
      <c r="E7" s="117">
        <v>0.92</v>
      </c>
      <c r="F7" s="118">
        <v>0.96249493642121076</v>
      </c>
      <c r="G7" s="118">
        <v>0.97567774131187335</v>
      </c>
      <c r="H7" s="118">
        <v>0.97881616111998038</v>
      </c>
      <c r="I7" s="118">
        <v>0.97456288437198968</v>
      </c>
      <c r="J7" s="109">
        <v>0.92</v>
      </c>
      <c r="K7" s="119">
        <v>0.97792860518063496</v>
      </c>
      <c r="L7" s="119">
        <v>0.95279709660764722</v>
      </c>
      <c r="M7" s="119">
        <v>0.9810349077040823</v>
      </c>
      <c r="N7" s="119">
        <v>0.96175802694482004</v>
      </c>
      <c r="O7" s="109">
        <v>0.93</v>
      </c>
      <c r="P7" s="119">
        <v>0.97336940226114255</v>
      </c>
      <c r="Q7" s="119">
        <v>0.98438235632015603</v>
      </c>
      <c r="R7" s="119">
        <v>0.98722557909818198</v>
      </c>
      <c r="S7" s="119">
        <v>0.9835575448923376</v>
      </c>
    </row>
    <row r="8" spans="2:19">
      <c r="B8" s="171"/>
      <c r="C8" s="106" t="s">
        <v>16</v>
      </c>
      <c r="D8" s="106" t="s">
        <v>17</v>
      </c>
      <c r="E8" s="117">
        <v>0.92</v>
      </c>
      <c r="F8" s="118">
        <v>0.94350118594611199</v>
      </c>
      <c r="G8" s="118">
        <v>0.9530761771360845</v>
      </c>
      <c r="H8" s="118">
        <v>0.96087190697969138</v>
      </c>
      <c r="I8" s="118">
        <v>0.95328894057780555</v>
      </c>
      <c r="J8" s="109">
        <v>0.92</v>
      </c>
      <c r="K8" s="119">
        <v>0.99300757199415923</v>
      </c>
      <c r="L8" s="119">
        <v>0.95526905646177251</v>
      </c>
      <c r="M8" s="119">
        <v>0.9817456075890173</v>
      </c>
      <c r="N8" s="119">
        <v>0.95378302533524695</v>
      </c>
      <c r="O8" s="109">
        <v>0.93</v>
      </c>
      <c r="P8" s="119">
        <v>0.9537501130914684</v>
      </c>
      <c r="Q8" s="119">
        <v>0.96217411231835215</v>
      </c>
      <c r="R8" s="119">
        <v>0.97083202343252795</v>
      </c>
      <c r="S8" s="119">
        <v>0.96430007415603747</v>
      </c>
    </row>
    <row r="9" spans="2:19">
      <c r="B9" s="170"/>
      <c r="C9" s="106" t="s">
        <v>18</v>
      </c>
      <c r="D9" s="106" t="s">
        <v>19</v>
      </c>
      <c r="E9" s="117">
        <v>0.92</v>
      </c>
      <c r="F9" s="118">
        <v>0.89681397032357735</v>
      </c>
      <c r="G9" s="118">
        <v>0.91417649781255184</v>
      </c>
      <c r="H9" s="118">
        <v>0.92075143642268298</v>
      </c>
      <c r="I9" s="118">
        <v>0.90788046897940344</v>
      </c>
      <c r="J9" s="109">
        <v>0.92</v>
      </c>
      <c r="K9" s="119">
        <v>0.98979715060524043</v>
      </c>
      <c r="L9" s="119">
        <v>0.98372912218763298</v>
      </c>
      <c r="M9" s="119">
        <v>0.9806361940841255</v>
      </c>
      <c r="N9" s="119">
        <v>0.97463367684706248</v>
      </c>
      <c r="O9" s="109">
        <v>0.93</v>
      </c>
      <c r="P9" s="119">
        <v>0.93707041544716518</v>
      </c>
      <c r="Q9" s="119">
        <v>0.9500642166971659</v>
      </c>
      <c r="R9" s="119">
        <v>0.9575331348160302</v>
      </c>
      <c r="S9" s="119">
        <v>0.9482964765125842</v>
      </c>
    </row>
    <row r="10" spans="2:19">
      <c r="B10" s="170"/>
      <c r="C10" s="106" t="s">
        <v>20</v>
      </c>
      <c r="D10" s="106" t="s">
        <v>21</v>
      </c>
      <c r="E10" s="117">
        <v>0.92</v>
      </c>
      <c r="F10" s="118">
        <v>0.91310147345868808</v>
      </c>
      <c r="G10" s="118">
        <v>0.92425399964048172</v>
      </c>
      <c r="H10" s="118">
        <v>0.9255675574258222</v>
      </c>
      <c r="I10" s="118">
        <v>0.91930611171672572</v>
      </c>
      <c r="J10" s="109">
        <v>0.92</v>
      </c>
      <c r="K10" s="119">
        <v>0.98920533976590552</v>
      </c>
      <c r="L10" s="119">
        <v>0.98112089899161348</v>
      </c>
      <c r="M10" s="119">
        <v>0.985233676021117</v>
      </c>
      <c r="N10" s="119">
        <v>0.98164247401384497</v>
      </c>
      <c r="O10" s="109">
        <v>0.93</v>
      </c>
      <c r="P10" s="119">
        <v>0.95253051179042314</v>
      </c>
      <c r="Q10" s="119">
        <v>0.962117682839991</v>
      </c>
      <c r="R10" s="119">
        <v>0.96715937170459398</v>
      </c>
      <c r="S10" s="119">
        <v>0.96040179180907803</v>
      </c>
    </row>
    <row r="11" spans="2:19">
      <c r="B11" s="170"/>
      <c r="C11" s="106" t="s">
        <v>22</v>
      </c>
      <c r="D11" s="106" t="s">
        <v>23</v>
      </c>
      <c r="E11" s="117">
        <v>0.92</v>
      </c>
      <c r="F11" s="118">
        <v>0.8756797911681532</v>
      </c>
      <c r="G11" s="118">
        <v>0.89218396582055792</v>
      </c>
      <c r="H11" s="118">
        <v>0.90292126825792662</v>
      </c>
      <c r="I11" s="118">
        <v>0.8786841498163771</v>
      </c>
      <c r="J11" s="109">
        <v>0.92</v>
      </c>
      <c r="K11" s="119">
        <v>0.99078800545528611</v>
      </c>
      <c r="L11" s="119">
        <v>0.96800526685832977</v>
      </c>
      <c r="M11" s="119">
        <v>0.97371589368432943</v>
      </c>
      <c r="N11" s="119">
        <v>0.96424144293147951</v>
      </c>
      <c r="O11" s="109">
        <v>0.93</v>
      </c>
      <c r="P11" s="119">
        <v>0.94608702734816685</v>
      </c>
      <c r="Q11" s="119">
        <v>0.95401432254368379</v>
      </c>
      <c r="R11" s="119">
        <v>0.96173803507041822</v>
      </c>
      <c r="S11" s="119">
        <v>0.95084576290768075</v>
      </c>
    </row>
    <row r="12" spans="2:19">
      <c r="B12" s="170"/>
      <c r="C12" s="106" t="s">
        <v>24</v>
      </c>
      <c r="D12" s="106" t="s">
        <v>25</v>
      </c>
      <c r="E12" s="117">
        <v>0.92</v>
      </c>
      <c r="F12" s="118">
        <v>0.93906912354694438</v>
      </c>
      <c r="G12" s="118">
        <v>0.95052612842051931</v>
      </c>
      <c r="H12" s="118">
        <v>0.95718752597322576</v>
      </c>
      <c r="I12" s="118">
        <v>0.94882787348020081</v>
      </c>
      <c r="J12" s="109">
        <v>0.92</v>
      </c>
      <c r="K12" s="119">
        <v>0.98199112689048229</v>
      </c>
      <c r="L12" s="119">
        <v>0.97511779276402244</v>
      </c>
      <c r="M12" s="119">
        <v>0.98077691877164175</v>
      </c>
      <c r="N12" s="119">
        <v>0.97093607545982541</v>
      </c>
      <c r="O12" s="109">
        <v>0.93</v>
      </c>
      <c r="P12" s="119">
        <v>0.9544282532537659</v>
      </c>
      <c r="Q12" s="119">
        <v>0.96289978524897468</v>
      </c>
      <c r="R12" s="119">
        <v>0.96994630661055725</v>
      </c>
      <c r="S12" s="119">
        <v>0.96374469423185549</v>
      </c>
    </row>
    <row r="13" spans="2:19">
      <c r="B13" s="170"/>
      <c r="C13" s="106" t="s">
        <v>26</v>
      </c>
      <c r="D13" s="106" t="s">
        <v>27</v>
      </c>
      <c r="E13" s="117">
        <v>0.92</v>
      </c>
      <c r="F13" s="118">
        <v>0.82965734952856818</v>
      </c>
      <c r="G13" s="118">
        <v>0.84442992327984701</v>
      </c>
      <c r="H13" s="118">
        <v>0.86188811188811187</v>
      </c>
      <c r="I13" s="118">
        <v>0.84272715885623251</v>
      </c>
      <c r="J13" s="109">
        <v>0.92</v>
      </c>
      <c r="K13" s="119">
        <v>0.95645144189991516</v>
      </c>
      <c r="L13" s="119">
        <v>0.95062927335004399</v>
      </c>
      <c r="M13" s="119">
        <v>0.96618159713176277</v>
      </c>
      <c r="N13" s="119">
        <v>0.96512838663091549</v>
      </c>
      <c r="O13" s="109">
        <v>0.93</v>
      </c>
      <c r="P13" s="119">
        <v>0.88763552611877861</v>
      </c>
      <c r="Q13" s="119">
        <v>0.89719039546544999</v>
      </c>
      <c r="R13" s="119">
        <v>0.89317804002579659</v>
      </c>
      <c r="S13" s="119">
        <v>0.89501275904833921</v>
      </c>
    </row>
    <row r="14" spans="2:19">
      <c r="B14" s="170"/>
      <c r="C14" s="106" t="s">
        <v>28</v>
      </c>
      <c r="D14" s="106" t="s">
        <v>29</v>
      </c>
      <c r="E14" s="117">
        <v>0.92</v>
      </c>
      <c r="F14" s="118">
        <v>0.90588791190730544</v>
      </c>
      <c r="G14" s="118">
        <v>0.94055190501805341</v>
      </c>
      <c r="H14" s="118">
        <v>0.94287557460491167</v>
      </c>
      <c r="I14" s="118">
        <v>0.92994420763261698</v>
      </c>
      <c r="J14" s="109">
        <v>0.92</v>
      </c>
      <c r="K14" s="119">
        <v>0.9765626860901121</v>
      </c>
      <c r="L14" s="119">
        <v>0.96142008360070164</v>
      </c>
      <c r="M14" s="119">
        <v>0.97288080731546378</v>
      </c>
      <c r="N14" s="119">
        <v>0.96422429577360991</v>
      </c>
      <c r="O14" s="109">
        <v>0.93</v>
      </c>
      <c r="P14" s="119">
        <v>0.92826283131423648</v>
      </c>
      <c r="Q14" s="119">
        <v>0.95529040857472958</v>
      </c>
      <c r="R14" s="119">
        <v>0.95998330888610983</v>
      </c>
      <c r="S14" s="119">
        <v>0.9497296538456107</v>
      </c>
    </row>
    <row r="15" spans="2:19">
      <c r="B15" s="164" t="s">
        <v>30</v>
      </c>
      <c r="C15" s="165"/>
      <c r="D15" s="184"/>
      <c r="E15" s="120" t="s">
        <v>31</v>
      </c>
      <c r="F15" s="121">
        <v>0.91702295920040555</v>
      </c>
      <c r="G15" s="121">
        <v>0.93554089411707242</v>
      </c>
      <c r="H15" s="121">
        <v>0.94073782834517472</v>
      </c>
      <c r="I15" s="122">
        <v>0.93135893175694406</v>
      </c>
      <c r="J15" s="123" t="s">
        <v>31</v>
      </c>
      <c r="K15" s="112">
        <v>0.98310278165482134</v>
      </c>
      <c r="L15" s="112">
        <v>0.96915468385615267</v>
      </c>
      <c r="M15" s="112">
        <v>0.97799470663851518</v>
      </c>
      <c r="N15" s="124">
        <v>0.96994544593630394</v>
      </c>
      <c r="O15" s="112" t="s">
        <v>31</v>
      </c>
      <c r="P15" s="112">
        <v>0.94351803648585764</v>
      </c>
      <c r="Q15" s="112">
        <v>0.95704894466743329</v>
      </c>
      <c r="R15" s="112">
        <v>0.9631178545815019</v>
      </c>
      <c r="S15" s="112">
        <v>0.95539966559298262</v>
      </c>
    </row>
  </sheetData>
  <mergeCells count="10">
    <mergeCell ref="B15:D15"/>
    <mergeCell ref="B2:B4"/>
    <mergeCell ref="B5:B14"/>
    <mergeCell ref="C2:C4"/>
    <mergeCell ref="D2:D4"/>
    <mergeCell ref="E2:I2"/>
    <mergeCell ref="J2:S2"/>
    <mergeCell ref="E3:I3"/>
    <mergeCell ref="J3:N3"/>
    <mergeCell ref="O3:S3"/>
  </mergeCells>
  <conditionalFormatting sqref="F5:I14">
    <cfRule type="cellIs" dxfId="221" priority="3" operator="lessThan">
      <formula>$E$5</formula>
    </cfRule>
    <cfRule type="cellIs" dxfId="220" priority="4" operator="greaterThan">
      <formula>$E$5</formula>
    </cfRule>
  </conditionalFormatting>
  <conditionalFormatting sqref="K5:N14">
    <cfRule type="cellIs" dxfId="219" priority="5" operator="lessThan">
      <formula>$J$5</formula>
    </cfRule>
    <cfRule type="cellIs" dxfId="218" priority="6" operator="greaterThan">
      <formula>$J$5</formula>
    </cfRule>
  </conditionalFormatting>
  <conditionalFormatting sqref="P5:S14">
    <cfRule type="cellIs" dxfId="217" priority="1" operator="lessThan">
      <formula>$O$5</formula>
    </cfRule>
    <cfRule type="cellIs" dxfId="216" priority="2" operator="greaterThan">
      <formula>$O$5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N15"/>
  <sheetViews>
    <sheetView workbookViewId="0">
      <selection activeCell="F17" sqref="F17"/>
    </sheetView>
  </sheetViews>
  <sheetFormatPr defaultColWidth="8.77734375" defaultRowHeight="14.4"/>
  <cols>
    <col min="2" max="2" width="14.77734375" customWidth="1"/>
    <col min="3" max="3" width="22.21875" customWidth="1"/>
    <col min="4" max="4" width="13.77734375" customWidth="1"/>
    <col min="5" max="5" width="8.77734375" customWidth="1"/>
    <col min="6" max="7" width="14.33203125" customWidth="1"/>
    <col min="8" max="9" width="13.77734375" customWidth="1"/>
    <col min="10" max="10" width="18.5546875" customWidth="1"/>
    <col min="11" max="12" width="14.33203125" customWidth="1"/>
    <col min="13" max="14" width="13.77734375" customWidth="1"/>
  </cols>
  <sheetData>
    <row r="2" spans="2:14" ht="33" customHeight="1">
      <c r="B2" s="166" t="s">
        <v>0</v>
      </c>
      <c r="C2" s="158" t="s">
        <v>1</v>
      </c>
      <c r="D2" s="158" t="s">
        <v>2</v>
      </c>
      <c r="E2" s="161"/>
      <c r="F2" s="161"/>
      <c r="G2" s="161"/>
      <c r="H2" s="161"/>
      <c r="I2" s="161"/>
      <c r="J2" s="161"/>
      <c r="K2" s="161"/>
      <c r="L2" s="161"/>
      <c r="M2" s="161"/>
      <c r="N2" s="161"/>
    </row>
    <row r="3" spans="2:14" ht="54" customHeight="1">
      <c r="B3" s="167"/>
      <c r="C3" s="161"/>
      <c r="D3" s="161"/>
      <c r="E3" s="162" t="s">
        <v>37</v>
      </c>
      <c r="F3" s="182"/>
      <c r="G3" s="182"/>
      <c r="H3" s="182"/>
      <c r="I3" s="183"/>
      <c r="J3" s="162" t="s">
        <v>38</v>
      </c>
      <c r="K3" s="182"/>
      <c r="L3" s="182"/>
      <c r="M3" s="182"/>
      <c r="N3" s="183"/>
    </row>
    <row r="4" spans="2:14" ht="28.8">
      <c r="B4" s="185"/>
      <c r="C4" s="186"/>
      <c r="D4" s="186"/>
      <c r="E4" s="17" t="s">
        <v>7</v>
      </c>
      <c r="F4" s="104">
        <f>'06.30, 07.30, &amp; 12.00'!F4</f>
        <v>46242</v>
      </c>
      <c r="G4" s="105">
        <f>F4-1</f>
        <v>46241</v>
      </c>
      <c r="H4" s="105">
        <f>G4-1</f>
        <v>46240</v>
      </c>
      <c r="I4" s="17" t="s">
        <v>8</v>
      </c>
      <c r="J4" s="17" t="s">
        <v>39</v>
      </c>
      <c r="K4" s="104">
        <f>F4</f>
        <v>46242</v>
      </c>
      <c r="L4" s="105">
        <f>K4-1</f>
        <v>46241</v>
      </c>
      <c r="M4" s="105">
        <f>L4-1</f>
        <v>46240</v>
      </c>
      <c r="N4" s="17" t="s">
        <v>8</v>
      </c>
    </row>
    <row r="5" spans="2:14">
      <c r="B5" s="169" t="s">
        <v>9</v>
      </c>
      <c r="C5" s="106" t="s">
        <v>10</v>
      </c>
      <c r="D5" s="106" t="s">
        <v>11</v>
      </c>
      <c r="E5" s="107">
        <v>0.99</v>
      </c>
      <c r="F5" s="108">
        <v>0.98976642449808605</v>
      </c>
      <c r="G5" s="108">
        <v>0.98926165315823678</v>
      </c>
      <c r="H5" s="108">
        <v>0.9938388625592417</v>
      </c>
      <c r="I5" s="108">
        <v>0.99048160765828186</v>
      </c>
      <c r="J5" s="109">
        <v>0.10526149898194399</v>
      </c>
      <c r="K5" s="110">
        <v>8.6586586586586592E-2</v>
      </c>
      <c r="L5" s="110">
        <v>6.00096015362458E-2</v>
      </c>
      <c r="M5" s="110">
        <v>7.5961538461538455E-2</v>
      </c>
      <c r="N5" s="110">
        <v>7.9100992410974902E-2</v>
      </c>
    </row>
    <row r="6" spans="2:14">
      <c r="B6" s="170"/>
      <c r="C6" s="106" t="s">
        <v>12</v>
      </c>
      <c r="D6" s="106" t="s">
        <v>13</v>
      </c>
      <c r="E6" s="107">
        <v>0.99</v>
      </c>
      <c r="F6" s="108">
        <v>0.98598708613820585</v>
      </c>
      <c r="G6" s="108">
        <v>0.99429289998065384</v>
      </c>
      <c r="H6" s="108">
        <v>0.99572700296735905</v>
      </c>
      <c r="I6" s="108">
        <v>0.99312750559691776</v>
      </c>
      <c r="J6" s="109">
        <v>7.19793575775068E-2</v>
      </c>
      <c r="K6" s="110">
        <v>4.9153468050245765E-2</v>
      </c>
      <c r="L6" s="110">
        <v>4.7134440278521691E-2</v>
      </c>
      <c r="M6" s="110">
        <v>5.4695562435500514E-2</v>
      </c>
      <c r="N6" s="110">
        <v>5.1736930860033725E-2</v>
      </c>
    </row>
    <row r="7" spans="2:14">
      <c r="B7" s="170"/>
      <c r="C7" s="106" t="s">
        <v>14</v>
      </c>
      <c r="D7" s="106" t="s">
        <v>15</v>
      </c>
      <c r="E7" s="107">
        <v>0.99</v>
      </c>
      <c r="F7" s="108">
        <v>0.99492591840876798</v>
      </c>
      <c r="G7" s="108">
        <v>0.99537673372485314</v>
      </c>
      <c r="H7" s="108">
        <v>0.99616462605103995</v>
      </c>
      <c r="I7" s="108">
        <v>0.99520610132558562</v>
      </c>
      <c r="J7" s="109">
        <v>9.2228725701943806E-2</v>
      </c>
      <c r="K7" s="110">
        <v>0.10456273764258556</v>
      </c>
      <c r="L7" s="110">
        <v>7.0298769771529004E-2</v>
      </c>
      <c r="M7" s="110">
        <v>6.0100166944908183E-2</v>
      </c>
      <c r="N7" s="110">
        <v>8.0829837886860906E-2</v>
      </c>
    </row>
    <row r="8" spans="2:14">
      <c r="B8" s="171"/>
      <c r="C8" s="106" t="s">
        <v>16</v>
      </c>
      <c r="D8" s="106" t="s">
        <v>17</v>
      </c>
      <c r="E8" s="107">
        <v>0.99</v>
      </c>
      <c r="F8" s="108">
        <v>0.98877068557919623</v>
      </c>
      <c r="G8" s="108">
        <v>0.98940553266627429</v>
      </c>
      <c r="H8" s="108">
        <v>0.99803343166175029</v>
      </c>
      <c r="I8" s="108">
        <v>0.99426765635334757</v>
      </c>
      <c r="J8" s="109">
        <v>7.3985255698344701E-2</v>
      </c>
      <c r="K8" s="110">
        <v>3.7821482602118005E-2</v>
      </c>
      <c r="L8" s="110">
        <v>2.9595015576323987E-2</v>
      </c>
      <c r="M8" s="110">
        <v>4.0621266427718038E-2</v>
      </c>
      <c r="N8" s="110">
        <v>4.1395516992046279E-2</v>
      </c>
    </row>
    <row r="9" spans="2:14">
      <c r="B9" s="170"/>
      <c r="C9" s="106" t="s">
        <v>18</v>
      </c>
      <c r="D9" s="106" t="s">
        <v>19</v>
      </c>
      <c r="E9" s="107">
        <v>0.99</v>
      </c>
      <c r="F9" s="108">
        <v>0.99364796504943664</v>
      </c>
      <c r="G9" s="108">
        <v>0.99390882268963543</v>
      </c>
      <c r="H9" s="108">
        <v>0.99537736419118983</v>
      </c>
      <c r="I9" s="108">
        <v>0.99444647544249509</v>
      </c>
      <c r="J9" s="109">
        <v>0.05</v>
      </c>
      <c r="K9" s="110">
        <v>3.3671099852227146E-2</v>
      </c>
      <c r="L9" s="110">
        <v>4.7367865808629603E-2</v>
      </c>
      <c r="M9" s="110">
        <v>2.9843347213959943E-2</v>
      </c>
      <c r="N9" s="110">
        <v>3.3545679761363065E-2</v>
      </c>
    </row>
    <row r="10" spans="2:14">
      <c r="B10" s="170"/>
      <c r="C10" s="106" t="s">
        <v>20</v>
      </c>
      <c r="D10" s="106" t="s">
        <v>21</v>
      </c>
      <c r="E10" s="107">
        <v>0.99</v>
      </c>
      <c r="F10" s="108">
        <v>0.92549656078522302</v>
      </c>
      <c r="G10" s="108">
        <v>0.98759563247418847</v>
      </c>
      <c r="H10" s="108">
        <v>0.99483919222139117</v>
      </c>
      <c r="I10" s="108">
        <v>0.98373020490632701</v>
      </c>
      <c r="J10" s="109">
        <v>8.1059522893420499E-2</v>
      </c>
      <c r="K10" s="110">
        <v>4.9651831668180442E-2</v>
      </c>
      <c r="L10" s="110">
        <v>4.7013274336283183E-2</v>
      </c>
      <c r="M10" s="110">
        <v>3.7579441834760981E-2</v>
      </c>
      <c r="N10" s="110">
        <v>4.5156995451015203E-2</v>
      </c>
    </row>
    <row r="11" spans="2:14">
      <c r="B11" s="170"/>
      <c r="C11" s="106" t="s">
        <v>22</v>
      </c>
      <c r="D11" s="106" t="s">
        <v>23</v>
      </c>
      <c r="E11" s="107">
        <v>0.99</v>
      </c>
      <c r="F11" s="108">
        <v>0.99302508718641014</v>
      </c>
      <c r="G11" s="108">
        <v>0.99260200269018084</v>
      </c>
      <c r="H11" s="108">
        <v>0.99228325011348162</v>
      </c>
      <c r="I11" s="108">
        <v>0.98939650310208682</v>
      </c>
      <c r="J11" s="109">
        <v>6.5641848892985799E-2</v>
      </c>
      <c r="K11" s="110">
        <v>4.4674910251296371E-2</v>
      </c>
      <c r="L11" s="110">
        <v>4.7655649500384319E-2</v>
      </c>
      <c r="M11" s="110">
        <v>3.138155376961347E-2</v>
      </c>
      <c r="N11" s="110">
        <v>4.3873701617487465E-2</v>
      </c>
    </row>
    <row r="12" spans="2:14">
      <c r="B12" s="170"/>
      <c r="C12" s="106" t="s">
        <v>24</v>
      </c>
      <c r="D12" s="106" t="s">
        <v>25</v>
      </c>
      <c r="E12" s="107">
        <v>0.99</v>
      </c>
      <c r="F12" s="108">
        <v>0.99012154965649013</v>
      </c>
      <c r="G12" s="108">
        <v>0.98965686379049289</v>
      </c>
      <c r="H12" s="108">
        <v>0.9936624061589503</v>
      </c>
      <c r="I12" s="108">
        <v>0.99186941269661655</v>
      </c>
      <c r="J12" s="109">
        <v>7.2186152540827803E-2</v>
      </c>
      <c r="K12" s="110">
        <v>3.2898726500909643E-2</v>
      </c>
      <c r="L12" s="110">
        <v>3.7184391736801839E-2</v>
      </c>
      <c r="M12" s="110">
        <v>3.0918856147481494E-2</v>
      </c>
      <c r="N12" s="110">
        <v>3.5524984827028122E-2</v>
      </c>
    </row>
    <row r="13" spans="2:14">
      <c r="B13" s="170"/>
      <c r="C13" s="106" t="s">
        <v>26</v>
      </c>
      <c r="D13" s="106" t="s">
        <v>27</v>
      </c>
      <c r="E13" s="107">
        <v>0.99</v>
      </c>
      <c r="F13" s="108">
        <v>0.99015400151476896</v>
      </c>
      <c r="G13" s="108">
        <v>0.98792327729102536</v>
      </c>
      <c r="H13" s="108">
        <v>0.99171686746987953</v>
      </c>
      <c r="I13" s="108">
        <v>0.98923849909133021</v>
      </c>
      <c r="J13" s="109">
        <v>0.110069253262963</v>
      </c>
      <c r="K13" s="110">
        <v>9.2179991262560074E-2</v>
      </c>
      <c r="L13" s="110">
        <v>8.0662742533246137E-2</v>
      </c>
      <c r="M13" s="110">
        <v>9.8563535911602204E-2</v>
      </c>
      <c r="N13" s="110">
        <v>9.1133269003966982E-2</v>
      </c>
    </row>
    <row r="14" spans="2:14">
      <c r="B14" s="170"/>
      <c r="C14" s="106" t="s">
        <v>28</v>
      </c>
      <c r="D14" s="106" t="s">
        <v>29</v>
      </c>
      <c r="E14" s="107">
        <v>0.99</v>
      </c>
      <c r="F14" s="108">
        <v>0.9618207480592802</v>
      </c>
      <c r="G14" s="108">
        <v>0.98965873836608065</v>
      </c>
      <c r="H14" s="108">
        <v>0.99409044193216856</v>
      </c>
      <c r="I14" s="108">
        <v>0.98801767654713457</v>
      </c>
      <c r="J14" s="109">
        <v>8.7218210012826203E-2</v>
      </c>
      <c r="K14" s="110">
        <v>5.3282307918751839E-2</v>
      </c>
      <c r="L14" s="110">
        <v>5.1670878966582422E-2</v>
      </c>
      <c r="M14" s="110">
        <v>4.5442323205162678E-2</v>
      </c>
      <c r="N14" s="110">
        <v>5.0421056340509494E-2</v>
      </c>
    </row>
    <row r="15" spans="2:14">
      <c r="B15" s="164" t="s">
        <v>30</v>
      </c>
      <c r="C15" s="165"/>
      <c r="D15" s="184"/>
      <c r="E15" s="111" t="s">
        <v>31</v>
      </c>
      <c r="F15" s="112">
        <v>0.98415930950836317</v>
      </c>
      <c r="G15" s="112">
        <v>0.9909063559009349</v>
      </c>
      <c r="H15" s="112">
        <v>0.99423953584749269</v>
      </c>
      <c r="I15" s="112">
        <v>0.99115831618751038</v>
      </c>
      <c r="J15" s="113" t="s">
        <v>31</v>
      </c>
      <c r="K15" s="112">
        <v>5.1219029861287679E-2</v>
      </c>
      <c r="L15" s="112">
        <v>5.1287731930213236E-2</v>
      </c>
      <c r="M15" s="112">
        <v>4.5781783276450515E-2</v>
      </c>
      <c r="N15" s="114">
        <v>5.0098803553442789E-2</v>
      </c>
    </row>
  </sheetData>
  <mergeCells count="8">
    <mergeCell ref="E2:N2"/>
    <mergeCell ref="E3:I3"/>
    <mergeCell ref="J3:N3"/>
    <mergeCell ref="B15:D15"/>
    <mergeCell ref="B2:B4"/>
    <mergeCell ref="B5:B14"/>
    <mergeCell ref="C2:C4"/>
    <mergeCell ref="D2:D4"/>
  </mergeCells>
  <conditionalFormatting sqref="F5:I14">
    <cfRule type="cellIs" dxfId="215" priority="21" operator="lessThan">
      <formula>$E$5</formula>
    </cfRule>
    <cfRule type="cellIs" dxfId="214" priority="22" operator="greaterThan">
      <formula>$E$5</formula>
    </cfRule>
  </conditionalFormatting>
  <conditionalFormatting sqref="K5:N5">
    <cfRule type="cellIs" dxfId="213" priority="19" operator="lessThan">
      <formula>$J$5</formula>
    </cfRule>
    <cfRule type="cellIs" dxfId="212" priority="20" operator="greaterThan">
      <formula>$J$5</formula>
    </cfRule>
  </conditionalFormatting>
  <conditionalFormatting sqref="K6:N6">
    <cfRule type="cellIs" dxfId="211" priority="17" operator="lessThan">
      <formula>$J$6</formula>
    </cfRule>
    <cfRule type="cellIs" dxfId="210" priority="18" operator="greaterThan">
      <formula>$J$6</formula>
    </cfRule>
  </conditionalFormatting>
  <conditionalFormatting sqref="K7:N7">
    <cfRule type="cellIs" dxfId="209" priority="15" operator="lessThan">
      <formula>$J$7</formula>
    </cfRule>
    <cfRule type="cellIs" dxfId="208" priority="16" operator="greaterThan">
      <formula>$J$7</formula>
    </cfRule>
  </conditionalFormatting>
  <conditionalFormatting sqref="K8:N8">
    <cfRule type="cellIs" dxfId="207" priority="13" operator="lessThan">
      <formula>$J$8</formula>
    </cfRule>
    <cfRule type="cellIs" dxfId="206" priority="14" operator="greaterThan">
      <formula>$J$8</formula>
    </cfRule>
  </conditionalFormatting>
  <conditionalFormatting sqref="K9:N9">
    <cfRule type="cellIs" dxfId="205" priority="11" operator="lessThan">
      <formula>$J$9</formula>
    </cfRule>
    <cfRule type="cellIs" dxfId="204" priority="12" operator="greaterThan">
      <formula>$J$9</formula>
    </cfRule>
  </conditionalFormatting>
  <conditionalFormatting sqref="K10:N10">
    <cfRule type="cellIs" dxfId="203" priority="9" operator="lessThan">
      <formula>$J$10</formula>
    </cfRule>
    <cfRule type="cellIs" dxfId="202" priority="10" operator="greaterThan">
      <formula>$J$10</formula>
    </cfRule>
  </conditionalFormatting>
  <conditionalFormatting sqref="K11:N11">
    <cfRule type="cellIs" dxfId="201" priority="7" operator="lessThan">
      <formula>$J$11</formula>
    </cfRule>
    <cfRule type="cellIs" dxfId="200" priority="8" operator="greaterThan">
      <formula>$J$11</formula>
    </cfRule>
  </conditionalFormatting>
  <conditionalFormatting sqref="K12:N12">
    <cfRule type="cellIs" dxfId="199" priority="5" operator="lessThan">
      <formula>$J$12</formula>
    </cfRule>
    <cfRule type="cellIs" dxfId="198" priority="6" operator="greaterThan">
      <formula>$J$12</formula>
    </cfRule>
  </conditionalFormatting>
  <conditionalFormatting sqref="K13:N13">
    <cfRule type="cellIs" dxfId="197" priority="3" operator="lessThan">
      <formula>$J$13</formula>
    </cfRule>
    <cfRule type="cellIs" dxfId="196" priority="4" operator="greaterThan">
      <formula>$J$13</formula>
    </cfRule>
  </conditionalFormatting>
  <conditionalFormatting sqref="K14:N14">
    <cfRule type="cellIs" dxfId="195" priority="1" operator="lessThan">
      <formula>$J$14</formula>
    </cfRule>
    <cfRule type="cellIs" dxfId="194" priority="2" operator="greaterThan">
      <formula>$J$14</formula>
    </cfRule>
  </conditionalFormatting>
  <conditionalFormatting sqref="N5:N14">
    <cfRule type="cellIs" dxfId="193" priority="26" operator="lessThan">
      <formula>$AD5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BT1688"/>
  <sheetViews>
    <sheetView tabSelected="1" topLeftCell="AG1654" zoomScale="70" zoomScaleNormal="70" workbookViewId="0">
      <selection activeCell="AQ1681" sqref="AQ1681"/>
    </sheetView>
  </sheetViews>
  <sheetFormatPr defaultColWidth="9.77734375" defaultRowHeight="14.4"/>
  <cols>
    <col min="1" max="2" width="1.88671875" style="4" customWidth="1"/>
    <col min="3" max="3" width="23.6640625" style="5" customWidth="1"/>
    <col min="4" max="5" width="29.77734375" style="5" customWidth="1"/>
    <col min="6" max="6" width="30.33203125" style="5" customWidth="1"/>
    <col min="7" max="7" width="31.88671875" style="5" customWidth="1"/>
    <col min="8" max="8" width="30.77734375" style="4" customWidth="1"/>
    <col min="9" max="9" width="13.21875" style="4" customWidth="1"/>
    <col min="10" max="10" width="18" style="4" customWidth="1"/>
    <col min="11" max="13" width="15.44140625" style="4" customWidth="1"/>
    <col min="14" max="14" width="13.21875" style="4" customWidth="1"/>
    <col min="15" max="15" width="18.33203125" style="4" customWidth="1"/>
    <col min="16" max="16" width="17.33203125" style="4" customWidth="1"/>
    <col min="17" max="17" width="21.33203125" style="4" customWidth="1"/>
    <col min="18" max="18" width="16.109375" style="4" customWidth="1"/>
    <col min="19" max="19" width="13.21875" style="4" customWidth="1"/>
    <col min="20" max="20" width="17.5546875" style="4" customWidth="1"/>
    <col min="21" max="21" width="19.109375" style="4" customWidth="1"/>
    <col min="22" max="23" width="16.109375" style="4" customWidth="1"/>
    <col min="24" max="24" width="13.21875" style="4" customWidth="1"/>
    <col min="25" max="25" width="15.33203125" style="4" customWidth="1"/>
    <col min="26" max="26" width="14.77734375" style="4" customWidth="1"/>
    <col min="27" max="27" width="14.33203125" style="4" customWidth="1"/>
    <col min="28" max="28" width="15" style="4" customWidth="1"/>
    <col min="29" max="29" width="13.21875" style="4" customWidth="1"/>
    <col min="30" max="30" width="13.6640625" style="4" customWidth="1"/>
    <col min="31" max="31" width="15.109375" style="4" customWidth="1"/>
    <col min="32" max="32" width="15" style="4" customWidth="1"/>
    <col min="33" max="33" width="14.44140625" style="4" customWidth="1"/>
    <col min="34" max="34" width="13.21875" style="4" customWidth="1"/>
    <col min="35" max="35" width="16.5546875" style="4" customWidth="1"/>
    <col min="36" max="36" width="15.44140625" style="4" customWidth="1"/>
    <col min="37" max="37" width="14.33203125" style="4" customWidth="1"/>
    <col min="38" max="38" width="14.44140625" style="4" customWidth="1"/>
    <col min="39" max="39" width="13" style="4" customWidth="1"/>
    <col min="40" max="40" width="14.6640625" style="4" customWidth="1"/>
    <col min="41" max="43" width="16.109375" style="4" customWidth="1"/>
    <col min="44" max="44" width="13.21875" style="4" customWidth="1"/>
    <col min="45" max="45" width="14.21875" style="4" customWidth="1"/>
    <col min="46" max="46" width="15.109375" style="4" customWidth="1"/>
    <col min="47" max="47" width="15.77734375" style="4" customWidth="1"/>
    <col min="48" max="48" width="16.109375" style="4" customWidth="1"/>
    <col min="49" max="49" width="10" style="4" customWidth="1"/>
    <col min="50" max="50" width="2.33203125" style="6" customWidth="1"/>
    <col min="51" max="52" width="13.77734375" style="4" customWidth="1"/>
    <col min="53" max="53" width="15" style="4" customWidth="1"/>
    <col min="54" max="16384" width="9.77734375" style="4"/>
  </cols>
  <sheetData>
    <row r="1" spans="1:59" ht="12" customHeight="1">
      <c r="A1" s="7"/>
      <c r="B1" s="200" t="str">
        <f>"网管-雅加达网点质量达成 "&amp;TEXT(AZ2,"YYYY-MM-DD")&amp;"
"&amp;"NM - Pencapaian Kualitas DropPoint Jakarta "&amp;TEXT(AZ2,"YYYY-MM-DD")</f>
        <v>网管-雅加达网点质量达成 2026-08-06
NM - Pencapaian Kualitas DropPoint Jakarta 2026-08-06</v>
      </c>
      <c r="C1" s="200"/>
      <c r="D1" s="200"/>
      <c r="E1" s="200"/>
      <c r="F1" s="200"/>
      <c r="G1" s="200"/>
      <c r="H1" s="200"/>
      <c r="I1" s="200"/>
      <c r="J1" s="200"/>
      <c r="K1" s="200"/>
      <c r="L1" s="200"/>
      <c r="M1" s="200"/>
      <c r="N1" s="200"/>
      <c r="O1" s="200"/>
      <c r="P1" s="200"/>
      <c r="Q1" s="200"/>
      <c r="R1" s="200"/>
      <c r="S1" s="200"/>
      <c r="T1" s="200"/>
      <c r="U1" s="200"/>
      <c r="V1" s="200"/>
      <c r="W1" s="200"/>
      <c r="X1" s="200"/>
      <c r="Y1" s="200"/>
      <c r="Z1" s="200"/>
      <c r="AA1" s="200"/>
      <c r="AB1" s="200"/>
      <c r="AC1" s="200"/>
      <c r="AD1" s="200"/>
      <c r="AE1" s="200"/>
      <c r="AF1" s="200"/>
      <c r="AG1" s="200"/>
      <c r="AH1" s="200"/>
      <c r="AI1" s="200"/>
      <c r="AJ1" s="200"/>
      <c r="AK1" s="200"/>
      <c r="AL1" s="200"/>
      <c r="AM1" s="200"/>
      <c r="AN1" s="200"/>
      <c r="AO1" s="200"/>
      <c r="AP1" s="200"/>
      <c r="AQ1" s="200"/>
      <c r="AR1" s="200"/>
      <c r="AS1" s="200"/>
      <c r="AT1" s="200"/>
      <c r="AU1" s="200"/>
      <c r="AV1" s="200"/>
      <c r="AW1" s="200"/>
      <c r="AX1" s="8"/>
      <c r="AZ1" s="4" t="s">
        <v>1728</v>
      </c>
    </row>
    <row r="2" spans="1:59" ht="61.5" customHeight="1">
      <c r="A2" s="7"/>
      <c r="B2" s="200"/>
      <c r="C2" s="200"/>
      <c r="D2" s="200"/>
      <c r="E2" s="200"/>
      <c r="F2" s="200"/>
      <c r="G2" s="200"/>
      <c r="H2" s="200"/>
      <c r="I2" s="200"/>
      <c r="J2" s="200"/>
      <c r="K2" s="200"/>
      <c r="L2" s="200"/>
      <c r="M2" s="200"/>
      <c r="N2" s="200"/>
      <c r="O2" s="200"/>
      <c r="P2" s="200"/>
      <c r="Q2" s="200"/>
      <c r="R2" s="200"/>
      <c r="S2" s="200"/>
      <c r="T2" s="200"/>
      <c r="U2" s="200"/>
      <c r="V2" s="200"/>
      <c r="W2" s="200"/>
      <c r="X2" s="200"/>
      <c r="Y2" s="200"/>
      <c r="Z2" s="200"/>
      <c r="AA2" s="200"/>
      <c r="AB2" s="200"/>
      <c r="AC2" s="200"/>
      <c r="AD2" s="200"/>
      <c r="AE2" s="200"/>
      <c r="AF2" s="200"/>
      <c r="AG2" s="200"/>
      <c r="AH2" s="200"/>
      <c r="AI2" s="200"/>
      <c r="AJ2" s="200"/>
      <c r="AK2" s="200"/>
      <c r="AL2" s="200"/>
      <c r="AM2" s="200"/>
      <c r="AN2" s="200"/>
      <c r="AO2" s="200"/>
      <c r="AP2" s="200"/>
      <c r="AQ2" s="200"/>
      <c r="AR2" s="200"/>
      <c r="AS2" s="200"/>
      <c r="AT2" s="200"/>
      <c r="AU2" s="200"/>
      <c r="AV2" s="200"/>
      <c r="AW2" s="200"/>
      <c r="AX2" s="8"/>
      <c r="AZ2" s="9">
        <v>46240</v>
      </c>
      <c r="BA2" s="9">
        <f>EOMONTH(AZ2,-1)+1</f>
        <v>46235</v>
      </c>
      <c r="BB2" s="4" t="s">
        <v>1729</v>
      </c>
      <c r="BE2" s="4">
        <f>COUNTIFS('[1]Raw Abnsensi (2)'!P:P,H:H,'[1]Raw Abnsensi (2)'!Q:Q,1,'[1]Raw Abnsensi (2)'!O:O,"&lt;="&amp;#REF!)</f>
        <v>0</v>
      </c>
      <c r="BF2" s="4">
        <f>COUNTIFS('[1]Raw Abnsensi (2)'!P:P,H:H,'[1]Raw Abnsensi (2)'!Q:Q,1)</f>
        <v>0</v>
      </c>
      <c r="BG2" s="4" t="e">
        <f>BE2/BF2</f>
        <v>#DIV/0!</v>
      </c>
    </row>
    <row r="3" spans="1:59" ht="36" customHeight="1">
      <c r="A3" s="7"/>
      <c r="B3" s="10"/>
      <c r="C3" s="11"/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  <c r="AQ3" s="11"/>
      <c r="AR3" s="11"/>
      <c r="AS3" s="11"/>
      <c r="AT3" s="11"/>
      <c r="AU3" s="11"/>
      <c r="AV3" s="11"/>
      <c r="AW3" s="10"/>
      <c r="AX3" s="8"/>
      <c r="AZ3" s="9">
        <f>AZ2-2</f>
        <v>46238</v>
      </c>
      <c r="BA3" s="9">
        <f>EOMONTH(AZ3,-1)+1</f>
        <v>46235</v>
      </c>
      <c r="BB3" s="4" t="s">
        <v>1730</v>
      </c>
    </row>
    <row r="4" spans="1:59" ht="249" hidden="1" customHeight="1">
      <c r="A4" s="7"/>
      <c r="B4" s="10"/>
      <c r="C4" s="189" t="s">
        <v>1731</v>
      </c>
      <c r="D4" s="190"/>
      <c r="E4" s="190"/>
      <c r="F4" s="190"/>
      <c r="G4" s="190"/>
      <c r="H4" s="190"/>
      <c r="I4" s="190"/>
      <c r="J4" s="190"/>
      <c r="K4" s="190"/>
      <c r="L4" s="190"/>
      <c r="M4" s="190"/>
      <c r="N4" s="190"/>
      <c r="O4" s="190"/>
      <c r="P4" s="190"/>
      <c r="Q4" s="190"/>
      <c r="R4" s="191"/>
      <c r="S4" s="12"/>
      <c r="T4" s="190" t="s">
        <v>1732</v>
      </c>
      <c r="U4" s="190"/>
      <c r="V4" s="190"/>
      <c r="W4" s="190"/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  <c r="AU4" s="190"/>
      <c r="AV4" s="191"/>
      <c r="AW4" s="10"/>
      <c r="AX4" s="8"/>
    </row>
    <row r="5" spans="1:59" ht="9" customHeight="1">
      <c r="A5" s="7"/>
      <c r="B5" s="10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0"/>
      <c r="AX5" s="8"/>
    </row>
    <row r="6" spans="1:59" ht="57" customHeight="1">
      <c r="A6" s="7"/>
      <c r="B6" s="10"/>
      <c r="C6" s="212" t="s">
        <v>40</v>
      </c>
      <c r="D6" s="161" t="s">
        <v>41</v>
      </c>
      <c r="E6" s="212" t="s">
        <v>42</v>
      </c>
      <c r="F6" s="215" t="s">
        <v>43</v>
      </c>
      <c r="G6" s="14"/>
      <c r="H6" s="218" t="s">
        <v>41</v>
      </c>
      <c r="I6" s="192" t="s">
        <v>44</v>
      </c>
      <c r="J6" s="192"/>
      <c r="K6" s="192"/>
      <c r="L6" s="192"/>
      <c r="M6" s="192"/>
      <c r="N6" s="192"/>
      <c r="O6" s="192"/>
      <c r="P6" s="192"/>
      <c r="Q6" s="192"/>
      <c r="R6" s="192"/>
      <c r="S6" s="192"/>
      <c r="T6" s="193"/>
      <c r="U6" s="193"/>
      <c r="V6" s="192"/>
      <c r="W6" s="194"/>
      <c r="X6" s="195" t="s">
        <v>45</v>
      </c>
      <c r="Y6" s="195"/>
      <c r="Z6" s="195"/>
      <c r="AA6" s="195"/>
      <c r="AB6" s="196"/>
      <c r="AC6" s="197" t="s">
        <v>46</v>
      </c>
      <c r="AD6" s="192"/>
      <c r="AE6" s="192"/>
      <c r="AF6" s="192"/>
      <c r="AG6" s="192"/>
      <c r="AH6" s="192"/>
      <c r="AI6" s="192"/>
      <c r="AJ6" s="192"/>
      <c r="AK6" s="192"/>
      <c r="AL6" s="194"/>
      <c r="AM6" s="198"/>
      <c r="AN6" s="198"/>
      <c r="AO6" s="198"/>
      <c r="AP6" s="198"/>
      <c r="AQ6" s="198"/>
      <c r="AR6" s="198"/>
      <c r="AS6" s="198"/>
      <c r="AT6" s="198"/>
      <c r="AU6" s="198"/>
      <c r="AV6" s="199"/>
      <c r="AW6" s="10"/>
      <c r="AX6" s="8"/>
    </row>
    <row r="7" spans="1:59" ht="54.45" customHeight="1">
      <c r="A7" s="7"/>
      <c r="B7" s="10"/>
      <c r="C7" s="213"/>
      <c r="D7" s="161"/>
      <c r="E7" s="213"/>
      <c r="F7" s="216"/>
      <c r="G7" s="15"/>
      <c r="H7" s="219"/>
      <c r="I7" s="209" t="s">
        <v>47</v>
      </c>
      <c r="J7" s="198"/>
      <c r="K7" s="198"/>
      <c r="L7" s="198"/>
      <c r="M7" s="199"/>
      <c r="N7" s="209" t="s">
        <v>48</v>
      </c>
      <c r="O7" s="198"/>
      <c r="P7" s="198"/>
      <c r="Q7" s="198"/>
      <c r="R7" s="199"/>
      <c r="S7" s="221" t="s">
        <v>49</v>
      </c>
      <c r="T7" s="222"/>
      <c r="U7" s="222"/>
      <c r="V7" s="222"/>
      <c r="W7" s="223"/>
      <c r="X7" s="187" t="s">
        <v>50</v>
      </c>
      <c r="Y7" s="187"/>
      <c r="Z7" s="187"/>
      <c r="AA7" s="187"/>
      <c r="AB7" s="187"/>
      <c r="AC7" s="188" t="s">
        <v>51</v>
      </c>
      <c r="AD7" s="188"/>
      <c r="AE7" s="188"/>
      <c r="AF7" s="188"/>
      <c r="AG7" s="188"/>
      <c r="AH7" s="188" t="s">
        <v>52</v>
      </c>
      <c r="AI7" s="188"/>
      <c r="AJ7" s="188"/>
      <c r="AK7" s="188"/>
      <c r="AL7" s="188"/>
      <c r="AM7" s="198" t="s">
        <v>53</v>
      </c>
      <c r="AN7" s="198"/>
      <c r="AO7" s="198"/>
      <c r="AP7" s="198"/>
      <c r="AQ7" s="199"/>
      <c r="AR7" s="209" t="s">
        <v>54</v>
      </c>
      <c r="AS7" s="198"/>
      <c r="AT7" s="198"/>
      <c r="AU7" s="198"/>
      <c r="AV7" s="199"/>
      <c r="AW7" s="10"/>
      <c r="AX7" s="8"/>
      <c r="AZ7" s="16">
        <f>AZ2-1</f>
        <v>46239</v>
      </c>
    </row>
    <row r="8" spans="1:59" ht="56.25" customHeight="1">
      <c r="A8" s="7"/>
      <c r="B8" s="10"/>
      <c r="C8" s="214"/>
      <c r="D8" s="186"/>
      <c r="E8" s="214"/>
      <c r="F8" s="217"/>
      <c r="G8" s="18"/>
      <c r="H8" s="220"/>
      <c r="I8" s="13" t="s">
        <v>7</v>
      </c>
      <c r="J8" s="19">
        <f>$AZ$2</f>
        <v>46240</v>
      </c>
      <c r="K8" s="20">
        <f>AZ7</f>
        <v>46239</v>
      </c>
      <c r="L8" s="20">
        <f>AZ3</f>
        <v>46238</v>
      </c>
      <c r="M8" s="13" t="s">
        <v>55</v>
      </c>
      <c r="N8" s="13" t="s">
        <v>7</v>
      </c>
      <c r="O8" s="19">
        <f>$AZ$2</f>
        <v>46240</v>
      </c>
      <c r="P8" s="20">
        <f>AZ7</f>
        <v>46239</v>
      </c>
      <c r="Q8" s="20">
        <f>AZ3</f>
        <v>46238</v>
      </c>
      <c r="R8" s="13" t="s">
        <v>55</v>
      </c>
      <c r="S8" s="13" t="s">
        <v>7</v>
      </c>
      <c r="T8" s="19">
        <f>$AZ$2</f>
        <v>46240</v>
      </c>
      <c r="U8" s="20">
        <f>AZ7</f>
        <v>46239</v>
      </c>
      <c r="V8" s="20">
        <f>AZ3</f>
        <v>46238</v>
      </c>
      <c r="W8" s="13" t="s">
        <v>55</v>
      </c>
      <c r="X8" s="13" t="s">
        <v>7</v>
      </c>
      <c r="Y8" s="19">
        <f>$AZ$2</f>
        <v>46240</v>
      </c>
      <c r="Z8" s="20">
        <f>AZ7</f>
        <v>46239</v>
      </c>
      <c r="AA8" s="20">
        <f>AZ3</f>
        <v>46238</v>
      </c>
      <c r="AB8" s="13" t="s">
        <v>55</v>
      </c>
      <c r="AC8" s="13" t="s">
        <v>7</v>
      </c>
      <c r="AD8" s="19">
        <f>$AZ$2</f>
        <v>46240</v>
      </c>
      <c r="AE8" s="20">
        <f>AZ7</f>
        <v>46239</v>
      </c>
      <c r="AF8" s="20">
        <f>AZ3</f>
        <v>46238</v>
      </c>
      <c r="AG8" s="13" t="s">
        <v>55</v>
      </c>
      <c r="AH8" s="13" t="s">
        <v>7</v>
      </c>
      <c r="AI8" s="19">
        <f>$AZ$2</f>
        <v>46240</v>
      </c>
      <c r="AJ8" s="20">
        <f>AZ7</f>
        <v>46239</v>
      </c>
      <c r="AK8" s="20">
        <f>AZ3</f>
        <v>46238</v>
      </c>
      <c r="AL8" s="13" t="s">
        <v>55</v>
      </c>
      <c r="AM8" s="21" t="s">
        <v>7</v>
      </c>
      <c r="AN8" s="19">
        <f>$AZ$2</f>
        <v>46240</v>
      </c>
      <c r="AO8" s="20">
        <f>AZ7</f>
        <v>46239</v>
      </c>
      <c r="AP8" s="20">
        <f>AZ3</f>
        <v>46238</v>
      </c>
      <c r="AQ8" s="13" t="s">
        <v>55</v>
      </c>
      <c r="AR8" s="13" t="s">
        <v>39</v>
      </c>
      <c r="AS8" s="19">
        <f>$AZ$2</f>
        <v>46240</v>
      </c>
      <c r="AT8" s="20">
        <f>AZ7</f>
        <v>46239</v>
      </c>
      <c r="AU8" s="20">
        <f>AZ3</f>
        <v>46238</v>
      </c>
      <c r="AV8" s="13" t="s">
        <v>55</v>
      </c>
      <c r="AW8" s="10"/>
      <c r="AX8" s="8"/>
    </row>
    <row r="9" spans="1:59">
      <c r="A9" s="7"/>
      <c r="B9" s="10"/>
      <c r="C9" s="22" t="s">
        <v>56</v>
      </c>
      <c r="D9" s="23" t="s">
        <v>29</v>
      </c>
      <c r="E9" s="24" t="s">
        <v>57</v>
      </c>
      <c r="F9" s="24" t="s">
        <v>57</v>
      </c>
      <c r="G9" s="24" t="s">
        <v>57</v>
      </c>
      <c r="H9" s="24" t="s">
        <v>57</v>
      </c>
      <c r="I9" s="25">
        <v>0.9</v>
      </c>
      <c r="J9" s="26">
        <v>0.8928571428571429</v>
      </c>
      <c r="K9" s="26">
        <v>0.81967213114754101</v>
      </c>
      <c r="L9" s="27">
        <v>0.88888888888888884</v>
      </c>
      <c r="M9" s="27">
        <v>0.86956521739130432</v>
      </c>
      <c r="N9" s="28">
        <v>0.9</v>
      </c>
      <c r="O9" s="29">
        <v>0.96154332700822265</v>
      </c>
      <c r="P9" s="26">
        <v>0.93482236154649945</v>
      </c>
      <c r="Q9" s="26">
        <v>0.9185765983112183</v>
      </c>
      <c r="R9" s="26">
        <v>0.90286199964041125</v>
      </c>
      <c r="S9" s="28">
        <v>0.9</v>
      </c>
      <c r="T9" s="26">
        <v>0.71916508538899426</v>
      </c>
      <c r="U9" s="26">
        <v>0.67594043887147337</v>
      </c>
      <c r="V9" s="26">
        <v>0.7173703256936067</v>
      </c>
      <c r="W9" s="26">
        <v>0.65237573756558409</v>
      </c>
      <c r="X9" s="28">
        <v>0.92</v>
      </c>
      <c r="Y9" s="28">
        <v>0.90646073526212745</v>
      </c>
      <c r="Z9" s="28">
        <v>0.94241164241164244</v>
      </c>
      <c r="AA9" s="28">
        <v>0.95386614684860294</v>
      </c>
      <c r="AB9" s="28">
        <v>0.93138535205136574</v>
      </c>
      <c r="AC9" s="28">
        <v>0.92</v>
      </c>
      <c r="AD9" s="26">
        <v>0.99385467314964882</v>
      </c>
      <c r="AE9" s="26">
        <v>0.98597971823317221</v>
      </c>
      <c r="AF9" s="26">
        <v>0.98818572372769331</v>
      </c>
      <c r="AG9" s="26">
        <v>0.98121818622528478</v>
      </c>
      <c r="AH9" s="28">
        <v>0.92</v>
      </c>
      <c r="AI9" s="26">
        <v>0.92770891643342668</v>
      </c>
      <c r="AJ9" s="26">
        <v>0.94948685054522131</v>
      </c>
      <c r="AK9" s="26">
        <v>0.96292569659442728</v>
      </c>
      <c r="AL9" s="26">
        <v>0.94797428309011122</v>
      </c>
      <c r="AM9" s="25">
        <v>0.99</v>
      </c>
      <c r="AN9" s="30">
        <v>1</v>
      </c>
      <c r="AO9" s="30">
        <v>1</v>
      </c>
      <c r="AP9" s="30">
        <v>1</v>
      </c>
      <c r="AQ9" s="31">
        <v>1</v>
      </c>
      <c r="AR9" s="32">
        <v>8.7218210012826203E-2</v>
      </c>
      <c r="AS9" s="33">
        <v>3.125E-2</v>
      </c>
      <c r="AT9" s="34">
        <v>0</v>
      </c>
      <c r="AU9" s="34">
        <v>7.4999999999999997E-2</v>
      </c>
      <c r="AV9" s="34">
        <v>4.0677966101694912E-2</v>
      </c>
      <c r="AW9" s="10"/>
      <c r="AX9" s="8"/>
    </row>
    <row r="10" spans="1:59">
      <c r="A10" s="7"/>
      <c r="B10" s="10"/>
      <c r="C10" s="22" t="s">
        <v>56</v>
      </c>
      <c r="D10" s="23" t="s">
        <v>29</v>
      </c>
      <c r="E10" s="24" t="s">
        <v>58</v>
      </c>
      <c r="F10" s="24" t="s">
        <v>58</v>
      </c>
      <c r="G10" s="24" t="s">
        <v>58</v>
      </c>
      <c r="H10" s="24" t="s">
        <v>58</v>
      </c>
      <c r="I10" s="25">
        <v>0.9</v>
      </c>
      <c r="J10" s="26">
        <v>0.83478260869565213</v>
      </c>
      <c r="K10" s="26">
        <v>0.8728813559322034</v>
      </c>
      <c r="L10" s="27">
        <v>0.83898305084745761</v>
      </c>
      <c r="M10" s="26">
        <v>0.81506849315068497</v>
      </c>
      <c r="N10" s="28">
        <v>0.9</v>
      </c>
      <c r="O10" s="26">
        <v>0.98800458954834669</v>
      </c>
      <c r="P10" s="26">
        <v>0.98693823334071284</v>
      </c>
      <c r="Q10" s="26">
        <v>0.97821607300559321</v>
      </c>
      <c r="R10" s="26">
        <v>0.97942663511187611</v>
      </c>
      <c r="S10" s="28">
        <v>0.9</v>
      </c>
      <c r="T10" s="26">
        <v>0.77438197559194744</v>
      </c>
      <c r="U10" s="26">
        <v>0.79322559220721722</v>
      </c>
      <c r="V10" s="26">
        <v>0.77048376018055142</v>
      </c>
      <c r="W10" s="26">
        <v>0.75283724182444067</v>
      </c>
      <c r="X10" s="28">
        <v>0.92</v>
      </c>
      <c r="Y10" s="28">
        <v>0.93329981565275688</v>
      </c>
      <c r="Z10" s="28">
        <v>0.95821635012386452</v>
      </c>
      <c r="AA10" s="28">
        <v>0.95364875701684038</v>
      </c>
      <c r="AB10" s="28">
        <v>0.94820271920203625</v>
      </c>
      <c r="AC10" s="28">
        <v>0.92</v>
      </c>
      <c r="AD10" s="26">
        <v>0.99075664101422545</v>
      </c>
      <c r="AE10" s="26">
        <v>0.99013467696364665</v>
      </c>
      <c r="AF10" s="26">
        <v>0.99390764803740839</v>
      </c>
      <c r="AG10" s="26">
        <v>0.96236203030582712</v>
      </c>
      <c r="AH10" s="28">
        <v>0.92</v>
      </c>
      <c r="AI10" s="26">
        <v>0.94325192802056557</v>
      </c>
      <c r="AJ10" s="26">
        <v>0.96111810293435784</v>
      </c>
      <c r="AK10" s="26">
        <v>0.96007060685373424</v>
      </c>
      <c r="AL10" s="26">
        <v>0.95474582209583714</v>
      </c>
      <c r="AM10" s="25">
        <v>0.99</v>
      </c>
      <c r="AN10" s="30">
        <v>1</v>
      </c>
      <c r="AO10" s="30">
        <v>1</v>
      </c>
      <c r="AP10" s="30">
        <v>1</v>
      </c>
      <c r="AQ10" s="31">
        <v>1</v>
      </c>
      <c r="AR10" s="32">
        <v>8.7218210012826203E-2</v>
      </c>
      <c r="AS10" s="33">
        <v>3.0303030303030304E-2</v>
      </c>
      <c r="AT10" s="34">
        <v>0.08</v>
      </c>
      <c r="AU10" s="34">
        <v>0.1111111111111111</v>
      </c>
      <c r="AV10" s="34">
        <v>7.5203252032520332E-2</v>
      </c>
      <c r="AW10" s="10"/>
      <c r="AX10" s="8"/>
    </row>
    <row r="11" spans="1:59">
      <c r="A11" s="7"/>
      <c r="B11" s="10"/>
      <c r="C11" s="22" t="s">
        <v>56</v>
      </c>
      <c r="D11" s="23" t="s">
        <v>29</v>
      </c>
      <c r="E11" s="24" t="s">
        <v>59</v>
      </c>
      <c r="F11" s="24" t="s">
        <v>59</v>
      </c>
      <c r="G11" s="24" t="s">
        <v>59</v>
      </c>
      <c r="H11" s="24" t="s">
        <v>59</v>
      </c>
      <c r="I11" s="25">
        <v>0.9</v>
      </c>
      <c r="J11" s="26">
        <v>0.93333333333333335</v>
      </c>
      <c r="K11" s="26">
        <v>0.90625</v>
      </c>
      <c r="L11" s="27">
        <v>0.96969696969696972</v>
      </c>
      <c r="M11" s="26">
        <v>0.96356275303643724</v>
      </c>
      <c r="N11" s="28">
        <v>0.9</v>
      </c>
      <c r="O11" s="26">
        <v>0.99762470308788598</v>
      </c>
      <c r="P11" s="26">
        <v>0.9918462434478742</v>
      </c>
      <c r="Q11" s="26">
        <v>0.9726315789473684</v>
      </c>
      <c r="R11" s="26">
        <v>0.98425745332961823</v>
      </c>
      <c r="S11" s="28">
        <v>0.9</v>
      </c>
      <c r="T11" s="26">
        <v>0.86579572446555819</v>
      </c>
      <c r="U11" s="26">
        <v>0.86837507280139781</v>
      </c>
      <c r="V11" s="26">
        <v>0.90578947368421048</v>
      </c>
      <c r="W11" s="26">
        <v>0.88959320144887155</v>
      </c>
      <c r="X11" s="28">
        <v>0.92</v>
      </c>
      <c r="Y11" s="28">
        <v>0.95589414595028066</v>
      </c>
      <c r="Z11" s="28">
        <v>0.93684210526315792</v>
      </c>
      <c r="AA11" s="28">
        <v>0.95782073813708257</v>
      </c>
      <c r="AB11" s="28">
        <v>0.95922309260650285</v>
      </c>
      <c r="AC11" s="28">
        <v>0.92</v>
      </c>
      <c r="AD11" s="26">
        <v>0.95146799294079898</v>
      </c>
      <c r="AE11" s="26">
        <v>0.8531728471546155</v>
      </c>
      <c r="AF11" s="26">
        <v>0.82348367029548986</v>
      </c>
      <c r="AG11" s="26">
        <v>0.87066284161256224</v>
      </c>
      <c r="AH11" s="28">
        <v>0.92</v>
      </c>
      <c r="AI11" s="26">
        <v>0.95223473217331966</v>
      </c>
      <c r="AJ11" s="26">
        <v>0.94715447154471544</v>
      </c>
      <c r="AK11" s="26">
        <v>0.96477946017116523</v>
      </c>
      <c r="AL11" s="26">
        <v>0.96693551792576327</v>
      </c>
      <c r="AM11" s="25">
        <v>0.99</v>
      </c>
      <c r="AN11" s="30">
        <v>1</v>
      </c>
      <c r="AO11" s="30">
        <v>1</v>
      </c>
      <c r="AP11" s="30">
        <v>1</v>
      </c>
      <c r="AQ11" s="30">
        <v>1</v>
      </c>
      <c r="AR11" s="32">
        <v>8.7218210012826203E-2</v>
      </c>
      <c r="AS11" s="34">
        <v>7.6923076923076927E-2</v>
      </c>
      <c r="AT11" s="34">
        <v>5.8823529411764705E-2</v>
      </c>
      <c r="AU11" s="34">
        <v>0</v>
      </c>
      <c r="AV11" s="34">
        <v>4.3478260869565216E-2</v>
      </c>
      <c r="AW11" s="10"/>
      <c r="AX11" s="8"/>
    </row>
    <row r="12" spans="1:59">
      <c r="A12" s="7"/>
      <c r="B12" s="10"/>
      <c r="C12" s="22" t="s">
        <v>56</v>
      </c>
      <c r="D12" s="23" t="s">
        <v>29</v>
      </c>
      <c r="E12" s="24" t="s">
        <v>60</v>
      </c>
      <c r="F12" s="24" t="s">
        <v>60</v>
      </c>
      <c r="G12" s="24" t="s">
        <v>60</v>
      </c>
      <c r="H12" s="24" t="s">
        <v>60</v>
      </c>
      <c r="I12" s="25">
        <v>0.9</v>
      </c>
      <c r="J12" s="26">
        <v>0.87735849056603776</v>
      </c>
      <c r="K12" s="26">
        <v>0.93269230769230771</v>
      </c>
      <c r="L12" s="27">
        <v>0.91228070175438591</v>
      </c>
      <c r="M12" s="26">
        <v>0.90011350737797957</v>
      </c>
      <c r="N12" s="28">
        <v>0.9</v>
      </c>
      <c r="O12" s="26">
        <v>0.8541596873255165</v>
      </c>
      <c r="P12" s="26">
        <v>0.93316605839416056</v>
      </c>
      <c r="Q12" s="26">
        <v>0.90314248816185971</v>
      </c>
      <c r="R12" s="26">
        <v>0.89633884697902966</v>
      </c>
      <c r="S12" s="28">
        <v>0.9</v>
      </c>
      <c r="T12" s="26">
        <v>0.72071468453377996</v>
      </c>
      <c r="U12" s="26">
        <v>0.78569799270072993</v>
      </c>
      <c r="V12" s="26">
        <v>0.79735256134309085</v>
      </c>
      <c r="W12" s="26">
        <v>0.76860682400166103</v>
      </c>
      <c r="X12" s="28">
        <v>0.92</v>
      </c>
      <c r="Y12" s="28">
        <v>0.92020433327461693</v>
      </c>
      <c r="Z12" s="28">
        <v>0.97608286252354048</v>
      </c>
      <c r="AA12" s="28">
        <v>0.97999649061238814</v>
      </c>
      <c r="AB12" s="28">
        <v>0.9680368314388933</v>
      </c>
      <c r="AC12" s="28">
        <v>0.92</v>
      </c>
      <c r="AD12" s="26">
        <v>0.88825622775800717</v>
      </c>
      <c r="AE12" s="26">
        <v>0.67435669920141972</v>
      </c>
      <c r="AF12" s="26">
        <v>0.8513207547169811</v>
      </c>
      <c r="AG12" s="26">
        <v>0.86140771409893224</v>
      </c>
      <c r="AH12" s="28">
        <v>0.92</v>
      </c>
      <c r="AI12" s="26">
        <v>0.93801681131688652</v>
      </c>
      <c r="AJ12" s="26">
        <v>0.97443000213083319</v>
      </c>
      <c r="AK12" s="26">
        <v>0.97972116603295312</v>
      </c>
      <c r="AL12" s="26">
        <v>0.9728179105999949</v>
      </c>
      <c r="AM12" s="25">
        <v>0.99</v>
      </c>
      <c r="AN12" s="30">
        <v>1</v>
      </c>
      <c r="AO12" s="30">
        <v>1</v>
      </c>
      <c r="AP12" s="30">
        <v>1</v>
      </c>
      <c r="AQ12" s="30">
        <v>1</v>
      </c>
      <c r="AR12" s="32">
        <v>8.7218210012826203E-2</v>
      </c>
      <c r="AS12" s="34">
        <v>1.7857142857142856E-2</v>
      </c>
      <c r="AT12" s="34">
        <v>5.4545454545454543E-2</v>
      </c>
      <c r="AU12" s="34">
        <v>9.2592592592592587E-2</v>
      </c>
      <c r="AV12" s="34">
        <v>6.205250596658711E-2</v>
      </c>
      <c r="AW12" s="10"/>
      <c r="AX12" s="8"/>
    </row>
    <row r="13" spans="1:59">
      <c r="A13" s="7"/>
      <c r="B13" s="10"/>
      <c r="C13" s="22" t="s">
        <v>56</v>
      </c>
      <c r="D13" s="23" t="s">
        <v>29</v>
      </c>
      <c r="E13" s="24" t="s">
        <v>61</v>
      </c>
      <c r="F13" s="24" t="s">
        <v>61</v>
      </c>
      <c r="G13" s="24" t="s">
        <v>61</v>
      </c>
      <c r="H13" s="24" t="s">
        <v>61</v>
      </c>
      <c r="I13" s="25">
        <v>0.9</v>
      </c>
      <c r="J13" s="26">
        <v>0.85106382978723405</v>
      </c>
      <c r="K13" s="26">
        <v>0.83333333333333337</v>
      </c>
      <c r="L13" s="27">
        <v>0.8545454545454545</v>
      </c>
      <c r="M13" s="26">
        <v>0.85121951219512193</v>
      </c>
      <c r="N13" s="28">
        <v>0.9</v>
      </c>
      <c r="O13" s="26">
        <v>0.85407186568335169</v>
      </c>
      <c r="P13" s="26">
        <v>0.89729474677571563</v>
      </c>
      <c r="Q13" s="26">
        <v>0.94178470254957503</v>
      </c>
      <c r="R13" s="26">
        <v>0.8993824134888736</v>
      </c>
      <c r="S13" s="28">
        <v>0.9</v>
      </c>
      <c r="T13" s="26">
        <v>0.87760866154087558</v>
      </c>
      <c r="U13" s="26">
        <v>0.90751808744888329</v>
      </c>
      <c r="V13" s="26">
        <v>0.93116147308781871</v>
      </c>
      <c r="W13" s="26">
        <v>0.90248014900499951</v>
      </c>
      <c r="X13" s="28">
        <v>0.92</v>
      </c>
      <c r="Y13" s="28">
        <v>0.91232423490488002</v>
      </c>
      <c r="Z13" s="28">
        <v>0.96099378881987574</v>
      </c>
      <c r="AA13" s="28">
        <v>0.95334242837653482</v>
      </c>
      <c r="AB13" s="28">
        <v>0.92825067358547053</v>
      </c>
      <c r="AC13" s="28">
        <v>0.92</v>
      </c>
      <c r="AD13" s="26">
        <v>0.96792976528087848</v>
      </c>
      <c r="AE13" s="26">
        <v>0.882567159711656</v>
      </c>
      <c r="AF13" s="26">
        <v>0.98773836692066685</v>
      </c>
      <c r="AG13" s="26">
        <v>0.95924392782514045</v>
      </c>
      <c r="AH13" s="28">
        <v>0.92</v>
      </c>
      <c r="AI13" s="26">
        <v>0.94269999999999998</v>
      </c>
      <c r="AJ13" s="26">
        <v>0.97573890439973043</v>
      </c>
      <c r="AK13" s="26">
        <v>0.97501864280387773</v>
      </c>
      <c r="AL13" s="26">
        <v>0.95408805031446542</v>
      </c>
      <c r="AM13" s="25">
        <v>0.99</v>
      </c>
      <c r="AN13" s="30">
        <v>1</v>
      </c>
      <c r="AO13" s="30">
        <v>1</v>
      </c>
      <c r="AP13" s="30">
        <v>1</v>
      </c>
      <c r="AQ13" s="30">
        <v>1</v>
      </c>
      <c r="AR13" s="32">
        <v>8.7218210012826203E-2</v>
      </c>
      <c r="AS13" s="34">
        <v>5.7142857142857141E-2</v>
      </c>
      <c r="AT13" s="34">
        <v>3.8461538461538464E-2</v>
      </c>
      <c r="AU13" s="34">
        <v>4.1666666666666664E-2</v>
      </c>
      <c r="AV13" s="34">
        <v>4.3478260869565216E-2</v>
      </c>
      <c r="AW13" s="10"/>
      <c r="AX13" s="8"/>
    </row>
    <row r="14" spans="1:59">
      <c r="A14" s="7"/>
      <c r="B14" s="10"/>
      <c r="C14" s="22" t="s">
        <v>56</v>
      </c>
      <c r="D14" s="23" t="s">
        <v>29</v>
      </c>
      <c r="E14" s="24" t="s">
        <v>62</v>
      </c>
      <c r="F14" s="24" t="s">
        <v>62</v>
      </c>
      <c r="G14" s="24" t="s">
        <v>62</v>
      </c>
      <c r="H14" s="24" t="s">
        <v>62</v>
      </c>
      <c r="I14" s="25">
        <v>0.9</v>
      </c>
      <c r="J14" s="26">
        <v>0.91891891891891897</v>
      </c>
      <c r="K14" s="26">
        <v>0.92207792207792205</v>
      </c>
      <c r="L14" s="27">
        <v>0.87804878048780488</v>
      </c>
      <c r="M14" s="26">
        <v>0.88177339901477836</v>
      </c>
      <c r="N14" s="28">
        <v>0.9</v>
      </c>
      <c r="O14" s="26">
        <v>0.91741374626460204</v>
      </c>
      <c r="P14" s="26">
        <v>0.77020938245428039</v>
      </c>
      <c r="Q14" s="26">
        <v>0.82082563154651877</v>
      </c>
      <c r="R14" s="26">
        <v>0.83495002457807632</v>
      </c>
      <c r="S14" s="28">
        <v>0.9</v>
      </c>
      <c r="T14" s="26">
        <v>0.79842434121162731</v>
      </c>
      <c r="U14" s="26">
        <v>0.7997614630267692</v>
      </c>
      <c r="V14" s="26">
        <v>0.7897720271102896</v>
      </c>
      <c r="W14" s="26">
        <v>0.77479927904309354</v>
      </c>
      <c r="X14" s="28">
        <v>0.92</v>
      </c>
      <c r="Y14" s="28">
        <v>0.97540134645261523</v>
      </c>
      <c r="Z14" s="28">
        <v>0.95546276965901178</v>
      </c>
      <c r="AA14" s="28">
        <v>0.97846358792184729</v>
      </c>
      <c r="AB14" s="28">
        <v>0.97390592799127162</v>
      </c>
      <c r="AC14" s="28">
        <v>0.92</v>
      </c>
      <c r="AD14" s="26">
        <v>0.94749113277277575</v>
      </c>
      <c r="AE14" s="26">
        <v>0.94573959536917462</v>
      </c>
      <c r="AF14" s="26">
        <v>0.9196006755167917</v>
      </c>
      <c r="AG14" s="26">
        <v>0.92629341673457699</v>
      </c>
      <c r="AH14" s="28">
        <v>0.92</v>
      </c>
      <c r="AI14" s="26">
        <v>0.96822712709149161</v>
      </c>
      <c r="AJ14" s="26">
        <v>0.96182369796055955</v>
      </c>
      <c r="AK14" s="26">
        <v>0.97861894203357613</v>
      </c>
      <c r="AL14" s="26">
        <v>0.97433934987350379</v>
      </c>
      <c r="AM14" s="25">
        <v>0.99</v>
      </c>
      <c r="AN14" s="30">
        <v>1</v>
      </c>
      <c r="AO14" s="30">
        <v>1</v>
      </c>
      <c r="AP14" s="30">
        <v>1</v>
      </c>
      <c r="AQ14" s="30">
        <v>1</v>
      </c>
      <c r="AR14" s="32">
        <v>8.7218210012826203E-2</v>
      </c>
      <c r="AS14" s="34">
        <v>4.878048780487805E-2</v>
      </c>
      <c r="AT14" s="34">
        <v>6.6666666666666666E-2</v>
      </c>
      <c r="AU14" s="34">
        <v>8.3333333333333329E-2</v>
      </c>
      <c r="AV14" s="34">
        <v>7.3417721518987344E-2</v>
      </c>
      <c r="AW14" s="10"/>
      <c r="AX14" s="8"/>
    </row>
    <row r="15" spans="1:59">
      <c r="A15" s="7"/>
      <c r="B15" s="10"/>
      <c r="C15" s="22" t="s">
        <v>56</v>
      </c>
      <c r="D15" s="23" t="s">
        <v>29</v>
      </c>
      <c r="E15" s="35" t="s">
        <v>63</v>
      </c>
      <c r="F15" s="35" t="s">
        <v>63</v>
      </c>
      <c r="G15" s="35" t="s">
        <v>63</v>
      </c>
      <c r="H15" s="35" t="s">
        <v>63</v>
      </c>
      <c r="I15" s="25">
        <v>0.9</v>
      </c>
      <c r="J15" s="26">
        <v>0.99193548387096775</v>
      </c>
      <c r="K15" s="26">
        <v>1</v>
      </c>
      <c r="L15" s="27">
        <v>1</v>
      </c>
      <c r="M15" s="26">
        <v>0.99183673469387756</v>
      </c>
      <c r="N15" s="28">
        <v>0.9</v>
      </c>
      <c r="O15" s="26">
        <v>0.96169354838709675</v>
      </c>
      <c r="P15" s="26">
        <v>0.98568782623337259</v>
      </c>
      <c r="Q15" s="26">
        <v>0.98282967032967028</v>
      </c>
      <c r="R15" s="26">
        <v>0.97449936940539539</v>
      </c>
      <c r="S15" s="28">
        <v>0.9</v>
      </c>
      <c r="T15" s="26">
        <v>0.90709677419354839</v>
      </c>
      <c r="U15" s="26">
        <v>0.91926250210473148</v>
      </c>
      <c r="V15" s="26">
        <v>0.92017704517704513</v>
      </c>
      <c r="W15" s="26">
        <v>0.9072667056302357</v>
      </c>
      <c r="X15" s="28">
        <v>0.92</v>
      </c>
      <c r="Y15" s="28">
        <v>0.94720127034537516</v>
      </c>
      <c r="Z15" s="28">
        <v>0.95825280247390798</v>
      </c>
      <c r="AA15" s="28">
        <v>0.96483375959079287</v>
      </c>
      <c r="AB15" s="28">
        <v>0.95959151763901107</v>
      </c>
      <c r="AC15" s="28">
        <v>0.92</v>
      </c>
      <c r="AD15" s="26">
        <v>0.99805247076542225</v>
      </c>
      <c r="AE15" s="26">
        <v>0.99533516518627385</v>
      </c>
      <c r="AF15" s="26">
        <v>0.99763646696917485</v>
      </c>
      <c r="AG15" s="26">
        <v>0.99664533799802058</v>
      </c>
      <c r="AH15" s="28">
        <v>0.92</v>
      </c>
      <c r="AI15" s="26">
        <v>0.9590701868643855</v>
      </c>
      <c r="AJ15" s="26">
        <v>0.96975714067511842</v>
      </c>
      <c r="AK15" s="26">
        <v>0.97538829151732376</v>
      </c>
      <c r="AL15" s="26">
        <v>0.97248104690301673</v>
      </c>
      <c r="AM15" s="25">
        <v>0.99</v>
      </c>
      <c r="AN15" s="30">
        <v>1</v>
      </c>
      <c r="AO15" s="30">
        <v>1</v>
      </c>
      <c r="AP15" s="30">
        <v>1</v>
      </c>
      <c r="AQ15" s="30">
        <v>1</v>
      </c>
      <c r="AR15" s="32">
        <v>8.7218210012826203E-2</v>
      </c>
      <c r="AS15" s="34">
        <v>2.1739130434782608E-2</v>
      </c>
      <c r="AT15" s="34">
        <v>1.3245033112582781E-2</v>
      </c>
      <c r="AU15" s="34">
        <v>0</v>
      </c>
      <c r="AV15" s="34">
        <v>1.610305958132045E-2</v>
      </c>
      <c r="AW15" s="10"/>
      <c r="AX15" s="8"/>
    </row>
    <row r="16" spans="1:59">
      <c r="A16" s="7"/>
      <c r="B16" s="10"/>
      <c r="C16" s="22" t="s">
        <v>56</v>
      </c>
      <c r="D16" s="23" t="s">
        <v>29</v>
      </c>
      <c r="E16" s="35" t="s">
        <v>64</v>
      </c>
      <c r="F16" s="35" t="s">
        <v>64</v>
      </c>
      <c r="G16" s="35" t="s">
        <v>64</v>
      </c>
      <c r="H16" s="35" t="s">
        <v>64</v>
      </c>
      <c r="I16" s="25">
        <v>0.9</v>
      </c>
      <c r="J16" s="26">
        <v>0.96296296296296291</v>
      </c>
      <c r="K16" s="26">
        <v>0.89655172413793105</v>
      </c>
      <c r="L16" s="27">
        <v>0.9375</v>
      </c>
      <c r="M16" s="26">
        <v>0.95</v>
      </c>
      <c r="N16" s="28">
        <v>0.9</v>
      </c>
      <c r="O16" s="26">
        <v>0.99399947821549695</v>
      </c>
      <c r="P16" s="26">
        <v>0.99437439379243453</v>
      </c>
      <c r="Q16" s="26">
        <v>0.99891186071817195</v>
      </c>
      <c r="R16" s="26">
        <v>0.98915873185692382</v>
      </c>
      <c r="S16" s="28">
        <v>0.9</v>
      </c>
      <c r="T16" s="26">
        <v>0.95721367075397856</v>
      </c>
      <c r="U16" s="26">
        <v>0.98312318137730359</v>
      </c>
      <c r="V16" s="26">
        <v>0.99020674646354734</v>
      </c>
      <c r="W16" s="26">
        <v>0.9856638493634321</v>
      </c>
      <c r="X16" s="28">
        <v>0.92</v>
      </c>
      <c r="Y16" s="28">
        <v>0</v>
      </c>
      <c r="Z16" s="28">
        <v>0</v>
      </c>
      <c r="AA16" s="28">
        <v>0</v>
      </c>
      <c r="AB16" s="28">
        <v>0</v>
      </c>
      <c r="AC16" s="28">
        <v>0.92</v>
      </c>
      <c r="AD16" s="26">
        <v>0.53333333333333333</v>
      </c>
      <c r="AE16" s="26">
        <v>0.6</v>
      </c>
      <c r="AF16" s="26">
        <v>0</v>
      </c>
      <c r="AG16" s="26">
        <v>0.41935483870967744</v>
      </c>
      <c r="AH16" s="28">
        <v>0.92</v>
      </c>
      <c r="AI16" s="26">
        <v>0.96399686929298201</v>
      </c>
      <c r="AJ16" s="26">
        <v>0.98855480116391847</v>
      </c>
      <c r="AK16" s="26">
        <v>0.9963728690605731</v>
      </c>
      <c r="AL16" s="26">
        <v>0.99144110409757147</v>
      </c>
      <c r="AM16" s="25">
        <v>0.99</v>
      </c>
      <c r="AN16" s="30">
        <v>1</v>
      </c>
      <c r="AO16" s="30">
        <v>1</v>
      </c>
      <c r="AP16" s="30">
        <v>1</v>
      </c>
      <c r="AQ16" s="30">
        <v>1</v>
      </c>
      <c r="AR16" s="32">
        <v>8.7218210012826203E-2</v>
      </c>
      <c r="AS16" s="34">
        <v>0</v>
      </c>
      <c r="AT16" s="34">
        <v>7.6923076923076927E-2</v>
      </c>
      <c r="AU16" s="34">
        <v>0.14285714285714285</v>
      </c>
      <c r="AV16" s="34">
        <v>5.9701492537313432E-2</v>
      </c>
      <c r="AW16" s="10"/>
      <c r="AX16" s="8"/>
    </row>
    <row r="17" spans="1:50">
      <c r="A17" s="7"/>
      <c r="B17" s="10"/>
      <c r="C17" s="22" t="s">
        <v>56</v>
      </c>
      <c r="D17" s="23" t="s">
        <v>29</v>
      </c>
      <c r="E17" s="35" t="s">
        <v>65</v>
      </c>
      <c r="F17" s="35" t="s">
        <v>65</v>
      </c>
      <c r="G17" s="35" t="s">
        <v>65</v>
      </c>
      <c r="H17" s="35" t="s">
        <v>65</v>
      </c>
      <c r="I17" s="25">
        <v>0.9</v>
      </c>
      <c r="J17" s="26">
        <v>0.76041666666666663</v>
      </c>
      <c r="K17" s="26">
        <v>0.85</v>
      </c>
      <c r="L17" s="27">
        <v>0.84905660377358494</v>
      </c>
      <c r="M17" s="26">
        <v>0.80970625798212004</v>
      </c>
      <c r="N17" s="28">
        <v>0.9</v>
      </c>
      <c r="O17" s="26">
        <v>0.96560574948665301</v>
      </c>
      <c r="P17" s="26">
        <v>0.94706723891273248</v>
      </c>
      <c r="Q17" s="26">
        <v>0.9680760326550506</v>
      </c>
      <c r="R17" s="26">
        <v>0.97844973868187068</v>
      </c>
      <c r="S17" s="28">
        <v>0.9</v>
      </c>
      <c r="T17" s="26">
        <v>0.60292607802874743</v>
      </c>
      <c r="U17" s="26">
        <v>0.70230198985563796</v>
      </c>
      <c r="V17" s="26">
        <v>0.72450347264530279</v>
      </c>
      <c r="W17" s="26">
        <v>0.6452012488970339</v>
      </c>
      <c r="X17" s="28">
        <v>0.92</v>
      </c>
      <c r="Y17" s="28">
        <v>0.84950224477845016</v>
      </c>
      <c r="Z17" s="28">
        <v>0.88814317673378074</v>
      </c>
      <c r="AA17" s="28">
        <v>0.88906280571316765</v>
      </c>
      <c r="AB17" s="28">
        <v>0.84141776596019313</v>
      </c>
      <c r="AC17" s="28">
        <v>0.92</v>
      </c>
      <c r="AD17" s="26">
        <v>0.64160272804774088</v>
      </c>
      <c r="AE17" s="26">
        <v>0.67246815487451128</v>
      </c>
      <c r="AF17" s="26">
        <v>0.94078365903957573</v>
      </c>
      <c r="AG17" s="26">
        <v>0.83099080627025601</v>
      </c>
      <c r="AH17" s="28">
        <v>0.92</v>
      </c>
      <c r="AI17" s="26">
        <v>0.88193853061856464</v>
      </c>
      <c r="AJ17" s="26">
        <v>0.9145644930985245</v>
      </c>
      <c r="AK17" s="26">
        <v>0.91118618618618619</v>
      </c>
      <c r="AL17" s="26">
        <v>0.87735337175851513</v>
      </c>
      <c r="AM17" s="25">
        <v>0.99</v>
      </c>
      <c r="AN17" s="30">
        <v>1</v>
      </c>
      <c r="AO17" s="30">
        <v>1</v>
      </c>
      <c r="AP17" s="30">
        <v>1</v>
      </c>
      <c r="AQ17" s="30">
        <v>1</v>
      </c>
      <c r="AR17" s="32">
        <v>8.7218210012826203E-2</v>
      </c>
      <c r="AS17" s="34">
        <v>9.8360655737704916E-2</v>
      </c>
      <c r="AT17" s="34">
        <v>0.18032786885245902</v>
      </c>
      <c r="AU17" s="34">
        <v>7.2463768115942032E-2</v>
      </c>
      <c r="AV17" s="34">
        <v>6.5637065637065631E-2</v>
      </c>
      <c r="AW17" s="10"/>
      <c r="AX17" s="8"/>
    </row>
    <row r="18" spans="1:50">
      <c r="A18" s="7"/>
      <c r="B18" s="10"/>
      <c r="C18" s="22" t="s">
        <v>56</v>
      </c>
      <c r="D18" s="23" t="s">
        <v>29</v>
      </c>
      <c r="E18" s="35" t="s">
        <v>66</v>
      </c>
      <c r="F18" s="35" t="s">
        <v>66</v>
      </c>
      <c r="G18" s="35" t="s">
        <v>66</v>
      </c>
      <c r="H18" s="35" t="s">
        <v>66</v>
      </c>
      <c r="I18" s="25">
        <v>0.9</v>
      </c>
      <c r="J18" s="26">
        <v>0.97345132743362828</v>
      </c>
      <c r="K18" s="26">
        <v>0.99173553719008267</v>
      </c>
      <c r="L18" s="27">
        <v>0.95</v>
      </c>
      <c r="M18" s="26">
        <v>0.97239915074309979</v>
      </c>
      <c r="N18" s="28">
        <v>0.9</v>
      </c>
      <c r="O18" s="26">
        <v>0.97835837631755995</v>
      </c>
      <c r="P18" s="26">
        <v>0.99036738351254483</v>
      </c>
      <c r="Q18" s="26">
        <v>0.97954449599325177</v>
      </c>
      <c r="R18" s="26">
        <v>0.97936108368218289</v>
      </c>
      <c r="S18" s="28">
        <v>0.9</v>
      </c>
      <c r="T18" s="26">
        <v>0.81329894595200714</v>
      </c>
      <c r="U18" s="26">
        <v>0.86290322580645162</v>
      </c>
      <c r="V18" s="26">
        <v>0.86092366090257277</v>
      </c>
      <c r="W18" s="26">
        <v>0.83534762110064953</v>
      </c>
      <c r="X18" s="28">
        <v>0.92</v>
      </c>
      <c r="Y18" s="28">
        <v>0.87765957446808507</v>
      </c>
      <c r="Z18" s="28">
        <v>0.92690005441683299</v>
      </c>
      <c r="AA18" s="28">
        <v>0.927853152434158</v>
      </c>
      <c r="AB18" s="28">
        <v>0.91781457652146403</v>
      </c>
      <c r="AC18" s="28">
        <v>0.92</v>
      </c>
      <c r="AD18" s="26">
        <v>0.93098524512137082</v>
      </c>
      <c r="AE18" s="26">
        <v>0.98379746835443038</v>
      </c>
      <c r="AF18" s="26">
        <v>0.96979405034324939</v>
      </c>
      <c r="AG18" s="26">
        <v>0.97512564412494429</v>
      </c>
      <c r="AH18" s="28">
        <v>0.92</v>
      </c>
      <c r="AI18" s="26">
        <v>0.90303112497457105</v>
      </c>
      <c r="AJ18" s="26">
        <v>0.94522539990305376</v>
      </c>
      <c r="AK18" s="26">
        <v>0.94901263572290306</v>
      </c>
      <c r="AL18" s="26">
        <v>0.93860943026198895</v>
      </c>
      <c r="AM18" s="25">
        <v>0.99</v>
      </c>
      <c r="AN18" s="30">
        <v>1</v>
      </c>
      <c r="AO18" s="30">
        <v>1</v>
      </c>
      <c r="AP18" s="30">
        <v>1</v>
      </c>
      <c r="AQ18" s="30">
        <v>1</v>
      </c>
      <c r="AR18" s="32">
        <v>8.7218210012826203E-2</v>
      </c>
      <c r="AS18" s="34">
        <v>2.4691358024691357E-2</v>
      </c>
      <c r="AT18" s="34">
        <v>4.2105263157894736E-2</v>
      </c>
      <c r="AU18" s="34">
        <v>3.4482758620689655E-2</v>
      </c>
      <c r="AV18" s="34">
        <v>3.542673107890499E-2</v>
      </c>
      <c r="AW18" s="10"/>
      <c r="AX18" s="8"/>
    </row>
    <row r="19" spans="1:50">
      <c r="A19" s="7"/>
      <c r="B19" s="10"/>
      <c r="C19" s="22" t="s">
        <v>56</v>
      </c>
      <c r="D19" s="23" t="s">
        <v>29</v>
      </c>
      <c r="E19" s="35" t="s">
        <v>67</v>
      </c>
      <c r="F19" s="35" t="s">
        <v>67</v>
      </c>
      <c r="G19" s="35" t="s">
        <v>67</v>
      </c>
      <c r="H19" s="35" t="s">
        <v>67</v>
      </c>
      <c r="I19" s="25">
        <v>0.9</v>
      </c>
      <c r="J19" s="26">
        <v>0.76470588235294112</v>
      </c>
      <c r="K19" s="26">
        <v>0.95</v>
      </c>
      <c r="L19" s="27">
        <v>0.94736842105263153</v>
      </c>
      <c r="M19" s="26">
        <v>0.87074829931972786</v>
      </c>
      <c r="N19" s="28">
        <v>0.9</v>
      </c>
      <c r="O19" s="26">
        <v>0.95172824791418353</v>
      </c>
      <c r="P19" s="26">
        <v>0.98802129547471162</v>
      </c>
      <c r="Q19" s="26">
        <v>0.98943810730882975</v>
      </c>
      <c r="R19" s="26">
        <v>0.92733983363631356</v>
      </c>
      <c r="S19" s="28">
        <v>0.9</v>
      </c>
      <c r="T19" s="26">
        <v>0.69666269368295586</v>
      </c>
      <c r="U19" s="26">
        <v>0.691659272404614</v>
      </c>
      <c r="V19" s="26">
        <v>0.70511195606252641</v>
      </c>
      <c r="W19" s="26">
        <v>0.67900622486641327</v>
      </c>
      <c r="X19" s="28">
        <v>0.92</v>
      </c>
      <c r="Y19" s="28">
        <v>0.94404145077720203</v>
      </c>
      <c r="Z19" s="28">
        <v>0.84970674486803521</v>
      </c>
      <c r="AA19" s="28">
        <v>0.80366300366300369</v>
      </c>
      <c r="AB19" s="28">
        <v>0.88204398730714517</v>
      </c>
      <c r="AC19" s="28">
        <v>0.92</v>
      </c>
      <c r="AD19" s="26">
        <v>0.99676680587363597</v>
      </c>
      <c r="AE19" s="26">
        <v>0.96199729430574343</v>
      </c>
      <c r="AF19" s="26">
        <v>0.98896220755848829</v>
      </c>
      <c r="AG19" s="26">
        <v>0.99000100854380679</v>
      </c>
      <c r="AH19" s="28">
        <v>0.92</v>
      </c>
      <c r="AI19" s="26">
        <v>0.92924706772606891</v>
      </c>
      <c r="AJ19" s="26">
        <v>0.89223542415031776</v>
      </c>
      <c r="AK19" s="26">
        <v>0.86655948553054662</v>
      </c>
      <c r="AL19" s="26">
        <v>0.91595530316907858</v>
      </c>
      <c r="AM19" s="25">
        <v>0.99</v>
      </c>
      <c r="AN19" s="30">
        <v>1</v>
      </c>
      <c r="AO19" s="30">
        <v>1</v>
      </c>
      <c r="AP19" s="30">
        <v>1</v>
      </c>
      <c r="AQ19" s="30">
        <v>1</v>
      </c>
      <c r="AR19" s="32">
        <v>8.7218210012826203E-2</v>
      </c>
      <c r="AS19" s="34">
        <v>0.125</v>
      </c>
      <c r="AT19" s="34">
        <v>7.1428571428571425E-2</v>
      </c>
      <c r="AU19" s="34">
        <v>0.1111111111111111</v>
      </c>
      <c r="AV19" s="34">
        <v>8.8607594936708861E-2</v>
      </c>
      <c r="AW19" s="10"/>
      <c r="AX19" s="8"/>
    </row>
    <row r="20" spans="1:50">
      <c r="A20" s="7"/>
      <c r="B20" s="10"/>
      <c r="C20" s="22" t="s">
        <v>56</v>
      </c>
      <c r="D20" s="23" t="s">
        <v>29</v>
      </c>
      <c r="E20" s="35" t="s">
        <v>68</v>
      </c>
      <c r="F20" s="35" t="s">
        <v>68</v>
      </c>
      <c r="G20" s="35" t="s">
        <v>68</v>
      </c>
      <c r="H20" s="35" t="s">
        <v>68</v>
      </c>
      <c r="I20" s="25">
        <v>0.9</v>
      </c>
      <c r="J20" s="26">
        <v>0.90243902439024393</v>
      </c>
      <c r="K20" s="26">
        <v>0.92125984251968507</v>
      </c>
      <c r="L20" s="27">
        <v>0.890625</v>
      </c>
      <c r="M20" s="26">
        <v>0.88472906403940887</v>
      </c>
      <c r="N20" s="28">
        <v>0.9</v>
      </c>
      <c r="O20" s="26">
        <v>0.97392120075046906</v>
      </c>
      <c r="P20" s="26">
        <v>0.99041879153144796</v>
      </c>
      <c r="Q20" s="26">
        <v>0.99271808589686428</v>
      </c>
      <c r="R20" s="26">
        <v>0.98066843374454427</v>
      </c>
      <c r="S20" s="28">
        <v>0.9</v>
      </c>
      <c r="T20" s="26">
        <v>0.77673545966228896</v>
      </c>
      <c r="U20" s="26">
        <v>0.81471179106784108</v>
      </c>
      <c r="V20" s="26">
        <v>0.81914103135681382</v>
      </c>
      <c r="W20" s="26">
        <v>0.80606652450325844</v>
      </c>
      <c r="X20" s="28">
        <v>0.92</v>
      </c>
      <c r="Y20" s="28">
        <v>0.87364130434782605</v>
      </c>
      <c r="Z20" s="28">
        <v>0.92930254701261605</v>
      </c>
      <c r="AA20" s="28">
        <v>0.94554883318928262</v>
      </c>
      <c r="AB20" s="28">
        <v>0.93137707948243997</v>
      </c>
      <c r="AC20" s="28">
        <v>0.92</v>
      </c>
      <c r="AD20" s="26">
        <v>0.99494097807757165</v>
      </c>
      <c r="AE20" s="26">
        <v>0.9875354107648725</v>
      </c>
      <c r="AF20" s="26">
        <v>0.98392949714878175</v>
      </c>
      <c r="AG20" s="26">
        <v>0.99325347652485196</v>
      </c>
      <c r="AH20" s="28">
        <v>0.92</v>
      </c>
      <c r="AI20" s="26">
        <v>0.90991175867022367</v>
      </c>
      <c r="AJ20" s="26">
        <v>0.9501499250374813</v>
      </c>
      <c r="AK20" s="26">
        <v>0.96072906577441231</v>
      </c>
      <c r="AL20" s="26">
        <v>0.95234894580444318</v>
      </c>
      <c r="AM20" s="25">
        <v>0.99</v>
      </c>
      <c r="AN20" s="30">
        <v>1</v>
      </c>
      <c r="AO20" s="30">
        <v>1</v>
      </c>
      <c r="AP20" s="30">
        <v>1</v>
      </c>
      <c r="AQ20" s="30">
        <v>1</v>
      </c>
      <c r="AR20" s="32">
        <v>8.7218210012826203E-2</v>
      </c>
      <c r="AS20" s="34">
        <v>1.7543859649122806E-2</v>
      </c>
      <c r="AT20" s="34">
        <v>7.575757575757576E-2</v>
      </c>
      <c r="AU20" s="34">
        <v>5.8823529411764705E-2</v>
      </c>
      <c r="AV20" s="34">
        <v>4.7348484848484848E-2</v>
      </c>
      <c r="AW20" s="10"/>
      <c r="AX20" s="8"/>
    </row>
    <row r="21" spans="1:50">
      <c r="A21" s="7"/>
      <c r="B21" s="10"/>
      <c r="C21" s="22" t="s">
        <v>56</v>
      </c>
      <c r="D21" s="23" t="s">
        <v>29</v>
      </c>
      <c r="E21" s="35" t="s">
        <v>69</v>
      </c>
      <c r="F21" s="35" t="s">
        <v>69</v>
      </c>
      <c r="G21" s="35" t="s">
        <v>69</v>
      </c>
      <c r="H21" s="35" t="s">
        <v>69</v>
      </c>
      <c r="I21" s="25">
        <v>0.9</v>
      </c>
      <c r="J21" s="26">
        <v>1</v>
      </c>
      <c r="K21" s="26">
        <v>0.9</v>
      </c>
      <c r="L21" s="27">
        <v>0.84210526315789469</v>
      </c>
      <c r="M21" s="26">
        <v>0.90131578947368418</v>
      </c>
      <c r="N21" s="28">
        <v>0.9</v>
      </c>
      <c r="O21" s="26">
        <v>0.99111604664075514</v>
      </c>
      <c r="P21" s="26">
        <v>0.99221789883268485</v>
      </c>
      <c r="Q21" s="26">
        <v>0.97734994337485848</v>
      </c>
      <c r="R21" s="26">
        <v>0.97886423467468975</v>
      </c>
      <c r="S21" s="28">
        <v>0.9</v>
      </c>
      <c r="T21" s="26">
        <v>0.85452526374236537</v>
      </c>
      <c r="U21" s="26">
        <v>0.89494163424124518</v>
      </c>
      <c r="V21" s="26">
        <v>0.88052095130237829</v>
      </c>
      <c r="W21" s="26">
        <v>0.880105302745393</v>
      </c>
      <c r="X21" s="28">
        <v>0.92</v>
      </c>
      <c r="Y21" s="28">
        <v>0.90625</v>
      </c>
      <c r="Z21" s="28">
        <v>0.98928919182083741</v>
      </c>
      <c r="AA21" s="28">
        <v>0.96350364963503654</v>
      </c>
      <c r="AB21" s="28">
        <v>0.93889512408030928</v>
      </c>
      <c r="AC21" s="28">
        <v>0.92</v>
      </c>
      <c r="AD21" s="26">
        <v>0.99250089886486204</v>
      </c>
      <c r="AE21" s="26">
        <v>0.98368042869321637</v>
      </c>
      <c r="AF21" s="26">
        <v>0.99126662810873334</v>
      </c>
      <c r="AG21" s="26">
        <v>0.96567490379587295</v>
      </c>
      <c r="AH21" s="28">
        <v>0.92</v>
      </c>
      <c r="AI21" s="26">
        <v>0.94053097345132741</v>
      </c>
      <c r="AJ21" s="26">
        <v>0.96218487394957986</v>
      </c>
      <c r="AK21" s="26">
        <v>0.97871559633027527</v>
      </c>
      <c r="AL21" s="26">
        <v>0.95707933536157264</v>
      </c>
      <c r="AM21" s="25">
        <v>0.99</v>
      </c>
      <c r="AN21" s="30">
        <v>1</v>
      </c>
      <c r="AO21" s="30">
        <v>1</v>
      </c>
      <c r="AP21" s="30">
        <v>1</v>
      </c>
      <c r="AQ21" s="30">
        <v>1</v>
      </c>
      <c r="AR21" s="32">
        <v>8.7218210012826203E-2</v>
      </c>
      <c r="AS21" s="34">
        <v>0</v>
      </c>
      <c r="AT21" s="34">
        <v>0</v>
      </c>
      <c r="AU21" s="34">
        <v>0</v>
      </c>
      <c r="AV21" s="34">
        <v>5.1724137931034482E-2</v>
      </c>
      <c r="AW21" s="10"/>
      <c r="AX21" s="8"/>
    </row>
    <row r="22" spans="1:50">
      <c r="A22" s="7"/>
      <c r="B22" s="10"/>
      <c r="C22" s="22" t="s">
        <v>56</v>
      </c>
      <c r="D22" s="23" t="s">
        <v>29</v>
      </c>
      <c r="E22" s="35" t="s">
        <v>70</v>
      </c>
      <c r="F22" s="35" t="s">
        <v>70</v>
      </c>
      <c r="G22" s="35" t="s">
        <v>70</v>
      </c>
      <c r="H22" s="35" t="s">
        <v>70</v>
      </c>
      <c r="I22" s="25">
        <v>0.9</v>
      </c>
      <c r="J22" s="26">
        <v>0.93181818181818177</v>
      </c>
      <c r="K22" s="26">
        <v>0.91304347826086951</v>
      </c>
      <c r="L22" s="27">
        <v>0.91304347826086951</v>
      </c>
      <c r="M22" s="26">
        <v>0.91549295774647887</v>
      </c>
      <c r="N22" s="28">
        <v>0.9</v>
      </c>
      <c r="O22" s="26">
        <v>0.97339130434782606</v>
      </c>
      <c r="P22" s="26">
        <v>0.99344262295081964</v>
      </c>
      <c r="Q22" s="26">
        <v>0.99252082270950193</v>
      </c>
      <c r="R22" s="26">
        <v>0.95950664816224207</v>
      </c>
      <c r="S22" s="28">
        <v>0.9</v>
      </c>
      <c r="T22" s="26">
        <v>0.77634782608695652</v>
      </c>
      <c r="U22" s="26">
        <v>0.81928640308582446</v>
      </c>
      <c r="V22" s="26">
        <v>0.79908210096889343</v>
      </c>
      <c r="W22" s="26">
        <v>0.7713882795361956</v>
      </c>
      <c r="X22" s="28">
        <v>0.92</v>
      </c>
      <c r="Y22" s="28">
        <v>0.86933797909407662</v>
      </c>
      <c r="Z22" s="28">
        <v>0.97956246401842262</v>
      </c>
      <c r="AA22" s="28">
        <v>0.96343901742359328</v>
      </c>
      <c r="AB22" s="28">
        <v>0.95207608615202433</v>
      </c>
      <c r="AC22" s="28">
        <v>0.92</v>
      </c>
      <c r="AD22" s="26">
        <v>0.99586522389372745</v>
      </c>
      <c r="AE22" s="26">
        <v>0.98706375259156875</v>
      </c>
      <c r="AF22" s="26">
        <v>0.98885640438964451</v>
      </c>
      <c r="AG22" s="26">
        <v>0.98187008295833711</v>
      </c>
      <c r="AH22" s="28">
        <v>0.92</v>
      </c>
      <c r="AI22" s="26">
        <v>0.91846053489889101</v>
      </c>
      <c r="AJ22" s="26">
        <v>0.98498845265588919</v>
      </c>
      <c r="AK22" s="26">
        <v>0.97868712702472294</v>
      </c>
      <c r="AL22" s="26">
        <v>0.96925115046715937</v>
      </c>
      <c r="AM22" s="25">
        <v>0.99</v>
      </c>
      <c r="AN22" s="30">
        <v>1</v>
      </c>
      <c r="AO22" s="30">
        <v>1</v>
      </c>
      <c r="AP22" s="30">
        <v>1</v>
      </c>
      <c r="AQ22" s="30">
        <v>1</v>
      </c>
      <c r="AR22" s="32">
        <v>8.7218210012826203E-2</v>
      </c>
      <c r="AS22" s="34">
        <v>9.5238095238095233E-2</v>
      </c>
      <c r="AT22" s="34">
        <v>4.3478260869565216E-2</v>
      </c>
      <c r="AU22" s="34">
        <v>8.3333333333333329E-2</v>
      </c>
      <c r="AV22" s="34">
        <v>7.6086956521739135E-2</v>
      </c>
      <c r="AW22" s="10"/>
      <c r="AX22" s="8"/>
    </row>
    <row r="23" spans="1:50">
      <c r="A23" s="7"/>
      <c r="B23" s="10"/>
      <c r="C23" s="22" t="s">
        <v>56</v>
      </c>
      <c r="D23" s="23" t="s">
        <v>29</v>
      </c>
      <c r="E23" s="35" t="s">
        <v>71</v>
      </c>
      <c r="F23" s="35" t="s">
        <v>71</v>
      </c>
      <c r="G23" s="35" t="s">
        <v>71</v>
      </c>
      <c r="H23" s="35" t="s">
        <v>71</v>
      </c>
      <c r="I23" s="25">
        <v>0.9</v>
      </c>
      <c r="J23" s="26">
        <v>0.81481481481481477</v>
      </c>
      <c r="K23" s="26">
        <v>0.84666666666666668</v>
      </c>
      <c r="L23" s="27">
        <v>0.84756097560975607</v>
      </c>
      <c r="M23" s="26">
        <v>0.82567215958369466</v>
      </c>
      <c r="N23" s="28">
        <v>0.9</v>
      </c>
      <c r="O23" s="26">
        <v>0.94568068364497837</v>
      </c>
      <c r="P23" s="26">
        <v>0.89760927312243421</v>
      </c>
      <c r="Q23" s="26">
        <v>0.89328519855595667</v>
      </c>
      <c r="R23" s="26">
        <v>0.8936228671043781</v>
      </c>
      <c r="S23" s="28">
        <v>0.9</v>
      </c>
      <c r="T23" s="26">
        <v>0.68584482612742192</v>
      </c>
      <c r="U23" s="26">
        <v>0.71254930371085889</v>
      </c>
      <c r="V23" s="26">
        <v>0.67805054151624544</v>
      </c>
      <c r="W23" s="26">
        <v>0.6373911642933614</v>
      </c>
      <c r="X23" s="28">
        <v>0.92</v>
      </c>
      <c r="Y23" s="28">
        <v>0.94243679474360809</v>
      </c>
      <c r="Z23" s="28">
        <v>0.95856438693776957</v>
      </c>
      <c r="AA23" s="28">
        <v>0.96359042948432161</v>
      </c>
      <c r="AB23" s="28">
        <v>0.9579705618240737</v>
      </c>
      <c r="AC23" s="28">
        <v>0.92</v>
      </c>
      <c r="AD23" s="26">
        <v>0.88054904951250068</v>
      </c>
      <c r="AE23" s="26">
        <v>0.74469805660623456</v>
      </c>
      <c r="AF23" s="26">
        <v>0.77416386920303371</v>
      </c>
      <c r="AG23" s="26">
        <v>0.73570161560956904</v>
      </c>
      <c r="AH23" s="28">
        <v>0.92</v>
      </c>
      <c r="AI23" s="26">
        <v>0.96202464414701505</v>
      </c>
      <c r="AJ23" s="26">
        <v>0.9656046917102552</v>
      </c>
      <c r="AK23" s="26">
        <v>0.97062679030926835</v>
      </c>
      <c r="AL23" s="26">
        <v>0.9669943641139418</v>
      </c>
      <c r="AM23" s="25">
        <v>0.99</v>
      </c>
      <c r="AN23" s="30">
        <v>1</v>
      </c>
      <c r="AO23" s="30">
        <v>1</v>
      </c>
      <c r="AP23" s="30">
        <v>1</v>
      </c>
      <c r="AQ23" s="30">
        <v>0.99447236180904519</v>
      </c>
      <c r="AR23" s="32">
        <v>8.7218210012826203E-2</v>
      </c>
      <c r="AS23" s="34">
        <v>9.5238095238095233E-2</v>
      </c>
      <c r="AT23" s="34">
        <v>1.5384615384615385E-2</v>
      </c>
      <c r="AU23" s="34">
        <v>2.7472527472527472E-2</v>
      </c>
      <c r="AV23" s="34">
        <v>3.6186499652052888E-2</v>
      </c>
      <c r="AW23" s="10"/>
      <c r="AX23" s="8"/>
    </row>
    <row r="24" spans="1:50">
      <c r="A24" s="7"/>
      <c r="B24" s="10"/>
      <c r="C24" s="22" t="s">
        <v>56</v>
      </c>
      <c r="D24" s="23" t="s">
        <v>29</v>
      </c>
      <c r="E24" s="35" t="s">
        <v>72</v>
      </c>
      <c r="F24" s="35" t="s">
        <v>72</v>
      </c>
      <c r="G24" s="35" t="s">
        <v>72</v>
      </c>
      <c r="H24" s="35" t="s">
        <v>72</v>
      </c>
      <c r="I24" s="25">
        <v>0.9</v>
      </c>
      <c r="J24" s="26">
        <v>0.84782608695652173</v>
      </c>
      <c r="K24" s="26">
        <v>0.79591836734693877</v>
      </c>
      <c r="L24" s="27">
        <v>0.83660130718954251</v>
      </c>
      <c r="M24" s="26">
        <v>0.82055749128919864</v>
      </c>
      <c r="N24" s="28">
        <v>0.9</v>
      </c>
      <c r="O24" s="26">
        <v>0.95565599804544343</v>
      </c>
      <c r="P24" s="26">
        <v>0.96630054917623565</v>
      </c>
      <c r="Q24" s="26">
        <v>0.94748616507712236</v>
      </c>
      <c r="R24" s="26">
        <v>0.96432072772858035</v>
      </c>
      <c r="S24" s="28">
        <v>0.9</v>
      </c>
      <c r="T24" s="26">
        <v>0.6197165892988028</v>
      </c>
      <c r="U24" s="26">
        <v>0.72578632051922121</v>
      </c>
      <c r="V24" s="26">
        <v>0.69598492876486517</v>
      </c>
      <c r="W24" s="26">
        <v>0.68568489738191285</v>
      </c>
      <c r="X24" s="28">
        <v>0.92</v>
      </c>
      <c r="Y24" s="28">
        <v>0.88363085213876724</v>
      </c>
      <c r="Z24" s="28">
        <v>0.91835987552626763</v>
      </c>
      <c r="AA24" s="28">
        <v>0.90727151434289521</v>
      </c>
      <c r="AB24" s="28">
        <v>0.89972992767554705</v>
      </c>
      <c r="AC24" s="28">
        <v>0.92</v>
      </c>
      <c r="AD24" s="26">
        <v>0.93103448275862066</v>
      </c>
      <c r="AE24" s="26">
        <v>0.8666666666666667</v>
      </c>
      <c r="AF24" s="26">
        <v>0.42307692307692307</v>
      </c>
      <c r="AG24" s="26">
        <v>0.72549019607843135</v>
      </c>
      <c r="AH24" s="28">
        <v>0.92</v>
      </c>
      <c r="AI24" s="26">
        <v>0.90179140409261493</v>
      </c>
      <c r="AJ24" s="26">
        <v>0.93648438079691321</v>
      </c>
      <c r="AK24" s="26">
        <v>0.93512319690799917</v>
      </c>
      <c r="AL24" s="26">
        <v>0.92545387600192597</v>
      </c>
      <c r="AM24" s="25">
        <v>0.99</v>
      </c>
      <c r="AN24" s="30">
        <v>1</v>
      </c>
      <c r="AO24" s="30">
        <v>1</v>
      </c>
      <c r="AP24" s="30">
        <v>1</v>
      </c>
      <c r="AQ24" s="30">
        <v>1</v>
      </c>
      <c r="AR24" s="32">
        <v>8.7218210012826203E-2</v>
      </c>
      <c r="AS24" s="34">
        <v>5.4794520547945202E-2</v>
      </c>
      <c r="AT24" s="34">
        <v>6.9444444444444448E-2</v>
      </c>
      <c r="AU24" s="34">
        <v>5.4794520547945202E-2</v>
      </c>
      <c r="AV24" s="34">
        <v>5.5555555555555552E-2</v>
      </c>
      <c r="AW24" s="10"/>
      <c r="AX24" s="8"/>
    </row>
    <row r="25" spans="1:50">
      <c r="A25" s="7"/>
      <c r="B25" s="10"/>
      <c r="C25" s="22" t="s">
        <v>56</v>
      </c>
      <c r="D25" s="23" t="s">
        <v>29</v>
      </c>
      <c r="E25" s="35" t="s">
        <v>73</v>
      </c>
      <c r="F25" s="35" t="s">
        <v>73</v>
      </c>
      <c r="G25" s="35" t="s">
        <v>73</v>
      </c>
      <c r="H25" s="35" t="s">
        <v>73</v>
      </c>
      <c r="I25" s="25">
        <v>0.9</v>
      </c>
      <c r="J25" s="26">
        <v>0.93137254901960786</v>
      </c>
      <c r="K25" s="26">
        <v>0.95238095238095233</v>
      </c>
      <c r="L25" s="27">
        <v>0.9719626168224299</v>
      </c>
      <c r="M25" s="26">
        <v>0.96886674968866748</v>
      </c>
      <c r="N25" s="28">
        <v>0.9</v>
      </c>
      <c r="O25" s="26">
        <v>0.9819974953036944</v>
      </c>
      <c r="P25" s="26">
        <v>0.98906150919467339</v>
      </c>
      <c r="Q25" s="26">
        <v>0.98991546789262941</v>
      </c>
      <c r="R25" s="26">
        <v>0.98305555005053613</v>
      </c>
      <c r="S25" s="28">
        <v>0.9</v>
      </c>
      <c r="T25" s="26">
        <v>0.78991859737006886</v>
      </c>
      <c r="U25" s="26">
        <v>0.78994927076727961</v>
      </c>
      <c r="V25" s="26">
        <v>0.77769538780958025</v>
      </c>
      <c r="W25" s="26">
        <v>0.77781961592580118</v>
      </c>
      <c r="X25" s="28">
        <v>0.92</v>
      </c>
      <c r="Y25" s="28">
        <v>0.89981317141522654</v>
      </c>
      <c r="Z25" s="28">
        <v>0.89177810797424473</v>
      </c>
      <c r="AA25" s="28">
        <v>0.89832427536231885</v>
      </c>
      <c r="AB25" s="28">
        <v>0.90435430957351626</v>
      </c>
      <c r="AC25" s="28">
        <v>0.92</v>
      </c>
      <c r="AD25" s="26">
        <v>0.99946552645644038</v>
      </c>
      <c r="AE25" s="26">
        <v>0.99781606406212087</v>
      </c>
      <c r="AF25" s="26">
        <v>0.99736961451247164</v>
      </c>
      <c r="AG25" s="26">
        <v>0.99691803702666004</v>
      </c>
      <c r="AH25" s="28">
        <v>0.92</v>
      </c>
      <c r="AI25" s="26">
        <v>0.92605435801312086</v>
      </c>
      <c r="AJ25" s="26">
        <v>0.91833381656518798</v>
      </c>
      <c r="AK25" s="26">
        <v>0.92275293485079313</v>
      </c>
      <c r="AL25" s="26">
        <v>0.93149510679334235</v>
      </c>
      <c r="AM25" s="25">
        <v>0.99</v>
      </c>
      <c r="AN25" s="30">
        <v>1</v>
      </c>
      <c r="AO25" s="30">
        <v>1</v>
      </c>
      <c r="AP25" s="30">
        <v>1</v>
      </c>
      <c r="AQ25" s="30">
        <v>1</v>
      </c>
      <c r="AR25" s="32">
        <v>8.7218210012826203E-2</v>
      </c>
      <c r="AS25" s="34">
        <v>0</v>
      </c>
      <c r="AT25" s="34">
        <v>5.0632911392405063E-2</v>
      </c>
      <c r="AU25" s="34">
        <v>0</v>
      </c>
      <c r="AV25" s="34">
        <v>3.898305084745763E-2</v>
      </c>
      <c r="AW25" s="10"/>
      <c r="AX25" s="8"/>
    </row>
    <row r="26" spans="1:50">
      <c r="A26" s="7"/>
      <c r="B26" s="10"/>
      <c r="C26" s="22" t="s">
        <v>56</v>
      </c>
      <c r="D26" s="23" t="s">
        <v>29</v>
      </c>
      <c r="E26" s="35" t="s">
        <v>74</v>
      </c>
      <c r="F26" s="35" t="s">
        <v>74</v>
      </c>
      <c r="G26" s="35" t="s">
        <v>74</v>
      </c>
      <c r="H26" s="35" t="s">
        <v>74</v>
      </c>
      <c r="I26" s="25">
        <v>0.9</v>
      </c>
      <c r="J26" s="26">
        <v>0.92233009708737868</v>
      </c>
      <c r="K26" s="26">
        <v>0.88990825688073394</v>
      </c>
      <c r="L26" s="27">
        <v>0.89565217391304353</v>
      </c>
      <c r="M26" s="26">
        <v>0.89449003516998826</v>
      </c>
      <c r="N26" s="28">
        <v>0.9</v>
      </c>
      <c r="O26" s="26">
        <v>0.94806436195634858</v>
      </c>
      <c r="P26" s="26">
        <v>0.94715943799633473</v>
      </c>
      <c r="Q26" s="26">
        <v>0.95510499637943524</v>
      </c>
      <c r="R26" s="26">
        <v>0.9339173822232536</v>
      </c>
      <c r="S26" s="28">
        <v>0.9</v>
      </c>
      <c r="T26" s="26">
        <v>0.67595985343316867</v>
      </c>
      <c r="U26" s="26">
        <v>0.67638973732437391</v>
      </c>
      <c r="V26" s="26">
        <v>0.69341057204923973</v>
      </c>
      <c r="W26" s="26">
        <v>0.66262473891854257</v>
      </c>
      <c r="X26" s="28">
        <v>0.92</v>
      </c>
      <c r="Y26" s="28">
        <v>0.9098722415795587</v>
      </c>
      <c r="Z26" s="28">
        <v>0.90211510083620261</v>
      </c>
      <c r="AA26" s="28">
        <v>0.9293168880455408</v>
      </c>
      <c r="AB26" s="28">
        <v>0.90784671532846717</v>
      </c>
      <c r="AC26" s="28">
        <v>0.92</v>
      </c>
      <c r="AD26" s="26">
        <v>0.99864277958740499</v>
      </c>
      <c r="AE26" s="26">
        <v>0.99739809193408502</v>
      </c>
      <c r="AF26" s="26">
        <v>0.99677135309656595</v>
      </c>
      <c r="AG26" s="26">
        <v>0.98844429113487409</v>
      </c>
      <c r="AH26" s="28">
        <v>0.92</v>
      </c>
      <c r="AI26" s="26">
        <v>0.9306500377928949</v>
      </c>
      <c r="AJ26" s="26">
        <v>0.93536838138307898</v>
      </c>
      <c r="AK26" s="26">
        <v>0.94767128214349938</v>
      </c>
      <c r="AL26" s="26">
        <v>0.93628120295487172</v>
      </c>
      <c r="AM26" s="25">
        <v>0.99</v>
      </c>
      <c r="AN26" s="30">
        <v>1</v>
      </c>
      <c r="AO26" s="30">
        <v>1</v>
      </c>
      <c r="AP26" s="30">
        <v>1</v>
      </c>
      <c r="AQ26" s="30">
        <v>1</v>
      </c>
      <c r="AR26" s="32">
        <v>8.7218210012826203E-2</v>
      </c>
      <c r="AS26" s="34">
        <v>1.4285714285714285E-2</v>
      </c>
      <c r="AT26" s="34">
        <v>1.3698630136986301E-2</v>
      </c>
      <c r="AU26" s="34">
        <v>2.5974025974025976E-2</v>
      </c>
      <c r="AV26" s="34">
        <v>1.7013232514177693E-2</v>
      </c>
      <c r="AW26" s="10"/>
      <c r="AX26" s="8"/>
    </row>
    <row r="27" spans="1:50">
      <c r="A27" s="7"/>
      <c r="B27" s="10"/>
      <c r="C27" s="22" t="s">
        <v>56</v>
      </c>
      <c r="D27" s="23" t="s">
        <v>29</v>
      </c>
      <c r="E27" s="35" t="s">
        <v>75</v>
      </c>
      <c r="F27" s="35" t="s">
        <v>75</v>
      </c>
      <c r="G27" s="35" t="s">
        <v>75</v>
      </c>
      <c r="H27" s="35" t="s">
        <v>75</v>
      </c>
      <c r="I27" s="25">
        <v>0.9</v>
      </c>
      <c r="J27" s="26">
        <v>0.97916666666666663</v>
      </c>
      <c r="K27" s="26">
        <v>0.9509803921568627</v>
      </c>
      <c r="L27" s="27">
        <v>0.98148148148148151</v>
      </c>
      <c r="M27" s="26">
        <v>0.96296296296296291</v>
      </c>
      <c r="N27" s="28">
        <v>0.9</v>
      </c>
      <c r="O27" s="26">
        <v>0.98102254967626701</v>
      </c>
      <c r="P27" s="26">
        <v>0.98216116465039982</v>
      </c>
      <c r="Q27" s="26">
        <v>0.97657308809293319</v>
      </c>
      <c r="R27" s="26">
        <v>0.93571721731992608</v>
      </c>
      <c r="S27" s="28">
        <v>0.9</v>
      </c>
      <c r="T27" s="26">
        <v>0.85443179281089532</v>
      </c>
      <c r="U27" s="26">
        <v>0.88845601804387941</v>
      </c>
      <c r="V27" s="26">
        <v>0.88305905130687323</v>
      </c>
      <c r="W27" s="26">
        <v>0.89398214652164987</v>
      </c>
      <c r="X27" s="28">
        <v>0.92</v>
      </c>
      <c r="Y27" s="28">
        <v>0.91681790683605568</v>
      </c>
      <c r="Z27" s="28">
        <v>0.93982074263764404</v>
      </c>
      <c r="AA27" s="28">
        <v>0.9552112676056338</v>
      </c>
      <c r="AB27" s="28">
        <v>0.94824008892182288</v>
      </c>
      <c r="AC27" s="28">
        <v>0.92</v>
      </c>
      <c r="AD27" s="26">
        <v>1</v>
      </c>
      <c r="AE27" s="26">
        <v>1</v>
      </c>
      <c r="AF27" s="26">
        <v>1</v>
      </c>
      <c r="AG27" s="26">
        <v>0.88571428571428568</v>
      </c>
      <c r="AH27" s="28">
        <v>0.92</v>
      </c>
      <c r="AI27" s="26">
        <v>0.94092718633620132</v>
      </c>
      <c r="AJ27" s="26">
        <v>0.96175478065241848</v>
      </c>
      <c r="AK27" s="26">
        <v>0.9699334404406702</v>
      </c>
      <c r="AL27" s="26">
        <v>0.96664039528327628</v>
      </c>
      <c r="AM27" s="25">
        <v>0.99</v>
      </c>
      <c r="AN27" s="30">
        <v>1</v>
      </c>
      <c r="AO27" s="30">
        <v>1</v>
      </c>
      <c r="AP27" s="30">
        <v>1</v>
      </c>
      <c r="AQ27" s="30">
        <v>1</v>
      </c>
      <c r="AR27" s="32">
        <v>8.7218210012826203E-2</v>
      </c>
      <c r="AS27" s="34">
        <v>2.0408163265306121E-2</v>
      </c>
      <c r="AT27" s="34">
        <v>3.9215686274509803E-2</v>
      </c>
      <c r="AU27" s="34">
        <v>1.7543859649122806E-2</v>
      </c>
      <c r="AV27" s="34">
        <v>4.5212765957446811E-2</v>
      </c>
      <c r="AW27" s="10"/>
      <c r="AX27" s="8"/>
    </row>
    <row r="28" spans="1:50">
      <c r="A28" s="7"/>
      <c r="B28" s="10"/>
      <c r="C28" s="22" t="s">
        <v>56</v>
      </c>
      <c r="D28" s="23" t="s">
        <v>29</v>
      </c>
      <c r="E28" s="35" t="s">
        <v>76</v>
      </c>
      <c r="F28" s="35" t="s">
        <v>76</v>
      </c>
      <c r="G28" s="35" t="s">
        <v>76</v>
      </c>
      <c r="H28" s="35" t="s">
        <v>76</v>
      </c>
      <c r="I28" s="25">
        <v>0.9</v>
      </c>
      <c r="J28" s="26">
        <v>0.98181818181818181</v>
      </c>
      <c r="K28" s="26">
        <v>0.96363636363636362</v>
      </c>
      <c r="L28" s="27">
        <v>1</v>
      </c>
      <c r="M28" s="26">
        <v>0.97209302325581393</v>
      </c>
      <c r="N28" s="28">
        <v>0.9</v>
      </c>
      <c r="O28" s="26">
        <v>0.98192056905749847</v>
      </c>
      <c r="P28" s="26">
        <v>0.98806752037252621</v>
      </c>
      <c r="Q28" s="26">
        <v>0.98309492847854352</v>
      </c>
      <c r="R28" s="26">
        <v>0.9815596457237753</v>
      </c>
      <c r="S28" s="28">
        <v>0.9</v>
      </c>
      <c r="T28" s="26">
        <v>0.87729697688203911</v>
      </c>
      <c r="U28" s="26">
        <v>0.86816065192083813</v>
      </c>
      <c r="V28" s="26">
        <v>0.87230169050715212</v>
      </c>
      <c r="W28" s="26">
        <v>0.86769997232216989</v>
      </c>
      <c r="X28" s="28">
        <v>0.92</v>
      </c>
      <c r="Y28" s="28">
        <v>0.94444444444444442</v>
      </c>
      <c r="Z28" s="28">
        <v>0.95621052631578951</v>
      </c>
      <c r="AA28" s="28">
        <v>0.96139143730886845</v>
      </c>
      <c r="AB28" s="28">
        <v>0.95788512279277449</v>
      </c>
      <c r="AC28" s="28">
        <v>0.92</v>
      </c>
      <c r="AD28" s="26">
        <v>0.99878468705691714</v>
      </c>
      <c r="AE28" s="26">
        <v>0.98804347826086958</v>
      </c>
      <c r="AF28" s="26">
        <v>0.99695453556667391</v>
      </c>
      <c r="AG28" s="26">
        <v>0.99220622369836387</v>
      </c>
      <c r="AH28" s="28">
        <v>0.92</v>
      </c>
      <c r="AI28" s="26">
        <v>0.9575487846627867</v>
      </c>
      <c r="AJ28" s="26">
        <v>0.96920165175498962</v>
      </c>
      <c r="AK28" s="26">
        <v>0.96858557722067473</v>
      </c>
      <c r="AL28" s="26">
        <v>0.97044547735592945</v>
      </c>
      <c r="AM28" s="25">
        <v>0.99</v>
      </c>
      <c r="AN28" s="30">
        <v>1</v>
      </c>
      <c r="AO28" s="30">
        <v>1</v>
      </c>
      <c r="AP28" s="30">
        <v>1</v>
      </c>
      <c r="AQ28" s="30">
        <v>1</v>
      </c>
      <c r="AR28" s="32">
        <v>8.7218210012826203E-2</v>
      </c>
      <c r="AS28" s="34">
        <v>8.5714285714285715E-2</v>
      </c>
      <c r="AT28" s="34">
        <v>0</v>
      </c>
      <c r="AU28" s="34">
        <v>2.7777777777777776E-2</v>
      </c>
      <c r="AV28" s="34">
        <v>4.642857142857143E-2</v>
      </c>
      <c r="AW28" s="10"/>
      <c r="AX28" s="8"/>
    </row>
    <row r="29" spans="1:50">
      <c r="A29" s="7"/>
      <c r="B29" s="10"/>
      <c r="C29" s="22" t="s">
        <v>56</v>
      </c>
      <c r="D29" s="23" t="s">
        <v>29</v>
      </c>
      <c r="E29" s="35" t="s">
        <v>77</v>
      </c>
      <c r="F29" s="35" t="s">
        <v>77</v>
      </c>
      <c r="G29" s="35" t="s">
        <v>77</v>
      </c>
      <c r="H29" s="35" t="s">
        <v>77</v>
      </c>
      <c r="I29" s="25">
        <v>0.9</v>
      </c>
      <c r="J29" s="26">
        <v>0.76666666666666672</v>
      </c>
      <c r="K29" s="26">
        <v>0.87692307692307692</v>
      </c>
      <c r="L29" s="27">
        <v>0.86363636363636365</v>
      </c>
      <c r="M29" s="26">
        <v>0.85029940119760483</v>
      </c>
      <c r="N29" s="28">
        <v>0.9</v>
      </c>
      <c r="O29" s="26">
        <v>0.9903934126258005</v>
      </c>
      <c r="P29" s="26">
        <v>0.99612965650701502</v>
      </c>
      <c r="Q29" s="26">
        <v>0.99713999713999713</v>
      </c>
      <c r="R29" s="26">
        <v>0.99182593125997431</v>
      </c>
      <c r="S29" s="28">
        <v>0.9</v>
      </c>
      <c r="T29" s="26">
        <v>0.82311680390362918</v>
      </c>
      <c r="U29" s="26">
        <v>0.90501532010965968</v>
      </c>
      <c r="V29" s="26">
        <v>0.86557986557986555</v>
      </c>
      <c r="W29" s="26">
        <v>0.83046592191818147</v>
      </c>
      <c r="X29" s="28">
        <v>0.92</v>
      </c>
      <c r="Y29" s="28">
        <v>0.93282955499580189</v>
      </c>
      <c r="Z29" s="28">
        <v>0.97374287837503093</v>
      </c>
      <c r="AA29" s="28">
        <v>0.9743190661478599</v>
      </c>
      <c r="AB29" s="28">
        <v>0.9645328719723183</v>
      </c>
      <c r="AC29" s="28">
        <v>0.92</v>
      </c>
      <c r="AD29" s="26">
        <v>0.89671942589953246</v>
      </c>
      <c r="AE29" s="26">
        <v>0.96383148689272424</v>
      </c>
      <c r="AF29" s="26">
        <v>0.98431014532754424</v>
      </c>
      <c r="AG29" s="26">
        <v>0.9473972096076182</v>
      </c>
      <c r="AH29" s="28">
        <v>0.92</v>
      </c>
      <c r="AI29" s="26">
        <v>0.95767978691920685</v>
      </c>
      <c r="AJ29" s="26">
        <v>0.98115050297880657</v>
      </c>
      <c r="AK29" s="26">
        <v>0.98184331797235025</v>
      </c>
      <c r="AL29" s="26">
        <v>0.97704394794991412</v>
      </c>
      <c r="AM29" s="25">
        <v>0.99</v>
      </c>
      <c r="AN29" s="30">
        <v>1</v>
      </c>
      <c r="AO29" s="30">
        <v>1</v>
      </c>
      <c r="AP29" s="30">
        <v>1</v>
      </c>
      <c r="AQ29" s="30">
        <v>1</v>
      </c>
      <c r="AR29" s="32">
        <v>8.7218210012826203E-2</v>
      </c>
      <c r="AS29" s="34">
        <v>2.0270270270270271E-2</v>
      </c>
      <c r="AT29" s="34">
        <v>4.2253521126760563E-2</v>
      </c>
      <c r="AU29" s="34">
        <v>5.0632911392405063E-2</v>
      </c>
      <c r="AV29" s="34">
        <v>4.5826513911620292E-2</v>
      </c>
      <c r="AW29" s="10"/>
      <c r="AX29" s="8"/>
    </row>
    <row r="30" spans="1:50">
      <c r="A30" s="7"/>
      <c r="B30" s="10"/>
      <c r="C30" s="22" t="s">
        <v>56</v>
      </c>
      <c r="D30" s="23" t="s">
        <v>29</v>
      </c>
      <c r="E30" s="35" t="s">
        <v>78</v>
      </c>
      <c r="F30" s="35" t="s">
        <v>78</v>
      </c>
      <c r="G30" s="35" t="s">
        <v>78</v>
      </c>
      <c r="H30" s="35" t="s">
        <v>78</v>
      </c>
      <c r="I30" s="25">
        <v>0.9</v>
      </c>
      <c r="J30" s="26">
        <v>0.9242424242424242</v>
      </c>
      <c r="K30" s="26">
        <v>0.92647058823529416</v>
      </c>
      <c r="L30" s="27">
        <v>0.91044776119402981</v>
      </c>
      <c r="M30" s="26">
        <v>0.90467625899280579</v>
      </c>
      <c r="N30" s="28">
        <v>0.9</v>
      </c>
      <c r="O30" s="26">
        <v>0.98103353490929079</v>
      </c>
      <c r="P30" s="26">
        <v>0.96682098765432101</v>
      </c>
      <c r="Q30" s="26">
        <v>0.96584158415841581</v>
      </c>
      <c r="R30" s="26">
        <v>0.96805800509504214</v>
      </c>
      <c r="S30" s="28">
        <v>0.9</v>
      </c>
      <c r="T30" s="26">
        <v>0.80731170973062127</v>
      </c>
      <c r="U30" s="26">
        <v>0.83256172839506171</v>
      </c>
      <c r="V30" s="26">
        <v>0.79554455445544559</v>
      </c>
      <c r="W30" s="26">
        <v>0.81341041217584431</v>
      </c>
      <c r="X30" s="28">
        <v>0.92</v>
      </c>
      <c r="Y30" s="28">
        <v>0.89837236998809056</v>
      </c>
      <c r="Z30" s="28">
        <v>0.92446351931330473</v>
      </c>
      <c r="AA30" s="28">
        <v>0.92980392156862746</v>
      </c>
      <c r="AB30" s="28">
        <v>0.92283997374135229</v>
      </c>
      <c r="AC30" s="28">
        <v>0.92</v>
      </c>
      <c r="AD30" s="26">
        <v>0.8</v>
      </c>
      <c r="AE30" s="26">
        <v>0.5</v>
      </c>
      <c r="AF30" s="26">
        <v>0</v>
      </c>
      <c r="AG30" s="26">
        <v>0.62337662337662336</v>
      </c>
      <c r="AH30" s="28">
        <v>0.92</v>
      </c>
      <c r="AI30" s="26">
        <v>0.92350170537599485</v>
      </c>
      <c r="AJ30" s="26">
        <v>0.94483756834995181</v>
      </c>
      <c r="AK30" s="26">
        <v>0.95159332321699541</v>
      </c>
      <c r="AL30" s="26">
        <v>0.94487580715445862</v>
      </c>
      <c r="AM30" s="25">
        <v>0.99</v>
      </c>
      <c r="AN30" s="30">
        <v>1</v>
      </c>
      <c r="AO30" s="30">
        <v>1</v>
      </c>
      <c r="AP30" s="30">
        <v>1</v>
      </c>
      <c r="AQ30" s="30">
        <v>1</v>
      </c>
      <c r="AR30" s="32">
        <v>8.7218210012826203E-2</v>
      </c>
      <c r="AS30" s="34">
        <v>0.08</v>
      </c>
      <c r="AT30" s="34">
        <v>5.7142857142857141E-2</v>
      </c>
      <c r="AU30" s="34">
        <v>3.3333333333333333E-2</v>
      </c>
      <c r="AV30" s="34">
        <v>3.7037037037037035E-2</v>
      </c>
      <c r="AW30" s="10"/>
      <c r="AX30" s="8"/>
    </row>
    <row r="31" spans="1:50">
      <c r="A31" s="7"/>
      <c r="B31" s="10"/>
      <c r="C31" s="22" t="s">
        <v>56</v>
      </c>
      <c r="D31" s="23" t="s">
        <v>29</v>
      </c>
      <c r="E31" s="35" t="s">
        <v>79</v>
      </c>
      <c r="F31" s="35" t="s">
        <v>79</v>
      </c>
      <c r="G31" s="35" t="s">
        <v>79</v>
      </c>
      <c r="H31" s="35" t="s">
        <v>79</v>
      </c>
      <c r="I31" s="25">
        <v>0.9</v>
      </c>
      <c r="J31" s="26">
        <v>0.90540540540540537</v>
      </c>
      <c r="K31" s="26">
        <v>0.93406593406593408</v>
      </c>
      <c r="L31" s="27">
        <v>0.91208791208791207</v>
      </c>
      <c r="M31" s="26">
        <v>0.92541856925418564</v>
      </c>
      <c r="N31" s="28">
        <v>0.9</v>
      </c>
      <c r="O31" s="26">
        <v>0.97344384303112319</v>
      </c>
      <c r="P31" s="26">
        <v>0.99238849139899532</v>
      </c>
      <c r="Q31" s="26">
        <v>0.96829971181556196</v>
      </c>
      <c r="R31" s="26">
        <v>0.92485772161666824</v>
      </c>
      <c r="S31" s="28">
        <v>0.9</v>
      </c>
      <c r="T31" s="26">
        <v>0.64377537212449254</v>
      </c>
      <c r="U31" s="26">
        <v>0.84442076419546352</v>
      </c>
      <c r="V31" s="26">
        <v>0.81693426650198986</v>
      </c>
      <c r="W31" s="26">
        <v>0.7406771486447381</v>
      </c>
      <c r="X31" s="28">
        <v>0.92</v>
      </c>
      <c r="Y31" s="28">
        <v>0.76587605202754394</v>
      </c>
      <c r="Z31" s="28">
        <v>0.92726334794944543</v>
      </c>
      <c r="AA31" s="28">
        <v>0.92855527922224734</v>
      </c>
      <c r="AB31" s="28">
        <v>0.86973343488194976</v>
      </c>
      <c r="AC31" s="28">
        <v>0.92</v>
      </c>
      <c r="AD31" s="26">
        <v>0.9984771573604061</v>
      </c>
      <c r="AE31" s="26">
        <v>0.99251870324189528</v>
      </c>
      <c r="AF31" s="26">
        <v>0.99729504785684564</v>
      </c>
      <c r="AG31" s="26">
        <v>0.99511409694075847</v>
      </c>
      <c r="AH31" s="28">
        <v>0.92</v>
      </c>
      <c r="AI31" s="26">
        <v>0.7923741738688358</v>
      </c>
      <c r="AJ31" s="26">
        <v>0.95615966306116584</v>
      </c>
      <c r="AK31" s="26">
        <v>0.95474340363760568</v>
      </c>
      <c r="AL31" s="26">
        <v>0.8957947070702299</v>
      </c>
      <c r="AM31" s="25">
        <v>0.99</v>
      </c>
      <c r="AN31" s="30">
        <v>1</v>
      </c>
      <c r="AO31" s="30">
        <v>1</v>
      </c>
      <c r="AP31" s="30">
        <v>1</v>
      </c>
      <c r="AQ31" s="30">
        <v>1</v>
      </c>
      <c r="AR31" s="32">
        <v>8.7218210012826203E-2</v>
      </c>
      <c r="AS31" s="34">
        <v>4.2553191489361701E-2</v>
      </c>
      <c r="AT31" s="34">
        <v>7.4999999999999997E-2</v>
      </c>
      <c r="AU31" s="34">
        <v>0.13725490196078433</v>
      </c>
      <c r="AV31" s="34">
        <v>8.5714285714285715E-2</v>
      </c>
      <c r="AW31" s="10"/>
      <c r="AX31" s="8"/>
    </row>
    <row r="32" spans="1:50">
      <c r="A32" s="7"/>
      <c r="B32" s="10"/>
      <c r="C32" s="22" t="s">
        <v>56</v>
      </c>
      <c r="D32" s="23" t="s">
        <v>29</v>
      </c>
      <c r="E32" s="35" t="s">
        <v>80</v>
      </c>
      <c r="F32" s="35" t="s">
        <v>80</v>
      </c>
      <c r="G32" s="35" t="s">
        <v>80</v>
      </c>
      <c r="H32" s="35" t="s">
        <v>80</v>
      </c>
      <c r="I32" s="25">
        <v>0.9</v>
      </c>
      <c r="J32" s="26">
        <v>0.88405797101449279</v>
      </c>
      <c r="K32" s="26">
        <v>0.97297297297297303</v>
      </c>
      <c r="L32" s="27">
        <v>0.95945945945945943</v>
      </c>
      <c r="M32" s="26">
        <v>0.9341637010676157</v>
      </c>
      <c r="N32" s="28">
        <v>0.9</v>
      </c>
      <c r="O32" s="26">
        <v>0.97375127420998986</v>
      </c>
      <c r="P32" s="26">
        <v>0.98462971588262693</v>
      </c>
      <c r="Q32" s="26">
        <v>0.94059627886124186</v>
      </c>
      <c r="R32" s="26">
        <v>0.94577971516436266</v>
      </c>
      <c r="S32" s="28">
        <v>0.9</v>
      </c>
      <c r="T32" s="26">
        <v>0.89016309887869516</v>
      </c>
      <c r="U32" s="26">
        <v>0.8821611551001397</v>
      </c>
      <c r="V32" s="26">
        <v>0.87850257789733244</v>
      </c>
      <c r="W32" s="26">
        <v>0.8767205087630251</v>
      </c>
      <c r="X32" s="28">
        <v>0.92</v>
      </c>
      <c r="Y32" s="28">
        <v>0.93520272830617657</v>
      </c>
      <c r="Z32" s="28">
        <v>0.93754848719937933</v>
      </c>
      <c r="AA32" s="28">
        <v>0.96317829457364346</v>
      </c>
      <c r="AB32" s="28">
        <v>0.95261176470588238</v>
      </c>
      <c r="AC32" s="28">
        <v>0.92</v>
      </c>
      <c r="AD32" s="26">
        <v>0.99223184941738873</v>
      </c>
      <c r="AE32" s="26">
        <v>0.99875892026062674</v>
      </c>
      <c r="AF32" s="26">
        <v>0.99850209706411019</v>
      </c>
      <c r="AG32" s="26">
        <v>0.99697148766435217</v>
      </c>
      <c r="AH32" s="28">
        <v>0.92</v>
      </c>
      <c r="AI32" s="26">
        <v>0.94941337802834069</v>
      </c>
      <c r="AJ32" s="26">
        <v>0.9538707799767171</v>
      </c>
      <c r="AK32" s="26">
        <v>0.97344127254651325</v>
      </c>
      <c r="AL32" s="26">
        <v>0.96617104445986923</v>
      </c>
      <c r="AM32" s="25">
        <v>0.99</v>
      </c>
      <c r="AN32" s="30">
        <v>1</v>
      </c>
      <c r="AO32" s="30">
        <v>1</v>
      </c>
      <c r="AP32" s="30">
        <v>1</v>
      </c>
      <c r="AQ32" s="30">
        <v>1</v>
      </c>
      <c r="AR32" s="32">
        <v>8.7218210012826203E-2</v>
      </c>
      <c r="AS32" s="34">
        <v>0</v>
      </c>
      <c r="AT32" s="34">
        <v>2.3809523809523808E-2</v>
      </c>
      <c r="AU32" s="34">
        <v>8.3333333333333329E-2</v>
      </c>
      <c r="AV32" s="34">
        <v>4.7619047619047616E-2</v>
      </c>
      <c r="AW32" s="10"/>
      <c r="AX32" s="8"/>
    </row>
    <row r="33" spans="1:50">
      <c r="A33" s="7"/>
      <c r="B33" s="10"/>
      <c r="C33" s="22" t="s">
        <v>56</v>
      </c>
      <c r="D33" s="23" t="s">
        <v>29</v>
      </c>
      <c r="E33" s="35" t="s">
        <v>81</v>
      </c>
      <c r="F33" s="35" t="s">
        <v>81</v>
      </c>
      <c r="G33" s="35" t="s">
        <v>81</v>
      </c>
      <c r="H33" s="35" t="s">
        <v>81</v>
      </c>
      <c r="I33" s="25">
        <v>0.9</v>
      </c>
      <c r="J33" s="26">
        <v>0.78082191780821919</v>
      </c>
      <c r="K33" s="26">
        <v>0.87341772151898733</v>
      </c>
      <c r="L33" s="27">
        <v>0.89333333333333331</v>
      </c>
      <c r="M33" s="26">
        <v>0.91111111111111109</v>
      </c>
      <c r="N33" s="28">
        <v>0.9</v>
      </c>
      <c r="O33" s="26">
        <v>0.89555555555555555</v>
      </c>
      <c r="P33" s="26">
        <v>0.88966935069384956</v>
      </c>
      <c r="Q33" s="26">
        <v>0.88969359331476328</v>
      </c>
      <c r="R33" s="26">
        <v>0.86495377177461563</v>
      </c>
      <c r="S33" s="28">
        <v>0.9</v>
      </c>
      <c r="T33" s="26">
        <v>0.74222222222222223</v>
      </c>
      <c r="U33" s="26">
        <v>0.83313345896864832</v>
      </c>
      <c r="V33" s="26">
        <v>0.75951717734447544</v>
      </c>
      <c r="W33" s="26">
        <v>0.77137588157599624</v>
      </c>
      <c r="X33" s="28">
        <v>0.92</v>
      </c>
      <c r="Y33" s="28">
        <v>0.94758692267773736</v>
      </c>
      <c r="Z33" s="28">
        <v>0.96649968691296184</v>
      </c>
      <c r="AA33" s="28">
        <v>0.92347466390899691</v>
      </c>
      <c r="AB33" s="28">
        <v>0.94465462274176404</v>
      </c>
      <c r="AC33" s="28">
        <v>0.92</v>
      </c>
      <c r="AD33" s="26">
        <v>0.99866757895494973</v>
      </c>
      <c r="AE33" s="26">
        <v>0.96598782280075579</v>
      </c>
      <c r="AF33" s="26">
        <v>0.92200596675664159</v>
      </c>
      <c r="AG33" s="26">
        <v>0.96146229806076589</v>
      </c>
      <c r="AH33" s="28">
        <v>0.92</v>
      </c>
      <c r="AI33" s="26">
        <v>0.95435449074599754</v>
      </c>
      <c r="AJ33" s="26">
        <v>0.97265279007971661</v>
      </c>
      <c r="AK33" s="26">
        <v>0.95234073359073357</v>
      </c>
      <c r="AL33" s="26">
        <v>0.95836409040222392</v>
      </c>
      <c r="AM33" s="25">
        <v>0.99</v>
      </c>
      <c r="AN33" s="30">
        <v>1</v>
      </c>
      <c r="AO33" s="30">
        <v>1</v>
      </c>
      <c r="AP33" s="30">
        <v>1</v>
      </c>
      <c r="AQ33" s="30">
        <v>1</v>
      </c>
      <c r="AR33" s="32">
        <v>8.7218210012826203E-2</v>
      </c>
      <c r="AS33" s="34">
        <v>6.9767441860465115E-2</v>
      </c>
      <c r="AT33" s="34">
        <v>4.5454545454545456E-2</v>
      </c>
      <c r="AU33" s="34">
        <v>6.3829787234042548E-2</v>
      </c>
      <c r="AV33" s="34">
        <v>5.8823529411764705E-2</v>
      </c>
      <c r="AW33" s="10"/>
      <c r="AX33" s="8"/>
    </row>
    <row r="34" spans="1:50">
      <c r="A34" s="7"/>
      <c r="B34" s="10"/>
      <c r="C34" s="22" t="s">
        <v>56</v>
      </c>
      <c r="D34" s="23" t="s">
        <v>29</v>
      </c>
      <c r="E34" s="35" t="s">
        <v>82</v>
      </c>
      <c r="F34" s="35" t="s">
        <v>82</v>
      </c>
      <c r="G34" s="35" t="s">
        <v>82</v>
      </c>
      <c r="H34" s="35" t="s">
        <v>82</v>
      </c>
      <c r="I34" s="25">
        <v>0.9</v>
      </c>
      <c r="J34" s="26">
        <v>0.99099099099099097</v>
      </c>
      <c r="K34" s="26">
        <v>0.97499999999999998</v>
      </c>
      <c r="L34" s="27">
        <v>0.97560975609756095</v>
      </c>
      <c r="M34" s="26">
        <v>0.97681770284510006</v>
      </c>
      <c r="N34" s="28">
        <v>0.9</v>
      </c>
      <c r="O34" s="26">
        <v>0.99362207060219521</v>
      </c>
      <c r="P34" s="26">
        <v>0.99184591592858151</v>
      </c>
      <c r="Q34" s="26">
        <v>0.9939320388349514</v>
      </c>
      <c r="R34" s="26">
        <v>0.99308427332078064</v>
      </c>
      <c r="S34" s="28">
        <v>0.9</v>
      </c>
      <c r="T34" s="26">
        <v>0.84603975081578164</v>
      </c>
      <c r="U34" s="26">
        <v>0.89160691691269511</v>
      </c>
      <c r="V34" s="26">
        <v>0.89387810140237323</v>
      </c>
      <c r="W34" s="26">
        <v>0.87305330212750976</v>
      </c>
      <c r="X34" s="28">
        <v>0.92</v>
      </c>
      <c r="Y34" s="28">
        <v>0.90522803114571748</v>
      </c>
      <c r="Z34" s="28">
        <v>0.94909837936544172</v>
      </c>
      <c r="AA34" s="28">
        <v>0.95152030618753991</v>
      </c>
      <c r="AB34" s="28">
        <v>0.93332623849305596</v>
      </c>
      <c r="AC34" s="28">
        <v>0.92</v>
      </c>
      <c r="AD34" s="26">
        <v>0.99137931034482762</v>
      </c>
      <c r="AE34" s="26">
        <v>0.99015748031496065</v>
      </c>
      <c r="AF34" s="26">
        <v>0.99100968188105121</v>
      </c>
      <c r="AG34" s="26">
        <v>0.98387931034482756</v>
      </c>
      <c r="AH34" s="28">
        <v>0.92</v>
      </c>
      <c r="AI34" s="26">
        <v>0.92756718277273531</v>
      </c>
      <c r="AJ34" s="26">
        <v>0.9668522707499565</v>
      </c>
      <c r="AK34" s="26">
        <v>0.96946942817064119</v>
      </c>
      <c r="AL34" s="26">
        <v>0.95499655775035741</v>
      </c>
      <c r="AM34" s="25">
        <v>0.99</v>
      </c>
      <c r="AN34" s="30">
        <v>1</v>
      </c>
      <c r="AO34" s="30">
        <v>1</v>
      </c>
      <c r="AP34" s="30">
        <v>1</v>
      </c>
      <c r="AQ34" s="30">
        <v>1</v>
      </c>
      <c r="AR34" s="32">
        <v>8.7218210012826203E-2</v>
      </c>
      <c r="AS34" s="34">
        <v>2.8985507246376812E-2</v>
      </c>
      <c r="AT34" s="34">
        <v>7.8431372549019607E-2</v>
      </c>
      <c r="AU34" s="34">
        <v>2.7397260273972601E-2</v>
      </c>
      <c r="AV34" s="34">
        <v>3.717472118959108E-2</v>
      </c>
      <c r="AW34" s="10"/>
      <c r="AX34" s="8"/>
    </row>
    <row r="35" spans="1:50">
      <c r="A35" s="7"/>
      <c r="B35" s="10"/>
      <c r="C35" s="22" t="s">
        <v>56</v>
      </c>
      <c r="D35" s="23" t="s">
        <v>29</v>
      </c>
      <c r="E35" s="35" t="s">
        <v>83</v>
      </c>
      <c r="F35" s="35" t="s">
        <v>83</v>
      </c>
      <c r="G35" s="35" t="s">
        <v>83</v>
      </c>
      <c r="H35" s="35" t="s">
        <v>83</v>
      </c>
      <c r="I35" s="25">
        <v>0.9</v>
      </c>
      <c r="J35" s="26">
        <v>0.91111111111111109</v>
      </c>
      <c r="K35" s="26">
        <v>0.865979381443299</v>
      </c>
      <c r="L35" s="27">
        <v>0.91836734693877553</v>
      </c>
      <c r="M35" s="26">
        <v>0.87378640776699024</v>
      </c>
      <c r="N35" s="28">
        <v>0.9</v>
      </c>
      <c r="O35" s="26">
        <v>0.92464430001756548</v>
      </c>
      <c r="P35" s="26">
        <v>0.90684882895670693</v>
      </c>
      <c r="Q35" s="26">
        <v>0.90703557312252969</v>
      </c>
      <c r="R35" s="26">
        <v>0.94818354416878214</v>
      </c>
      <c r="S35" s="28">
        <v>0.9</v>
      </c>
      <c r="T35" s="26">
        <v>0.77445986298963643</v>
      </c>
      <c r="U35" s="26">
        <v>0.83321504613200847</v>
      </c>
      <c r="V35" s="26">
        <v>0.82513833992094865</v>
      </c>
      <c r="W35" s="26">
        <v>0.79825927427096444</v>
      </c>
      <c r="X35" s="28">
        <v>0.92</v>
      </c>
      <c r="Y35" s="28">
        <v>0.91875712656784492</v>
      </c>
      <c r="Z35" s="28">
        <v>0.94229061852619123</v>
      </c>
      <c r="AA35" s="28">
        <v>0.93447213665639872</v>
      </c>
      <c r="AB35" s="28">
        <v>0.94087108013937282</v>
      </c>
      <c r="AC35" s="28">
        <v>0.92</v>
      </c>
      <c r="AD35" s="26">
        <v>0.99348653173033019</v>
      </c>
      <c r="AE35" s="26">
        <v>0.99116513171985432</v>
      </c>
      <c r="AF35" s="26">
        <v>0.94639711660930603</v>
      </c>
      <c r="AG35" s="26">
        <v>0.92972895502830566</v>
      </c>
      <c r="AH35" s="28">
        <v>0.92</v>
      </c>
      <c r="AI35" s="26">
        <v>0.94001955883950883</v>
      </c>
      <c r="AJ35" s="26">
        <v>0.95762617859123678</v>
      </c>
      <c r="AK35" s="26">
        <v>0.96130140446599976</v>
      </c>
      <c r="AL35" s="26">
        <v>0.96059471686133413</v>
      </c>
      <c r="AM35" s="25">
        <v>0.99</v>
      </c>
      <c r="AN35" s="30">
        <v>0.99270072992700731</v>
      </c>
      <c r="AO35" s="30">
        <v>1</v>
      </c>
      <c r="AP35" s="30">
        <v>1</v>
      </c>
      <c r="AQ35" s="30">
        <v>0.99870129870129876</v>
      </c>
      <c r="AR35" s="32">
        <v>8.7218210012826203E-2</v>
      </c>
      <c r="AS35" s="34">
        <v>6.5573770491803282E-2</v>
      </c>
      <c r="AT35" s="34">
        <v>4.6875E-2</v>
      </c>
      <c r="AU35" s="34">
        <v>6.5217391304347824E-2</v>
      </c>
      <c r="AV35" s="34">
        <v>6.5060240963855417E-2</v>
      </c>
      <c r="AW35" s="10"/>
      <c r="AX35" s="8"/>
    </row>
    <row r="36" spans="1:50">
      <c r="A36" s="7"/>
      <c r="B36" s="10"/>
      <c r="C36" s="22" t="s">
        <v>56</v>
      </c>
      <c r="D36" s="23" t="s">
        <v>29</v>
      </c>
      <c r="E36" s="35" t="s">
        <v>84</v>
      </c>
      <c r="F36" s="35" t="s">
        <v>84</v>
      </c>
      <c r="G36" s="35" t="s">
        <v>84</v>
      </c>
      <c r="H36" s="35" t="s">
        <v>84</v>
      </c>
      <c r="I36" s="25">
        <v>0.9</v>
      </c>
      <c r="J36" s="26">
        <v>0.83552631578947367</v>
      </c>
      <c r="K36" s="26">
        <v>0.89873417721518989</v>
      </c>
      <c r="L36" s="27">
        <v>0.87951807228915657</v>
      </c>
      <c r="M36" s="26">
        <v>0.90040485829959516</v>
      </c>
      <c r="N36" s="28">
        <v>0.9</v>
      </c>
      <c r="O36" s="26">
        <v>0.92111801242236024</v>
      </c>
      <c r="P36" s="26">
        <v>0.90531321066776926</v>
      </c>
      <c r="Q36" s="26">
        <v>0.94532558368633635</v>
      </c>
      <c r="R36" s="26">
        <v>0.9325329704569445</v>
      </c>
      <c r="S36" s="28">
        <v>0.9</v>
      </c>
      <c r="T36" s="26">
        <v>0.72650103519668741</v>
      </c>
      <c r="U36" s="26">
        <v>0.74477982220384531</v>
      </c>
      <c r="V36" s="26">
        <v>0.76682100285686139</v>
      </c>
      <c r="W36" s="26">
        <v>0.74531673258638453</v>
      </c>
      <c r="X36" s="28">
        <v>0.92</v>
      </c>
      <c r="Y36" s="28">
        <v>0.89465530596436871</v>
      </c>
      <c r="Z36" s="28">
        <v>0.92185868430212325</v>
      </c>
      <c r="AA36" s="28">
        <v>0.91462233699160744</v>
      </c>
      <c r="AB36" s="28">
        <v>0.91122793096607813</v>
      </c>
      <c r="AC36" s="28">
        <v>0.92</v>
      </c>
      <c r="AD36" s="26">
        <v>0.98275862068965514</v>
      </c>
      <c r="AE36" s="26">
        <v>0.97897897897897901</v>
      </c>
      <c r="AF36" s="26">
        <v>0.84967320261437906</v>
      </c>
      <c r="AG36" s="26">
        <v>0.96578631452581032</v>
      </c>
      <c r="AH36" s="28">
        <v>0.92</v>
      </c>
      <c r="AI36" s="26">
        <v>0.91939687267311987</v>
      </c>
      <c r="AJ36" s="26">
        <v>0.93807146099474747</v>
      </c>
      <c r="AK36" s="26">
        <v>0.93777913735087182</v>
      </c>
      <c r="AL36" s="26">
        <v>0.93449825648973261</v>
      </c>
      <c r="AM36" s="25">
        <v>0.99</v>
      </c>
      <c r="AN36" s="30">
        <v>1</v>
      </c>
      <c r="AO36" s="30">
        <v>1</v>
      </c>
      <c r="AP36" s="30">
        <v>1</v>
      </c>
      <c r="AQ36" s="30">
        <v>1</v>
      </c>
      <c r="AR36" s="32">
        <v>8.7218210012826203E-2</v>
      </c>
      <c r="AS36" s="34">
        <v>0.10144927536231885</v>
      </c>
      <c r="AT36" s="34">
        <v>2.9702970297029702E-2</v>
      </c>
      <c r="AU36" s="34">
        <v>5.434782608695652E-2</v>
      </c>
      <c r="AV36" s="34">
        <v>5.4545454545454543E-2</v>
      </c>
      <c r="AW36" s="10"/>
      <c r="AX36" s="8"/>
    </row>
    <row r="37" spans="1:50">
      <c r="A37" s="7"/>
      <c r="B37" s="10"/>
      <c r="C37" s="22" t="s">
        <v>56</v>
      </c>
      <c r="D37" s="23" t="s">
        <v>29</v>
      </c>
      <c r="E37" s="35" t="s">
        <v>85</v>
      </c>
      <c r="F37" s="35" t="s">
        <v>85</v>
      </c>
      <c r="G37" s="35" t="s">
        <v>85</v>
      </c>
      <c r="H37" s="35" t="s">
        <v>85</v>
      </c>
      <c r="I37" s="25">
        <v>0.9</v>
      </c>
      <c r="J37" s="26">
        <v>0</v>
      </c>
      <c r="K37" s="26">
        <v>0</v>
      </c>
      <c r="L37" s="27">
        <v>0</v>
      </c>
      <c r="M37" s="26">
        <v>0</v>
      </c>
      <c r="N37" s="28">
        <v>0.9</v>
      </c>
      <c r="O37" s="26">
        <v>0</v>
      </c>
      <c r="P37" s="26">
        <v>0.95833333333333337</v>
      </c>
      <c r="Q37" s="26">
        <v>0.98666666666666669</v>
      </c>
      <c r="R37" s="26">
        <v>0.99360951961216393</v>
      </c>
      <c r="S37" s="28">
        <v>0.9</v>
      </c>
      <c r="T37" s="26">
        <v>0</v>
      </c>
      <c r="U37" s="26">
        <v>0.875</v>
      </c>
      <c r="V37" s="26">
        <v>0.97333333333333338</v>
      </c>
      <c r="W37" s="26">
        <v>0.99669457910974002</v>
      </c>
      <c r="X37" s="28">
        <v>0.92</v>
      </c>
      <c r="Y37" s="28">
        <v>1</v>
      </c>
      <c r="Z37" s="28">
        <v>0.7857142857142857</v>
      </c>
      <c r="AA37" s="28">
        <v>0.9642857142857143</v>
      </c>
      <c r="AB37" s="28">
        <v>0.99769372693726932</v>
      </c>
      <c r="AC37" s="28">
        <v>0.92</v>
      </c>
      <c r="AD37" s="26">
        <v>0</v>
      </c>
      <c r="AE37" s="26">
        <v>0</v>
      </c>
      <c r="AF37" s="26">
        <v>0</v>
      </c>
      <c r="AG37" s="26">
        <v>0.99939772990502662</v>
      </c>
      <c r="AH37" s="28">
        <v>0.92</v>
      </c>
      <c r="AI37" s="26">
        <v>0.5</v>
      </c>
      <c r="AJ37" s="26">
        <v>0.89473684210526316</v>
      </c>
      <c r="AK37" s="26">
        <v>0.970873786407767</v>
      </c>
      <c r="AL37" s="26">
        <v>0.99776486365668304</v>
      </c>
      <c r="AM37" s="25">
        <v>0.99</v>
      </c>
      <c r="AN37" s="30">
        <v>0</v>
      </c>
      <c r="AO37" s="30">
        <v>0</v>
      </c>
      <c r="AP37" s="30">
        <v>0</v>
      </c>
      <c r="AQ37" s="30">
        <v>1</v>
      </c>
      <c r="AR37" s="32">
        <v>8.7218210012826203E-2</v>
      </c>
      <c r="AS37" s="34">
        <v>0</v>
      </c>
      <c r="AT37" s="34">
        <v>0</v>
      </c>
      <c r="AU37" s="34">
        <v>0</v>
      </c>
      <c r="AV37" s="34">
        <v>0</v>
      </c>
      <c r="AW37" s="10"/>
      <c r="AX37" s="8"/>
    </row>
    <row r="38" spans="1:50">
      <c r="A38" s="7"/>
      <c r="B38" s="10"/>
      <c r="C38" s="22" t="s">
        <v>56</v>
      </c>
      <c r="D38" s="23" t="s">
        <v>29</v>
      </c>
      <c r="E38" s="35" t="s">
        <v>86</v>
      </c>
      <c r="F38" s="35" t="s">
        <v>86</v>
      </c>
      <c r="G38" s="35" t="s">
        <v>86</v>
      </c>
      <c r="H38" s="35" t="s">
        <v>86</v>
      </c>
      <c r="I38" s="25">
        <v>0.9</v>
      </c>
      <c r="J38" s="26">
        <v>0.98529411764705888</v>
      </c>
      <c r="K38" s="26">
        <v>1</v>
      </c>
      <c r="L38" s="27">
        <v>0.98630136986301364</v>
      </c>
      <c r="M38" s="26">
        <v>0.98360655737704916</v>
      </c>
      <c r="N38" s="28">
        <v>0.9</v>
      </c>
      <c r="O38" s="26">
        <v>0.98627754155392344</v>
      </c>
      <c r="P38" s="26">
        <v>0.98949282683370376</v>
      </c>
      <c r="Q38" s="26">
        <v>0.9840999432140829</v>
      </c>
      <c r="R38" s="26">
        <v>0.97602688942711679</v>
      </c>
      <c r="S38" s="28">
        <v>0.9</v>
      </c>
      <c r="T38" s="26">
        <v>0.83629686896018551</v>
      </c>
      <c r="U38" s="26">
        <v>0.85188927055970898</v>
      </c>
      <c r="V38" s="26">
        <v>0.82282793867120951</v>
      </c>
      <c r="W38" s="26">
        <v>0.8331026642281647</v>
      </c>
      <c r="X38" s="28">
        <v>0.92</v>
      </c>
      <c r="Y38" s="28">
        <v>0.91343451377178186</v>
      </c>
      <c r="Z38" s="28">
        <v>0.92524509803921573</v>
      </c>
      <c r="AA38" s="28">
        <v>0.94859813084112155</v>
      </c>
      <c r="AB38" s="28">
        <v>0.93393569155357203</v>
      </c>
      <c r="AC38" s="28">
        <v>0.92</v>
      </c>
      <c r="AD38" s="26">
        <v>0.99714303081879518</v>
      </c>
      <c r="AE38" s="26">
        <v>0.99564134495641343</v>
      </c>
      <c r="AF38" s="26">
        <v>0.99743589743589745</v>
      </c>
      <c r="AG38" s="26">
        <v>0.95392696716549796</v>
      </c>
      <c r="AH38" s="28">
        <v>0.92</v>
      </c>
      <c r="AI38" s="26">
        <v>0.93060009161704071</v>
      </c>
      <c r="AJ38" s="26">
        <v>0.94861804456349685</v>
      </c>
      <c r="AK38" s="26">
        <v>0.96394948335246844</v>
      </c>
      <c r="AL38" s="26">
        <v>0.95244204565563617</v>
      </c>
      <c r="AM38" s="25">
        <v>0.99</v>
      </c>
      <c r="AN38" s="30">
        <v>1</v>
      </c>
      <c r="AO38" s="30">
        <v>1</v>
      </c>
      <c r="AP38" s="30">
        <v>1</v>
      </c>
      <c r="AQ38" s="30">
        <v>1</v>
      </c>
      <c r="AR38" s="32">
        <v>8.7218210012826203E-2</v>
      </c>
      <c r="AS38" s="34">
        <v>0</v>
      </c>
      <c r="AT38" s="34">
        <v>5.7142857142857141E-2</v>
      </c>
      <c r="AU38" s="34">
        <v>3.5714285714285712E-2</v>
      </c>
      <c r="AV38" s="34">
        <v>1.7241379310344827E-2</v>
      </c>
      <c r="AW38" s="10"/>
      <c r="AX38" s="8"/>
    </row>
    <row r="39" spans="1:50">
      <c r="A39" s="7"/>
      <c r="B39" s="10"/>
      <c r="C39" s="22" t="s">
        <v>56</v>
      </c>
      <c r="D39" s="23" t="s">
        <v>29</v>
      </c>
      <c r="E39" s="35" t="s">
        <v>87</v>
      </c>
      <c r="F39" s="35" t="s">
        <v>87</v>
      </c>
      <c r="G39" s="35" t="s">
        <v>87</v>
      </c>
      <c r="H39" s="35" t="s">
        <v>87</v>
      </c>
      <c r="I39" s="25">
        <v>0.9</v>
      </c>
      <c r="J39" s="26">
        <v>0.92647058823529416</v>
      </c>
      <c r="K39" s="26">
        <v>1</v>
      </c>
      <c r="L39" s="27">
        <v>0.95833333333333337</v>
      </c>
      <c r="M39" s="26">
        <v>0.95272727272727276</v>
      </c>
      <c r="N39" s="28">
        <v>0.9</v>
      </c>
      <c r="O39" s="26">
        <v>0.99730893433799783</v>
      </c>
      <c r="P39" s="26">
        <v>0.99460188933873139</v>
      </c>
      <c r="Q39" s="26">
        <v>0.99743918053777214</v>
      </c>
      <c r="R39" s="26">
        <v>0.99675675675675679</v>
      </c>
      <c r="S39" s="28">
        <v>0.9</v>
      </c>
      <c r="T39" s="26">
        <v>0.79036598493003229</v>
      </c>
      <c r="U39" s="26">
        <v>0.83643724696356281</v>
      </c>
      <c r="V39" s="26">
        <v>0.8594110115236876</v>
      </c>
      <c r="W39" s="26">
        <v>0.83212837837837839</v>
      </c>
      <c r="X39" s="28">
        <v>0.92</v>
      </c>
      <c r="Y39" s="28">
        <v>0.90590717299578061</v>
      </c>
      <c r="Z39" s="28">
        <v>0.94233612617052731</v>
      </c>
      <c r="AA39" s="28">
        <v>0.92903225806451617</v>
      </c>
      <c r="AB39" s="28">
        <v>0.93821669703140076</v>
      </c>
      <c r="AC39" s="28">
        <v>0.92</v>
      </c>
      <c r="AD39" s="26">
        <v>0.99573560767590619</v>
      </c>
      <c r="AE39" s="26">
        <v>0.78672985781990523</v>
      </c>
      <c r="AF39" s="26">
        <v>0.98294243070362475</v>
      </c>
      <c r="AG39" s="26">
        <v>0.95930395733932083</v>
      </c>
      <c r="AH39" s="28">
        <v>0.92</v>
      </c>
      <c r="AI39" s="26">
        <v>0.92344340397568592</v>
      </c>
      <c r="AJ39" s="26">
        <v>0.9558926080892608</v>
      </c>
      <c r="AK39" s="26">
        <v>0.95473766640563817</v>
      </c>
      <c r="AL39" s="26">
        <v>0.95584975241883685</v>
      </c>
      <c r="AM39" s="25">
        <v>0.99</v>
      </c>
      <c r="AN39" s="30">
        <v>1</v>
      </c>
      <c r="AO39" s="30">
        <v>1</v>
      </c>
      <c r="AP39" s="30">
        <v>1</v>
      </c>
      <c r="AQ39" s="30">
        <v>1</v>
      </c>
      <c r="AR39" s="32">
        <v>8.7218210012826203E-2</v>
      </c>
      <c r="AS39" s="34">
        <v>3.0303030303030304E-2</v>
      </c>
      <c r="AT39" s="34">
        <v>0</v>
      </c>
      <c r="AU39" s="34">
        <v>2.9411764705882353E-2</v>
      </c>
      <c r="AV39" s="34">
        <v>5.7613168724279837E-2</v>
      </c>
      <c r="AW39" s="10"/>
      <c r="AX39" s="8"/>
    </row>
    <row r="40" spans="1:50">
      <c r="A40" s="7"/>
      <c r="B40" s="10"/>
      <c r="C40" s="22" t="s">
        <v>56</v>
      </c>
      <c r="D40" s="23" t="s">
        <v>29</v>
      </c>
      <c r="E40" s="35" t="s">
        <v>88</v>
      </c>
      <c r="F40" s="35" t="s">
        <v>88</v>
      </c>
      <c r="G40" s="35" t="s">
        <v>88</v>
      </c>
      <c r="H40" s="35" t="s">
        <v>88</v>
      </c>
      <c r="I40" s="25">
        <v>0.9</v>
      </c>
      <c r="J40" s="26">
        <v>0.92500000000000004</v>
      </c>
      <c r="K40" s="26">
        <v>0.96511627906976749</v>
      </c>
      <c r="L40" s="27">
        <v>0.96385542168674698</v>
      </c>
      <c r="M40" s="26">
        <v>0.94623655913978499</v>
      </c>
      <c r="N40" s="28">
        <v>0.9</v>
      </c>
      <c r="O40" s="26">
        <v>0.96015180265654654</v>
      </c>
      <c r="P40" s="26">
        <v>0.98525630036002054</v>
      </c>
      <c r="Q40" s="26">
        <v>0.96948726014469955</v>
      </c>
      <c r="R40" s="26">
        <v>0.97013659300504607</v>
      </c>
      <c r="S40" s="28">
        <v>0.9</v>
      </c>
      <c r="T40" s="26">
        <v>0.79644643781266167</v>
      </c>
      <c r="U40" s="26">
        <v>0.8259900565746614</v>
      </c>
      <c r="V40" s="26">
        <v>0.78939918213274618</v>
      </c>
      <c r="W40" s="26">
        <v>0.81170610753436578</v>
      </c>
      <c r="X40" s="28">
        <v>0.92</v>
      </c>
      <c r="Y40" s="28">
        <v>0.88344930417495027</v>
      </c>
      <c r="Z40" s="28">
        <v>0.93365307753796967</v>
      </c>
      <c r="AA40" s="28">
        <v>0.9376105077039657</v>
      </c>
      <c r="AB40" s="28">
        <v>0.93184203621096828</v>
      </c>
      <c r="AC40" s="28">
        <v>0.92</v>
      </c>
      <c r="AD40" s="26">
        <v>0.99797913950456318</v>
      </c>
      <c r="AE40" s="26">
        <v>0.96637554585152841</v>
      </c>
      <c r="AF40" s="26">
        <v>0.82812012236998189</v>
      </c>
      <c r="AG40" s="26">
        <v>0.93017296604740551</v>
      </c>
      <c r="AH40" s="28">
        <v>0.92</v>
      </c>
      <c r="AI40" s="26">
        <v>0.91014551745191818</v>
      </c>
      <c r="AJ40" s="26">
        <v>0.94450818817148219</v>
      </c>
      <c r="AK40" s="26">
        <v>0.94078309749951539</v>
      </c>
      <c r="AL40" s="26">
        <v>0.94545193049435827</v>
      </c>
      <c r="AM40" s="25">
        <v>0.99</v>
      </c>
      <c r="AN40" s="30">
        <v>1</v>
      </c>
      <c r="AO40" s="30">
        <v>1</v>
      </c>
      <c r="AP40" s="30">
        <v>1</v>
      </c>
      <c r="AQ40" s="30">
        <v>1</v>
      </c>
      <c r="AR40" s="32">
        <v>8.7218210012826203E-2</v>
      </c>
      <c r="AS40" s="34">
        <v>4.2553191489361701E-2</v>
      </c>
      <c r="AT40" s="34">
        <v>0</v>
      </c>
      <c r="AU40" s="34">
        <v>0.05</v>
      </c>
      <c r="AV40" s="34">
        <v>4.1139240506329111E-2</v>
      </c>
      <c r="AW40" s="10"/>
      <c r="AX40" s="8"/>
    </row>
    <row r="41" spans="1:50">
      <c r="A41" s="7"/>
      <c r="B41" s="10"/>
      <c r="C41" s="22" t="s">
        <v>56</v>
      </c>
      <c r="D41" s="23" t="s">
        <v>29</v>
      </c>
      <c r="E41" s="35" t="s">
        <v>89</v>
      </c>
      <c r="F41" s="35" t="s">
        <v>89</v>
      </c>
      <c r="G41" s="35" t="s">
        <v>89</v>
      </c>
      <c r="H41" s="35" t="s">
        <v>89</v>
      </c>
      <c r="I41" s="25">
        <v>0.9</v>
      </c>
      <c r="J41" s="26">
        <v>0.97391304347826091</v>
      </c>
      <c r="K41" s="26">
        <v>0.97540983606557374</v>
      </c>
      <c r="L41" s="27">
        <v>0.96825396825396826</v>
      </c>
      <c r="M41" s="26">
        <v>0.97452229299363058</v>
      </c>
      <c r="N41" s="28">
        <v>0.9</v>
      </c>
      <c r="O41" s="26">
        <v>0.98944999296666203</v>
      </c>
      <c r="P41" s="26">
        <v>0.99090252707581228</v>
      </c>
      <c r="Q41" s="26">
        <v>0.99266275346851651</v>
      </c>
      <c r="R41" s="26">
        <v>0.99007842100625609</v>
      </c>
      <c r="S41" s="28">
        <v>0.9</v>
      </c>
      <c r="T41" s="26">
        <v>0.86749191166127448</v>
      </c>
      <c r="U41" s="26">
        <v>0.89545126353790616</v>
      </c>
      <c r="V41" s="26">
        <v>0.91448772678762003</v>
      </c>
      <c r="W41" s="26">
        <v>0.89014010044937875</v>
      </c>
      <c r="X41" s="28">
        <v>0.92</v>
      </c>
      <c r="Y41" s="28">
        <v>0.93324407039020663</v>
      </c>
      <c r="Z41" s="28">
        <v>0.95568231680561655</v>
      </c>
      <c r="AA41" s="28">
        <v>0.9600556438791733</v>
      </c>
      <c r="AB41" s="28">
        <v>0.95444863602535479</v>
      </c>
      <c r="AC41" s="28">
        <v>0.92</v>
      </c>
      <c r="AD41" s="26">
        <v>0.99714169048591261</v>
      </c>
      <c r="AE41" s="26">
        <v>0.9774647887323944</v>
      </c>
      <c r="AF41" s="26">
        <v>0.99030632027917798</v>
      </c>
      <c r="AG41" s="26">
        <v>0.97771712158808932</v>
      </c>
      <c r="AH41" s="28">
        <v>0.92</v>
      </c>
      <c r="AI41" s="26">
        <v>0.94779930290994574</v>
      </c>
      <c r="AJ41" s="26">
        <v>0.96734302882521994</v>
      </c>
      <c r="AK41" s="26">
        <v>0.9736632083000798</v>
      </c>
      <c r="AL41" s="26">
        <v>0.96900334308399494</v>
      </c>
      <c r="AM41" s="25">
        <v>0.99</v>
      </c>
      <c r="AN41" s="30">
        <v>1</v>
      </c>
      <c r="AO41" s="30">
        <v>1</v>
      </c>
      <c r="AP41" s="30">
        <v>1</v>
      </c>
      <c r="AQ41" s="30">
        <v>1</v>
      </c>
      <c r="AR41" s="32">
        <v>8.7218210012826203E-2</v>
      </c>
      <c r="AS41" s="34">
        <v>0.10256410256410256</v>
      </c>
      <c r="AT41" s="34">
        <v>0.05</v>
      </c>
      <c r="AU41" s="34">
        <v>4.6511627906976744E-2</v>
      </c>
      <c r="AV41" s="34">
        <v>4.9180327868852458E-2</v>
      </c>
      <c r="AW41" s="10"/>
      <c r="AX41" s="8"/>
    </row>
    <row r="42" spans="1:50">
      <c r="A42" s="7"/>
      <c r="B42" s="10"/>
      <c r="C42" s="22" t="s">
        <v>56</v>
      </c>
      <c r="D42" s="23" t="s">
        <v>29</v>
      </c>
      <c r="E42" s="35" t="s">
        <v>90</v>
      </c>
      <c r="F42" s="35" t="s">
        <v>90</v>
      </c>
      <c r="G42" s="35" t="s">
        <v>90</v>
      </c>
      <c r="H42" s="35" t="s">
        <v>90</v>
      </c>
      <c r="I42" s="25">
        <v>0.9</v>
      </c>
      <c r="J42" s="26">
        <v>1</v>
      </c>
      <c r="K42" s="26">
        <v>0.94890510948905105</v>
      </c>
      <c r="L42" s="27">
        <v>0.97902097902097907</v>
      </c>
      <c r="M42" s="26">
        <v>0.96704331450094161</v>
      </c>
      <c r="N42" s="28">
        <v>0.9</v>
      </c>
      <c r="O42" s="26">
        <v>0.99814241486068112</v>
      </c>
      <c r="P42" s="26">
        <v>0.99692898272552788</v>
      </c>
      <c r="Q42" s="26">
        <v>0.99818093621149651</v>
      </c>
      <c r="R42" s="26">
        <v>0.99834240320260215</v>
      </c>
      <c r="S42" s="28">
        <v>0.9</v>
      </c>
      <c r="T42" s="26">
        <v>0.90365325077399383</v>
      </c>
      <c r="U42" s="26">
        <v>0.90108765195137552</v>
      </c>
      <c r="V42" s="26">
        <v>0.90140674266310938</v>
      </c>
      <c r="W42" s="26">
        <v>0.88781509976856199</v>
      </c>
      <c r="X42" s="28">
        <v>0.92</v>
      </c>
      <c r="Y42" s="28">
        <v>0.94222472331645091</v>
      </c>
      <c r="Z42" s="28">
        <v>0.95412660256410253</v>
      </c>
      <c r="AA42" s="28">
        <v>0.95703502999806467</v>
      </c>
      <c r="AB42" s="28">
        <v>0.94866725423405829</v>
      </c>
      <c r="AC42" s="28">
        <v>0.92</v>
      </c>
      <c r="AD42" s="26">
        <v>0.99838105838308211</v>
      </c>
      <c r="AE42" s="26">
        <v>0.99629061140956765</v>
      </c>
      <c r="AF42" s="26">
        <v>0.76569506726457404</v>
      </c>
      <c r="AG42" s="26">
        <v>0.96401192836734373</v>
      </c>
      <c r="AH42" s="28">
        <v>0.92</v>
      </c>
      <c r="AI42" s="26">
        <v>0.95427420557959119</v>
      </c>
      <c r="AJ42" s="26">
        <v>0.96267666120090578</v>
      </c>
      <c r="AK42" s="26">
        <v>0.97204413299537795</v>
      </c>
      <c r="AL42" s="26">
        <v>0.96478873239436624</v>
      </c>
      <c r="AM42" s="25">
        <v>0.99</v>
      </c>
      <c r="AN42" s="30">
        <v>1</v>
      </c>
      <c r="AO42" s="30">
        <v>1</v>
      </c>
      <c r="AP42" s="30">
        <v>1</v>
      </c>
      <c r="AQ42" s="30">
        <v>1</v>
      </c>
      <c r="AR42" s="32">
        <v>8.7218210012826203E-2</v>
      </c>
      <c r="AS42" s="34">
        <v>6.8965517241379309E-2</v>
      </c>
      <c r="AT42" s="34">
        <v>2.9850746268656716E-2</v>
      </c>
      <c r="AU42" s="34">
        <v>1.5873015873015872E-2</v>
      </c>
      <c r="AV42" s="34">
        <v>4.3912175648702596E-2</v>
      </c>
      <c r="AW42" s="10"/>
      <c r="AX42" s="8"/>
    </row>
    <row r="43" spans="1:50">
      <c r="A43" s="7"/>
      <c r="B43" s="10"/>
      <c r="C43" s="22" t="s">
        <v>56</v>
      </c>
      <c r="D43" s="23" t="s">
        <v>29</v>
      </c>
      <c r="E43" s="35" t="s">
        <v>91</v>
      </c>
      <c r="F43" s="35" t="s">
        <v>91</v>
      </c>
      <c r="G43" s="35" t="s">
        <v>91</v>
      </c>
      <c r="H43" s="35" t="s">
        <v>91</v>
      </c>
      <c r="I43" s="25">
        <v>0.9</v>
      </c>
      <c r="J43" s="26">
        <v>0</v>
      </c>
      <c r="K43" s="26">
        <v>0</v>
      </c>
      <c r="L43" s="27">
        <v>0</v>
      </c>
      <c r="M43" s="26">
        <v>0</v>
      </c>
      <c r="N43" s="28">
        <v>0.9</v>
      </c>
      <c r="O43" s="26">
        <v>0</v>
      </c>
      <c r="P43" s="26">
        <v>0</v>
      </c>
      <c r="Q43" s="26">
        <v>0</v>
      </c>
      <c r="R43" s="26">
        <v>0.66666666666666663</v>
      </c>
      <c r="S43" s="28">
        <v>0.9</v>
      </c>
      <c r="T43" s="26">
        <v>0</v>
      </c>
      <c r="U43" s="26">
        <v>0</v>
      </c>
      <c r="V43" s="26">
        <v>0</v>
      </c>
      <c r="W43" s="26">
        <v>0.83333333333333337</v>
      </c>
      <c r="X43" s="28">
        <v>0.92</v>
      </c>
      <c r="Y43" s="28">
        <v>0</v>
      </c>
      <c r="Z43" s="28">
        <v>0</v>
      </c>
      <c r="AA43" s="28">
        <v>1</v>
      </c>
      <c r="AB43" s="28">
        <v>1</v>
      </c>
      <c r="AC43" s="28">
        <v>0.92</v>
      </c>
      <c r="AD43" s="26">
        <v>0</v>
      </c>
      <c r="AE43" s="26">
        <v>0</v>
      </c>
      <c r="AF43" s="26">
        <v>0</v>
      </c>
      <c r="AG43" s="26">
        <v>0.94736842105263153</v>
      </c>
      <c r="AH43" s="28">
        <v>0.92</v>
      </c>
      <c r="AI43" s="26">
        <v>0</v>
      </c>
      <c r="AJ43" s="26">
        <v>0</v>
      </c>
      <c r="AK43" s="26">
        <v>1</v>
      </c>
      <c r="AL43" s="26">
        <v>0.83333333333333337</v>
      </c>
      <c r="AM43" s="25">
        <v>0.99</v>
      </c>
      <c r="AN43" s="30">
        <v>0</v>
      </c>
      <c r="AO43" s="30">
        <v>0</v>
      </c>
      <c r="AP43" s="30">
        <v>0</v>
      </c>
      <c r="AQ43" s="30">
        <v>1</v>
      </c>
      <c r="AR43" s="32">
        <v>8.7218210012826203E-2</v>
      </c>
      <c r="AS43" s="34">
        <v>0</v>
      </c>
      <c r="AT43" s="34">
        <v>0</v>
      </c>
      <c r="AU43" s="34">
        <v>0</v>
      </c>
      <c r="AV43" s="34">
        <v>0</v>
      </c>
      <c r="AW43" s="10"/>
      <c r="AX43" s="8"/>
    </row>
    <row r="44" spans="1:50">
      <c r="A44" s="7"/>
      <c r="B44" s="10"/>
      <c r="C44" s="22" t="s">
        <v>56</v>
      </c>
      <c r="D44" s="23" t="s">
        <v>29</v>
      </c>
      <c r="E44" s="35" t="s">
        <v>92</v>
      </c>
      <c r="F44" s="35" t="s">
        <v>92</v>
      </c>
      <c r="G44" s="35" t="s">
        <v>92</v>
      </c>
      <c r="H44" s="35" t="s">
        <v>92</v>
      </c>
      <c r="I44" s="25">
        <v>0.9</v>
      </c>
      <c r="J44" s="26">
        <v>0.79661016949152541</v>
      </c>
      <c r="K44" s="26">
        <v>0.88709677419354838</v>
      </c>
      <c r="L44" s="27">
        <v>0.79104477611940294</v>
      </c>
      <c r="M44" s="26">
        <v>0.81120331950207469</v>
      </c>
      <c r="N44" s="28">
        <v>0.9</v>
      </c>
      <c r="O44" s="26">
        <v>0.98641304347826086</v>
      </c>
      <c r="P44" s="26">
        <v>0.95023958717287138</v>
      </c>
      <c r="Q44" s="26">
        <v>0.89764792355751566</v>
      </c>
      <c r="R44" s="26">
        <v>0.94542302183581672</v>
      </c>
      <c r="S44" s="28">
        <v>0.9</v>
      </c>
      <c r="T44" s="26">
        <v>0.47972408026755853</v>
      </c>
      <c r="U44" s="26">
        <v>0.58164393660154812</v>
      </c>
      <c r="V44" s="26">
        <v>0.56486585814038959</v>
      </c>
      <c r="W44" s="26">
        <v>0.5222252933638214</v>
      </c>
      <c r="X44" s="28">
        <v>0.92</v>
      </c>
      <c r="Y44" s="28">
        <v>0.85397248113626278</v>
      </c>
      <c r="Z44" s="28">
        <v>0.84753167321974665</v>
      </c>
      <c r="AA44" s="28">
        <v>0.92791762013729973</v>
      </c>
      <c r="AB44" s="28">
        <v>0.86226560493192905</v>
      </c>
      <c r="AC44" s="28">
        <v>0.92</v>
      </c>
      <c r="AD44" s="26">
        <v>0.66666666666666663</v>
      </c>
      <c r="AE44" s="26">
        <v>0.6</v>
      </c>
      <c r="AF44" s="26">
        <v>0.61538461538461542</v>
      </c>
      <c r="AG44" s="26">
        <v>0.6</v>
      </c>
      <c r="AH44" s="28">
        <v>0.92</v>
      </c>
      <c r="AI44" s="26">
        <v>0.8337595907928389</v>
      </c>
      <c r="AJ44" s="26">
        <v>0.87399533316048739</v>
      </c>
      <c r="AK44" s="26">
        <v>0.9419642857142857</v>
      </c>
      <c r="AL44" s="26">
        <v>0.87595329688870893</v>
      </c>
      <c r="AM44" s="25">
        <v>0.99</v>
      </c>
      <c r="AN44" s="30">
        <v>1</v>
      </c>
      <c r="AO44" s="30">
        <v>1</v>
      </c>
      <c r="AP44" s="30">
        <v>1</v>
      </c>
      <c r="AQ44" s="30">
        <v>1</v>
      </c>
      <c r="AR44" s="32">
        <v>8.7218210012826203E-2</v>
      </c>
      <c r="AS44" s="34">
        <v>0.11904761904761904</v>
      </c>
      <c r="AT44" s="34">
        <v>4.1666666666666664E-2</v>
      </c>
      <c r="AU44" s="34">
        <v>1.6949152542372881E-2</v>
      </c>
      <c r="AV44" s="34">
        <v>3.9045553145336226E-2</v>
      </c>
      <c r="AW44" s="10"/>
      <c r="AX44" s="8"/>
    </row>
    <row r="45" spans="1:50">
      <c r="A45" s="7"/>
      <c r="B45" s="10"/>
      <c r="C45" s="22" t="s">
        <v>56</v>
      </c>
      <c r="D45" s="23" t="s">
        <v>29</v>
      </c>
      <c r="E45" s="35" t="s">
        <v>93</v>
      </c>
      <c r="F45" s="35" t="s">
        <v>93</v>
      </c>
      <c r="G45" s="35" t="s">
        <v>93</v>
      </c>
      <c r="H45" s="35" t="s">
        <v>93</v>
      </c>
      <c r="I45" s="25">
        <v>0.9</v>
      </c>
      <c r="J45" s="26">
        <v>0.88059701492537312</v>
      </c>
      <c r="K45" s="26">
        <v>0.95454545454545459</v>
      </c>
      <c r="L45" s="27">
        <v>0.89552238805970152</v>
      </c>
      <c r="M45" s="26">
        <v>0.90258449304174948</v>
      </c>
      <c r="N45" s="28">
        <v>0.9</v>
      </c>
      <c r="O45" s="26">
        <v>0.90284210526315789</v>
      </c>
      <c r="P45" s="26">
        <v>0.92677983278439324</v>
      </c>
      <c r="Q45" s="26">
        <v>0.91692840896783279</v>
      </c>
      <c r="R45" s="26">
        <v>0.90146728861596603</v>
      </c>
      <c r="S45" s="28">
        <v>0.9</v>
      </c>
      <c r="T45" s="26">
        <v>0.82778947368421052</v>
      </c>
      <c r="U45" s="26">
        <v>0.8465923486192044</v>
      </c>
      <c r="V45" s="26">
        <v>0.87587999566771368</v>
      </c>
      <c r="W45" s="26">
        <v>0.83972012281530473</v>
      </c>
      <c r="X45" s="28">
        <v>0.92</v>
      </c>
      <c r="Y45" s="28">
        <v>0.8830605403273516</v>
      </c>
      <c r="Z45" s="28">
        <v>0.98079819277108438</v>
      </c>
      <c r="AA45" s="28">
        <v>0.98748293126991349</v>
      </c>
      <c r="AB45" s="28">
        <v>0.9672347474520594</v>
      </c>
      <c r="AC45" s="28">
        <v>0.92</v>
      </c>
      <c r="AD45" s="26">
        <v>0.99932728099793056</v>
      </c>
      <c r="AE45" s="26">
        <v>0.99590837725396075</v>
      </c>
      <c r="AF45" s="26">
        <v>0.99829488043112158</v>
      </c>
      <c r="AG45" s="26">
        <v>0.99715397362922398</v>
      </c>
      <c r="AH45" s="28">
        <v>0.92</v>
      </c>
      <c r="AI45" s="26">
        <v>0.92776291417987244</v>
      </c>
      <c r="AJ45" s="26">
        <v>0.9775442310600333</v>
      </c>
      <c r="AK45" s="26">
        <v>0.98628931739863623</v>
      </c>
      <c r="AL45" s="26">
        <v>0.97578540357660704</v>
      </c>
      <c r="AM45" s="25">
        <v>0.99</v>
      </c>
      <c r="AN45" s="30">
        <v>1</v>
      </c>
      <c r="AO45" s="30">
        <v>1</v>
      </c>
      <c r="AP45" s="30">
        <v>1</v>
      </c>
      <c r="AQ45" s="30">
        <v>1</v>
      </c>
      <c r="AR45" s="32">
        <v>8.7218210012826203E-2</v>
      </c>
      <c r="AS45" s="34">
        <v>0.04</v>
      </c>
      <c r="AT45" s="34">
        <v>0.22580645161290322</v>
      </c>
      <c r="AU45" s="34">
        <v>5.128205128205128E-2</v>
      </c>
      <c r="AV45" s="34">
        <v>6.6945606694560664E-2</v>
      </c>
      <c r="AW45" s="10"/>
      <c r="AX45" s="8"/>
    </row>
    <row r="46" spans="1:50">
      <c r="A46" s="7"/>
      <c r="B46" s="10"/>
      <c r="C46" s="22" t="s">
        <v>56</v>
      </c>
      <c r="D46" s="23" t="s">
        <v>29</v>
      </c>
      <c r="E46" s="35" t="s">
        <v>94</v>
      </c>
      <c r="F46" s="35" t="s">
        <v>94</v>
      </c>
      <c r="G46" s="35" t="s">
        <v>94</v>
      </c>
      <c r="H46" s="35" t="s">
        <v>94</v>
      </c>
      <c r="I46" s="25">
        <v>0.9</v>
      </c>
      <c r="J46" s="26">
        <v>0.90740740740740744</v>
      </c>
      <c r="K46" s="26">
        <v>0.93333333333333335</v>
      </c>
      <c r="L46" s="27">
        <v>0.93220338983050843</v>
      </c>
      <c r="M46" s="26">
        <v>0.92808988764044942</v>
      </c>
      <c r="N46" s="28">
        <v>0.9</v>
      </c>
      <c r="O46" s="26">
        <v>0.94295493439817457</v>
      </c>
      <c r="P46" s="26">
        <v>0.9524072032341051</v>
      </c>
      <c r="Q46" s="26">
        <v>0.96711012564671106</v>
      </c>
      <c r="R46" s="26">
        <v>0.94186755463840166</v>
      </c>
      <c r="S46" s="28">
        <v>0.9</v>
      </c>
      <c r="T46" s="26">
        <v>0.8263928503517779</v>
      </c>
      <c r="U46" s="26">
        <v>0.83682469680264604</v>
      </c>
      <c r="V46" s="26">
        <v>0.78436807095343686</v>
      </c>
      <c r="W46" s="26">
        <v>0.77668605196510643</v>
      </c>
      <c r="X46" s="28">
        <v>0.92</v>
      </c>
      <c r="Y46" s="28">
        <v>0.89129164231443603</v>
      </c>
      <c r="Z46" s="28">
        <v>0.94245049504950495</v>
      </c>
      <c r="AA46" s="28">
        <v>0.92707728065078443</v>
      </c>
      <c r="AB46" s="28">
        <v>0.89431997359832793</v>
      </c>
      <c r="AC46" s="28">
        <v>0.92</v>
      </c>
      <c r="AD46" s="26">
        <v>0.99204225352112674</v>
      </c>
      <c r="AE46" s="26">
        <v>0.97136286074634615</v>
      </c>
      <c r="AF46" s="26">
        <v>0.97435318892900125</v>
      </c>
      <c r="AG46" s="26">
        <v>0.96752575572726041</v>
      </c>
      <c r="AH46" s="28">
        <v>0.92</v>
      </c>
      <c r="AI46" s="26">
        <v>0.91074304117782379</v>
      </c>
      <c r="AJ46" s="26">
        <v>0.95876526146049301</v>
      </c>
      <c r="AK46" s="26">
        <v>0.95359602574235069</v>
      </c>
      <c r="AL46" s="26">
        <v>0.93239553401666886</v>
      </c>
      <c r="AM46" s="25">
        <v>0.99</v>
      </c>
      <c r="AN46" s="30">
        <v>0.99090909090909096</v>
      </c>
      <c r="AO46" s="30">
        <v>1</v>
      </c>
      <c r="AP46" s="30">
        <v>1</v>
      </c>
      <c r="AQ46" s="30">
        <v>0.99908508691674291</v>
      </c>
      <c r="AR46" s="32">
        <v>8.7218210012826203E-2</v>
      </c>
      <c r="AS46" s="34">
        <v>3.125E-2</v>
      </c>
      <c r="AT46" s="34">
        <v>3.4482758620689655E-2</v>
      </c>
      <c r="AU46" s="34">
        <v>0.10526315789473684</v>
      </c>
      <c r="AV46" s="34">
        <v>6.0150375939849621E-2</v>
      </c>
      <c r="AW46" s="10"/>
      <c r="AX46" s="8"/>
    </row>
    <row r="47" spans="1:50">
      <c r="A47" s="7"/>
      <c r="B47" s="10"/>
      <c r="C47" s="22" t="s">
        <v>56</v>
      </c>
      <c r="D47" s="23" t="s">
        <v>29</v>
      </c>
      <c r="E47" s="35" t="s">
        <v>95</v>
      </c>
      <c r="F47" s="35" t="s">
        <v>95</v>
      </c>
      <c r="G47" s="35" t="s">
        <v>95</v>
      </c>
      <c r="H47" s="35" t="s">
        <v>95</v>
      </c>
      <c r="I47" s="25">
        <v>0.9</v>
      </c>
      <c r="J47" s="26">
        <v>0.86776859504132231</v>
      </c>
      <c r="K47" s="26">
        <v>0.9007633587786259</v>
      </c>
      <c r="L47" s="27">
        <v>0.87596899224806202</v>
      </c>
      <c r="M47" s="26">
        <v>0.89633507853403138</v>
      </c>
      <c r="N47" s="28">
        <v>0.9</v>
      </c>
      <c r="O47" s="26">
        <v>0.93073229291716686</v>
      </c>
      <c r="P47" s="26">
        <v>0.96636202081746636</v>
      </c>
      <c r="Q47" s="26">
        <v>0.94905681689822663</v>
      </c>
      <c r="R47" s="26">
        <v>0.94002171159761172</v>
      </c>
      <c r="S47" s="28">
        <v>0.9</v>
      </c>
      <c r="T47" s="26">
        <v>0.76698679471788711</v>
      </c>
      <c r="U47" s="26">
        <v>0.85821274435135819</v>
      </c>
      <c r="V47" s="26">
        <v>0.83869874618773299</v>
      </c>
      <c r="W47" s="26">
        <v>0.796770399855256</v>
      </c>
      <c r="X47" s="28">
        <v>0.92</v>
      </c>
      <c r="Y47" s="28">
        <v>0.8962053571428571</v>
      </c>
      <c r="Z47" s="28">
        <v>0.9619314766579844</v>
      </c>
      <c r="AA47" s="28">
        <v>0.95684944413039386</v>
      </c>
      <c r="AB47" s="28">
        <v>0.94262919742795903</v>
      </c>
      <c r="AC47" s="28">
        <v>0.92</v>
      </c>
      <c r="AD47" s="26">
        <v>0.99757345971563982</v>
      </c>
      <c r="AE47" s="26">
        <v>0.99396705081599501</v>
      </c>
      <c r="AF47" s="26">
        <v>0.9856080594866875</v>
      </c>
      <c r="AG47" s="26">
        <v>0.98352613146291812</v>
      </c>
      <c r="AH47" s="28">
        <v>0.92</v>
      </c>
      <c r="AI47" s="26">
        <v>0.92106223097687312</v>
      </c>
      <c r="AJ47" s="26">
        <v>0.97163947163947162</v>
      </c>
      <c r="AK47" s="26">
        <v>0.96913841807909606</v>
      </c>
      <c r="AL47" s="26">
        <v>0.95815331782430491</v>
      </c>
      <c r="AM47" s="25">
        <v>0.99</v>
      </c>
      <c r="AN47" s="30">
        <v>1</v>
      </c>
      <c r="AO47" s="30">
        <v>1</v>
      </c>
      <c r="AP47" s="30">
        <v>1</v>
      </c>
      <c r="AQ47" s="30">
        <v>1</v>
      </c>
      <c r="AR47" s="32">
        <v>8.7218210012826203E-2</v>
      </c>
      <c r="AS47" s="34">
        <v>2.1276595744680851E-2</v>
      </c>
      <c r="AT47" s="34">
        <v>0</v>
      </c>
      <c r="AU47" s="34">
        <v>0.10169491525423729</v>
      </c>
      <c r="AV47" s="34">
        <v>7.1925754060324823E-2</v>
      </c>
      <c r="AW47" s="10"/>
      <c r="AX47" s="8"/>
    </row>
    <row r="48" spans="1:50">
      <c r="A48" s="7"/>
      <c r="B48" s="10"/>
      <c r="C48" s="22" t="s">
        <v>56</v>
      </c>
      <c r="D48" s="23" t="s">
        <v>29</v>
      </c>
      <c r="E48" s="35" t="s">
        <v>96</v>
      </c>
      <c r="F48" s="35" t="s">
        <v>96</v>
      </c>
      <c r="G48" s="35" t="s">
        <v>96</v>
      </c>
      <c r="H48" s="35" t="s">
        <v>96</v>
      </c>
      <c r="I48" s="25">
        <v>0.9</v>
      </c>
      <c r="J48" s="26">
        <v>0.95945945945945943</v>
      </c>
      <c r="K48" s="26">
        <v>0.98630136986301364</v>
      </c>
      <c r="L48" s="27">
        <v>0.95890410958904104</v>
      </c>
      <c r="M48" s="26">
        <v>0.97905759162303663</v>
      </c>
      <c r="N48" s="28">
        <v>0.9</v>
      </c>
      <c r="O48" s="26">
        <v>0.96998702141466575</v>
      </c>
      <c r="P48" s="26">
        <v>0.97232745840882884</v>
      </c>
      <c r="Q48" s="26">
        <v>0.96554364471669218</v>
      </c>
      <c r="R48" s="26">
        <v>0.94651585538275096</v>
      </c>
      <c r="S48" s="28">
        <v>0.9</v>
      </c>
      <c r="T48" s="26">
        <v>0.83679428942245293</v>
      </c>
      <c r="U48" s="26">
        <v>0.8774501729533849</v>
      </c>
      <c r="V48" s="26">
        <v>0.8387442572741195</v>
      </c>
      <c r="W48" s="26">
        <v>0.84318319531407793</v>
      </c>
      <c r="X48" s="28">
        <v>0.92</v>
      </c>
      <c r="Y48" s="28">
        <v>0.92675983436853004</v>
      </c>
      <c r="Z48" s="28">
        <v>0.95614035087719296</v>
      </c>
      <c r="AA48" s="28">
        <v>0.96549974632166413</v>
      </c>
      <c r="AB48" s="28">
        <v>0.95798482785450301</v>
      </c>
      <c r="AC48" s="28">
        <v>0.92</v>
      </c>
      <c r="AD48" s="26">
        <v>0.95178137072542568</v>
      </c>
      <c r="AE48" s="26">
        <v>0.97226865671641793</v>
      </c>
      <c r="AF48" s="26">
        <v>0.992658701597812</v>
      </c>
      <c r="AG48" s="26">
        <v>0.9768424994688647</v>
      </c>
      <c r="AH48" s="28">
        <v>0.92</v>
      </c>
      <c r="AI48" s="26">
        <v>0.94267769913268862</v>
      </c>
      <c r="AJ48" s="26">
        <v>0.96787311915412766</v>
      </c>
      <c r="AK48" s="26">
        <v>0.97813216195569141</v>
      </c>
      <c r="AL48" s="26">
        <v>0.96992621533178214</v>
      </c>
      <c r="AM48" s="25">
        <v>0.99</v>
      </c>
      <c r="AN48" s="30">
        <v>1</v>
      </c>
      <c r="AO48" s="30">
        <v>1</v>
      </c>
      <c r="AP48" s="30">
        <v>1</v>
      </c>
      <c r="AQ48" s="30">
        <v>1</v>
      </c>
      <c r="AR48" s="32">
        <v>8.7218210012826203E-2</v>
      </c>
      <c r="AS48" s="34">
        <v>5.6603773584905662E-2</v>
      </c>
      <c r="AT48" s="34">
        <v>2.5000000000000001E-2</v>
      </c>
      <c r="AU48" s="34">
        <v>2.4390243902439025E-2</v>
      </c>
      <c r="AV48" s="34">
        <v>4.398826979472141E-2</v>
      </c>
      <c r="AW48" s="10"/>
      <c r="AX48" s="8"/>
    </row>
    <row r="49" spans="1:50">
      <c r="A49" s="7"/>
      <c r="B49" s="10"/>
      <c r="C49" s="22" t="s">
        <v>56</v>
      </c>
      <c r="D49" s="23" t="s">
        <v>29</v>
      </c>
      <c r="E49" s="35" t="s">
        <v>97</v>
      </c>
      <c r="F49" s="35" t="s">
        <v>97</v>
      </c>
      <c r="G49" s="35" t="s">
        <v>97</v>
      </c>
      <c r="H49" s="35" t="s">
        <v>97</v>
      </c>
      <c r="I49" s="25">
        <v>0.9</v>
      </c>
      <c r="J49" s="26">
        <v>0.94</v>
      </c>
      <c r="K49" s="26">
        <v>0.96</v>
      </c>
      <c r="L49" s="27">
        <v>0.9</v>
      </c>
      <c r="M49" s="26">
        <v>0.9375</v>
      </c>
      <c r="N49" s="28">
        <v>0.9</v>
      </c>
      <c r="O49" s="26">
        <v>0.98353744228066653</v>
      </c>
      <c r="P49" s="26">
        <v>0.99071428571428577</v>
      </c>
      <c r="Q49" s="26">
        <v>0.99162178336325557</v>
      </c>
      <c r="R49" s="26">
        <v>0.96099655650217453</v>
      </c>
      <c r="S49" s="28">
        <v>0.9</v>
      </c>
      <c r="T49" s="26">
        <v>0.92391086127283673</v>
      </c>
      <c r="U49" s="26">
        <v>0.93476190476190479</v>
      </c>
      <c r="V49" s="26">
        <v>0.91512068621583886</v>
      </c>
      <c r="W49" s="26">
        <v>0.92132087637705617</v>
      </c>
      <c r="X49" s="28">
        <v>0.92</v>
      </c>
      <c r="Y49" s="28">
        <v>0.94286232541266102</v>
      </c>
      <c r="Z49" s="28">
        <v>0.98009950248756217</v>
      </c>
      <c r="AA49" s="28">
        <v>0.97531787584143603</v>
      </c>
      <c r="AB49" s="28">
        <v>0.9735482970407594</v>
      </c>
      <c r="AC49" s="28">
        <v>0.92</v>
      </c>
      <c r="AD49" s="26">
        <v>0.99352576997441555</v>
      </c>
      <c r="AE49" s="26">
        <v>0.98568280256722163</v>
      </c>
      <c r="AF49" s="26">
        <v>0.99110986645580745</v>
      </c>
      <c r="AG49" s="26">
        <v>0.98111836954378495</v>
      </c>
      <c r="AH49" s="28">
        <v>0.92</v>
      </c>
      <c r="AI49" s="26">
        <v>0.96292708131499061</v>
      </c>
      <c r="AJ49" s="26">
        <v>0.98429813329739202</v>
      </c>
      <c r="AK49" s="26">
        <v>0.98400416151895442</v>
      </c>
      <c r="AL49" s="26">
        <v>0.98285009359984132</v>
      </c>
      <c r="AM49" s="25">
        <v>0.99</v>
      </c>
      <c r="AN49" s="30">
        <v>1</v>
      </c>
      <c r="AO49" s="30">
        <v>1</v>
      </c>
      <c r="AP49" s="30">
        <v>1</v>
      </c>
      <c r="AQ49" s="30">
        <v>1</v>
      </c>
      <c r="AR49" s="32">
        <v>8.7218210012826203E-2</v>
      </c>
      <c r="AS49" s="34">
        <v>0</v>
      </c>
      <c r="AT49" s="34">
        <v>0.1111111111111111</v>
      </c>
      <c r="AU49" s="34">
        <v>6.8965517241379309E-2</v>
      </c>
      <c r="AV49" s="34">
        <v>7.3446327683615822E-2</v>
      </c>
      <c r="AW49" s="10"/>
      <c r="AX49" s="8"/>
    </row>
    <row r="50" spans="1:50">
      <c r="A50" s="7"/>
      <c r="B50" s="10"/>
      <c r="C50" s="22" t="s">
        <v>56</v>
      </c>
      <c r="D50" s="23" t="s">
        <v>29</v>
      </c>
      <c r="E50" s="35" t="s">
        <v>98</v>
      </c>
      <c r="F50" s="35" t="s">
        <v>98</v>
      </c>
      <c r="G50" s="35" t="s">
        <v>98</v>
      </c>
      <c r="H50" s="35" t="s">
        <v>98</v>
      </c>
      <c r="I50" s="25">
        <v>0.9</v>
      </c>
      <c r="J50" s="26">
        <v>0.89380530973451322</v>
      </c>
      <c r="K50" s="26">
        <v>0.9327731092436975</v>
      </c>
      <c r="L50" s="27">
        <v>0.96031746031746035</v>
      </c>
      <c r="M50" s="26">
        <v>0.93716143011917663</v>
      </c>
      <c r="N50" s="28">
        <v>0.9</v>
      </c>
      <c r="O50" s="26">
        <v>0.8878761256314518</v>
      </c>
      <c r="P50" s="26">
        <v>0.94219283276450516</v>
      </c>
      <c r="Q50" s="26">
        <v>0.86622239904515619</v>
      </c>
      <c r="R50" s="26">
        <v>0.90349444807315482</v>
      </c>
      <c r="S50" s="28">
        <v>0.9</v>
      </c>
      <c r="T50" s="26">
        <v>0.60773116626400181</v>
      </c>
      <c r="U50" s="26">
        <v>0.69123293515358364</v>
      </c>
      <c r="V50" s="26">
        <v>0.64382335388899936</v>
      </c>
      <c r="W50" s="26">
        <v>0.62966742869584147</v>
      </c>
      <c r="X50" s="28">
        <v>0.92</v>
      </c>
      <c r="Y50" s="28">
        <v>0.85810690818682289</v>
      </c>
      <c r="Z50" s="28">
        <v>0.92063492063492058</v>
      </c>
      <c r="AA50" s="28">
        <v>0.91748431719478851</v>
      </c>
      <c r="AB50" s="28">
        <v>0.88572040248340822</v>
      </c>
      <c r="AC50" s="28">
        <v>0.92</v>
      </c>
      <c r="AD50" s="26">
        <v>0.97575757575757571</v>
      </c>
      <c r="AE50" s="26">
        <v>0.95580110497237569</v>
      </c>
      <c r="AF50" s="26">
        <v>0.98360655737704916</v>
      </c>
      <c r="AG50" s="26">
        <v>0.95846394984326022</v>
      </c>
      <c r="AH50" s="28">
        <v>0.92</v>
      </c>
      <c r="AI50" s="26">
        <v>0.88777310354186456</v>
      </c>
      <c r="AJ50" s="26">
        <v>0.94564343163538878</v>
      </c>
      <c r="AK50" s="26">
        <v>0.94831930191114111</v>
      </c>
      <c r="AL50" s="26">
        <v>0.92184185350027037</v>
      </c>
      <c r="AM50" s="25">
        <v>0.99</v>
      </c>
      <c r="AN50" s="30">
        <v>1</v>
      </c>
      <c r="AO50" s="30">
        <v>1</v>
      </c>
      <c r="AP50" s="30">
        <v>1</v>
      </c>
      <c r="AQ50" s="30">
        <v>1</v>
      </c>
      <c r="AR50" s="32">
        <v>8.7218210012826203E-2</v>
      </c>
      <c r="AS50" s="34">
        <v>0.1111111111111111</v>
      </c>
      <c r="AT50" s="34">
        <v>6.25E-2</v>
      </c>
      <c r="AU50" s="34">
        <v>2.3255813953488372E-2</v>
      </c>
      <c r="AV50" s="34">
        <v>6.6666666666666666E-2</v>
      </c>
      <c r="AW50" s="10"/>
      <c r="AX50" s="8"/>
    </row>
    <row r="51" spans="1:50">
      <c r="A51" s="7"/>
      <c r="B51" s="10"/>
      <c r="C51" s="22" t="s">
        <v>56</v>
      </c>
      <c r="D51" s="23" t="s">
        <v>29</v>
      </c>
      <c r="E51" s="35" t="s">
        <v>99</v>
      </c>
      <c r="F51" s="35" t="s">
        <v>99</v>
      </c>
      <c r="G51" s="35" t="s">
        <v>99</v>
      </c>
      <c r="H51" s="35" t="s">
        <v>99</v>
      </c>
      <c r="I51" s="25">
        <v>0.9</v>
      </c>
      <c r="J51" s="26">
        <v>0.78888888888888886</v>
      </c>
      <c r="K51" s="26">
        <v>0.9263157894736842</v>
      </c>
      <c r="L51" s="27">
        <v>0.98019801980198018</v>
      </c>
      <c r="M51" s="26">
        <v>0.91723202170963369</v>
      </c>
      <c r="N51" s="28">
        <v>0.9</v>
      </c>
      <c r="O51" s="26">
        <v>0.94565380573487468</v>
      </c>
      <c r="P51" s="26">
        <v>0.95203659976387245</v>
      </c>
      <c r="Q51" s="26">
        <v>0.96567819879187256</v>
      </c>
      <c r="R51" s="26">
        <v>0.93365841370375702</v>
      </c>
      <c r="S51" s="28">
        <v>0.9</v>
      </c>
      <c r="T51" s="26">
        <v>0.7956763248761447</v>
      </c>
      <c r="U51" s="26">
        <v>0.8338252656434475</v>
      </c>
      <c r="V51" s="26">
        <v>0.8079352004393191</v>
      </c>
      <c r="W51" s="26">
        <v>0.80486181085360586</v>
      </c>
      <c r="X51" s="28">
        <v>0.92</v>
      </c>
      <c r="Y51" s="28">
        <v>0.91368788142981694</v>
      </c>
      <c r="Z51" s="28">
        <v>0.94382544103992572</v>
      </c>
      <c r="AA51" s="28">
        <v>0.95303237574099409</v>
      </c>
      <c r="AB51" s="28">
        <v>0.93649701340526847</v>
      </c>
      <c r="AC51" s="28">
        <v>0.92</v>
      </c>
      <c r="AD51" s="26">
        <v>1</v>
      </c>
      <c r="AE51" s="26">
        <v>0.6</v>
      </c>
      <c r="AF51" s="26">
        <v>0.6</v>
      </c>
      <c r="AG51" s="26">
        <v>0.55555555555555558</v>
      </c>
      <c r="AH51" s="28">
        <v>0.92</v>
      </c>
      <c r="AI51" s="26">
        <v>0.93937238865676953</v>
      </c>
      <c r="AJ51" s="26">
        <v>0.96481414651750275</v>
      </c>
      <c r="AK51" s="26">
        <v>0.96966840887670291</v>
      </c>
      <c r="AL51" s="26">
        <v>0.95886058733284729</v>
      </c>
      <c r="AM51" s="25">
        <v>0.99</v>
      </c>
      <c r="AN51" s="30">
        <v>1</v>
      </c>
      <c r="AO51" s="30">
        <v>1</v>
      </c>
      <c r="AP51" s="30">
        <v>1</v>
      </c>
      <c r="AQ51" s="30">
        <v>1</v>
      </c>
      <c r="AR51" s="32">
        <v>8.7218210012826203E-2</v>
      </c>
      <c r="AS51" s="34">
        <v>6.6666666666666666E-2</v>
      </c>
      <c r="AT51" s="34">
        <v>7.6923076923076927E-2</v>
      </c>
      <c r="AU51" s="34">
        <v>0.02</v>
      </c>
      <c r="AV51" s="34">
        <v>4.7961630695443645E-2</v>
      </c>
      <c r="AW51" s="10"/>
      <c r="AX51" s="8"/>
    </row>
    <row r="52" spans="1:50">
      <c r="A52" s="7"/>
      <c r="B52" s="10"/>
      <c r="C52" s="22" t="s">
        <v>56</v>
      </c>
      <c r="D52" s="23" t="s">
        <v>29</v>
      </c>
      <c r="E52" s="35" t="s">
        <v>100</v>
      </c>
      <c r="F52" s="35" t="s">
        <v>100</v>
      </c>
      <c r="G52" s="35" t="s">
        <v>100</v>
      </c>
      <c r="H52" s="35" t="s">
        <v>100</v>
      </c>
      <c r="I52" s="25">
        <v>0.9</v>
      </c>
      <c r="J52" s="26">
        <v>0.97590361445783136</v>
      </c>
      <c r="K52" s="26">
        <v>0.96666666666666667</v>
      </c>
      <c r="L52" s="27">
        <v>0.97727272727272729</v>
      </c>
      <c r="M52" s="26">
        <v>0.96943231441048039</v>
      </c>
      <c r="N52" s="28">
        <v>0.9</v>
      </c>
      <c r="O52" s="26">
        <v>0.99093953121922396</v>
      </c>
      <c r="P52" s="26">
        <v>0.99199542595769008</v>
      </c>
      <c r="Q52" s="26">
        <v>0.99339992864787729</v>
      </c>
      <c r="R52" s="26">
        <v>0.99235749176151633</v>
      </c>
      <c r="S52" s="28">
        <v>0.9</v>
      </c>
      <c r="T52" s="26">
        <v>0.89147134134331296</v>
      </c>
      <c r="U52" s="26">
        <v>0.92548122736801985</v>
      </c>
      <c r="V52" s="26">
        <v>0.91723153763824472</v>
      </c>
      <c r="W52" s="26">
        <v>0.91576880828288965</v>
      </c>
      <c r="X52" s="28">
        <v>0.92</v>
      </c>
      <c r="Y52" s="28">
        <v>0.94034492507774947</v>
      </c>
      <c r="Z52" s="28">
        <v>0.94681778552746299</v>
      </c>
      <c r="AA52" s="28">
        <v>0.95391949152542377</v>
      </c>
      <c r="AB52" s="28">
        <v>0.95290713887339651</v>
      </c>
      <c r="AC52" s="28">
        <v>0.92</v>
      </c>
      <c r="AD52" s="26">
        <v>0.99035552193645993</v>
      </c>
      <c r="AE52" s="26">
        <v>0.80527638190954776</v>
      </c>
      <c r="AF52" s="26">
        <v>0.96974248927038631</v>
      </c>
      <c r="AG52" s="26">
        <v>0.95936995603050035</v>
      </c>
      <c r="AH52" s="28">
        <v>0.92</v>
      </c>
      <c r="AI52" s="26">
        <v>0.95113174695298897</v>
      </c>
      <c r="AJ52" s="26">
        <v>0.9639774427436989</v>
      </c>
      <c r="AK52" s="26">
        <v>0.96535919846514606</v>
      </c>
      <c r="AL52" s="26">
        <v>0.96740346950195855</v>
      </c>
      <c r="AM52" s="25">
        <v>0.99</v>
      </c>
      <c r="AN52" s="30">
        <v>1</v>
      </c>
      <c r="AO52" s="30">
        <v>1</v>
      </c>
      <c r="AP52" s="30">
        <v>1</v>
      </c>
      <c r="AQ52" s="30">
        <v>1</v>
      </c>
      <c r="AR52" s="32">
        <v>8.7218210012826203E-2</v>
      </c>
      <c r="AS52" s="34">
        <v>6.8181818181818177E-2</v>
      </c>
      <c r="AT52" s="34">
        <v>7.6923076923076927E-2</v>
      </c>
      <c r="AU52" s="34">
        <v>9.0909090909090912E-2</v>
      </c>
      <c r="AV52" s="34">
        <v>6.6666666666666666E-2</v>
      </c>
      <c r="AW52" s="10"/>
      <c r="AX52" s="8"/>
    </row>
    <row r="53" spans="1:50">
      <c r="A53" s="7"/>
      <c r="B53" s="10"/>
      <c r="C53" s="22" t="s">
        <v>56</v>
      </c>
      <c r="D53" s="23" t="s">
        <v>29</v>
      </c>
      <c r="E53" s="35" t="s">
        <v>101</v>
      </c>
      <c r="F53" s="35" t="s">
        <v>101</v>
      </c>
      <c r="G53" s="35" t="s">
        <v>101</v>
      </c>
      <c r="H53" s="35" t="s">
        <v>101</v>
      </c>
      <c r="I53" s="25">
        <v>0.9</v>
      </c>
      <c r="J53" s="26">
        <v>0.97872340425531912</v>
      </c>
      <c r="K53" s="26">
        <v>0.94230769230769229</v>
      </c>
      <c r="L53" s="27">
        <v>0.94545454545454544</v>
      </c>
      <c r="M53" s="26">
        <v>0.95812807881773399</v>
      </c>
      <c r="N53" s="28">
        <v>0.9</v>
      </c>
      <c r="O53" s="26">
        <v>0.98391294061982493</v>
      </c>
      <c r="P53" s="26">
        <v>0.92717464598786248</v>
      </c>
      <c r="Q53" s="26">
        <v>0.97289586305278175</v>
      </c>
      <c r="R53" s="26">
        <v>0.96254984373316088</v>
      </c>
      <c r="S53" s="28">
        <v>0.9</v>
      </c>
      <c r="T53" s="26">
        <v>0.80127750177430801</v>
      </c>
      <c r="U53" s="26">
        <v>0.8289503259159362</v>
      </c>
      <c r="V53" s="26">
        <v>0.81475443244344814</v>
      </c>
      <c r="W53" s="26">
        <v>0.80938139885763549</v>
      </c>
      <c r="X53" s="28">
        <v>0.92</v>
      </c>
      <c r="Y53" s="28">
        <v>0.90796703296703296</v>
      </c>
      <c r="Z53" s="28">
        <v>0.94480519480519476</v>
      </c>
      <c r="AA53" s="28">
        <v>0.94795539033457255</v>
      </c>
      <c r="AB53" s="28">
        <v>0.93144276547298699</v>
      </c>
      <c r="AC53" s="28">
        <v>0.92</v>
      </c>
      <c r="AD53" s="26">
        <v>0.9576446280991735</v>
      </c>
      <c r="AE53" s="26">
        <v>0.98434193821413463</v>
      </c>
      <c r="AF53" s="26">
        <v>0.94200096665055577</v>
      </c>
      <c r="AG53" s="26">
        <v>0.95294433987631089</v>
      </c>
      <c r="AH53" s="28">
        <v>0.92</v>
      </c>
      <c r="AI53" s="26">
        <v>0.92731092436974794</v>
      </c>
      <c r="AJ53" s="26">
        <v>0.95486639900318426</v>
      </c>
      <c r="AK53" s="26">
        <v>0.96606938619900873</v>
      </c>
      <c r="AL53" s="26">
        <v>0.95233588433986582</v>
      </c>
      <c r="AM53" s="25">
        <v>0.99</v>
      </c>
      <c r="AN53" s="30">
        <v>1</v>
      </c>
      <c r="AO53" s="30">
        <v>1</v>
      </c>
      <c r="AP53" s="30">
        <v>1</v>
      </c>
      <c r="AQ53" s="30">
        <v>1</v>
      </c>
      <c r="AR53" s="32">
        <v>8.7218210012826203E-2</v>
      </c>
      <c r="AS53" s="34">
        <v>2.9411764705882353E-2</v>
      </c>
      <c r="AT53" s="34">
        <v>3.4482758620689655E-2</v>
      </c>
      <c r="AU53" s="34">
        <v>2.564102564102564E-2</v>
      </c>
      <c r="AV53" s="34">
        <v>5.185185185185185E-2</v>
      </c>
      <c r="AW53" s="10"/>
      <c r="AX53" s="8"/>
    </row>
    <row r="54" spans="1:50">
      <c r="A54" s="7"/>
      <c r="B54" s="10"/>
      <c r="C54" s="22" t="s">
        <v>56</v>
      </c>
      <c r="D54" s="23" t="s">
        <v>29</v>
      </c>
      <c r="E54" s="35" t="s">
        <v>102</v>
      </c>
      <c r="F54" s="35" t="s">
        <v>102</v>
      </c>
      <c r="G54" s="35" t="s">
        <v>102</v>
      </c>
      <c r="H54" s="35" t="s">
        <v>102</v>
      </c>
      <c r="I54" s="25">
        <v>0.9</v>
      </c>
      <c r="J54" s="26">
        <v>0.91304347826086951</v>
      </c>
      <c r="K54" s="26">
        <v>0.96</v>
      </c>
      <c r="L54" s="27">
        <v>0.92</v>
      </c>
      <c r="M54" s="26">
        <v>0.93888888888888888</v>
      </c>
      <c r="N54" s="28">
        <v>0.9</v>
      </c>
      <c r="O54" s="26">
        <v>0.96796583021890015</v>
      </c>
      <c r="P54" s="26">
        <v>0.96343247196489512</v>
      </c>
      <c r="Q54" s="26">
        <v>0.97547062179121502</v>
      </c>
      <c r="R54" s="26">
        <v>0.96456536164565365</v>
      </c>
      <c r="S54" s="28">
        <v>0.9</v>
      </c>
      <c r="T54" s="26">
        <v>0.91617725573945541</v>
      </c>
      <c r="U54" s="26">
        <v>0.90638712823013168</v>
      </c>
      <c r="V54" s="26">
        <v>0.93610952652595547</v>
      </c>
      <c r="W54" s="26">
        <v>0.89469143994691436</v>
      </c>
      <c r="X54" s="28">
        <v>0.92</v>
      </c>
      <c r="Y54" s="28">
        <v>0.92549019607843142</v>
      </c>
      <c r="Z54" s="28">
        <v>0.93784786641929496</v>
      </c>
      <c r="AA54" s="28">
        <v>0.96065573770491808</v>
      </c>
      <c r="AB54" s="28">
        <v>0.94532148457919496</v>
      </c>
      <c r="AC54" s="28">
        <v>0.92</v>
      </c>
      <c r="AD54" s="26">
        <v>0.9931798806479113</v>
      </c>
      <c r="AE54" s="26">
        <v>0.83775811209439532</v>
      </c>
      <c r="AF54" s="26">
        <v>0.79471947194719472</v>
      </c>
      <c r="AG54" s="26">
        <v>0.80227083910274166</v>
      </c>
      <c r="AH54" s="28">
        <v>0.92</v>
      </c>
      <c r="AI54" s="26">
        <v>0.95743329097839902</v>
      </c>
      <c r="AJ54" s="26">
        <v>0.96293929712460069</v>
      </c>
      <c r="AK54" s="26">
        <v>0.97780766644250172</v>
      </c>
      <c r="AL54" s="26">
        <v>0.967288961038961</v>
      </c>
      <c r="AM54" s="25">
        <v>0.99</v>
      </c>
      <c r="AN54" s="30">
        <v>1</v>
      </c>
      <c r="AO54" s="30">
        <v>1</v>
      </c>
      <c r="AP54" s="30">
        <v>1</v>
      </c>
      <c r="AQ54" s="30">
        <v>1</v>
      </c>
      <c r="AR54" s="32">
        <v>8.7218210012826203E-2</v>
      </c>
      <c r="AS54" s="34">
        <v>6.6666666666666666E-2</v>
      </c>
      <c r="AT54" s="34">
        <v>4.3478260869565216E-2</v>
      </c>
      <c r="AU54" s="34">
        <v>0.15789473684210525</v>
      </c>
      <c r="AV54" s="34">
        <v>6.0402684563758392E-2</v>
      </c>
      <c r="AW54" s="10"/>
      <c r="AX54" s="8"/>
    </row>
    <row r="55" spans="1:50">
      <c r="A55" s="7"/>
      <c r="B55" s="10"/>
      <c r="C55" s="22" t="s">
        <v>56</v>
      </c>
      <c r="D55" s="23" t="s">
        <v>29</v>
      </c>
      <c r="E55" s="35" t="s">
        <v>103</v>
      </c>
      <c r="F55" s="35" t="s">
        <v>103</v>
      </c>
      <c r="G55" s="35" t="s">
        <v>103</v>
      </c>
      <c r="H55" s="35" t="s">
        <v>103</v>
      </c>
      <c r="I55" s="25">
        <v>0.9</v>
      </c>
      <c r="J55" s="26">
        <v>0.89655172413793105</v>
      </c>
      <c r="K55" s="26">
        <v>0.89795918367346939</v>
      </c>
      <c r="L55" s="27">
        <v>0.96078431372549022</v>
      </c>
      <c r="M55" s="26">
        <v>0.92159559834938098</v>
      </c>
      <c r="N55" s="28">
        <v>0.9</v>
      </c>
      <c r="O55" s="26">
        <v>0.96186941116922553</v>
      </c>
      <c r="P55" s="26">
        <v>0.97673682544706442</v>
      </c>
      <c r="Q55" s="26">
        <v>0.96749835850295474</v>
      </c>
      <c r="R55" s="26">
        <v>0.97261998101762059</v>
      </c>
      <c r="S55" s="28">
        <v>0.9</v>
      </c>
      <c r="T55" s="26">
        <v>0.89320060738991058</v>
      </c>
      <c r="U55" s="26">
        <v>0.90694730178825766</v>
      </c>
      <c r="V55" s="26">
        <v>0.90889691398555483</v>
      </c>
      <c r="W55" s="26">
        <v>0.8899021994800479</v>
      </c>
      <c r="X55" s="28">
        <v>0.92</v>
      </c>
      <c r="Y55" s="28">
        <v>0.93189529810954919</v>
      </c>
      <c r="Z55" s="28">
        <v>0.94447248864209998</v>
      </c>
      <c r="AA55" s="28">
        <v>0.95419847328244278</v>
      </c>
      <c r="AB55" s="28">
        <v>0.94283135248984506</v>
      </c>
      <c r="AC55" s="28">
        <v>0.92</v>
      </c>
      <c r="AD55" s="26">
        <v>0.99213483146067416</v>
      </c>
      <c r="AE55" s="26">
        <v>0.96466431095406358</v>
      </c>
      <c r="AF55" s="26">
        <v>0.9276410998552822</v>
      </c>
      <c r="AG55" s="26">
        <v>0.92340660859947465</v>
      </c>
      <c r="AH55" s="28">
        <v>0.92</v>
      </c>
      <c r="AI55" s="26">
        <v>0.95156156753530929</v>
      </c>
      <c r="AJ55" s="26">
        <v>0.96177786422874922</v>
      </c>
      <c r="AK55" s="26">
        <v>0.97100336053768599</v>
      </c>
      <c r="AL55" s="26">
        <v>0.96077351447279846</v>
      </c>
      <c r="AM55" s="25">
        <v>0.99</v>
      </c>
      <c r="AN55" s="30">
        <v>1</v>
      </c>
      <c r="AO55" s="30">
        <v>1</v>
      </c>
      <c r="AP55" s="30">
        <v>1</v>
      </c>
      <c r="AQ55" s="30">
        <v>1</v>
      </c>
      <c r="AR55" s="32">
        <v>8.7218210012826203E-2</v>
      </c>
      <c r="AS55" s="34">
        <v>5.2631578947368418E-2</v>
      </c>
      <c r="AT55" s="34">
        <v>2.0833333333333332E-2</v>
      </c>
      <c r="AU55" s="34">
        <v>0</v>
      </c>
      <c r="AV55" s="34">
        <v>3.968253968253968E-2</v>
      </c>
      <c r="AW55" s="10"/>
      <c r="AX55" s="8"/>
    </row>
    <row r="56" spans="1:50">
      <c r="A56" s="7"/>
      <c r="B56" s="10"/>
      <c r="C56" s="22" t="s">
        <v>56</v>
      </c>
      <c r="D56" s="23" t="s">
        <v>29</v>
      </c>
      <c r="E56" s="35" t="s">
        <v>104</v>
      </c>
      <c r="F56" s="35" t="s">
        <v>104</v>
      </c>
      <c r="G56" s="35" t="s">
        <v>104</v>
      </c>
      <c r="H56" s="35" t="s">
        <v>104</v>
      </c>
      <c r="I56" s="25">
        <v>0.9</v>
      </c>
      <c r="J56" s="26">
        <v>1</v>
      </c>
      <c r="K56" s="26">
        <v>1</v>
      </c>
      <c r="L56" s="27">
        <v>1</v>
      </c>
      <c r="M56" s="26">
        <v>0.99520766773162939</v>
      </c>
      <c r="N56" s="28">
        <v>0.9</v>
      </c>
      <c r="O56" s="26">
        <v>0.97036423841059605</v>
      </c>
      <c r="P56" s="26">
        <v>0.97317226231565734</v>
      </c>
      <c r="Q56" s="26">
        <v>0.98142774230992458</v>
      </c>
      <c r="R56" s="26">
        <v>0.97476402598167156</v>
      </c>
      <c r="S56" s="28">
        <v>0.9</v>
      </c>
      <c r="T56" s="26">
        <v>0.87367549668874167</v>
      </c>
      <c r="U56" s="26">
        <v>0.89880765610291813</v>
      </c>
      <c r="V56" s="26">
        <v>0.92933836331979103</v>
      </c>
      <c r="W56" s="26">
        <v>0.90482544790910335</v>
      </c>
      <c r="X56" s="28">
        <v>0.92</v>
      </c>
      <c r="Y56" s="28">
        <v>0.89355070726444497</v>
      </c>
      <c r="Z56" s="28">
        <v>0.9439797211660329</v>
      </c>
      <c r="AA56" s="28">
        <v>0.95800646054453165</v>
      </c>
      <c r="AB56" s="28">
        <v>0.93773847200449589</v>
      </c>
      <c r="AC56" s="28">
        <v>0.92</v>
      </c>
      <c r="AD56" s="26">
        <v>0.99893842887473461</v>
      </c>
      <c r="AE56" s="26">
        <v>0.99858477214831587</v>
      </c>
      <c r="AF56" s="26">
        <v>0.99732294962277923</v>
      </c>
      <c r="AG56" s="26">
        <v>0.94539639791280927</v>
      </c>
      <c r="AH56" s="28">
        <v>0.92</v>
      </c>
      <c r="AI56" s="26">
        <v>0.91871511115463711</v>
      </c>
      <c r="AJ56" s="26">
        <v>0.96366279069767447</v>
      </c>
      <c r="AK56" s="26">
        <v>0.97398895421343312</v>
      </c>
      <c r="AL56" s="26">
        <v>0.95712027556268575</v>
      </c>
      <c r="AM56" s="25">
        <v>0.99</v>
      </c>
      <c r="AN56" s="30">
        <v>1</v>
      </c>
      <c r="AO56" s="30">
        <v>1</v>
      </c>
      <c r="AP56" s="30">
        <v>1</v>
      </c>
      <c r="AQ56" s="30">
        <v>1</v>
      </c>
      <c r="AR56" s="32">
        <v>8.7218210012826203E-2</v>
      </c>
      <c r="AS56" s="34">
        <v>0.08</v>
      </c>
      <c r="AT56" s="34">
        <v>8.6956521739130432E-2</v>
      </c>
      <c r="AU56" s="34">
        <v>4.5454545454545456E-2</v>
      </c>
      <c r="AV56" s="34">
        <v>4.7222222222222221E-2</v>
      </c>
      <c r="AW56" s="10"/>
      <c r="AX56" s="8"/>
    </row>
    <row r="57" spans="1:50">
      <c r="A57" s="7"/>
      <c r="B57" s="10"/>
      <c r="C57" s="22" t="s">
        <v>56</v>
      </c>
      <c r="D57" s="23" t="s">
        <v>29</v>
      </c>
      <c r="E57" s="35" t="s">
        <v>105</v>
      </c>
      <c r="F57" s="35" t="s">
        <v>105</v>
      </c>
      <c r="G57" s="35" t="s">
        <v>105</v>
      </c>
      <c r="H57" s="35" t="s">
        <v>105</v>
      </c>
      <c r="I57" s="25">
        <v>0.9</v>
      </c>
      <c r="J57" s="26">
        <v>0.890625</v>
      </c>
      <c r="K57" s="26">
        <v>0.98611111111111116</v>
      </c>
      <c r="L57" s="27">
        <v>1</v>
      </c>
      <c r="M57" s="26">
        <v>0.95300751879699253</v>
      </c>
      <c r="N57" s="28">
        <v>0.9</v>
      </c>
      <c r="O57" s="26">
        <v>0.97239915074309979</v>
      </c>
      <c r="P57" s="26">
        <v>0.97424647081266691</v>
      </c>
      <c r="Q57" s="26">
        <v>0.97973211138526617</v>
      </c>
      <c r="R57" s="26">
        <v>0.97301709461507968</v>
      </c>
      <c r="S57" s="28">
        <v>0.9</v>
      </c>
      <c r="T57" s="26">
        <v>0.92530399536768959</v>
      </c>
      <c r="U57" s="26">
        <v>0.93075162151850444</v>
      </c>
      <c r="V57" s="26">
        <v>0.93708142403947836</v>
      </c>
      <c r="W57" s="26">
        <v>0.92054385596679023</v>
      </c>
      <c r="X57" s="28">
        <v>0.92</v>
      </c>
      <c r="Y57" s="28">
        <v>0.93555032371983515</v>
      </c>
      <c r="Z57" s="28">
        <v>0.95816146140247493</v>
      </c>
      <c r="AA57" s="28">
        <v>0.96027972027972031</v>
      </c>
      <c r="AB57" s="28">
        <v>0.95103809351868573</v>
      </c>
      <c r="AC57" s="28">
        <v>0.92</v>
      </c>
      <c r="AD57" s="26">
        <v>0.98112877096195106</v>
      </c>
      <c r="AE57" s="26">
        <v>0.97592828540225696</v>
      </c>
      <c r="AF57" s="26">
        <v>0.97854149913234856</v>
      </c>
      <c r="AG57" s="26">
        <v>0.97663549095575353</v>
      </c>
      <c r="AH57" s="28">
        <v>0.92</v>
      </c>
      <c r="AI57" s="26">
        <v>0.9592074592074592</v>
      </c>
      <c r="AJ57" s="26">
        <v>0.97140541792081503</v>
      </c>
      <c r="AK57" s="26">
        <v>0.97546211220408607</v>
      </c>
      <c r="AL57" s="26">
        <v>0.96945483395670407</v>
      </c>
      <c r="AM57" s="25">
        <v>0.99</v>
      </c>
      <c r="AN57" s="30">
        <v>1</v>
      </c>
      <c r="AO57" s="30">
        <v>1</v>
      </c>
      <c r="AP57" s="30">
        <v>1</v>
      </c>
      <c r="AQ57" s="30">
        <v>1</v>
      </c>
      <c r="AR57" s="32">
        <v>8.7218210012826203E-2</v>
      </c>
      <c r="AS57" s="34">
        <v>0</v>
      </c>
      <c r="AT57" s="34">
        <v>5.2631578947368418E-2</v>
      </c>
      <c r="AU57" s="34">
        <v>2.564102564102564E-2</v>
      </c>
      <c r="AV57" s="34">
        <v>3.1496062992125984E-2</v>
      </c>
      <c r="AW57" s="10"/>
      <c r="AX57" s="8"/>
    </row>
    <row r="58" spans="1:50">
      <c r="A58" s="7"/>
      <c r="B58" s="10"/>
      <c r="C58" s="22" t="s">
        <v>56</v>
      </c>
      <c r="D58" s="23" t="s">
        <v>29</v>
      </c>
      <c r="E58" s="35" t="s">
        <v>106</v>
      </c>
      <c r="F58" s="35" t="s">
        <v>106</v>
      </c>
      <c r="G58" s="35" t="s">
        <v>106</v>
      </c>
      <c r="H58" s="35" t="s">
        <v>106</v>
      </c>
      <c r="I58" s="25">
        <v>0.9</v>
      </c>
      <c r="J58" s="26">
        <v>0.96969696969696972</v>
      </c>
      <c r="K58" s="26">
        <v>0.94444444444444442</v>
      </c>
      <c r="L58" s="27">
        <v>0.96969696969696972</v>
      </c>
      <c r="M58" s="26">
        <v>0.97307692307692306</v>
      </c>
      <c r="N58" s="28">
        <v>0.9</v>
      </c>
      <c r="O58" s="26">
        <v>0.98477157360406087</v>
      </c>
      <c r="P58" s="26">
        <v>0.9654757125652349</v>
      </c>
      <c r="Q58" s="26">
        <v>0.92518440463645946</v>
      </c>
      <c r="R58" s="26">
        <v>0.95994342807609834</v>
      </c>
      <c r="S58" s="28">
        <v>0.9</v>
      </c>
      <c r="T58" s="26">
        <v>0.92659117532213975</v>
      </c>
      <c r="U58" s="26">
        <v>0.93496587715776791</v>
      </c>
      <c r="V58" s="26">
        <v>0.91078328064629432</v>
      </c>
      <c r="W58" s="26">
        <v>0.9202062137871253</v>
      </c>
      <c r="X58" s="28">
        <v>0.92</v>
      </c>
      <c r="Y58" s="28">
        <v>0.94914251921939685</v>
      </c>
      <c r="Z58" s="28">
        <v>0.97578692493946728</v>
      </c>
      <c r="AA58" s="28">
        <v>0.97788125727590225</v>
      </c>
      <c r="AB58" s="28">
        <v>0.965684892897407</v>
      </c>
      <c r="AC58" s="28">
        <v>0.92</v>
      </c>
      <c r="AD58" s="26">
        <v>0.99939320388349517</v>
      </c>
      <c r="AE58" s="26">
        <v>0.99111604664075514</v>
      </c>
      <c r="AF58" s="26">
        <v>0.98791540785498488</v>
      </c>
      <c r="AG58" s="26">
        <v>0.98388077858880774</v>
      </c>
      <c r="AH58" s="28">
        <v>0.92</v>
      </c>
      <c r="AI58" s="26">
        <v>0.95860771401693323</v>
      </c>
      <c r="AJ58" s="26">
        <v>0.97562153029205889</v>
      </c>
      <c r="AK58" s="26">
        <v>0.98664915736485004</v>
      </c>
      <c r="AL58" s="26">
        <v>0.97458682833651689</v>
      </c>
      <c r="AM58" s="25">
        <v>0.99</v>
      </c>
      <c r="AN58" s="30">
        <v>1</v>
      </c>
      <c r="AO58" s="30">
        <v>1</v>
      </c>
      <c r="AP58" s="30">
        <v>1</v>
      </c>
      <c r="AQ58" s="30">
        <v>1</v>
      </c>
      <c r="AR58" s="32">
        <v>8.7218210012826203E-2</v>
      </c>
      <c r="AS58" s="34">
        <v>8.3333333333333329E-2</v>
      </c>
      <c r="AT58" s="34">
        <v>0</v>
      </c>
      <c r="AU58" s="34">
        <v>0</v>
      </c>
      <c r="AV58" s="34">
        <v>6.7669172932330823E-2</v>
      </c>
      <c r="AW58" s="10"/>
      <c r="AX58" s="8"/>
    </row>
    <row r="59" spans="1:50">
      <c r="A59" s="7"/>
      <c r="B59" s="10"/>
      <c r="C59" s="22" t="s">
        <v>56</v>
      </c>
      <c r="D59" s="23" t="s">
        <v>29</v>
      </c>
      <c r="E59" s="35" t="s">
        <v>107</v>
      </c>
      <c r="F59" s="35" t="s">
        <v>107</v>
      </c>
      <c r="G59" s="35" t="s">
        <v>107</v>
      </c>
      <c r="H59" s="35" t="s">
        <v>107</v>
      </c>
      <c r="I59" s="25">
        <v>0.9</v>
      </c>
      <c r="J59" s="26">
        <v>0.94680851063829785</v>
      </c>
      <c r="K59" s="26">
        <v>0.91</v>
      </c>
      <c r="L59" s="27">
        <v>0.92592592592592593</v>
      </c>
      <c r="M59" s="26">
        <v>0.86242038216560513</v>
      </c>
      <c r="N59" s="28">
        <v>0.9</v>
      </c>
      <c r="O59" s="26">
        <v>0.94409757514157111</v>
      </c>
      <c r="P59" s="26">
        <v>0.97200622083981336</v>
      </c>
      <c r="Q59" s="26">
        <v>0.96534324790864423</v>
      </c>
      <c r="R59" s="26">
        <v>0.95522467617846163</v>
      </c>
      <c r="S59" s="28">
        <v>0.9</v>
      </c>
      <c r="T59" s="26">
        <v>0.62813997386380138</v>
      </c>
      <c r="U59" s="26">
        <v>0.69192704651491588</v>
      </c>
      <c r="V59" s="26">
        <v>0.6814500066392245</v>
      </c>
      <c r="W59" s="26">
        <v>0.6523338249142695</v>
      </c>
      <c r="X59" s="28">
        <v>0.92</v>
      </c>
      <c r="Y59" s="28">
        <v>0.89645542427497316</v>
      </c>
      <c r="Z59" s="28">
        <v>0.93855421686746987</v>
      </c>
      <c r="AA59" s="28">
        <v>0.94839932603201349</v>
      </c>
      <c r="AB59" s="28">
        <v>0.91802069963680055</v>
      </c>
      <c r="AC59" s="28">
        <v>0.92</v>
      </c>
      <c r="AD59" s="26">
        <v>0.99747545582047681</v>
      </c>
      <c r="AE59" s="26">
        <v>0.99907435976550452</v>
      </c>
      <c r="AF59" s="26">
        <v>0.99660598580684978</v>
      </c>
      <c r="AG59" s="26">
        <v>0.99801425481365913</v>
      </c>
      <c r="AH59" s="28">
        <v>0.92</v>
      </c>
      <c r="AI59" s="26">
        <v>0.92289699384908608</v>
      </c>
      <c r="AJ59" s="26">
        <v>0.95687427604027442</v>
      </c>
      <c r="AK59" s="26">
        <v>0.96416646306702503</v>
      </c>
      <c r="AL59" s="26">
        <v>0.94213256980474047</v>
      </c>
      <c r="AM59" s="25">
        <v>0.99</v>
      </c>
      <c r="AN59" s="30">
        <v>1</v>
      </c>
      <c r="AO59" s="30">
        <v>1</v>
      </c>
      <c r="AP59" s="30">
        <v>1</v>
      </c>
      <c r="AQ59" s="30">
        <v>1</v>
      </c>
      <c r="AR59" s="32">
        <v>8.7218210012826203E-2</v>
      </c>
      <c r="AS59" s="34">
        <v>8.1632653061224483E-2</v>
      </c>
      <c r="AT59" s="34">
        <v>0</v>
      </c>
      <c r="AU59" s="34">
        <v>8.3333333333333329E-2</v>
      </c>
      <c r="AV59" s="34">
        <v>6.1624649859943981E-2</v>
      </c>
      <c r="AW59" s="10"/>
      <c r="AX59" s="8"/>
    </row>
    <row r="60" spans="1:50">
      <c r="A60" s="7"/>
      <c r="B60" s="10"/>
      <c r="C60" s="22" t="s">
        <v>56</v>
      </c>
      <c r="D60" s="23" t="s">
        <v>29</v>
      </c>
      <c r="E60" s="35" t="s">
        <v>108</v>
      </c>
      <c r="F60" s="35" t="s">
        <v>108</v>
      </c>
      <c r="G60" s="35" t="s">
        <v>108</v>
      </c>
      <c r="H60" s="35" t="s">
        <v>108</v>
      </c>
      <c r="I60" s="25">
        <v>0.9</v>
      </c>
      <c r="J60" s="26">
        <v>0.95890410958904104</v>
      </c>
      <c r="K60" s="26">
        <v>0.91249999999999998</v>
      </c>
      <c r="L60" s="27">
        <v>0.93827160493827155</v>
      </c>
      <c r="M60" s="26">
        <v>0.93949579831932772</v>
      </c>
      <c r="N60" s="28">
        <v>0.9</v>
      </c>
      <c r="O60" s="26">
        <v>0.97395833333333337</v>
      </c>
      <c r="P60" s="26">
        <v>0.98236455981941306</v>
      </c>
      <c r="Q60" s="26">
        <v>0.95550761763516245</v>
      </c>
      <c r="R60" s="26">
        <v>0.94291729009360103</v>
      </c>
      <c r="S60" s="28">
        <v>0.9</v>
      </c>
      <c r="T60" s="26">
        <v>0.75225225225225223</v>
      </c>
      <c r="U60" s="26">
        <v>0.7885158013544018</v>
      </c>
      <c r="V60" s="26">
        <v>0.81865983551301069</v>
      </c>
      <c r="W60" s="26">
        <v>0.74075298375030452</v>
      </c>
      <c r="X60" s="28">
        <v>0.92</v>
      </c>
      <c r="Y60" s="28">
        <v>0.94226552984165657</v>
      </c>
      <c r="Z60" s="28">
        <v>0.95643515060990791</v>
      </c>
      <c r="AA60" s="28">
        <v>0.94701691896705253</v>
      </c>
      <c r="AB60" s="28">
        <v>0.94982376114451583</v>
      </c>
      <c r="AC60" s="28">
        <v>0.92</v>
      </c>
      <c r="AD60" s="26">
        <v>0.99812834224598934</v>
      </c>
      <c r="AE60" s="26">
        <v>0.98968293910417715</v>
      </c>
      <c r="AF60" s="26">
        <v>0.99488148673123866</v>
      </c>
      <c r="AG60" s="26">
        <v>0.98994511099237381</v>
      </c>
      <c r="AH60" s="28">
        <v>0.92</v>
      </c>
      <c r="AI60" s="26">
        <v>0.94495494691765547</v>
      </c>
      <c r="AJ60" s="26">
        <v>0.96101206555015306</v>
      </c>
      <c r="AK60" s="26">
        <v>0.96414175344306352</v>
      </c>
      <c r="AL60" s="26">
        <v>0.96194734880866273</v>
      </c>
      <c r="AM60" s="25">
        <v>0.99</v>
      </c>
      <c r="AN60" s="30">
        <v>1</v>
      </c>
      <c r="AO60" s="30">
        <v>1</v>
      </c>
      <c r="AP60" s="30">
        <v>1</v>
      </c>
      <c r="AQ60" s="30">
        <v>1</v>
      </c>
      <c r="AR60" s="32">
        <v>8.7218210012826203E-2</v>
      </c>
      <c r="AS60" s="34">
        <v>5.8823529411764705E-2</v>
      </c>
      <c r="AT60" s="34">
        <v>2.2222222222222223E-2</v>
      </c>
      <c r="AU60" s="34">
        <v>6.5217391304347824E-2</v>
      </c>
      <c r="AV60" s="34">
        <v>3.2258064516129031E-2</v>
      </c>
      <c r="AW60" s="10"/>
      <c r="AX60" s="8"/>
    </row>
    <row r="61" spans="1:50">
      <c r="A61" s="7"/>
      <c r="B61" s="10"/>
      <c r="C61" s="22" t="s">
        <v>56</v>
      </c>
      <c r="D61" s="23" t="s">
        <v>29</v>
      </c>
      <c r="E61" s="35" t="s">
        <v>109</v>
      </c>
      <c r="F61" s="35" t="s">
        <v>109</v>
      </c>
      <c r="G61" s="35" t="s">
        <v>109</v>
      </c>
      <c r="H61" s="35" t="s">
        <v>109</v>
      </c>
      <c r="I61" s="25">
        <v>0.9</v>
      </c>
      <c r="J61" s="26">
        <v>0.91139240506329111</v>
      </c>
      <c r="K61" s="26">
        <v>0.91764705882352937</v>
      </c>
      <c r="L61" s="27">
        <v>0.91860465116279066</v>
      </c>
      <c r="M61" s="26">
        <v>0.93488372093023253</v>
      </c>
      <c r="N61" s="28">
        <v>0.9</v>
      </c>
      <c r="O61" s="26">
        <v>0.97381847475832439</v>
      </c>
      <c r="P61" s="26">
        <v>0.96316949811956942</v>
      </c>
      <c r="Q61" s="26">
        <v>0.98059051876249848</v>
      </c>
      <c r="R61" s="26">
        <v>0.96702997275204361</v>
      </c>
      <c r="S61" s="28">
        <v>0.9</v>
      </c>
      <c r="T61" s="26">
        <v>0.84452201933404936</v>
      </c>
      <c r="U61" s="26">
        <v>0.86901828556607441</v>
      </c>
      <c r="V61" s="26">
        <v>0.8294318315492295</v>
      </c>
      <c r="W61" s="26">
        <v>0.82428273761820803</v>
      </c>
      <c r="X61" s="28">
        <v>0.92</v>
      </c>
      <c r="Y61" s="28">
        <v>0.93303670745272527</v>
      </c>
      <c r="Z61" s="28">
        <v>0.95387371249440212</v>
      </c>
      <c r="AA61" s="28">
        <v>0.95306388526727515</v>
      </c>
      <c r="AB61" s="28">
        <v>0.94931625786846108</v>
      </c>
      <c r="AC61" s="28">
        <v>0.92</v>
      </c>
      <c r="AD61" s="26">
        <v>0.99200412690224404</v>
      </c>
      <c r="AE61" s="26">
        <v>0.97937098410551238</v>
      </c>
      <c r="AF61" s="26">
        <v>0.97512629505950854</v>
      </c>
      <c r="AG61" s="26">
        <v>0.96934797790616467</v>
      </c>
      <c r="AH61" s="28">
        <v>0.92</v>
      </c>
      <c r="AI61" s="26">
        <v>0.95010882303699984</v>
      </c>
      <c r="AJ61" s="26">
        <v>0.96773399014778327</v>
      </c>
      <c r="AK61" s="26">
        <v>0.96597497711321334</v>
      </c>
      <c r="AL61" s="26">
        <v>0.96363270034755455</v>
      </c>
      <c r="AM61" s="25">
        <v>0.99</v>
      </c>
      <c r="AN61" s="30">
        <v>0.98728813559322037</v>
      </c>
      <c r="AO61" s="30">
        <v>1</v>
      </c>
      <c r="AP61" s="30">
        <v>1</v>
      </c>
      <c r="AQ61" s="30">
        <v>0.99825479930191974</v>
      </c>
      <c r="AR61" s="32">
        <v>8.7218210012826203E-2</v>
      </c>
      <c r="AS61" s="34">
        <v>5.5555555555555552E-2</v>
      </c>
      <c r="AT61" s="34">
        <v>0.1864406779661017</v>
      </c>
      <c r="AU61" s="34">
        <v>4.7619047619047616E-2</v>
      </c>
      <c r="AV61" s="34">
        <v>8.1300813008130079E-2</v>
      </c>
      <c r="AW61" s="10"/>
      <c r="AX61" s="8"/>
    </row>
    <row r="62" spans="1:50">
      <c r="A62" s="7"/>
      <c r="B62" s="10"/>
      <c r="C62" s="22" t="s">
        <v>56</v>
      </c>
      <c r="D62" s="23" t="s">
        <v>29</v>
      </c>
      <c r="E62" s="35" t="s">
        <v>110</v>
      </c>
      <c r="F62" s="35" t="s">
        <v>110</v>
      </c>
      <c r="G62" s="35" t="s">
        <v>110</v>
      </c>
      <c r="H62" s="35" t="s">
        <v>110</v>
      </c>
      <c r="I62" s="25">
        <v>0.9</v>
      </c>
      <c r="J62" s="26">
        <v>0.63636363636363635</v>
      </c>
      <c r="K62" s="26">
        <v>0.73809523809523814</v>
      </c>
      <c r="L62" s="27">
        <v>0.85106382978723405</v>
      </c>
      <c r="M62" s="26">
        <v>0.80064308681672025</v>
      </c>
      <c r="N62" s="28">
        <v>0.9</v>
      </c>
      <c r="O62" s="26">
        <v>0.95593994778067881</v>
      </c>
      <c r="P62" s="26">
        <v>0.98469706433479076</v>
      </c>
      <c r="Q62" s="26">
        <v>0.98273422020945367</v>
      </c>
      <c r="R62" s="26">
        <v>0.97461425568204352</v>
      </c>
      <c r="S62" s="28">
        <v>0.9</v>
      </c>
      <c r="T62" s="26">
        <v>0.4960835509138381</v>
      </c>
      <c r="U62" s="26">
        <v>0.73173016864459717</v>
      </c>
      <c r="V62" s="26">
        <v>0.71497311067081804</v>
      </c>
      <c r="W62" s="26">
        <v>0.60925786363095469</v>
      </c>
      <c r="X62" s="28">
        <v>0.92</v>
      </c>
      <c r="Y62" s="28">
        <v>0.77371428571428569</v>
      </c>
      <c r="Z62" s="28">
        <v>0.95946728430804862</v>
      </c>
      <c r="AA62" s="28">
        <v>0.94876847290640398</v>
      </c>
      <c r="AB62" s="28">
        <v>0.88949531702715445</v>
      </c>
      <c r="AC62" s="28">
        <v>0.92</v>
      </c>
      <c r="AD62" s="26">
        <v>0.84269662921348309</v>
      </c>
      <c r="AE62" s="26">
        <v>0.95918367346938771</v>
      </c>
      <c r="AF62" s="26">
        <v>0.85990338164251212</v>
      </c>
      <c r="AG62" s="26">
        <v>0.90937019969278032</v>
      </c>
      <c r="AH62" s="28">
        <v>0.92</v>
      </c>
      <c r="AI62" s="26">
        <v>0.77320872274143304</v>
      </c>
      <c r="AJ62" s="26">
        <v>0.96875634002840327</v>
      </c>
      <c r="AK62" s="26">
        <v>0.97357540895200434</v>
      </c>
      <c r="AL62" s="26">
        <v>0.90515304339142155</v>
      </c>
      <c r="AM62" s="25">
        <v>0.99</v>
      </c>
      <c r="AN62" s="30">
        <v>1</v>
      </c>
      <c r="AO62" s="30">
        <v>1</v>
      </c>
      <c r="AP62" s="30">
        <v>1</v>
      </c>
      <c r="AQ62" s="30">
        <v>1</v>
      </c>
      <c r="AR62" s="32">
        <v>8.7218210012826203E-2</v>
      </c>
      <c r="AS62" s="34">
        <v>0.10526315789473684</v>
      </c>
      <c r="AT62" s="34">
        <v>6.6666666666666666E-2</v>
      </c>
      <c r="AU62" s="34">
        <v>3.4482758620689655E-2</v>
      </c>
      <c r="AV62" s="34">
        <v>3.2432432432432434E-2</v>
      </c>
      <c r="AW62" s="10"/>
      <c r="AX62" s="8"/>
    </row>
    <row r="63" spans="1:50">
      <c r="A63" s="7"/>
      <c r="B63" s="10"/>
      <c r="C63" s="22" t="s">
        <v>56</v>
      </c>
      <c r="D63" s="23" t="s">
        <v>29</v>
      </c>
      <c r="E63" s="35" t="s">
        <v>111</v>
      </c>
      <c r="F63" s="35" t="s">
        <v>111</v>
      </c>
      <c r="G63" s="35" t="s">
        <v>111</v>
      </c>
      <c r="H63" s="35" t="s">
        <v>111</v>
      </c>
      <c r="I63" s="25">
        <v>0.9</v>
      </c>
      <c r="J63" s="26">
        <v>0.83333333333333337</v>
      </c>
      <c r="K63" s="26">
        <v>0.83505154639175261</v>
      </c>
      <c r="L63" s="27">
        <v>0.87628865979381443</v>
      </c>
      <c r="M63" s="26">
        <v>0.88156123822341859</v>
      </c>
      <c r="N63" s="28">
        <v>0.9</v>
      </c>
      <c r="O63" s="26">
        <v>0.98845075070120447</v>
      </c>
      <c r="P63" s="26">
        <v>0.98452730929908716</v>
      </c>
      <c r="Q63" s="26">
        <v>0.98957215151050448</v>
      </c>
      <c r="R63" s="26">
        <v>0.984198560060629</v>
      </c>
      <c r="S63" s="28">
        <v>0.9</v>
      </c>
      <c r="T63" s="26">
        <v>0.85893416927899691</v>
      </c>
      <c r="U63" s="26">
        <v>0.87281448243849602</v>
      </c>
      <c r="V63" s="26">
        <v>0.86934519245514497</v>
      </c>
      <c r="W63" s="26">
        <v>0.8445433876468359</v>
      </c>
      <c r="X63" s="28">
        <v>0.92</v>
      </c>
      <c r="Y63" s="28">
        <v>0.9197242606181899</v>
      </c>
      <c r="Z63" s="28">
        <v>0.93753038405444822</v>
      </c>
      <c r="AA63" s="28">
        <v>0.94295227524972258</v>
      </c>
      <c r="AB63" s="28">
        <v>0.92858337981037364</v>
      </c>
      <c r="AC63" s="28">
        <v>0.92</v>
      </c>
      <c r="AD63" s="26">
        <v>0.99500624219725342</v>
      </c>
      <c r="AE63" s="26">
        <v>0.98749080206033846</v>
      </c>
      <c r="AF63" s="26">
        <v>0.98356344510190663</v>
      </c>
      <c r="AG63" s="26">
        <v>0.98333459586394967</v>
      </c>
      <c r="AH63" s="28">
        <v>0.92</v>
      </c>
      <c r="AI63" s="26">
        <v>0.94234592445328036</v>
      </c>
      <c r="AJ63" s="26">
        <v>0.9586839368440957</v>
      </c>
      <c r="AK63" s="26">
        <v>0.96290585887901325</v>
      </c>
      <c r="AL63" s="26">
        <v>0.95389526882205622</v>
      </c>
      <c r="AM63" s="25">
        <v>0.99</v>
      </c>
      <c r="AN63" s="30">
        <v>1</v>
      </c>
      <c r="AO63" s="30">
        <v>1</v>
      </c>
      <c r="AP63" s="30">
        <v>1</v>
      </c>
      <c r="AQ63" s="30">
        <v>1</v>
      </c>
      <c r="AR63" s="32">
        <v>8.7218210012826203E-2</v>
      </c>
      <c r="AS63" s="34">
        <v>0.06</v>
      </c>
      <c r="AT63" s="34">
        <v>4.1666666666666664E-2</v>
      </c>
      <c r="AU63" s="34">
        <v>7.1428571428571425E-2</v>
      </c>
      <c r="AV63" s="34">
        <v>6.7129629629629636E-2</v>
      </c>
      <c r="AW63" s="10"/>
      <c r="AX63" s="8"/>
    </row>
    <row r="64" spans="1:50">
      <c r="A64" s="7"/>
      <c r="B64" s="10"/>
      <c r="C64" s="22" t="s">
        <v>56</v>
      </c>
      <c r="D64" s="23" t="s">
        <v>29</v>
      </c>
      <c r="E64" s="35" t="s">
        <v>112</v>
      </c>
      <c r="F64" s="35" t="s">
        <v>112</v>
      </c>
      <c r="G64" s="35" t="s">
        <v>112</v>
      </c>
      <c r="H64" s="35" t="s">
        <v>112</v>
      </c>
      <c r="I64" s="25">
        <v>0.9</v>
      </c>
      <c r="J64" s="26">
        <v>0.97169811320754718</v>
      </c>
      <c r="K64" s="26">
        <v>0.93388429752066116</v>
      </c>
      <c r="L64" s="27">
        <v>0.95867768595041325</v>
      </c>
      <c r="M64" s="26">
        <v>0.92469545957918053</v>
      </c>
      <c r="N64" s="28">
        <v>0.9</v>
      </c>
      <c r="O64" s="26">
        <v>0.91192046827092821</v>
      </c>
      <c r="P64" s="26">
        <v>0.98534021759173884</v>
      </c>
      <c r="Q64" s="26">
        <v>0.97505232314776058</v>
      </c>
      <c r="R64" s="26">
        <v>0.95265532485538618</v>
      </c>
      <c r="S64" s="28">
        <v>0.9</v>
      </c>
      <c r="T64" s="26">
        <v>0.77069590262937837</v>
      </c>
      <c r="U64" s="26">
        <v>0.84003319196016968</v>
      </c>
      <c r="V64" s="26">
        <v>0.79380493930514862</v>
      </c>
      <c r="W64" s="26">
        <v>0.76434489107088066</v>
      </c>
      <c r="X64" s="28">
        <v>0.92</v>
      </c>
      <c r="Y64" s="28">
        <v>0.91548253404381286</v>
      </c>
      <c r="Z64" s="28">
        <v>0.95759276582475839</v>
      </c>
      <c r="AA64" s="28">
        <v>0.9567800386157731</v>
      </c>
      <c r="AB64" s="28">
        <v>0.94186132740081574</v>
      </c>
      <c r="AC64" s="28">
        <v>0.92</v>
      </c>
      <c r="AD64" s="26">
        <v>0.99702931080010559</v>
      </c>
      <c r="AE64" s="26">
        <v>0.98271683240084262</v>
      </c>
      <c r="AF64" s="26">
        <v>0.97764454359546382</v>
      </c>
      <c r="AG64" s="26">
        <v>0.98029651241104776</v>
      </c>
      <c r="AH64" s="28">
        <v>0.92</v>
      </c>
      <c r="AI64" s="26">
        <v>0.93979685003423874</v>
      </c>
      <c r="AJ64" s="26">
        <v>0.97109424781324216</v>
      </c>
      <c r="AK64" s="26">
        <v>0.97462526766595292</v>
      </c>
      <c r="AL64" s="26">
        <v>0.96100172589905253</v>
      </c>
      <c r="AM64" s="25">
        <v>0.99</v>
      </c>
      <c r="AN64" s="30">
        <v>1</v>
      </c>
      <c r="AO64" s="30">
        <v>1</v>
      </c>
      <c r="AP64" s="30">
        <v>1</v>
      </c>
      <c r="AQ64" s="30">
        <v>1</v>
      </c>
      <c r="AR64" s="32">
        <v>8.7218210012826203E-2</v>
      </c>
      <c r="AS64" s="34">
        <v>3.9473684210526314E-2</v>
      </c>
      <c r="AT64" s="34">
        <v>3.3898305084745763E-2</v>
      </c>
      <c r="AU64" s="34">
        <v>4.1666666666666664E-2</v>
      </c>
      <c r="AV64" s="34">
        <v>4.53781512605042E-2</v>
      </c>
      <c r="AW64" s="10"/>
      <c r="AX64" s="8"/>
    </row>
    <row r="65" spans="1:50">
      <c r="A65" s="7"/>
      <c r="B65" s="10"/>
      <c r="C65" s="22" t="s">
        <v>56</v>
      </c>
      <c r="D65" s="23" t="s">
        <v>29</v>
      </c>
      <c r="E65" s="35" t="s">
        <v>113</v>
      </c>
      <c r="F65" s="35" t="s">
        <v>113</v>
      </c>
      <c r="G65" s="35" t="s">
        <v>113</v>
      </c>
      <c r="H65" s="35" t="s">
        <v>113</v>
      </c>
      <c r="I65" s="25">
        <v>0.9</v>
      </c>
      <c r="J65" s="26">
        <v>0.78666666666666663</v>
      </c>
      <c r="K65" s="26">
        <v>0.90909090909090906</v>
      </c>
      <c r="L65" s="27">
        <v>0.92941176470588238</v>
      </c>
      <c r="M65" s="26">
        <v>0.84529505582137165</v>
      </c>
      <c r="N65" s="28">
        <v>0.9</v>
      </c>
      <c r="O65" s="26">
        <v>0.97914110429447854</v>
      </c>
      <c r="P65" s="26">
        <v>0.98546315077755242</v>
      </c>
      <c r="Q65" s="26">
        <v>0.98961253091508661</v>
      </c>
      <c r="R65" s="26">
        <v>0.9881245319353803</v>
      </c>
      <c r="S65" s="28">
        <v>0.9</v>
      </c>
      <c r="T65" s="26">
        <v>0.59281332164767753</v>
      </c>
      <c r="U65" s="26">
        <v>0.72379986477349556</v>
      </c>
      <c r="V65" s="26">
        <v>0.78647980214344604</v>
      </c>
      <c r="W65" s="26">
        <v>0.65460575585749436</v>
      </c>
      <c r="X65" s="28">
        <v>0.92</v>
      </c>
      <c r="Y65" s="28">
        <v>0.84038755736868942</v>
      </c>
      <c r="Z65" s="28">
        <v>0.89917402449444606</v>
      </c>
      <c r="AA65" s="28">
        <v>0.9163870967741935</v>
      </c>
      <c r="AB65" s="28">
        <v>0.87199397156149661</v>
      </c>
      <c r="AC65" s="28">
        <v>0.92</v>
      </c>
      <c r="AD65" s="26">
        <v>0.77436440677966101</v>
      </c>
      <c r="AE65" s="26">
        <v>0.866704969836254</v>
      </c>
      <c r="AF65" s="26">
        <v>0.94912747707778766</v>
      </c>
      <c r="AG65" s="26">
        <v>0.85584137191854237</v>
      </c>
      <c r="AH65" s="28">
        <v>0.92</v>
      </c>
      <c r="AI65" s="26">
        <v>0.86922197984834315</v>
      </c>
      <c r="AJ65" s="26">
        <v>0.9263894781501909</v>
      </c>
      <c r="AK65" s="26">
        <v>0.9445674044265594</v>
      </c>
      <c r="AL65" s="26">
        <v>0.90283709973855197</v>
      </c>
      <c r="AM65" s="25">
        <v>0.99</v>
      </c>
      <c r="AN65" s="30">
        <v>1</v>
      </c>
      <c r="AO65" s="30">
        <v>1</v>
      </c>
      <c r="AP65" s="30">
        <v>1</v>
      </c>
      <c r="AQ65" s="30">
        <v>1</v>
      </c>
      <c r="AR65" s="32">
        <v>8.7218210012826203E-2</v>
      </c>
      <c r="AS65" s="34">
        <v>7.4999999999999997E-2</v>
      </c>
      <c r="AT65" s="34">
        <v>0.125</v>
      </c>
      <c r="AU65" s="34">
        <v>4.3478260869565216E-2</v>
      </c>
      <c r="AV65" s="34">
        <v>4.9853372434017593E-2</v>
      </c>
      <c r="AW65" s="10"/>
      <c r="AX65" s="8"/>
    </row>
    <row r="66" spans="1:50">
      <c r="A66" s="7"/>
      <c r="B66" s="10"/>
      <c r="C66" s="22" t="s">
        <v>56</v>
      </c>
      <c r="D66" s="23" t="s">
        <v>29</v>
      </c>
      <c r="E66" s="35" t="s">
        <v>114</v>
      </c>
      <c r="F66" s="35" t="s">
        <v>114</v>
      </c>
      <c r="G66" s="35" t="s">
        <v>114</v>
      </c>
      <c r="H66" s="35" t="s">
        <v>114</v>
      </c>
      <c r="I66" s="25">
        <v>0.9</v>
      </c>
      <c r="J66" s="26">
        <v>0.98148148148148151</v>
      </c>
      <c r="K66" s="26">
        <v>1</v>
      </c>
      <c r="L66" s="27">
        <v>0.9285714285714286</v>
      </c>
      <c r="M66" s="26">
        <v>0.96287703016241299</v>
      </c>
      <c r="N66" s="28">
        <v>0.9</v>
      </c>
      <c r="O66" s="26">
        <v>0.94767339771729586</v>
      </c>
      <c r="P66" s="26">
        <v>0.97582068478644546</v>
      </c>
      <c r="Q66" s="26">
        <v>0.96702094404501404</v>
      </c>
      <c r="R66" s="26">
        <v>0.96382537253997858</v>
      </c>
      <c r="S66" s="28">
        <v>0.9</v>
      </c>
      <c r="T66" s="26">
        <v>0.82774363476733981</v>
      </c>
      <c r="U66" s="26">
        <v>0.88528062124955875</v>
      </c>
      <c r="V66" s="26">
        <v>0.87527352297592997</v>
      </c>
      <c r="W66" s="26">
        <v>0.81397103514765368</v>
      </c>
      <c r="X66" s="28">
        <v>0.92</v>
      </c>
      <c r="Y66" s="28">
        <v>0.91197604790419162</v>
      </c>
      <c r="Z66" s="28">
        <v>0.97242978613759345</v>
      </c>
      <c r="AA66" s="28">
        <v>0.97310584152689417</v>
      </c>
      <c r="AB66" s="28">
        <v>0.95714437630711424</v>
      </c>
      <c r="AC66" s="28">
        <v>0.92</v>
      </c>
      <c r="AD66" s="26">
        <v>0.99729997172745266</v>
      </c>
      <c r="AE66" s="26">
        <v>0.99673453457360306</v>
      </c>
      <c r="AF66" s="26">
        <v>0.99765281037763365</v>
      </c>
      <c r="AG66" s="26">
        <v>0.99577370714846292</v>
      </c>
      <c r="AH66" s="28">
        <v>0.92</v>
      </c>
      <c r="AI66" s="26">
        <v>0.91892489768830876</v>
      </c>
      <c r="AJ66" s="26">
        <v>0.97226873168689831</v>
      </c>
      <c r="AK66" s="26">
        <v>0.96998580409653212</v>
      </c>
      <c r="AL66" s="26">
        <v>0.96243581303489134</v>
      </c>
      <c r="AM66" s="25">
        <v>0.99</v>
      </c>
      <c r="AN66" s="30">
        <v>1</v>
      </c>
      <c r="AO66" s="30">
        <v>1</v>
      </c>
      <c r="AP66" s="30">
        <v>1</v>
      </c>
      <c r="AQ66" s="30">
        <v>1</v>
      </c>
      <c r="AR66" s="32">
        <v>8.7218210012826203E-2</v>
      </c>
      <c r="AS66" s="34">
        <v>3.3333333333333333E-2</v>
      </c>
      <c r="AT66" s="34">
        <v>0.11538461538461539</v>
      </c>
      <c r="AU66" s="34">
        <v>0</v>
      </c>
      <c r="AV66" s="34">
        <v>5.2631578947368418E-2</v>
      </c>
      <c r="AW66" s="10"/>
      <c r="AX66" s="8"/>
    </row>
    <row r="67" spans="1:50">
      <c r="A67" s="7"/>
      <c r="B67" s="10"/>
      <c r="C67" s="22" t="s">
        <v>56</v>
      </c>
      <c r="D67" s="23" t="s">
        <v>29</v>
      </c>
      <c r="E67" s="35" t="s">
        <v>115</v>
      </c>
      <c r="F67" s="35" t="s">
        <v>115</v>
      </c>
      <c r="G67" s="35" t="s">
        <v>115</v>
      </c>
      <c r="H67" s="35" t="s">
        <v>115</v>
      </c>
      <c r="I67" s="25">
        <v>0.9</v>
      </c>
      <c r="J67" s="26">
        <v>0</v>
      </c>
      <c r="K67" s="26">
        <v>0</v>
      </c>
      <c r="L67" s="27">
        <v>0</v>
      </c>
      <c r="M67" s="26">
        <v>0</v>
      </c>
      <c r="N67" s="28">
        <v>0.9</v>
      </c>
      <c r="O67" s="26">
        <v>0.9673202614379085</v>
      </c>
      <c r="P67" s="26">
        <v>0.98133333333333328</v>
      </c>
      <c r="Q67" s="26">
        <v>0.99353448275862066</v>
      </c>
      <c r="R67" s="26">
        <v>0.9639029892837</v>
      </c>
      <c r="S67" s="28">
        <v>0.9</v>
      </c>
      <c r="T67" s="26">
        <v>0.98257080610021785</v>
      </c>
      <c r="U67" s="26">
        <v>0.98933333333333329</v>
      </c>
      <c r="V67" s="26">
        <v>0.99353448275862066</v>
      </c>
      <c r="W67" s="26">
        <v>0.98646362098138751</v>
      </c>
      <c r="X67" s="28">
        <v>0.92</v>
      </c>
      <c r="Y67" s="28">
        <v>1</v>
      </c>
      <c r="Z67" s="28">
        <v>0.99450549450549453</v>
      </c>
      <c r="AA67" s="28">
        <v>0.98245614035087714</v>
      </c>
      <c r="AB67" s="28">
        <v>0.99012508229098095</v>
      </c>
      <c r="AC67" s="28">
        <v>0.92</v>
      </c>
      <c r="AD67" s="26">
        <v>0</v>
      </c>
      <c r="AE67" s="26">
        <v>0</v>
      </c>
      <c r="AF67" s="26">
        <v>0</v>
      </c>
      <c r="AG67" s="26">
        <v>0.83333333333333337</v>
      </c>
      <c r="AH67" s="28">
        <v>0.92</v>
      </c>
      <c r="AI67" s="26">
        <v>1</v>
      </c>
      <c r="AJ67" s="26">
        <v>0.99283154121863804</v>
      </c>
      <c r="AK67" s="26">
        <v>0.99216300940438873</v>
      </c>
      <c r="AL67" s="26">
        <v>0.99112950916617382</v>
      </c>
      <c r="AM67" s="25">
        <v>0.99</v>
      </c>
      <c r="AN67" s="30">
        <v>0</v>
      </c>
      <c r="AO67" s="30">
        <v>0</v>
      </c>
      <c r="AP67" s="30">
        <v>0</v>
      </c>
      <c r="AQ67" s="30">
        <v>1</v>
      </c>
      <c r="AR67" s="32">
        <v>8.7218210012826203E-2</v>
      </c>
      <c r="AS67" s="34">
        <v>0</v>
      </c>
      <c r="AT67" s="34">
        <v>0</v>
      </c>
      <c r="AU67" s="34">
        <v>0</v>
      </c>
      <c r="AV67" s="34">
        <v>6</v>
      </c>
      <c r="AW67" s="10"/>
      <c r="AX67" s="8"/>
    </row>
    <row r="68" spans="1:50">
      <c r="A68" s="7"/>
      <c r="B68" s="10"/>
      <c r="C68" s="22" t="s">
        <v>56</v>
      </c>
      <c r="D68" s="23" t="s">
        <v>29</v>
      </c>
      <c r="E68" s="35" t="s">
        <v>116</v>
      </c>
      <c r="F68" s="35" t="s">
        <v>116</v>
      </c>
      <c r="G68" s="35" t="s">
        <v>116</v>
      </c>
      <c r="H68" s="35" t="s">
        <v>116</v>
      </c>
      <c r="I68" s="25">
        <v>0.9</v>
      </c>
      <c r="J68" s="26">
        <v>0.93103448275862066</v>
      </c>
      <c r="K68" s="26">
        <v>0.95604395604395609</v>
      </c>
      <c r="L68" s="27">
        <v>0.9438202247191011</v>
      </c>
      <c r="M68" s="26">
        <v>0.93362193362193358</v>
      </c>
      <c r="N68" s="28">
        <v>0.9</v>
      </c>
      <c r="O68" s="26">
        <v>0.8938758389261745</v>
      </c>
      <c r="P68" s="26">
        <v>0.91406772855039486</v>
      </c>
      <c r="Q68" s="26">
        <v>0.97870244983380528</v>
      </c>
      <c r="R68" s="26">
        <v>0.95588730875513916</v>
      </c>
      <c r="S68" s="28">
        <v>0.9</v>
      </c>
      <c r="T68" s="26">
        <v>0.71784116331096193</v>
      </c>
      <c r="U68" s="26">
        <v>0.78369696158479452</v>
      </c>
      <c r="V68" s="26">
        <v>0.73261110427182075</v>
      </c>
      <c r="W68" s="26">
        <v>0.72851654647165864</v>
      </c>
      <c r="X68" s="28">
        <v>0.92</v>
      </c>
      <c r="Y68" s="28">
        <v>0.88081896551724137</v>
      </c>
      <c r="Z68" s="28">
        <v>0.91125198098256732</v>
      </c>
      <c r="AA68" s="28">
        <v>0.92306174787926609</v>
      </c>
      <c r="AB68" s="28">
        <v>0.90452860169491522</v>
      </c>
      <c r="AC68" s="28">
        <v>0.92</v>
      </c>
      <c r="AD68" s="26">
        <v>0.99531673650480645</v>
      </c>
      <c r="AE68" s="26">
        <v>0.89997975298643451</v>
      </c>
      <c r="AF68" s="26">
        <v>0.98634744756628412</v>
      </c>
      <c r="AG68" s="26">
        <v>0.97269652726222877</v>
      </c>
      <c r="AH68" s="28">
        <v>0.92</v>
      </c>
      <c r="AI68" s="26">
        <v>0.90587636733655563</v>
      </c>
      <c r="AJ68" s="26">
        <v>0.93264945766417218</v>
      </c>
      <c r="AK68" s="26">
        <v>0.93103448275862066</v>
      </c>
      <c r="AL68" s="26">
        <v>0.92478609598138439</v>
      </c>
      <c r="AM68" s="25">
        <v>0.99</v>
      </c>
      <c r="AN68" s="30">
        <v>1</v>
      </c>
      <c r="AO68" s="30">
        <v>1</v>
      </c>
      <c r="AP68" s="30">
        <v>1</v>
      </c>
      <c r="AQ68" s="30">
        <v>1</v>
      </c>
      <c r="AR68" s="32">
        <v>8.7218210012826203E-2</v>
      </c>
      <c r="AS68" s="34">
        <v>6.6666666666666666E-2</v>
      </c>
      <c r="AT68" s="34">
        <v>8.8235294117647065E-2</v>
      </c>
      <c r="AU68" s="34">
        <v>4.5977011494252873E-2</v>
      </c>
      <c r="AV68" s="34">
        <v>4.715447154471545E-2</v>
      </c>
      <c r="AW68" s="10"/>
      <c r="AX68" s="8"/>
    </row>
    <row r="69" spans="1:50">
      <c r="A69" s="7"/>
      <c r="B69" s="10"/>
      <c r="C69" s="22" t="s">
        <v>56</v>
      </c>
      <c r="D69" s="23" t="s">
        <v>29</v>
      </c>
      <c r="E69" s="35" t="s">
        <v>117</v>
      </c>
      <c r="F69" s="35" t="s">
        <v>117</v>
      </c>
      <c r="G69" s="35" t="s">
        <v>117</v>
      </c>
      <c r="H69" s="35" t="s">
        <v>117</v>
      </c>
      <c r="I69" s="25">
        <v>0.9</v>
      </c>
      <c r="J69" s="26">
        <v>0.97413793103448276</v>
      </c>
      <c r="K69" s="26">
        <v>0.98425196850393704</v>
      </c>
      <c r="L69" s="27">
        <v>0.97619047619047616</v>
      </c>
      <c r="M69" s="26">
        <v>0.97914494264859231</v>
      </c>
      <c r="N69" s="28">
        <v>0.9</v>
      </c>
      <c r="O69" s="26">
        <v>0.98049469964664315</v>
      </c>
      <c r="P69" s="26">
        <v>0.98547688870269512</v>
      </c>
      <c r="Q69" s="26">
        <v>0.98239576439444076</v>
      </c>
      <c r="R69" s="26">
        <v>0.96402339499455936</v>
      </c>
      <c r="S69" s="28">
        <v>0.9</v>
      </c>
      <c r="T69" s="26">
        <v>0.78106007067137806</v>
      </c>
      <c r="U69" s="26">
        <v>0.83926825862309729</v>
      </c>
      <c r="V69" s="26">
        <v>0.82951687624090009</v>
      </c>
      <c r="W69" s="26">
        <v>0.80110854189336234</v>
      </c>
      <c r="X69" s="28">
        <v>0.92</v>
      </c>
      <c r="Y69" s="28">
        <v>0.88103483397840698</v>
      </c>
      <c r="Z69" s="28">
        <v>0.94066695539194456</v>
      </c>
      <c r="AA69" s="28">
        <v>0.94545454545454544</v>
      </c>
      <c r="AB69" s="28">
        <v>0.9179821722025796</v>
      </c>
      <c r="AC69" s="28">
        <v>0.92</v>
      </c>
      <c r="AD69" s="26">
        <v>0.98916315472606864</v>
      </c>
      <c r="AE69" s="26">
        <v>0.98681247989707299</v>
      </c>
      <c r="AF69" s="26">
        <v>0.9858982219497241</v>
      </c>
      <c r="AG69" s="26">
        <v>0.98709236398729339</v>
      </c>
      <c r="AH69" s="28">
        <v>0.92</v>
      </c>
      <c r="AI69" s="26">
        <v>0.91322486441385065</v>
      </c>
      <c r="AJ69" s="26">
        <v>0.95993548934725403</v>
      </c>
      <c r="AK69" s="26">
        <v>0.96488597806359977</v>
      </c>
      <c r="AL69" s="26">
        <v>0.94317493029458122</v>
      </c>
      <c r="AM69" s="25">
        <v>0.99</v>
      </c>
      <c r="AN69" s="30">
        <v>1</v>
      </c>
      <c r="AO69" s="30">
        <v>1</v>
      </c>
      <c r="AP69" s="30">
        <v>1</v>
      </c>
      <c r="AQ69" s="30">
        <v>1</v>
      </c>
      <c r="AR69" s="32">
        <v>8.7218210012826203E-2</v>
      </c>
      <c r="AS69" s="34">
        <v>6.9444444444444448E-2</v>
      </c>
      <c r="AT69" s="34">
        <v>0.1095890410958904</v>
      </c>
      <c r="AU69" s="34">
        <v>2.5316455696202531E-2</v>
      </c>
      <c r="AV69" s="34">
        <v>5.8084772370486655E-2</v>
      </c>
      <c r="AW69" s="10"/>
      <c r="AX69" s="8"/>
    </row>
    <row r="70" spans="1:50">
      <c r="A70" s="7"/>
      <c r="B70" s="10"/>
      <c r="C70" s="22" t="s">
        <v>56</v>
      </c>
      <c r="D70" s="23" t="s">
        <v>29</v>
      </c>
      <c r="E70" s="35" t="s">
        <v>118</v>
      </c>
      <c r="F70" s="35" t="s">
        <v>118</v>
      </c>
      <c r="G70" s="35" t="s">
        <v>118</v>
      </c>
      <c r="H70" s="35" t="s">
        <v>118</v>
      </c>
      <c r="I70" s="25">
        <v>0.9</v>
      </c>
      <c r="J70" s="26">
        <v>0.96341463414634143</v>
      </c>
      <c r="K70" s="26">
        <v>0.93421052631578949</v>
      </c>
      <c r="L70" s="27">
        <v>0.95270270270270274</v>
      </c>
      <c r="M70" s="26">
        <v>0.93523969722455846</v>
      </c>
      <c r="N70" s="28">
        <v>0.9</v>
      </c>
      <c r="O70" s="26">
        <v>0.97605206073752715</v>
      </c>
      <c r="P70" s="26">
        <v>0.98571556111061509</v>
      </c>
      <c r="Q70" s="26">
        <v>0.94638655462184873</v>
      </c>
      <c r="R70" s="26">
        <v>0.9635895509193777</v>
      </c>
      <c r="S70" s="28">
        <v>0.9</v>
      </c>
      <c r="T70" s="26">
        <v>0.85197396963123639</v>
      </c>
      <c r="U70" s="26">
        <v>0.82689045620926704</v>
      </c>
      <c r="V70" s="26">
        <v>0.81714285714285717</v>
      </c>
      <c r="W70" s="26">
        <v>0.81651122701555867</v>
      </c>
      <c r="X70" s="28">
        <v>0.92</v>
      </c>
      <c r="Y70" s="28">
        <v>0.93403256969362403</v>
      </c>
      <c r="Z70" s="28">
        <v>0.94677798069397334</v>
      </c>
      <c r="AA70" s="28">
        <v>0.95078299776286357</v>
      </c>
      <c r="AB70" s="28">
        <v>0.94422357539462864</v>
      </c>
      <c r="AC70" s="28">
        <v>0.92</v>
      </c>
      <c r="AD70" s="26">
        <v>0.99614047985029741</v>
      </c>
      <c r="AE70" s="26">
        <v>0.98362651599107187</v>
      </c>
      <c r="AF70" s="26">
        <v>0.98957511794312913</v>
      </c>
      <c r="AG70" s="26">
        <v>0.98939068493902727</v>
      </c>
      <c r="AH70" s="28">
        <v>0.92</v>
      </c>
      <c r="AI70" s="26">
        <v>0.9527005433045701</v>
      </c>
      <c r="AJ70" s="26">
        <v>0.95881916472334106</v>
      </c>
      <c r="AK70" s="26">
        <v>0.96466666666666667</v>
      </c>
      <c r="AL70" s="26">
        <v>0.96069249420479075</v>
      </c>
      <c r="AM70" s="25">
        <v>0.99</v>
      </c>
      <c r="AN70" s="30">
        <v>1</v>
      </c>
      <c r="AO70" s="30">
        <v>1</v>
      </c>
      <c r="AP70" s="30">
        <v>1</v>
      </c>
      <c r="AQ70" s="30">
        <v>1</v>
      </c>
      <c r="AR70" s="32">
        <v>8.7218210012826203E-2</v>
      </c>
      <c r="AS70" s="34">
        <v>5.6074766355140186E-2</v>
      </c>
      <c r="AT70" s="34">
        <v>8.3333333333333329E-2</v>
      </c>
      <c r="AU70" s="34">
        <v>3.4188034188034191E-2</v>
      </c>
      <c r="AV70" s="34">
        <v>5.0805452292441142E-2</v>
      </c>
      <c r="AW70" s="10"/>
      <c r="AX70" s="8"/>
    </row>
    <row r="71" spans="1:50">
      <c r="A71" s="7"/>
      <c r="B71" s="10"/>
      <c r="C71" s="22" t="s">
        <v>56</v>
      </c>
      <c r="D71" s="23" t="s">
        <v>29</v>
      </c>
      <c r="E71" s="35" t="s">
        <v>119</v>
      </c>
      <c r="F71" s="35" t="s">
        <v>119</v>
      </c>
      <c r="G71" s="35" t="s">
        <v>119</v>
      </c>
      <c r="H71" s="35" t="s">
        <v>119</v>
      </c>
      <c r="I71" s="25">
        <v>0.9</v>
      </c>
      <c r="J71" s="26">
        <v>0.9</v>
      </c>
      <c r="K71" s="26">
        <v>0.98461538461538467</v>
      </c>
      <c r="L71" s="27">
        <v>0.94285714285714284</v>
      </c>
      <c r="M71" s="26">
        <v>0.93456032719836402</v>
      </c>
      <c r="N71" s="28">
        <v>0.9</v>
      </c>
      <c r="O71" s="26">
        <v>0.96434521826057984</v>
      </c>
      <c r="P71" s="26">
        <v>0.97471302611878219</v>
      </c>
      <c r="Q71" s="26">
        <v>0.9679720704310868</v>
      </c>
      <c r="R71" s="26">
        <v>0.9565637446271541</v>
      </c>
      <c r="S71" s="28">
        <v>0.9</v>
      </c>
      <c r="T71" s="26">
        <v>0.8567144285238254</v>
      </c>
      <c r="U71" s="26">
        <v>0.88753951089668937</v>
      </c>
      <c r="V71" s="26">
        <v>0.86187006678809952</v>
      </c>
      <c r="W71" s="26">
        <v>0.82664931582475654</v>
      </c>
      <c r="X71" s="28">
        <v>0.92</v>
      </c>
      <c r="Y71" s="28">
        <v>0.91372226787181599</v>
      </c>
      <c r="Z71" s="28">
        <v>0.96193771626297575</v>
      </c>
      <c r="AA71" s="28">
        <v>0.93574083908656402</v>
      </c>
      <c r="AB71" s="28">
        <v>0.93544545021438785</v>
      </c>
      <c r="AC71" s="28">
        <v>0.92</v>
      </c>
      <c r="AD71" s="26">
        <v>0.96319463967763097</v>
      </c>
      <c r="AE71" s="26">
        <v>0.9609375</v>
      </c>
      <c r="AF71" s="26">
        <v>0.94434712054435821</v>
      </c>
      <c r="AG71" s="26">
        <v>0.93663109276365719</v>
      </c>
      <c r="AH71" s="28">
        <v>0.92</v>
      </c>
      <c r="AI71" s="26">
        <v>0.94458255645328359</v>
      </c>
      <c r="AJ71" s="26">
        <v>0.9719693094629156</v>
      </c>
      <c r="AK71" s="26">
        <v>0.96619990342829554</v>
      </c>
      <c r="AL71" s="26">
        <v>0.96072239834252759</v>
      </c>
      <c r="AM71" s="25">
        <v>0.99</v>
      </c>
      <c r="AN71" s="30">
        <v>1</v>
      </c>
      <c r="AO71" s="30">
        <v>1</v>
      </c>
      <c r="AP71" s="30">
        <v>1</v>
      </c>
      <c r="AQ71" s="30">
        <v>1</v>
      </c>
      <c r="AR71" s="32">
        <v>8.7218210012826203E-2</v>
      </c>
      <c r="AS71" s="34">
        <v>0.12820512820512819</v>
      </c>
      <c r="AT71" s="34">
        <v>0</v>
      </c>
      <c r="AU71" s="34">
        <v>8.9285714285714288E-2</v>
      </c>
      <c r="AV71" s="34">
        <v>6.4066852367688026E-2</v>
      </c>
      <c r="AW71" s="10"/>
      <c r="AX71" s="8"/>
    </row>
    <row r="72" spans="1:50">
      <c r="A72" s="7"/>
      <c r="B72" s="10"/>
      <c r="C72" s="22" t="s">
        <v>56</v>
      </c>
      <c r="D72" s="23" t="s">
        <v>29</v>
      </c>
      <c r="E72" s="35" t="s">
        <v>120</v>
      </c>
      <c r="F72" s="35" t="s">
        <v>120</v>
      </c>
      <c r="G72" s="35" t="s">
        <v>120</v>
      </c>
      <c r="H72" s="35" t="s">
        <v>120</v>
      </c>
      <c r="I72" s="25">
        <v>0.9</v>
      </c>
      <c r="J72" s="26">
        <v>0.84444444444444444</v>
      </c>
      <c r="K72" s="26">
        <v>0.7857142857142857</v>
      </c>
      <c r="L72" s="27">
        <v>0.87962962962962965</v>
      </c>
      <c r="M72" s="26">
        <v>0.84293193717277481</v>
      </c>
      <c r="N72" s="28">
        <v>0.9</v>
      </c>
      <c r="O72" s="26">
        <v>0.74772303302973775</v>
      </c>
      <c r="P72" s="26">
        <v>0.84434879200222157</v>
      </c>
      <c r="Q72" s="26">
        <v>0.90990006246096189</v>
      </c>
      <c r="R72" s="26">
        <v>0.84339981792601171</v>
      </c>
      <c r="S72" s="28">
        <v>0.9</v>
      </c>
      <c r="T72" s="26">
        <v>0.68857675847690114</v>
      </c>
      <c r="U72" s="26">
        <v>0.67509025270758127</v>
      </c>
      <c r="V72" s="26">
        <v>0.66036851967520305</v>
      </c>
      <c r="W72" s="26">
        <v>0.62698005462219653</v>
      </c>
      <c r="X72" s="28">
        <v>0.92</v>
      </c>
      <c r="Y72" s="28">
        <v>0.833979196410361</v>
      </c>
      <c r="Z72" s="28">
        <v>0.85986049461001901</v>
      </c>
      <c r="AA72" s="28">
        <v>0.83633319380493931</v>
      </c>
      <c r="AB72" s="28">
        <v>0.85238246842831367</v>
      </c>
      <c r="AC72" s="28">
        <v>0.92</v>
      </c>
      <c r="AD72" s="26">
        <v>0.70987808951235809</v>
      </c>
      <c r="AE72" s="26">
        <v>0.77724879174781791</v>
      </c>
      <c r="AF72" s="26">
        <v>0.71528855651192325</v>
      </c>
      <c r="AG72" s="26">
        <v>0.85447985300725626</v>
      </c>
      <c r="AH72" s="28">
        <v>0.92</v>
      </c>
      <c r="AI72" s="26">
        <v>0.89135397346269085</v>
      </c>
      <c r="AJ72" s="26">
        <v>0.89576001340707223</v>
      </c>
      <c r="AK72" s="26">
        <v>0.88984263233190275</v>
      </c>
      <c r="AL72" s="26">
        <v>0.88721858151836031</v>
      </c>
      <c r="AM72" s="25">
        <v>0.99</v>
      </c>
      <c r="AN72" s="30">
        <v>1</v>
      </c>
      <c r="AO72" s="30">
        <v>1</v>
      </c>
      <c r="AP72" s="30">
        <v>1</v>
      </c>
      <c r="AQ72" s="30">
        <v>1</v>
      </c>
      <c r="AR72" s="32">
        <v>8.7218210012826203E-2</v>
      </c>
      <c r="AS72" s="34">
        <v>8.8235294117647065E-2</v>
      </c>
      <c r="AT72" s="34">
        <v>5.7142857142857141E-2</v>
      </c>
      <c r="AU72" s="34">
        <v>5.3571428571428568E-2</v>
      </c>
      <c r="AV72" s="34">
        <v>6.4139941690962099E-2</v>
      </c>
      <c r="AW72" s="10"/>
      <c r="AX72" s="8"/>
    </row>
    <row r="73" spans="1:50">
      <c r="A73" s="7"/>
      <c r="B73" s="10"/>
      <c r="C73" s="22" t="s">
        <v>56</v>
      </c>
      <c r="D73" s="23" t="s">
        <v>29</v>
      </c>
      <c r="E73" s="35" t="s">
        <v>121</v>
      </c>
      <c r="F73" s="35" t="s">
        <v>121</v>
      </c>
      <c r="G73" s="35" t="s">
        <v>121</v>
      </c>
      <c r="H73" s="35" t="s">
        <v>121</v>
      </c>
      <c r="I73" s="25">
        <v>0.9</v>
      </c>
      <c r="J73" s="26">
        <v>0.92413793103448272</v>
      </c>
      <c r="K73" s="26">
        <v>0.90604026845637586</v>
      </c>
      <c r="L73" s="27">
        <v>0.93918918918918914</v>
      </c>
      <c r="M73" s="26">
        <v>0.89847715736040612</v>
      </c>
      <c r="N73" s="28">
        <v>0.9</v>
      </c>
      <c r="O73" s="26">
        <v>0.94161087721719927</v>
      </c>
      <c r="P73" s="26">
        <v>0.92245890764354688</v>
      </c>
      <c r="Q73" s="26">
        <v>0.94018517285019654</v>
      </c>
      <c r="R73" s="26">
        <v>0.917183213993089</v>
      </c>
      <c r="S73" s="28">
        <v>0.9</v>
      </c>
      <c r="T73" s="26">
        <v>0.78749396093588242</v>
      </c>
      <c r="U73" s="26">
        <v>0.81388663669197314</v>
      </c>
      <c r="V73" s="26">
        <v>0.80803303803370408</v>
      </c>
      <c r="W73" s="26">
        <v>0.77235403085034382</v>
      </c>
      <c r="X73" s="28">
        <v>0.92</v>
      </c>
      <c r="Y73" s="28">
        <v>0.91176799910424366</v>
      </c>
      <c r="Z73" s="28">
        <v>0.95354200988467874</v>
      </c>
      <c r="AA73" s="28">
        <v>0.94614945807187678</v>
      </c>
      <c r="AB73" s="28">
        <v>0.93785687906593562</v>
      </c>
      <c r="AC73" s="28">
        <v>0.92</v>
      </c>
      <c r="AD73" s="26">
        <v>0.99761835287808653</v>
      </c>
      <c r="AE73" s="26">
        <v>0.95190120246993826</v>
      </c>
      <c r="AF73" s="26">
        <v>0.98721907985276591</v>
      </c>
      <c r="AG73" s="26">
        <v>0.94558311146038321</v>
      </c>
      <c r="AH73" s="28">
        <v>0.92</v>
      </c>
      <c r="AI73" s="26">
        <v>0.93888438393581153</v>
      </c>
      <c r="AJ73" s="26">
        <v>0.96366522621042416</v>
      </c>
      <c r="AK73" s="26">
        <v>0.96287888342371886</v>
      </c>
      <c r="AL73" s="26">
        <v>0.95610679712595559</v>
      </c>
      <c r="AM73" s="25">
        <v>0.99</v>
      </c>
      <c r="AN73" s="30">
        <v>1</v>
      </c>
      <c r="AO73" s="30">
        <v>1</v>
      </c>
      <c r="AP73" s="30">
        <v>1</v>
      </c>
      <c r="AQ73" s="30">
        <v>0.9996619337390128</v>
      </c>
      <c r="AR73" s="32">
        <v>8.7218210012826203E-2</v>
      </c>
      <c r="AS73" s="34">
        <v>5.4794520547945202E-2</v>
      </c>
      <c r="AT73" s="34">
        <v>6.6666666666666666E-2</v>
      </c>
      <c r="AU73" s="34">
        <v>4.2105263157894736E-2</v>
      </c>
      <c r="AV73" s="34">
        <v>5.5306427503736919E-2</v>
      </c>
      <c r="AW73" s="10"/>
      <c r="AX73" s="8"/>
    </row>
    <row r="74" spans="1:50">
      <c r="A74" s="7"/>
      <c r="B74" s="10"/>
      <c r="C74" s="22" t="s">
        <v>56</v>
      </c>
      <c r="D74" s="23" t="s">
        <v>29</v>
      </c>
      <c r="E74" s="35" t="s">
        <v>122</v>
      </c>
      <c r="F74" s="35" t="s">
        <v>122</v>
      </c>
      <c r="G74" s="35" t="s">
        <v>122</v>
      </c>
      <c r="H74" s="35" t="s">
        <v>122</v>
      </c>
      <c r="I74" s="25">
        <v>0.9</v>
      </c>
      <c r="J74" s="26">
        <v>0.84848484848484851</v>
      </c>
      <c r="K74" s="26">
        <v>0.89320388349514568</v>
      </c>
      <c r="L74" s="27">
        <v>0.85849056603773588</v>
      </c>
      <c r="M74" s="26">
        <v>0.8482932996207333</v>
      </c>
      <c r="N74" s="28">
        <v>0.9</v>
      </c>
      <c r="O74" s="26">
        <v>0.95692393945056997</v>
      </c>
      <c r="P74" s="26">
        <v>0.94260594685369947</v>
      </c>
      <c r="Q74" s="26">
        <v>0.97692375965208134</v>
      </c>
      <c r="R74" s="26">
        <v>0.94464169263096875</v>
      </c>
      <c r="S74" s="28">
        <v>0.9</v>
      </c>
      <c r="T74" s="26">
        <v>0.76976266118482528</v>
      </c>
      <c r="U74" s="26">
        <v>0.79363824953077156</v>
      </c>
      <c r="V74" s="26">
        <v>0.81006479098251527</v>
      </c>
      <c r="W74" s="26">
        <v>0.76802405622780956</v>
      </c>
      <c r="X74" s="28">
        <v>0.92</v>
      </c>
      <c r="Y74" s="28">
        <v>0.88349361500867096</v>
      </c>
      <c r="Z74" s="28">
        <v>0.93397975188934834</v>
      </c>
      <c r="AA74" s="28">
        <v>0.93098087983833355</v>
      </c>
      <c r="AB74" s="28">
        <v>0.88103241760364748</v>
      </c>
      <c r="AC74" s="28">
        <v>0.92</v>
      </c>
      <c r="AD74" s="26">
        <v>0.99735865611347729</v>
      </c>
      <c r="AE74" s="26">
        <v>0.99201745212105363</v>
      </c>
      <c r="AF74" s="26">
        <v>0.99109954496808617</v>
      </c>
      <c r="AG74" s="26">
        <v>0.99012367095856579</v>
      </c>
      <c r="AH74" s="28">
        <v>0.92</v>
      </c>
      <c r="AI74" s="26">
        <v>0.92573503572683613</v>
      </c>
      <c r="AJ74" s="26">
        <v>0.95214502214968522</v>
      </c>
      <c r="AK74" s="26">
        <v>0.95561328213236951</v>
      </c>
      <c r="AL74" s="26">
        <v>0.92886687508818311</v>
      </c>
      <c r="AM74" s="25">
        <v>0.99</v>
      </c>
      <c r="AN74" s="30">
        <v>1</v>
      </c>
      <c r="AO74" s="30">
        <v>1</v>
      </c>
      <c r="AP74" s="30">
        <v>1</v>
      </c>
      <c r="AQ74" s="30">
        <v>1</v>
      </c>
      <c r="AR74" s="32">
        <v>8.7218210012826203E-2</v>
      </c>
      <c r="AS74" s="34">
        <v>5.7142857142857141E-2</v>
      </c>
      <c r="AT74" s="34">
        <v>8.8235294117647065E-2</v>
      </c>
      <c r="AU74" s="34">
        <v>6.0606060606060608E-2</v>
      </c>
      <c r="AV74" s="34">
        <v>4.9822064056939501E-2</v>
      </c>
      <c r="AW74" s="10"/>
      <c r="AX74" s="8"/>
    </row>
    <row r="75" spans="1:50">
      <c r="A75" s="7"/>
      <c r="B75" s="10"/>
      <c r="C75" s="22" t="s">
        <v>56</v>
      </c>
      <c r="D75" s="23" t="s">
        <v>29</v>
      </c>
      <c r="E75" s="35" t="s">
        <v>123</v>
      </c>
      <c r="F75" s="35" t="s">
        <v>123</v>
      </c>
      <c r="G75" s="35" t="s">
        <v>123</v>
      </c>
      <c r="H75" s="35" t="s">
        <v>123</v>
      </c>
      <c r="I75" s="25">
        <v>0.9</v>
      </c>
      <c r="J75" s="26">
        <v>0.95744680851063835</v>
      </c>
      <c r="K75" s="26">
        <v>0.97872340425531912</v>
      </c>
      <c r="L75" s="27">
        <v>0.9375</v>
      </c>
      <c r="M75" s="26">
        <v>0.95879120879120883</v>
      </c>
      <c r="N75" s="28">
        <v>0.9</v>
      </c>
      <c r="O75" s="26">
        <v>0.97938471297177288</v>
      </c>
      <c r="P75" s="26">
        <v>0.97869507323568572</v>
      </c>
      <c r="Q75" s="26">
        <v>0.98057953144266341</v>
      </c>
      <c r="R75" s="26">
        <v>0.97103364163024697</v>
      </c>
      <c r="S75" s="28">
        <v>0.9</v>
      </c>
      <c r="T75" s="26">
        <v>0.85172851252775139</v>
      </c>
      <c r="U75" s="26">
        <v>0.87649800266311584</v>
      </c>
      <c r="V75" s="26">
        <v>0.87160912453760786</v>
      </c>
      <c r="W75" s="26">
        <v>0.85480231730866962</v>
      </c>
      <c r="X75" s="28">
        <v>0.92</v>
      </c>
      <c r="Y75" s="28">
        <v>0.94647031323048159</v>
      </c>
      <c r="Z75" s="28">
        <v>0.95734720416124841</v>
      </c>
      <c r="AA75" s="28">
        <v>0.96094703441542595</v>
      </c>
      <c r="AB75" s="28">
        <v>0.95413430790315212</v>
      </c>
      <c r="AC75" s="28">
        <v>0.92</v>
      </c>
      <c r="AD75" s="26">
        <v>0.82782091358273668</v>
      </c>
      <c r="AE75" s="26">
        <v>0.82392061100431235</v>
      </c>
      <c r="AF75" s="26">
        <v>0.98452449752777238</v>
      </c>
      <c r="AG75" s="26">
        <v>0.94338451877214757</v>
      </c>
      <c r="AH75" s="28">
        <v>0.92</v>
      </c>
      <c r="AI75" s="26">
        <v>0.95881741758760741</v>
      </c>
      <c r="AJ75" s="26">
        <v>0.96317711503347536</v>
      </c>
      <c r="AK75" s="26">
        <v>0.97195467422096316</v>
      </c>
      <c r="AL75" s="26">
        <v>0.96681008739319629</v>
      </c>
      <c r="AM75" s="25">
        <v>0.99</v>
      </c>
      <c r="AN75" s="30">
        <v>1</v>
      </c>
      <c r="AO75" s="30">
        <v>1</v>
      </c>
      <c r="AP75" s="30">
        <v>1</v>
      </c>
      <c r="AQ75" s="30">
        <v>1</v>
      </c>
      <c r="AR75" s="32">
        <v>8.7218210012826203E-2</v>
      </c>
      <c r="AS75" s="34">
        <v>5.128205128205128E-2</v>
      </c>
      <c r="AT75" s="34">
        <v>2.8571428571428571E-2</v>
      </c>
      <c r="AU75" s="34">
        <v>0</v>
      </c>
      <c r="AV75" s="34">
        <v>4.6822742474916385E-2</v>
      </c>
      <c r="AW75" s="10"/>
      <c r="AX75" s="8"/>
    </row>
    <row r="76" spans="1:50">
      <c r="A76" s="7"/>
      <c r="B76" s="10"/>
      <c r="C76" s="22" t="s">
        <v>56</v>
      </c>
      <c r="D76" s="23" t="s">
        <v>29</v>
      </c>
      <c r="E76" s="35" t="s">
        <v>124</v>
      </c>
      <c r="F76" s="35" t="s">
        <v>124</v>
      </c>
      <c r="G76" s="35" t="s">
        <v>124</v>
      </c>
      <c r="H76" s="35" t="s">
        <v>124</v>
      </c>
      <c r="I76" s="25">
        <v>0.9</v>
      </c>
      <c r="J76" s="26">
        <v>0.92045454545454541</v>
      </c>
      <c r="K76" s="26">
        <v>0.92553191489361697</v>
      </c>
      <c r="L76" s="27">
        <v>0.92391304347826086</v>
      </c>
      <c r="M76" s="26">
        <v>0.9140083217753121</v>
      </c>
      <c r="N76" s="28">
        <v>0.9</v>
      </c>
      <c r="O76" s="26">
        <v>0.9699417372881356</v>
      </c>
      <c r="P76" s="26">
        <v>0.96201218721638793</v>
      </c>
      <c r="Q76" s="26">
        <v>0.9776277965254343</v>
      </c>
      <c r="R76" s="26">
        <v>0.94336260246897574</v>
      </c>
      <c r="S76" s="28">
        <v>0.9</v>
      </c>
      <c r="T76" s="26">
        <v>0.78270656779661019</v>
      </c>
      <c r="U76" s="26">
        <v>0.73447426422922335</v>
      </c>
      <c r="V76" s="26">
        <v>0.77790276215473064</v>
      </c>
      <c r="W76" s="26">
        <v>0.7434792469947834</v>
      </c>
      <c r="X76" s="28">
        <v>0.92</v>
      </c>
      <c r="Y76" s="28">
        <v>0.9102632043808514</v>
      </c>
      <c r="Z76" s="28">
        <v>0.93155818540433921</v>
      </c>
      <c r="AA76" s="28">
        <v>0.94270525694034257</v>
      </c>
      <c r="AB76" s="28">
        <v>0.93142788519274644</v>
      </c>
      <c r="AC76" s="28">
        <v>0.92</v>
      </c>
      <c r="AD76" s="26">
        <v>0.99561285701495206</v>
      </c>
      <c r="AE76" s="26">
        <v>0.99810959187901394</v>
      </c>
      <c r="AF76" s="26">
        <v>0.99756189591617561</v>
      </c>
      <c r="AG76" s="26">
        <v>0.99402157305124084</v>
      </c>
      <c r="AH76" s="28">
        <v>0.92</v>
      </c>
      <c r="AI76" s="26">
        <v>0.93299047042807437</v>
      </c>
      <c r="AJ76" s="26">
        <v>0.95182984047544572</v>
      </c>
      <c r="AK76" s="26">
        <v>0.9518385444537879</v>
      </c>
      <c r="AL76" s="26">
        <v>0.94646535965412848</v>
      </c>
      <c r="AM76" s="25">
        <v>0.99</v>
      </c>
      <c r="AN76" s="30">
        <v>1</v>
      </c>
      <c r="AO76" s="30">
        <v>1</v>
      </c>
      <c r="AP76" s="30">
        <v>1</v>
      </c>
      <c r="AQ76" s="30">
        <v>1</v>
      </c>
      <c r="AR76" s="32">
        <v>8.7218210012826203E-2</v>
      </c>
      <c r="AS76" s="34">
        <v>0.17647058823529413</v>
      </c>
      <c r="AT76" s="34">
        <v>0</v>
      </c>
      <c r="AU76" s="34">
        <v>3.5714285714285712E-2</v>
      </c>
      <c r="AV76" s="34">
        <v>7.0895522388059698E-2</v>
      </c>
      <c r="AW76" s="10"/>
      <c r="AX76" s="8"/>
    </row>
    <row r="77" spans="1:50">
      <c r="A77" s="7"/>
      <c r="B77" s="10"/>
      <c r="C77" s="22" t="s">
        <v>56</v>
      </c>
      <c r="D77" s="23" t="s">
        <v>29</v>
      </c>
      <c r="E77" s="35" t="s">
        <v>125</v>
      </c>
      <c r="F77" s="35" t="s">
        <v>125</v>
      </c>
      <c r="G77" s="35" t="s">
        <v>125</v>
      </c>
      <c r="H77" s="35" t="s">
        <v>125</v>
      </c>
      <c r="I77" s="25">
        <v>0.9</v>
      </c>
      <c r="J77" s="26">
        <v>1</v>
      </c>
      <c r="K77" s="26">
        <v>1</v>
      </c>
      <c r="L77" s="27">
        <v>0.94444444444444442</v>
      </c>
      <c r="M77" s="26">
        <v>0.97777777777777775</v>
      </c>
      <c r="N77" s="28">
        <v>0.9</v>
      </c>
      <c r="O77" s="26">
        <v>0.99300699300699302</v>
      </c>
      <c r="P77" s="26">
        <v>0.98392036753445633</v>
      </c>
      <c r="Q77" s="26">
        <v>0.9934402332361516</v>
      </c>
      <c r="R77" s="26">
        <v>0.96484687083888154</v>
      </c>
      <c r="S77" s="28">
        <v>0.9</v>
      </c>
      <c r="T77" s="26">
        <v>0.83916083916083917</v>
      </c>
      <c r="U77" s="26">
        <v>0.87672281776416539</v>
      </c>
      <c r="V77" s="26">
        <v>0.90889212827988342</v>
      </c>
      <c r="W77" s="26">
        <v>0.8616955170883267</v>
      </c>
      <c r="X77" s="28">
        <v>0.92</v>
      </c>
      <c r="Y77" s="28">
        <v>0.92497625830959163</v>
      </c>
      <c r="Z77" s="28">
        <v>0.94926719278466742</v>
      </c>
      <c r="AA77" s="28">
        <v>0.9594907407407407</v>
      </c>
      <c r="AB77" s="28">
        <v>0.95100977198697068</v>
      </c>
      <c r="AC77" s="28">
        <v>0.92</v>
      </c>
      <c r="AD77" s="26">
        <v>0.5</v>
      </c>
      <c r="AE77" s="26">
        <v>0</v>
      </c>
      <c r="AF77" s="26">
        <v>0.5</v>
      </c>
      <c r="AG77" s="26">
        <v>0.35135135135135137</v>
      </c>
      <c r="AH77" s="28">
        <v>0.92</v>
      </c>
      <c r="AI77" s="26">
        <v>0.94102564102564101</v>
      </c>
      <c r="AJ77" s="26">
        <v>0.96534427724578198</v>
      </c>
      <c r="AK77" s="26">
        <v>0.97629695885509837</v>
      </c>
      <c r="AL77" s="26">
        <v>0.96826989071326752</v>
      </c>
      <c r="AM77" s="25">
        <v>0.99</v>
      </c>
      <c r="AN77" s="30">
        <v>1</v>
      </c>
      <c r="AO77" s="30">
        <v>1</v>
      </c>
      <c r="AP77" s="30">
        <v>1</v>
      </c>
      <c r="AQ77" s="30">
        <v>1</v>
      </c>
      <c r="AR77" s="32">
        <v>8.7218210012826203E-2</v>
      </c>
      <c r="AS77" s="34">
        <v>0</v>
      </c>
      <c r="AT77" s="34">
        <v>0.16666666666666666</v>
      </c>
      <c r="AU77" s="34">
        <v>0.2</v>
      </c>
      <c r="AV77" s="34">
        <v>6.8181818181818177E-2</v>
      </c>
      <c r="AW77" s="10"/>
      <c r="AX77" s="8"/>
    </row>
    <row r="78" spans="1:50">
      <c r="A78" s="7"/>
      <c r="B78" s="10"/>
      <c r="C78" s="22" t="s">
        <v>56</v>
      </c>
      <c r="D78" s="23" t="s">
        <v>29</v>
      </c>
      <c r="E78" s="35" t="s">
        <v>126</v>
      </c>
      <c r="F78" s="35" t="s">
        <v>126</v>
      </c>
      <c r="G78" s="35" t="s">
        <v>126</v>
      </c>
      <c r="H78" s="35" t="s">
        <v>126</v>
      </c>
      <c r="I78" s="25">
        <v>0.9</v>
      </c>
      <c r="J78" s="26">
        <v>0.94936708860759489</v>
      </c>
      <c r="K78" s="26">
        <v>0.94871794871794868</v>
      </c>
      <c r="L78" s="27">
        <v>0.98765432098765427</v>
      </c>
      <c r="M78" s="26">
        <v>0.94417862838915467</v>
      </c>
      <c r="N78" s="28">
        <v>0.9</v>
      </c>
      <c r="O78" s="26">
        <v>0.98905177212840978</v>
      </c>
      <c r="P78" s="26">
        <v>0.98732696432053035</v>
      </c>
      <c r="Q78" s="26">
        <v>0.99504496237841811</v>
      </c>
      <c r="R78" s="26">
        <v>0.98992829512218139</v>
      </c>
      <c r="S78" s="28">
        <v>0.9</v>
      </c>
      <c r="T78" s="26">
        <v>0.82390053813323438</v>
      </c>
      <c r="U78" s="26">
        <v>0.825891986742055</v>
      </c>
      <c r="V78" s="26">
        <v>0.86492934483391448</v>
      </c>
      <c r="W78" s="26">
        <v>0.83064440041513354</v>
      </c>
      <c r="X78" s="28">
        <v>0.92</v>
      </c>
      <c r="Y78" s="28">
        <v>0.92993456924754636</v>
      </c>
      <c r="Z78" s="28">
        <v>0.95813019787783194</v>
      </c>
      <c r="AA78" s="28">
        <v>0.96257119609438568</v>
      </c>
      <c r="AB78" s="28">
        <v>0.95390578622062372</v>
      </c>
      <c r="AC78" s="28">
        <v>0.92</v>
      </c>
      <c r="AD78" s="26">
        <v>0.99809868718877315</v>
      </c>
      <c r="AE78" s="26">
        <v>0.9993236714975845</v>
      </c>
      <c r="AF78" s="26">
        <v>0.99902572096648479</v>
      </c>
      <c r="AG78" s="26">
        <v>0.99702550778831323</v>
      </c>
      <c r="AH78" s="28">
        <v>0.92</v>
      </c>
      <c r="AI78" s="26">
        <v>0.94965776109516453</v>
      </c>
      <c r="AJ78" s="26">
        <v>0.969594986654288</v>
      </c>
      <c r="AK78" s="26">
        <v>0.97602889667250436</v>
      </c>
      <c r="AL78" s="26">
        <v>0.96882169953408503</v>
      </c>
      <c r="AM78" s="25">
        <v>0.99</v>
      </c>
      <c r="AN78" s="30">
        <v>1</v>
      </c>
      <c r="AO78" s="30">
        <v>1</v>
      </c>
      <c r="AP78" s="30">
        <v>1</v>
      </c>
      <c r="AQ78" s="30">
        <v>1</v>
      </c>
      <c r="AR78" s="32">
        <v>8.7218210012826203E-2</v>
      </c>
      <c r="AS78" s="34">
        <v>7.4999999999999997E-2</v>
      </c>
      <c r="AT78" s="34">
        <v>9.375E-2</v>
      </c>
      <c r="AU78" s="34">
        <v>5.4054054054054057E-2</v>
      </c>
      <c r="AV78" s="34">
        <v>7.9051383399209488E-2</v>
      </c>
      <c r="AW78" s="10"/>
      <c r="AX78" s="8"/>
    </row>
    <row r="79" spans="1:50">
      <c r="A79" s="7"/>
      <c r="B79" s="10"/>
      <c r="C79" s="36"/>
      <c r="D79" s="37"/>
      <c r="E79" s="37"/>
      <c r="F79" s="38"/>
      <c r="G79" s="38"/>
      <c r="H79" s="38"/>
      <c r="I79" s="39"/>
      <c r="J79" s="40"/>
      <c r="K79" s="40"/>
      <c r="L79" s="27"/>
      <c r="M79" s="40"/>
      <c r="N79" s="39"/>
      <c r="O79" s="41"/>
      <c r="P79" s="42"/>
      <c r="Q79" s="26"/>
      <c r="R79" s="42"/>
      <c r="S79" s="43"/>
      <c r="T79" s="40"/>
      <c r="U79" s="40"/>
      <c r="V79" s="26"/>
      <c r="W79" s="40"/>
      <c r="X79" s="43"/>
      <c r="Y79" s="43"/>
      <c r="Z79" s="43"/>
      <c r="AA79" s="28"/>
      <c r="AB79" s="43"/>
      <c r="AC79" s="40"/>
      <c r="AD79" s="40"/>
      <c r="AE79" s="40"/>
      <c r="AF79" s="26"/>
      <c r="AG79" s="40"/>
      <c r="AH79" s="43"/>
      <c r="AI79" s="40"/>
      <c r="AJ79" s="40"/>
      <c r="AK79" s="26"/>
      <c r="AL79" s="40"/>
      <c r="AM79" s="39"/>
      <c r="AN79" s="39"/>
      <c r="AO79" s="39"/>
      <c r="AP79" s="30"/>
      <c r="AQ79" s="39"/>
      <c r="AR79" s="44"/>
      <c r="AS79" s="39"/>
      <c r="AT79" s="39"/>
      <c r="AU79" s="34"/>
      <c r="AV79" s="39"/>
      <c r="AW79" s="10"/>
      <c r="AX79" s="8"/>
    </row>
    <row r="80" spans="1:50">
      <c r="A80" s="7"/>
      <c r="B80" s="10"/>
      <c r="C80" s="45" t="s">
        <v>127</v>
      </c>
      <c r="D80" s="23" t="s">
        <v>11</v>
      </c>
      <c r="E80" s="46" t="s">
        <v>128</v>
      </c>
      <c r="F80" s="46" t="s">
        <v>128</v>
      </c>
      <c r="G80" s="46" t="s">
        <v>128</v>
      </c>
      <c r="H80" s="46" t="s">
        <v>128</v>
      </c>
      <c r="I80" s="25">
        <v>0.9</v>
      </c>
      <c r="J80" s="26">
        <v>0.89552238805970152</v>
      </c>
      <c r="K80" s="26">
        <v>0.93333333333333335</v>
      </c>
      <c r="L80" s="27">
        <v>0.93243243243243246</v>
      </c>
      <c r="M80" s="26">
        <v>0.91382405745062834</v>
      </c>
      <c r="N80" s="28">
        <v>0.9</v>
      </c>
      <c r="O80" s="26">
        <v>0.91643835616438352</v>
      </c>
      <c r="P80" s="26">
        <v>0.88258426966292136</v>
      </c>
      <c r="Q80" s="26">
        <v>0.93710843373493979</v>
      </c>
      <c r="R80" s="26">
        <v>0.89319796954314723</v>
      </c>
      <c r="S80" s="28">
        <v>0.9</v>
      </c>
      <c r="T80" s="26">
        <v>0.86082191780821915</v>
      </c>
      <c r="U80" s="26">
        <v>0.83314606741573038</v>
      </c>
      <c r="V80" s="26">
        <v>0.8655421686746988</v>
      </c>
      <c r="W80" s="26">
        <v>0.85228426395939083</v>
      </c>
      <c r="X80" s="28">
        <v>0.92</v>
      </c>
      <c r="Y80" s="28">
        <v>0.8710120068610635</v>
      </c>
      <c r="Z80" s="28">
        <v>0.92197512250282698</v>
      </c>
      <c r="AA80" s="28">
        <v>0.90551181102362199</v>
      </c>
      <c r="AB80" s="28">
        <v>0.9145910503682888</v>
      </c>
      <c r="AC80" s="28">
        <v>0.92</v>
      </c>
      <c r="AD80" s="26">
        <v>0.96746384872080093</v>
      </c>
      <c r="AE80" s="26">
        <v>0.97734457323498425</v>
      </c>
      <c r="AF80" s="26">
        <v>0.97208876687256918</v>
      </c>
      <c r="AG80" s="26">
        <v>0.97649203306200694</v>
      </c>
      <c r="AH80" s="28">
        <v>0.92</v>
      </c>
      <c r="AI80" s="26">
        <v>0.91796042617960427</v>
      </c>
      <c r="AJ80" s="26">
        <v>0.9472074682118139</v>
      </c>
      <c r="AK80" s="26">
        <v>0.94799344799344798</v>
      </c>
      <c r="AL80" s="26">
        <v>0.94734559987934541</v>
      </c>
      <c r="AM80" s="25">
        <v>0.99</v>
      </c>
      <c r="AN80" s="30">
        <v>1</v>
      </c>
      <c r="AO80" s="30">
        <v>1</v>
      </c>
      <c r="AP80" s="30">
        <v>1</v>
      </c>
      <c r="AQ80" s="31">
        <v>1</v>
      </c>
      <c r="AR80" s="32">
        <v>0.10526149898194399</v>
      </c>
      <c r="AS80" s="33">
        <v>7.1428571428571425E-2</v>
      </c>
      <c r="AT80" s="34">
        <v>0.15384615384615385</v>
      </c>
      <c r="AU80" s="34">
        <v>0.19047619047619047</v>
      </c>
      <c r="AV80" s="34">
        <v>0.11392405063291139</v>
      </c>
      <c r="AW80" s="10"/>
      <c r="AX80" s="8"/>
    </row>
    <row r="81" spans="1:50">
      <c r="A81" s="7"/>
      <c r="B81" s="10"/>
      <c r="C81" s="45" t="s">
        <v>127</v>
      </c>
      <c r="D81" s="23" t="s">
        <v>11</v>
      </c>
      <c r="E81" s="46" t="s">
        <v>129</v>
      </c>
      <c r="F81" s="46" t="s">
        <v>129</v>
      </c>
      <c r="G81" s="46" t="s">
        <v>129</v>
      </c>
      <c r="H81" s="46" t="s">
        <v>129</v>
      </c>
      <c r="I81" s="25">
        <v>0.9</v>
      </c>
      <c r="J81" s="26">
        <v>0.9642857142857143</v>
      </c>
      <c r="K81" s="26">
        <v>0.8928571428571429</v>
      </c>
      <c r="L81" s="27">
        <v>0.93103448275862066</v>
      </c>
      <c r="M81" s="26">
        <v>0.91685393258426962</v>
      </c>
      <c r="N81" s="28">
        <v>0.9</v>
      </c>
      <c r="O81" s="26">
        <v>0.95656706045865181</v>
      </c>
      <c r="P81" s="26">
        <v>0.95197740112994356</v>
      </c>
      <c r="Q81" s="26">
        <v>0.89591648756524411</v>
      </c>
      <c r="R81" s="26">
        <v>0.88871189943172035</v>
      </c>
      <c r="S81" s="28">
        <v>0.9</v>
      </c>
      <c r="T81" s="26">
        <v>0.8902015288394719</v>
      </c>
      <c r="U81" s="26">
        <v>0.88453389830508478</v>
      </c>
      <c r="V81" s="26">
        <v>0.89714461160577219</v>
      </c>
      <c r="W81" s="26">
        <v>0.88229722748407091</v>
      </c>
      <c r="X81" s="28">
        <v>0.92</v>
      </c>
      <c r="Y81" s="28">
        <v>0.93433083956774732</v>
      </c>
      <c r="Z81" s="28">
        <v>0.95547134059687355</v>
      </c>
      <c r="AA81" s="28">
        <v>0.95721476510067116</v>
      </c>
      <c r="AB81" s="28">
        <v>0.94354623552638595</v>
      </c>
      <c r="AC81" s="28">
        <v>0.92</v>
      </c>
      <c r="AD81" s="26">
        <v>0.99378109452736318</v>
      </c>
      <c r="AE81" s="26">
        <v>0.97657657657657659</v>
      </c>
      <c r="AF81" s="26">
        <v>0.971947194719472</v>
      </c>
      <c r="AG81" s="26">
        <v>0.98212913143735592</v>
      </c>
      <c r="AH81" s="28">
        <v>0.92</v>
      </c>
      <c r="AI81" s="26">
        <v>0.95704012112036341</v>
      </c>
      <c r="AJ81" s="26">
        <v>0.96804853387259859</v>
      </c>
      <c r="AK81" s="26">
        <v>0.97447261123914197</v>
      </c>
      <c r="AL81" s="26">
        <v>0.96478688680818625</v>
      </c>
      <c r="AM81" s="25">
        <v>0.99</v>
      </c>
      <c r="AN81" s="30">
        <v>1</v>
      </c>
      <c r="AO81" s="30">
        <v>1</v>
      </c>
      <c r="AP81" s="30">
        <v>1</v>
      </c>
      <c r="AQ81" s="31">
        <v>1</v>
      </c>
      <c r="AR81" s="32">
        <v>0.10526149898194399</v>
      </c>
      <c r="AS81" s="33">
        <v>0.25</v>
      </c>
      <c r="AT81" s="34">
        <v>0.33333333333333331</v>
      </c>
      <c r="AU81" s="34">
        <v>0.2857142857142857</v>
      </c>
      <c r="AV81" s="34">
        <v>0.14666666666666667</v>
      </c>
      <c r="AW81" s="10"/>
      <c r="AX81" s="8"/>
    </row>
    <row r="82" spans="1:50">
      <c r="A82" s="7"/>
      <c r="B82" s="10"/>
      <c r="C82" s="45" t="s">
        <v>127</v>
      </c>
      <c r="D82" s="23" t="s">
        <v>11</v>
      </c>
      <c r="E82" s="46" t="s">
        <v>130</v>
      </c>
      <c r="F82" s="46" t="s">
        <v>130</v>
      </c>
      <c r="G82" s="46" t="s">
        <v>130</v>
      </c>
      <c r="H82" s="46" t="s">
        <v>130</v>
      </c>
      <c r="I82" s="25">
        <v>0.9</v>
      </c>
      <c r="J82" s="26">
        <v>0.93203883495145634</v>
      </c>
      <c r="K82" s="26">
        <v>0.98095238095238091</v>
      </c>
      <c r="L82" s="27">
        <v>0.96261682242990654</v>
      </c>
      <c r="M82" s="26">
        <v>0.94505494505494503</v>
      </c>
      <c r="N82" s="28">
        <v>0.9</v>
      </c>
      <c r="O82" s="26">
        <v>0.97934719815135762</v>
      </c>
      <c r="P82" s="26">
        <v>0.97592778335005015</v>
      </c>
      <c r="Q82" s="26">
        <v>0.94119937694704048</v>
      </c>
      <c r="R82" s="26">
        <v>0.94928690567664309</v>
      </c>
      <c r="S82" s="28">
        <v>0.9</v>
      </c>
      <c r="T82" s="26">
        <v>0.89182553437319467</v>
      </c>
      <c r="U82" s="26">
        <v>0.83235420547356354</v>
      </c>
      <c r="V82" s="26">
        <v>0.84034267912772587</v>
      </c>
      <c r="W82" s="26">
        <v>0.8358477482711445</v>
      </c>
      <c r="X82" s="28">
        <v>0.92</v>
      </c>
      <c r="Y82" s="28">
        <v>0.93864811842339935</v>
      </c>
      <c r="Z82" s="28">
        <v>0.95163290615957008</v>
      </c>
      <c r="AA82" s="28">
        <v>0.9498069498069498</v>
      </c>
      <c r="AB82" s="28">
        <v>0.94985830060160092</v>
      </c>
      <c r="AC82" s="28">
        <v>0.92</v>
      </c>
      <c r="AD82" s="26">
        <v>0.92383933229003656</v>
      </c>
      <c r="AE82" s="26">
        <v>0.99223389675650986</v>
      </c>
      <c r="AF82" s="26">
        <v>0.99690082644628097</v>
      </c>
      <c r="AG82" s="26">
        <v>0.9706575403949731</v>
      </c>
      <c r="AH82" s="28">
        <v>0.92</v>
      </c>
      <c r="AI82" s="26">
        <v>0.96201420477216504</v>
      </c>
      <c r="AJ82" s="26">
        <v>0.9701277820089701</v>
      </c>
      <c r="AK82" s="26">
        <v>0.9690457719162141</v>
      </c>
      <c r="AL82" s="26">
        <v>0.9684288125814654</v>
      </c>
      <c r="AM82" s="25">
        <v>0.99</v>
      </c>
      <c r="AN82" s="30">
        <v>1</v>
      </c>
      <c r="AO82" s="30">
        <v>1</v>
      </c>
      <c r="AP82" s="30">
        <v>1</v>
      </c>
      <c r="AQ82" s="30">
        <v>1</v>
      </c>
      <c r="AR82" s="32">
        <v>0.10526149898194399</v>
      </c>
      <c r="AS82" s="34">
        <v>0.1</v>
      </c>
      <c r="AT82" s="34">
        <v>9.0909090909090912E-2</v>
      </c>
      <c r="AU82" s="34">
        <v>0</v>
      </c>
      <c r="AV82" s="34">
        <v>0.11176470588235295</v>
      </c>
      <c r="AW82" s="10"/>
      <c r="AX82" s="8"/>
    </row>
    <row r="83" spans="1:50">
      <c r="A83" s="7"/>
      <c r="B83" s="10"/>
      <c r="C83" s="45" t="s">
        <v>127</v>
      </c>
      <c r="D83" s="23" t="s">
        <v>11</v>
      </c>
      <c r="E83" s="46" t="s">
        <v>131</v>
      </c>
      <c r="F83" s="46" t="s">
        <v>131</v>
      </c>
      <c r="G83" s="46" t="s">
        <v>131</v>
      </c>
      <c r="H83" s="46" t="s">
        <v>131</v>
      </c>
      <c r="I83" s="25">
        <v>0.9</v>
      </c>
      <c r="J83" s="26">
        <v>0.84782608695652173</v>
      </c>
      <c r="K83" s="26">
        <v>0.86524822695035464</v>
      </c>
      <c r="L83" s="27">
        <v>0.85815602836879434</v>
      </c>
      <c r="M83" s="26">
        <v>0.86414048059149717</v>
      </c>
      <c r="N83" s="28">
        <v>0.9</v>
      </c>
      <c r="O83" s="26">
        <v>0.886970817920263</v>
      </c>
      <c r="P83" s="26">
        <v>0.9157000269759914</v>
      </c>
      <c r="Q83" s="26">
        <v>0.79049051365108747</v>
      </c>
      <c r="R83" s="26">
        <v>0.8171207506790682</v>
      </c>
      <c r="S83" s="28">
        <v>0.9</v>
      </c>
      <c r="T83" s="26">
        <v>0.83107274969173861</v>
      </c>
      <c r="U83" s="26">
        <v>0.85230644726193683</v>
      </c>
      <c r="V83" s="26">
        <v>0.80414160111059696</v>
      </c>
      <c r="W83" s="26">
        <v>0.8242653716355256</v>
      </c>
      <c r="X83" s="28">
        <v>0.92</v>
      </c>
      <c r="Y83" s="28">
        <v>0.90703764320785596</v>
      </c>
      <c r="Z83" s="28">
        <v>0.91517936031100899</v>
      </c>
      <c r="AA83" s="28">
        <v>0.93805740230257828</v>
      </c>
      <c r="AB83" s="28">
        <v>0.9334013407169921</v>
      </c>
      <c r="AC83" s="28">
        <v>0.92</v>
      </c>
      <c r="AD83" s="26">
        <v>0.99016232169208063</v>
      </c>
      <c r="AE83" s="26">
        <v>0.99475777295733914</v>
      </c>
      <c r="AF83" s="26">
        <v>0.98938467074487224</v>
      </c>
      <c r="AG83" s="26">
        <v>0.98827264481015942</v>
      </c>
      <c r="AH83" s="28">
        <v>0.92</v>
      </c>
      <c r="AI83" s="26">
        <v>0.93292592040542555</v>
      </c>
      <c r="AJ83" s="26">
        <v>0.94156340829126506</v>
      </c>
      <c r="AK83" s="26">
        <v>0.95679762386931277</v>
      </c>
      <c r="AL83" s="26">
        <v>0.95440757422557221</v>
      </c>
      <c r="AM83" s="25">
        <v>0.99</v>
      </c>
      <c r="AN83" s="30">
        <v>1</v>
      </c>
      <c r="AO83" s="30">
        <v>1</v>
      </c>
      <c r="AP83" s="30">
        <v>1</v>
      </c>
      <c r="AQ83" s="30">
        <v>1</v>
      </c>
      <c r="AR83" s="32">
        <v>0.10526149898194399</v>
      </c>
      <c r="AS83" s="34">
        <v>0.125</v>
      </c>
      <c r="AT83" s="34">
        <v>3.0303030303030304E-2</v>
      </c>
      <c r="AU83" s="34">
        <v>6.6666666666666666E-2</v>
      </c>
      <c r="AV83" s="34">
        <v>0.10877192982456141</v>
      </c>
      <c r="AW83" s="10"/>
      <c r="AX83" s="8"/>
    </row>
    <row r="84" spans="1:50">
      <c r="A84" s="7"/>
      <c r="B84" s="10"/>
      <c r="C84" s="45" t="s">
        <v>127</v>
      </c>
      <c r="D84" s="23" t="s">
        <v>11</v>
      </c>
      <c r="E84" s="46" t="s">
        <v>132</v>
      </c>
      <c r="F84" s="46" t="s">
        <v>132</v>
      </c>
      <c r="G84" s="46" t="s">
        <v>132</v>
      </c>
      <c r="H84" s="46" t="s">
        <v>132</v>
      </c>
      <c r="I84" s="25">
        <v>0.9</v>
      </c>
      <c r="J84" s="26">
        <v>0.95604395604395609</v>
      </c>
      <c r="K84" s="26">
        <v>0.91489361702127658</v>
      </c>
      <c r="L84" s="27">
        <v>0.95744680851063835</v>
      </c>
      <c r="M84" s="26">
        <v>0.93059490084985841</v>
      </c>
      <c r="N84" s="28">
        <v>0.9</v>
      </c>
      <c r="O84" s="26">
        <v>0.91129988146977481</v>
      </c>
      <c r="P84" s="26">
        <v>0.9051094890510949</v>
      </c>
      <c r="Q84" s="26">
        <v>0.90181047137497961</v>
      </c>
      <c r="R84" s="26">
        <v>0.8576311383928571</v>
      </c>
      <c r="S84" s="28">
        <v>0.9</v>
      </c>
      <c r="T84" s="26">
        <v>0.855393125246938</v>
      </c>
      <c r="U84" s="26">
        <v>0.83653476757587397</v>
      </c>
      <c r="V84" s="26">
        <v>0.83640515413472516</v>
      </c>
      <c r="W84" s="26">
        <v>0.82140531994047616</v>
      </c>
      <c r="X84" s="28">
        <v>0.92</v>
      </c>
      <c r="Y84" s="28">
        <v>0.9001819599688069</v>
      </c>
      <c r="Z84" s="28">
        <v>0.92322834645669294</v>
      </c>
      <c r="AA84" s="28">
        <v>0.94116180503615054</v>
      </c>
      <c r="AB84" s="28">
        <v>0.91322589873176319</v>
      </c>
      <c r="AC84" s="28">
        <v>0.92</v>
      </c>
      <c r="AD84" s="26">
        <v>0.98031794095382285</v>
      </c>
      <c r="AE84" s="26">
        <v>0.99533333333333329</v>
      </c>
      <c r="AF84" s="26">
        <v>0.90222222222222226</v>
      </c>
      <c r="AG84" s="26">
        <v>0.97895385699189852</v>
      </c>
      <c r="AH84" s="28">
        <v>0.92</v>
      </c>
      <c r="AI84" s="26">
        <v>0.93951296150824826</v>
      </c>
      <c r="AJ84" s="26">
        <v>0.94807714253109665</v>
      </c>
      <c r="AK84" s="26">
        <v>0.96302504436994674</v>
      </c>
      <c r="AL84" s="26">
        <v>0.94717477709743259</v>
      </c>
      <c r="AM84" s="25">
        <v>0.99</v>
      </c>
      <c r="AN84" s="30">
        <v>1</v>
      </c>
      <c r="AO84" s="30">
        <v>1</v>
      </c>
      <c r="AP84" s="30">
        <v>1</v>
      </c>
      <c r="AQ84" s="30">
        <v>1</v>
      </c>
      <c r="AR84" s="32">
        <v>0.10526149898194399</v>
      </c>
      <c r="AS84" s="34">
        <v>0.19047619047619047</v>
      </c>
      <c r="AT84" s="34">
        <v>0.11764705882352941</v>
      </c>
      <c r="AU84" s="34">
        <v>0.10526315789473684</v>
      </c>
      <c r="AV84" s="34">
        <v>9.9337748344370855E-2</v>
      </c>
      <c r="AW84" s="10"/>
      <c r="AX84" s="8"/>
    </row>
    <row r="85" spans="1:50">
      <c r="A85" s="7"/>
      <c r="B85" s="10"/>
      <c r="C85" s="45" t="s">
        <v>127</v>
      </c>
      <c r="D85" s="23" t="s">
        <v>11</v>
      </c>
      <c r="E85" s="46" t="s">
        <v>133</v>
      </c>
      <c r="F85" s="46" t="s">
        <v>133</v>
      </c>
      <c r="G85" s="46" t="s">
        <v>133</v>
      </c>
      <c r="H85" s="46" t="s">
        <v>133</v>
      </c>
      <c r="I85" s="25">
        <v>0.9</v>
      </c>
      <c r="J85" s="26">
        <v>0.94029850746268662</v>
      </c>
      <c r="K85" s="26">
        <v>0.87142857142857144</v>
      </c>
      <c r="L85" s="27">
        <v>0.9850746268656716</v>
      </c>
      <c r="M85" s="26">
        <v>0.94941634241245132</v>
      </c>
      <c r="N85" s="28">
        <v>0.9</v>
      </c>
      <c r="O85" s="26">
        <v>0</v>
      </c>
      <c r="P85" s="26">
        <v>0</v>
      </c>
      <c r="Q85" s="26">
        <v>0</v>
      </c>
      <c r="R85" s="26">
        <v>0.33333333333333331</v>
      </c>
      <c r="S85" s="28">
        <v>0.9</v>
      </c>
      <c r="T85" s="26">
        <v>0</v>
      </c>
      <c r="U85" s="26">
        <v>0</v>
      </c>
      <c r="V85" s="26">
        <v>0</v>
      </c>
      <c r="W85" s="26">
        <v>0</v>
      </c>
      <c r="X85" s="28">
        <v>0.92</v>
      </c>
      <c r="Y85" s="28">
        <v>0</v>
      </c>
      <c r="Z85" s="28">
        <v>0</v>
      </c>
      <c r="AA85" s="28">
        <v>0</v>
      </c>
      <c r="AB85" s="28">
        <v>0</v>
      </c>
      <c r="AC85" s="28">
        <v>0.92</v>
      </c>
      <c r="AD85" s="26">
        <v>0.9438202247191011</v>
      </c>
      <c r="AE85" s="26">
        <v>0.85593220338983056</v>
      </c>
      <c r="AF85" s="26">
        <v>0.84403669724770647</v>
      </c>
      <c r="AG85" s="26">
        <v>0.8513853904282116</v>
      </c>
      <c r="AH85" s="28">
        <v>0.92</v>
      </c>
      <c r="AI85" s="26">
        <v>0.975767366720517</v>
      </c>
      <c r="AJ85" s="26">
        <v>0.98120659131145305</v>
      </c>
      <c r="AK85" s="26">
        <v>0.9801169590643275</v>
      </c>
      <c r="AL85" s="26">
        <v>0.9759217456734387</v>
      </c>
      <c r="AM85" s="25">
        <v>0.99</v>
      </c>
      <c r="AN85" s="30">
        <v>1</v>
      </c>
      <c r="AO85" s="30">
        <v>1</v>
      </c>
      <c r="AP85" s="30">
        <v>1</v>
      </c>
      <c r="AQ85" s="30">
        <v>1</v>
      </c>
      <c r="AR85" s="32">
        <v>0.10526149898194399</v>
      </c>
      <c r="AS85" s="34">
        <v>6.6666666666666666E-2</v>
      </c>
      <c r="AT85" s="34">
        <v>6.25E-2</v>
      </c>
      <c r="AU85" s="34">
        <v>8.3333333333333329E-2</v>
      </c>
      <c r="AV85" s="34">
        <v>8.6614173228346455E-2</v>
      </c>
      <c r="AW85" s="10"/>
      <c r="AX85" s="8"/>
    </row>
    <row r="86" spans="1:50">
      <c r="A86" s="7"/>
      <c r="B86" s="10"/>
      <c r="C86" s="45" t="s">
        <v>127</v>
      </c>
      <c r="D86" s="23" t="s">
        <v>11</v>
      </c>
      <c r="E86" s="46" t="s">
        <v>134</v>
      </c>
      <c r="F86" s="46" t="s">
        <v>134</v>
      </c>
      <c r="G86" s="46" t="s">
        <v>134</v>
      </c>
      <c r="H86" s="46" t="s">
        <v>134</v>
      </c>
      <c r="I86" s="25">
        <v>0.9</v>
      </c>
      <c r="J86" s="26">
        <v>0.83823529411764708</v>
      </c>
      <c r="K86" s="26">
        <v>0.88059701492537312</v>
      </c>
      <c r="L86" s="27">
        <v>0.88571428571428568</v>
      </c>
      <c r="M86" s="26">
        <v>0.89033457249070636</v>
      </c>
      <c r="N86" s="28">
        <v>0.9</v>
      </c>
      <c r="O86" s="26">
        <v>0.92787569573283857</v>
      </c>
      <c r="P86" s="26">
        <v>0.94030530872636131</v>
      </c>
      <c r="Q86" s="26">
        <v>0.94213909994155465</v>
      </c>
      <c r="R86" s="26">
        <v>0.9115006775067751</v>
      </c>
      <c r="S86" s="28">
        <v>0.9</v>
      </c>
      <c r="T86" s="26">
        <v>0.88149350649350644</v>
      </c>
      <c r="U86" s="26">
        <v>0.86830713146502625</v>
      </c>
      <c r="V86" s="26">
        <v>0.84375608805766611</v>
      </c>
      <c r="W86" s="26">
        <v>0.82926829268292679</v>
      </c>
      <c r="X86" s="28">
        <v>0.92</v>
      </c>
      <c r="Y86" s="28">
        <v>0.94405815423514539</v>
      </c>
      <c r="Z86" s="28">
        <v>0.94518716577540107</v>
      </c>
      <c r="AA86" s="28">
        <v>0.94508147254073627</v>
      </c>
      <c r="AB86" s="28">
        <v>0.94249263984298337</v>
      </c>
      <c r="AC86" s="28">
        <v>0.92</v>
      </c>
      <c r="AD86" s="26">
        <v>0.93922651933701662</v>
      </c>
      <c r="AE86" s="26">
        <v>0.97903563941299787</v>
      </c>
      <c r="AF86" s="26">
        <v>0.97722960151802651</v>
      </c>
      <c r="AG86" s="26">
        <v>0.96903421394543088</v>
      </c>
      <c r="AH86" s="28">
        <v>0.92</v>
      </c>
      <c r="AI86" s="26">
        <v>0.95440566920711323</v>
      </c>
      <c r="AJ86" s="26">
        <v>0.96003793010024385</v>
      </c>
      <c r="AK86" s="26">
        <v>0.96483958801941516</v>
      </c>
      <c r="AL86" s="26">
        <v>0.9605129215512429</v>
      </c>
      <c r="AM86" s="25">
        <v>0.99</v>
      </c>
      <c r="AN86" s="30">
        <v>1</v>
      </c>
      <c r="AO86" s="30">
        <v>1</v>
      </c>
      <c r="AP86" s="30">
        <v>1</v>
      </c>
      <c r="AQ86" s="30">
        <v>1</v>
      </c>
      <c r="AR86" s="32">
        <v>0.10526149898194399</v>
      </c>
      <c r="AS86" s="34">
        <v>0.1</v>
      </c>
      <c r="AT86" s="34">
        <v>7.1428571428571425E-2</v>
      </c>
      <c r="AU86" s="34">
        <v>0</v>
      </c>
      <c r="AV86" s="34">
        <v>0.10317460317460317</v>
      </c>
      <c r="AW86" s="10"/>
      <c r="AX86" s="8"/>
    </row>
    <row r="87" spans="1:50">
      <c r="A87" s="7"/>
      <c r="B87" s="10"/>
      <c r="C87" s="45" t="s">
        <v>127</v>
      </c>
      <c r="D87" s="23" t="s">
        <v>11</v>
      </c>
      <c r="E87" s="46" t="s">
        <v>135</v>
      </c>
      <c r="F87" s="46" t="s">
        <v>135</v>
      </c>
      <c r="G87" s="46" t="s">
        <v>135</v>
      </c>
      <c r="H87" s="46" t="s">
        <v>135</v>
      </c>
      <c r="I87" s="25">
        <v>0.9</v>
      </c>
      <c r="J87" s="26">
        <v>0.9135802469135802</v>
      </c>
      <c r="K87" s="26">
        <v>0.92941176470588238</v>
      </c>
      <c r="L87" s="27">
        <v>0.91954022988505746</v>
      </c>
      <c r="M87" s="26">
        <v>0.92514970059880242</v>
      </c>
      <c r="N87" s="28">
        <v>0.9</v>
      </c>
      <c r="O87" s="26">
        <v>0.33333333333333331</v>
      </c>
      <c r="P87" s="26">
        <v>0</v>
      </c>
      <c r="Q87" s="26">
        <v>1</v>
      </c>
      <c r="R87" s="26">
        <v>0.5714285714285714</v>
      </c>
      <c r="S87" s="28">
        <v>0.9</v>
      </c>
      <c r="T87" s="26">
        <v>0</v>
      </c>
      <c r="U87" s="26">
        <v>1</v>
      </c>
      <c r="V87" s="26">
        <v>1</v>
      </c>
      <c r="W87" s="26">
        <v>0.42857142857142855</v>
      </c>
      <c r="X87" s="28">
        <v>0.92</v>
      </c>
      <c r="Y87" s="28">
        <v>0.2857142857142857</v>
      </c>
      <c r="Z87" s="28">
        <v>0.7142857142857143</v>
      </c>
      <c r="AA87" s="28">
        <v>0</v>
      </c>
      <c r="AB87" s="28">
        <v>0.4</v>
      </c>
      <c r="AC87" s="28">
        <v>0.92</v>
      </c>
      <c r="AD87" s="26">
        <v>0.98916967509025266</v>
      </c>
      <c r="AE87" s="26">
        <v>0.97004991680532449</v>
      </c>
      <c r="AF87" s="26">
        <v>0.99206349206349209</v>
      </c>
      <c r="AG87" s="26">
        <v>0.98295454545454541</v>
      </c>
      <c r="AH87" s="28">
        <v>0.92</v>
      </c>
      <c r="AI87" s="26">
        <v>0.97036630539168611</v>
      </c>
      <c r="AJ87" s="26">
        <v>0.97374670184696566</v>
      </c>
      <c r="AK87" s="26">
        <v>0.98653742595584271</v>
      </c>
      <c r="AL87" s="26">
        <v>0.98216065057375201</v>
      </c>
      <c r="AM87" s="25">
        <v>0.99</v>
      </c>
      <c r="AN87" s="30">
        <v>1</v>
      </c>
      <c r="AO87" s="30">
        <v>1</v>
      </c>
      <c r="AP87" s="30">
        <v>1</v>
      </c>
      <c r="AQ87" s="30">
        <v>1</v>
      </c>
      <c r="AR87" s="32">
        <v>0.10526149898194399</v>
      </c>
      <c r="AS87" s="34">
        <v>0</v>
      </c>
      <c r="AT87" s="34">
        <v>0</v>
      </c>
      <c r="AU87" s="34">
        <v>0.1111111111111111</v>
      </c>
      <c r="AV87" s="34">
        <v>5.1612903225806452E-2</v>
      </c>
      <c r="AW87" s="10"/>
      <c r="AX87" s="8"/>
    </row>
    <row r="88" spans="1:50">
      <c r="A88" s="7"/>
      <c r="B88" s="10"/>
      <c r="C88" s="45" t="s">
        <v>127</v>
      </c>
      <c r="D88" s="23" t="s">
        <v>11</v>
      </c>
      <c r="E88" s="46" t="s">
        <v>136</v>
      </c>
      <c r="F88" s="46" t="s">
        <v>136</v>
      </c>
      <c r="G88" s="46" t="s">
        <v>136</v>
      </c>
      <c r="H88" s="46" t="s">
        <v>136</v>
      </c>
      <c r="I88" s="25">
        <v>0.9</v>
      </c>
      <c r="J88" s="26">
        <v>0.97674418604651159</v>
      </c>
      <c r="K88" s="26">
        <v>0.97826086956521741</v>
      </c>
      <c r="L88" s="27">
        <v>0.95744680851063835</v>
      </c>
      <c r="M88" s="26">
        <v>0.96551724137931039</v>
      </c>
      <c r="N88" s="28">
        <v>0.9</v>
      </c>
      <c r="O88" s="26">
        <v>0.92119752236751551</v>
      </c>
      <c r="P88" s="26">
        <v>0.93379549393414207</v>
      </c>
      <c r="Q88" s="26">
        <v>0.92014519056261346</v>
      </c>
      <c r="R88" s="26">
        <v>0.9250942605781316</v>
      </c>
      <c r="S88" s="28">
        <v>0.9</v>
      </c>
      <c r="T88" s="26">
        <v>0.89470061940812118</v>
      </c>
      <c r="U88" s="26">
        <v>0.89948006932409008</v>
      </c>
      <c r="V88" s="26">
        <v>0.88112522686025407</v>
      </c>
      <c r="W88" s="26">
        <v>0.88458315877670712</v>
      </c>
      <c r="X88" s="28">
        <v>0.92</v>
      </c>
      <c r="Y88" s="28">
        <v>0.94553775743707091</v>
      </c>
      <c r="Z88" s="28">
        <v>0.95046923879040668</v>
      </c>
      <c r="AA88" s="28">
        <v>0.97810898928737777</v>
      </c>
      <c r="AB88" s="28">
        <v>0.95463857184664913</v>
      </c>
      <c r="AC88" s="28">
        <v>0.92</v>
      </c>
      <c r="AD88" s="26">
        <v>1</v>
      </c>
      <c r="AE88" s="26">
        <v>0.99420289855072463</v>
      </c>
      <c r="AF88" s="26">
        <v>1</v>
      </c>
      <c r="AG88" s="26">
        <v>0.993025283347864</v>
      </c>
      <c r="AH88" s="28">
        <v>0.92</v>
      </c>
      <c r="AI88" s="26">
        <v>0.95857058708030629</v>
      </c>
      <c r="AJ88" s="26">
        <v>0.96690258118234806</v>
      </c>
      <c r="AK88" s="26">
        <v>0.97799376490005496</v>
      </c>
      <c r="AL88" s="26">
        <v>0.96694093805698655</v>
      </c>
      <c r="AM88" s="25">
        <v>0.99</v>
      </c>
      <c r="AN88" s="30">
        <v>1</v>
      </c>
      <c r="AO88" s="30">
        <v>1</v>
      </c>
      <c r="AP88" s="30">
        <v>1</v>
      </c>
      <c r="AQ88" s="30">
        <v>1</v>
      </c>
      <c r="AR88" s="32">
        <v>0.10526149898194399</v>
      </c>
      <c r="AS88" s="34">
        <v>0.18181818181818182</v>
      </c>
      <c r="AT88" s="34">
        <v>9.0909090909090912E-2</v>
      </c>
      <c r="AU88" s="34">
        <v>0.17647058823529413</v>
      </c>
      <c r="AV88" s="34">
        <v>9.6774193548387094E-2</v>
      </c>
      <c r="AW88" s="10"/>
      <c r="AX88" s="8"/>
    </row>
    <row r="89" spans="1:50">
      <c r="A89" s="7"/>
      <c r="B89" s="10"/>
      <c r="C89" s="45" t="s">
        <v>127</v>
      </c>
      <c r="D89" s="23" t="s">
        <v>11</v>
      </c>
      <c r="E89" s="46" t="s">
        <v>137</v>
      </c>
      <c r="F89" s="46" t="s">
        <v>137</v>
      </c>
      <c r="G89" s="46" t="s">
        <v>137</v>
      </c>
      <c r="H89" s="46" t="s">
        <v>137</v>
      </c>
      <c r="I89" s="25">
        <v>0.9</v>
      </c>
      <c r="J89" s="26">
        <v>0.8771929824561403</v>
      </c>
      <c r="K89" s="26">
        <v>0.83870967741935487</v>
      </c>
      <c r="L89" s="27">
        <v>0.93442622950819676</v>
      </c>
      <c r="M89" s="26">
        <v>0.80263157894736847</v>
      </c>
      <c r="N89" s="28">
        <v>0.9</v>
      </c>
      <c r="O89" s="26">
        <v>0.5</v>
      </c>
      <c r="P89" s="26">
        <v>0.25</v>
      </c>
      <c r="Q89" s="26">
        <v>0</v>
      </c>
      <c r="R89" s="26">
        <v>0.37037037037037035</v>
      </c>
      <c r="S89" s="28">
        <v>0.9</v>
      </c>
      <c r="T89" s="26">
        <v>0.125</v>
      </c>
      <c r="U89" s="26">
        <v>0</v>
      </c>
      <c r="V89" s="26">
        <v>0</v>
      </c>
      <c r="W89" s="26">
        <v>0.14814814814814814</v>
      </c>
      <c r="X89" s="28">
        <v>0.92</v>
      </c>
      <c r="Y89" s="28">
        <v>0</v>
      </c>
      <c r="Z89" s="28">
        <v>0</v>
      </c>
      <c r="AA89" s="28">
        <v>0</v>
      </c>
      <c r="AB89" s="28">
        <v>0.22222222222222221</v>
      </c>
      <c r="AC89" s="28">
        <v>0.92</v>
      </c>
      <c r="AD89" s="26">
        <v>0.78787878787878785</v>
      </c>
      <c r="AE89" s="26">
        <v>1</v>
      </c>
      <c r="AF89" s="26">
        <v>0.97499999999999998</v>
      </c>
      <c r="AG89" s="26">
        <v>0.96749226006191946</v>
      </c>
      <c r="AH89" s="28">
        <v>0.92</v>
      </c>
      <c r="AI89" s="26">
        <v>0.92818261633011412</v>
      </c>
      <c r="AJ89" s="26">
        <v>0.95948530690314726</v>
      </c>
      <c r="AK89" s="26">
        <v>0.94783589454391659</v>
      </c>
      <c r="AL89" s="26">
        <v>0.94417408674586145</v>
      </c>
      <c r="AM89" s="25">
        <v>0.99</v>
      </c>
      <c r="AN89" s="30">
        <v>1</v>
      </c>
      <c r="AO89" s="30">
        <v>1</v>
      </c>
      <c r="AP89" s="30">
        <v>1</v>
      </c>
      <c r="AQ89" s="30">
        <v>1</v>
      </c>
      <c r="AR89" s="32">
        <v>0.10526149898194399</v>
      </c>
      <c r="AS89" s="34">
        <v>5.2631578947368418E-2</v>
      </c>
      <c r="AT89" s="34">
        <v>5.5555555555555552E-2</v>
      </c>
      <c r="AU89" s="34">
        <v>0</v>
      </c>
      <c r="AV89" s="34">
        <v>9.0090090090090086E-2</v>
      </c>
      <c r="AW89" s="10"/>
      <c r="AX89" s="8"/>
    </row>
    <row r="90" spans="1:50">
      <c r="A90" s="7"/>
      <c r="B90" s="10"/>
      <c r="C90" s="45" t="s">
        <v>127</v>
      </c>
      <c r="D90" s="23" t="s">
        <v>11</v>
      </c>
      <c r="E90" s="46" t="s">
        <v>138</v>
      </c>
      <c r="F90" s="46" t="s">
        <v>138</v>
      </c>
      <c r="G90" s="46" t="s">
        <v>138</v>
      </c>
      <c r="H90" s="46" t="s">
        <v>138</v>
      </c>
      <c r="I90" s="25">
        <v>0.9</v>
      </c>
      <c r="J90" s="26">
        <v>0.92063492063492058</v>
      </c>
      <c r="K90" s="26">
        <v>0.92307692307692313</v>
      </c>
      <c r="L90" s="27">
        <v>0.88888888888888884</v>
      </c>
      <c r="M90" s="26">
        <v>0.92244897959183669</v>
      </c>
      <c r="N90" s="28">
        <v>0.9</v>
      </c>
      <c r="O90" s="26">
        <v>0.1111111111111111</v>
      </c>
      <c r="P90" s="26">
        <v>0</v>
      </c>
      <c r="Q90" s="26">
        <v>0.33333333333333331</v>
      </c>
      <c r="R90" s="26">
        <v>0.29166666666666669</v>
      </c>
      <c r="S90" s="28">
        <v>0.9</v>
      </c>
      <c r="T90" s="26">
        <v>0</v>
      </c>
      <c r="U90" s="26">
        <v>0</v>
      </c>
      <c r="V90" s="26">
        <v>0</v>
      </c>
      <c r="W90" s="26">
        <v>0.16666666666666666</v>
      </c>
      <c r="X90" s="28">
        <v>0.92</v>
      </c>
      <c r="Y90" s="28">
        <v>0</v>
      </c>
      <c r="Z90" s="28">
        <v>0.5</v>
      </c>
      <c r="AA90" s="28">
        <v>1</v>
      </c>
      <c r="AB90" s="28">
        <v>0.23529411764705882</v>
      </c>
      <c r="AC90" s="28">
        <v>0.92</v>
      </c>
      <c r="AD90" s="26">
        <v>0.98895027624309395</v>
      </c>
      <c r="AE90" s="26">
        <v>0.99355877616747179</v>
      </c>
      <c r="AF90" s="26">
        <v>0.92179700499168049</v>
      </c>
      <c r="AG90" s="26">
        <v>0.98204389270671688</v>
      </c>
      <c r="AH90" s="28">
        <v>0.92</v>
      </c>
      <c r="AI90" s="26">
        <v>0.98106007067137813</v>
      </c>
      <c r="AJ90" s="26">
        <v>0.98531717747683534</v>
      </c>
      <c r="AK90" s="26">
        <v>0.9870296798317364</v>
      </c>
      <c r="AL90" s="26">
        <v>0.98426986240568126</v>
      </c>
      <c r="AM90" s="25">
        <v>0.99</v>
      </c>
      <c r="AN90" s="30">
        <v>1</v>
      </c>
      <c r="AO90" s="30">
        <v>1</v>
      </c>
      <c r="AP90" s="30">
        <v>1</v>
      </c>
      <c r="AQ90" s="30">
        <v>1</v>
      </c>
      <c r="AR90" s="32">
        <v>0.10526149898194399</v>
      </c>
      <c r="AS90" s="34">
        <v>0.26315789473684209</v>
      </c>
      <c r="AT90" s="34">
        <v>0.14285714285714285</v>
      </c>
      <c r="AU90" s="34">
        <v>0.17647058823529413</v>
      </c>
      <c r="AV90" s="34">
        <v>0.14285714285714285</v>
      </c>
      <c r="AW90" s="10"/>
      <c r="AX90" s="8"/>
    </row>
    <row r="91" spans="1:50">
      <c r="A91" s="7"/>
      <c r="B91" s="10"/>
      <c r="C91" s="45" t="s">
        <v>127</v>
      </c>
      <c r="D91" s="23" t="s">
        <v>11</v>
      </c>
      <c r="E91" s="46" t="s">
        <v>139</v>
      </c>
      <c r="F91" s="46" t="s">
        <v>139</v>
      </c>
      <c r="G91" s="46" t="s">
        <v>139</v>
      </c>
      <c r="H91" s="46" t="s">
        <v>139</v>
      </c>
      <c r="I91" s="25">
        <v>0.9</v>
      </c>
      <c r="J91" s="26">
        <v>0.91666666666666663</v>
      </c>
      <c r="K91" s="26">
        <v>0.95238095238095233</v>
      </c>
      <c r="L91" s="27">
        <v>1</v>
      </c>
      <c r="M91" s="26">
        <v>0.95714285714285718</v>
      </c>
      <c r="N91" s="28">
        <v>0.9</v>
      </c>
      <c r="O91" s="26">
        <v>0.98224112056028012</v>
      </c>
      <c r="P91" s="26">
        <v>0.97568684658400195</v>
      </c>
      <c r="Q91" s="26">
        <v>0.97935590421139551</v>
      </c>
      <c r="R91" s="26">
        <v>0.96682068862721715</v>
      </c>
      <c r="S91" s="28">
        <v>0.9</v>
      </c>
      <c r="T91" s="26">
        <v>0.87393696848424207</v>
      </c>
      <c r="U91" s="26">
        <v>0.88961828349136884</v>
      </c>
      <c r="V91" s="26">
        <v>0.89574731626754744</v>
      </c>
      <c r="W91" s="26">
        <v>0.86412282009241315</v>
      </c>
      <c r="X91" s="28">
        <v>0.92</v>
      </c>
      <c r="Y91" s="28">
        <v>0.93361955085865256</v>
      </c>
      <c r="Z91" s="28">
        <v>0.94706723891273248</v>
      </c>
      <c r="AA91" s="28">
        <v>0.95789797172710511</v>
      </c>
      <c r="AB91" s="28">
        <v>0.94476114010437573</v>
      </c>
      <c r="AC91" s="28">
        <v>0.92</v>
      </c>
      <c r="AD91" s="26">
        <v>0.96612665684830634</v>
      </c>
      <c r="AE91" s="26">
        <v>0.99879372738238847</v>
      </c>
      <c r="AF91" s="26">
        <v>0.99410029498525077</v>
      </c>
      <c r="AG91" s="26">
        <v>0.9910714285714286</v>
      </c>
      <c r="AH91" s="28">
        <v>0.92</v>
      </c>
      <c r="AI91" s="26">
        <v>0.95336271861225652</v>
      </c>
      <c r="AJ91" s="26">
        <v>0.96497829232995658</v>
      </c>
      <c r="AK91" s="26">
        <v>0.97716331317121341</v>
      </c>
      <c r="AL91" s="26">
        <v>0.96523122178136544</v>
      </c>
      <c r="AM91" s="25">
        <v>0.99</v>
      </c>
      <c r="AN91" s="30">
        <v>1</v>
      </c>
      <c r="AO91" s="30">
        <v>1</v>
      </c>
      <c r="AP91" s="30">
        <v>1</v>
      </c>
      <c r="AQ91" s="30">
        <v>1</v>
      </c>
      <c r="AR91" s="32">
        <v>0.10526149898194399</v>
      </c>
      <c r="AS91" s="34">
        <v>0</v>
      </c>
      <c r="AT91" s="34">
        <v>0.13043478260869565</v>
      </c>
      <c r="AU91" s="34">
        <v>0.11538461538461539</v>
      </c>
      <c r="AV91" s="34">
        <v>7.9545454545454544E-2</v>
      </c>
      <c r="AW91" s="10"/>
      <c r="AX91" s="8"/>
    </row>
    <row r="92" spans="1:50">
      <c r="A92" s="7"/>
      <c r="B92" s="10"/>
      <c r="C92" s="45" t="s">
        <v>127</v>
      </c>
      <c r="D92" s="23" t="s">
        <v>11</v>
      </c>
      <c r="E92" s="46" t="s">
        <v>140</v>
      </c>
      <c r="F92" s="46" t="s">
        <v>140</v>
      </c>
      <c r="G92" s="46" t="s">
        <v>140</v>
      </c>
      <c r="H92" s="46" t="s">
        <v>140</v>
      </c>
      <c r="I92" s="25">
        <v>0.9</v>
      </c>
      <c r="J92" s="26">
        <v>0.98076923076923073</v>
      </c>
      <c r="K92" s="26">
        <v>0.9464285714285714</v>
      </c>
      <c r="L92" s="27">
        <v>0.96363636363636362</v>
      </c>
      <c r="M92" s="26">
        <v>0.95764705882352941</v>
      </c>
      <c r="N92" s="28">
        <v>0.9</v>
      </c>
      <c r="O92" s="26">
        <v>0.33333333333333331</v>
      </c>
      <c r="P92" s="26">
        <v>0</v>
      </c>
      <c r="Q92" s="26">
        <v>1</v>
      </c>
      <c r="R92" s="26">
        <v>0.5</v>
      </c>
      <c r="S92" s="28">
        <v>0.9</v>
      </c>
      <c r="T92" s="26">
        <v>0</v>
      </c>
      <c r="U92" s="26">
        <v>0</v>
      </c>
      <c r="V92" s="26">
        <v>1</v>
      </c>
      <c r="W92" s="26">
        <v>0.4</v>
      </c>
      <c r="X92" s="28">
        <v>0.92</v>
      </c>
      <c r="Y92" s="28">
        <v>0</v>
      </c>
      <c r="Z92" s="28">
        <v>0</v>
      </c>
      <c r="AA92" s="28">
        <v>0</v>
      </c>
      <c r="AB92" s="28">
        <v>0</v>
      </c>
      <c r="AC92" s="28">
        <v>0.92</v>
      </c>
      <c r="AD92" s="26">
        <v>0.99056603773584906</v>
      </c>
      <c r="AE92" s="26">
        <v>0.98657718120805371</v>
      </c>
      <c r="AF92" s="26">
        <v>0.92481203007518797</v>
      </c>
      <c r="AG92" s="26">
        <v>0.97424892703862664</v>
      </c>
      <c r="AH92" s="28">
        <v>0.92</v>
      </c>
      <c r="AI92" s="26">
        <v>0.98116051243406177</v>
      </c>
      <c r="AJ92" s="26">
        <v>0.99065762960249126</v>
      </c>
      <c r="AK92" s="26">
        <v>0.9928057553956835</v>
      </c>
      <c r="AL92" s="26">
        <v>0.98928711405304182</v>
      </c>
      <c r="AM92" s="25">
        <v>0.99</v>
      </c>
      <c r="AN92" s="30">
        <v>1</v>
      </c>
      <c r="AO92" s="30">
        <v>1</v>
      </c>
      <c r="AP92" s="30">
        <v>1</v>
      </c>
      <c r="AQ92" s="30">
        <v>1</v>
      </c>
      <c r="AR92" s="32">
        <v>0.10526149898194399</v>
      </c>
      <c r="AS92" s="34">
        <v>0</v>
      </c>
      <c r="AT92" s="34">
        <v>0</v>
      </c>
      <c r="AU92" s="34">
        <v>7.6923076923076927E-2</v>
      </c>
      <c r="AV92" s="34">
        <v>0.18518518518518517</v>
      </c>
      <c r="AW92" s="10"/>
      <c r="AX92" s="8"/>
    </row>
    <row r="93" spans="1:50">
      <c r="A93" s="7"/>
      <c r="B93" s="10"/>
      <c r="C93" s="45" t="s">
        <v>127</v>
      </c>
      <c r="D93" s="23" t="s">
        <v>11</v>
      </c>
      <c r="E93" s="46" t="s">
        <v>141</v>
      </c>
      <c r="F93" s="46" t="s">
        <v>141</v>
      </c>
      <c r="G93" s="46" t="s">
        <v>141</v>
      </c>
      <c r="H93" s="46" t="s">
        <v>141</v>
      </c>
      <c r="I93" s="25">
        <v>0.9</v>
      </c>
      <c r="J93" s="26">
        <v>1</v>
      </c>
      <c r="K93" s="26">
        <v>0.95</v>
      </c>
      <c r="L93" s="27">
        <v>0.93442622950819676</v>
      </c>
      <c r="M93" s="26">
        <v>0.93722943722943719</v>
      </c>
      <c r="N93" s="28">
        <v>0.9</v>
      </c>
      <c r="O93" s="26">
        <v>0.98378279883381925</v>
      </c>
      <c r="P93" s="26">
        <v>0.95105740181268883</v>
      </c>
      <c r="Q93" s="26">
        <v>0.95406091370558377</v>
      </c>
      <c r="R93" s="26">
        <v>0.9302067343806133</v>
      </c>
      <c r="S93" s="28">
        <v>0.9</v>
      </c>
      <c r="T93" s="26">
        <v>0.91034985422740522</v>
      </c>
      <c r="U93" s="26">
        <v>0.89305135951661629</v>
      </c>
      <c r="V93" s="26">
        <v>0.88959390862944165</v>
      </c>
      <c r="W93" s="26">
        <v>0.87631862568993113</v>
      </c>
      <c r="X93" s="28">
        <v>0.92</v>
      </c>
      <c r="Y93" s="28">
        <v>0.91755537325676784</v>
      </c>
      <c r="Z93" s="28">
        <v>1</v>
      </c>
      <c r="AA93" s="28">
        <v>0.94120065789473684</v>
      </c>
      <c r="AB93" s="28">
        <v>0.94231224828239757</v>
      </c>
      <c r="AC93" s="28">
        <v>0.92</v>
      </c>
      <c r="AD93" s="26">
        <v>0.87601078167115898</v>
      </c>
      <c r="AE93" s="26">
        <v>0.96391752577319589</v>
      </c>
      <c r="AF93" s="26">
        <v>0.97468354430379744</v>
      </c>
      <c r="AG93" s="26">
        <v>0.96306892067620287</v>
      </c>
      <c r="AH93" s="28">
        <v>0.92</v>
      </c>
      <c r="AI93" s="26">
        <v>0.95964182116282004</v>
      </c>
      <c r="AJ93" s="26">
        <v>0.98281061519903501</v>
      </c>
      <c r="AK93" s="26">
        <v>0.97081895199246937</v>
      </c>
      <c r="AL93" s="26">
        <v>0.96946741577762352</v>
      </c>
      <c r="AM93" s="25">
        <v>0.99</v>
      </c>
      <c r="AN93" s="30">
        <v>1</v>
      </c>
      <c r="AO93" s="30">
        <v>1</v>
      </c>
      <c r="AP93" s="30">
        <v>1</v>
      </c>
      <c r="AQ93" s="30">
        <v>1</v>
      </c>
      <c r="AR93" s="32">
        <v>0.10526149898194399</v>
      </c>
      <c r="AS93" s="34">
        <v>0</v>
      </c>
      <c r="AT93" s="34">
        <v>0.1111111111111111</v>
      </c>
      <c r="AU93" s="34">
        <v>0.1111111111111111</v>
      </c>
      <c r="AV93" s="34">
        <v>8.7499999999999994E-2</v>
      </c>
      <c r="AW93" s="10"/>
      <c r="AX93" s="8"/>
    </row>
    <row r="94" spans="1:50">
      <c r="A94" s="7"/>
      <c r="B94" s="10"/>
      <c r="C94" s="45" t="s">
        <v>127</v>
      </c>
      <c r="D94" s="23" t="s">
        <v>11</v>
      </c>
      <c r="E94" s="46" t="s">
        <v>142</v>
      </c>
      <c r="F94" s="46" t="s">
        <v>142</v>
      </c>
      <c r="G94" s="46" t="s">
        <v>142</v>
      </c>
      <c r="H94" s="46" t="s">
        <v>142</v>
      </c>
      <c r="I94" s="25">
        <v>0.9</v>
      </c>
      <c r="J94" s="26">
        <v>0.89473684210526316</v>
      </c>
      <c r="K94" s="26">
        <v>0.96052631578947367</v>
      </c>
      <c r="L94" s="27">
        <v>0.98701298701298701</v>
      </c>
      <c r="M94" s="26">
        <v>0.95524956970740105</v>
      </c>
      <c r="N94" s="28">
        <v>0.9</v>
      </c>
      <c r="O94" s="26">
        <v>0.97879806989325924</v>
      </c>
      <c r="P94" s="26">
        <v>0.96926593853187704</v>
      </c>
      <c r="Q94" s="26">
        <v>0.89995669120831534</v>
      </c>
      <c r="R94" s="26">
        <v>0.93444733674811764</v>
      </c>
      <c r="S94" s="28">
        <v>0.9</v>
      </c>
      <c r="T94" s="26">
        <v>0.95218599210410881</v>
      </c>
      <c r="U94" s="26">
        <v>0.91516383032766069</v>
      </c>
      <c r="V94" s="26">
        <v>0.90840190558683409</v>
      </c>
      <c r="W94" s="26">
        <v>0.92179584068071763</v>
      </c>
      <c r="X94" s="28">
        <v>0.92</v>
      </c>
      <c r="Y94" s="28">
        <v>0.93843888070692194</v>
      </c>
      <c r="Z94" s="28">
        <v>0.5</v>
      </c>
      <c r="AA94" s="28">
        <v>0.96772300469483563</v>
      </c>
      <c r="AB94" s="28">
        <v>0.95261528019344166</v>
      </c>
      <c r="AC94" s="28">
        <v>0.92</v>
      </c>
      <c r="AD94" s="26">
        <v>0.96335078534031415</v>
      </c>
      <c r="AE94" s="26">
        <v>0.86274509803921573</v>
      </c>
      <c r="AF94" s="26">
        <v>0.95734597156398105</v>
      </c>
      <c r="AG94" s="26">
        <v>0.96077127659574468</v>
      </c>
      <c r="AH94" s="28">
        <v>0.92</v>
      </c>
      <c r="AI94" s="26">
        <v>0.96923828125</v>
      </c>
      <c r="AJ94" s="26">
        <v>0.98604415123065214</v>
      </c>
      <c r="AK94" s="26">
        <v>0.98118614502865686</v>
      </c>
      <c r="AL94" s="26">
        <v>0.97347743980575974</v>
      </c>
      <c r="AM94" s="25">
        <v>0.99</v>
      </c>
      <c r="AN94" s="30">
        <v>1</v>
      </c>
      <c r="AO94" s="30">
        <v>1</v>
      </c>
      <c r="AP94" s="30">
        <v>1</v>
      </c>
      <c r="AQ94" s="30">
        <v>1</v>
      </c>
      <c r="AR94" s="32">
        <v>0.10526149898194399</v>
      </c>
      <c r="AS94" s="34">
        <v>0</v>
      </c>
      <c r="AT94" s="34">
        <v>0</v>
      </c>
      <c r="AU94" s="34">
        <v>0</v>
      </c>
      <c r="AV94" s="34">
        <v>8.7301587301587297E-2</v>
      </c>
      <c r="AW94" s="10"/>
      <c r="AX94" s="8"/>
    </row>
    <row r="95" spans="1:50">
      <c r="A95" s="7"/>
      <c r="B95" s="10"/>
      <c r="C95" s="45" t="s">
        <v>127</v>
      </c>
      <c r="D95" s="23" t="s">
        <v>11</v>
      </c>
      <c r="E95" s="46" t="s">
        <v>143</v>
      </c>
      <c r="F95" s="46" t="s">
        <v>143</v>
      </c>
      <c r="G95" s="46" t="s">
        <v>143</v>
      </c>
      <c r="H95" s="46" t="s">
        <v>143</v>
      </c>
      <c r="I95" s="25">
        <v>0.9</v>
      </c>
      <c r="J95" s="26">
        <v>0.91176470588235292</v>
      </c>
      <c r="K95" s="26">
        <v>0.90540540540540537</v>
      </c>
      <c r="L95" s="27">
        <v>0.91666666666666663</v>
      </c>
      <c r="M95" s="26">
        <v>0.93198529411764708</v>
      </c>
      <c r="N95" s="28">
        <v>0.9</v>
      </c>
      <c r="O95" s="26">
        <v>0.98001784121320246</v>
      </c>
      <c r="P95" s="26">
        <v>0.95852534562211977</v>
      </c>
      <c r="Q95" s="26">
        <v>0.96686209533520262</v>
      </c>
      <c r="R95" s="26">
        <v>0.96112750585122619</v>
      </c>
      <c r="S95" s="28">
        <v>0.9</v>
      </c>
      <c r="T95" s="26">
        <v>0.93273862622658343</v>
      </c>
      <c r="U95" s="26">
        <v>0.9231950844854071</v>
      </c>
      <c r="V95" s="26">
        <v>0.90670405302064749</v>
      </c>
      <c r="W95" s="26">
        <v>0.91523354024626036</v>
      </c>
      <c r="X95" s="28">
        <v>0.92</v>
      </c>
      <c r="Y95" s="28">
        <v>0.93797564687975643</v>
      </c>
      <c r="Z95" s="28">
        <v>1</v>
      </c>
      <c r="AA95" s="28">
        <v>0.95473887814313341</v>
      </c>
      <c r="AB95" s="28">
        <v>0.95164283375177383</v>
      </c>
      <c r="AC95" s="28">
        <v>0.92</v>
      </c>
      <c r="AD95" s="26">
        <v>0.98755555555555552</v>
      </c>
      <c r="AE95" s="26">
        <v>0.97121925693354261</v>
      </c>
      <c r="AF95" s="26">
        <v>0.99198988195615512</v>
      </c>
      <c r="AG95" s="26">
        <v>0.98539910891620597</v>
      </c>
      <c r="AH95" s="28">
        <v>0.92</v>
      </c>
      <c r="AI95" s="26">
        <v>0.97013113161728992</v>
      </c>
      <c r="AJ95" s="26">
        <v>0.98446069469835462</v>
      </c>
      <c r="AK95" s="26">
        <v>0.97725875845113708</v>
      </c>
      <c r="AL95" s="26">
        <v>0.97337321424836332</v>
      </c>
      <c r="AM95" s="25">
        <v>0.99</v>
      </c>
      <c r="AN95" s="30">
        <v>1</v>
      </c>
      <c r="AO95" s="30">
        <v>1</v>
      </c>
      <c r="AP95" s="30">
        <v>1</v>
      </c>
      <c r="AQ95" s="30">
        <v>1</v>
      </c>
      <c r="AR95" s="32">
        <v>0.10526149898194399</v>
      </c>
      <c r="AS95" s="34">
        <v>0.27272727272727271</v>
      </c>
      <c r="AT95" s="34">
        <v>0.10526315789473684</v>
      </c>
      <c r="AU95" s="34">
        <v>0.1</v>
      </c>
      <c r="AV95" s="34">
        <v>0.10317460317460317</v>
      </c>
      <c r="AW95" s="10"/>
      <c r="AX95" s="8"/>
    </row>
    <row r="96" spans="1:50">
      <c r="A96" s="7"/>
      <c r="B96" s="10"/>
      <c r="C96" s="45" t="s">
        <v>127</v>
      </c>
      <c r="D96" s="23" t="s">
        <v>11</v>
      </c>
      <c r="E96" s="46" t="s">
        <v>144</v>
      </c>
      <c r="F96" s="46" t="s">
        <v>144</v>
      </c>
      <c r="G96" s="46" t="s">
        <v>144</v>
      </c>
      <c r="H96" s="46" t="s">
        <v>144</v>
      </c>
      <c r="I96" s="25">
        <v>0.9</v>
      </c>
      <c r="J96" s="26">
        <v>0.93055555555555558</v>
      </c>
      <c r="K96" s="26">
        <v>0.92405063291139244</v>
      </c>
      <c r="L96" s="27">
        <v>0.9375</v>
      </c>
      <c r="M96" s="26">
        <v>0.92524916943521596</v>
      </c>
      <c r="N96" s="28">
        <v>0.9</v>
      </c>
      <c r="O96" s="26">
        <v>0.88041853512705526</v>
      </c>
      <c r="P96" s="26">
        <v>0.88405797101449279</v>
      </c>
      <c r="Q96" s="26">
        <v>0.8784189960925759</v>
      </c>
      <c r="R96" s="26">
        <v>0.86896299996157833</v>
      </c>
      <c r="S96" s="28">
        <v>0.9</v>
      </c>
      <c r="T96" s="26">
        <v>0.85384487626640093</v>
      </c>
      <c r="U96" s="26">
        <v>0.88027725267800883</v>
      </c>
      <c r="V96" s="26">
        <v>0.88758641418695516</v>
      </c>
      <c r="W96" s="26">
        <v>0.85847389249625394</v>
      </c>
      <c r="X96" s="28">
        <v>0.92</v>
      </c>
      <c r="Y96" s="28">
        <v>0.91857073407875545</v>
      </c>
      <c r="Z96" s="28">
        <v>0.92465753424657537</v>
      </c>
      <c r="AA96" s="28">
        <v>0.94705240174672489</v>
      </c>
      <c r="AB96" s="28">
        <v>0.92541931281550238</v>
      </c>
      <c r="AC96" s="28">
        <v>0.92</v>
      </c>
      <c r="AD96" s="26">
        <v>0.98761109614866682</v>
      </c>
      <c r="AE96" s="26">
        <v>0.97109166983643969</v>
      </c>
      <c r="AF96" s="26">
        <v>0.95281429052915401</v>
      </c>
      <c r="AG96" s="26">
        <v>0.94896779521056973</v>
      </c>
      <c r="AH96" s="28">
        <v>0.92</v>
      </c>
      <c r="AI96" s="26">
        <v>0.94140278188813253</v>
      </c>
      <c r="AJ96" s="26">
        <v>0.95515916034295856</v>
      </c>
      <c r="AK96" s="26">
        <v>0.96375266524520253</v>
      </c>
      <c r="AL96" s="26">
        <v>0.95418574587103866</v>
      </c>
      <c r="AM96" s="25">
        <v>0.99</v>
      </c>
      <c r="AN96" s="30">
        <v>1</v>
      </c>
      <c r="AO96" s="30">
        <v>1</v>
      </c>
      <c r="AP96" s="30">
        <v>1</v>
      </c>
      <c r="AQ96" s="30">
        <v>1</v>
      </c>
      <c r="AR96" s="32">
        <v>0.10526149898194399</v>
      </c>
      <c r="AS96" s="34">
        <v>7.6923076923076927E-2</v>
      </c>
      <c r="AT96" s="34">
        <v>0.1111111111111111</v>
      </c>
      <c r="AU96" s="34">
        <v>0.125</v>
      </c>
      <c r="AV96" s="34">
        <v>6.4864864864864868E-2</v>
      </c>
      <c r="AW96" s="10"/>
      <c r="AX96" s="8"/>
    </row>
    <row r="97" spans="1:50">
      <c r="A97" s="7"/>
      <c r="B97" s="10"/>
      <c r="C97" s="45" t="s">
        <v>127</v>
      </c>
      <c r="D97" s="23" t="s">
        <v>11</v>
      </c>
      <c r="E97" s="46" t="s">
        <v>145</v>
      </c>
      <c r="F97" s="46" t="s">
        <v>145</v>
      </c>
      <c r="G97" s="46" t="s">
        <v>145</v>
      </c>
      <c r="H97" s="46" t="s">
        <v>145</v>
      </c>
      <c r="I97" s="25">
        <v>0.9</v>
      </c>
      <c r="J97" s="26">
        <v>0.93333333333333335</v>
      </c>
      <c r="K97" s="26">
        <v>0.97752808988764039</v>
      </c>
      <c r="L97" s="27">
        <v>0.87209302325581395</v>
      </c>
      <c r="M97" s="26">
        <v>0.88744588744588748</v>
      </c>
      <c r="N97" s="28">
        <v>0.9</v>
      </c>
      <c r="O97" s="26">
        <v>0.90859574468085103</v>
      </c>
      <c r="P97" s="26">
        <v>0.92097310365669383</v>
      </c>
      <c r="Q97" s="26">
        <v>0.93707674943566588</v>
      </c>
      <c r="R97" s="26">
        <v>0.8885548834464444</v>
      </c>
      <c r="S97" s="28">
        <v>0.9</v>
      </c>
      <c r="T97" s="26">
        <v>0.872</v>
      </c>
      <c r="U97" s="26">
        <v>0.87488667271078879</v>
      </c>
      <c r="V97" s="26">
        <v>0.84297404063205417</v>
      </c>
      <c r="W97" s="26">
        <v>0.83020433756270284</v>
      </c>
      <c r="X97" s="28">
        <v>0.92</v>
      </c>
      <c r="Y97" s="28">
        <v>0.9131411456383377</v>
      </c>
      <c r="Z97" s="28">
        <v>0.93179365421972804</v>
      </c>
      <c r="AA97" s="28">
        <v>0.93428063943161632</v>
      </c>
      <c r="AB97" s="28">
        <v>0.92501254191640481</v>
      </c>
      <c r="AC97" s="28">
        <v>0.92</v>
      </c>
      <c r="AD97" s="26">
        <v>0.93261332522056584</v>
      </c>
      <c r="AE97" s="26">
        <v>0.97770592239618792</v>
      </c>
      <c r="AF97" s="26">
        <v>0.85518436810589349</v>
      </c>
      <c r="AG97" s="26">
        <v>0.92822221735031685</v>
      </c>
      <c r="AH97" s="28">
        <v>0.92</v>
      </c>
      <c r="AI97" s="26">
        <v>0.94590017825311945</v>
      </c>
      <c r="AJ97" s="26">
        <v>0.96632607729897824</v>
      </c>
      <c r="AK97" s="26">
        <v>0.96368498231691535</v>
      </c>
      <c r="AL97" s="26">
        <v>0.95580188474399619</v>
      </c>
      <c r="AM97" s="25">
        <v>0.99</v>
      </c>
      <c r="AN97" s="30">
        <v>1</v>
      </c>
      <c r="AO97" s="30">
        <v>1</v>
      </c>
      <c r="AP97" s="30">
        <v>1</v>
      </c>
      <c r="AQ97" s="30">
        <v>1</v>
      </c>
      <c r="AR97" s="32">
        <v>0.10526149898194399</v>
      </c>
      <c r="AS97" s="34">
        <v>0.1875</v>
      </c>
      <c r="AT97" s="34">
        <v>0.15217391304347827</v>
      </c>
      <c r="AU97" s="34">
        <v>5.4054054054054057E-2</v>
      </c>
      <c r="AV97" s="34">
        <v>8.9041095890410954E-2</v>
      </c>
      <c r="AW97" s="10"/>
      <c r="AX97" s="8"/>
    </row>
    <row r="98" spans="1:50">
      <c r="A98" s="7"/>
      <c r="B98" s="10"/>
      <c r="C98" s="45" t="s">
        <v>127</v>
      </c>
      <c r="D98" s="23" t="s">
        <v>11</v>
      </c>
      <c r="E98" s="46" t="s">
        <v>146</v>
      </c>
      <c r="F98" s="46" t="s">
        <v>146</v>
      </c>
      <c r="G98" s="46" t="s">
        <v>146</v>
      </c>
      <c r="H98" s="46" t="s">
        <v>146</v>
      </c>
      <c r="I98" s="25">
        <v>0.9</v>
      </c>
      <c r="J98" s="26">
        <v>0.97368421052631582</v>
      </c>
      <c r="K98" s="26">
        <v>0.94871794871794868</v>
      </c>
      <c r="L98" s="27">
        <v>0.95454545454545459</v>
      </c>
      <c r="M98" s="26">
        <v>0.9320987654320988</v>
      </c>
      <c r="N98" s="28">
        <v>0.9</v>
      </c>
      <c r="O98" s="26">
        <v>0.9187460012795905</v>
      </c>
      <c r="P98" s="26">
        <v>0.86283569159688134</v>
      </c>
      <c r="Q98" s="26">
        <v>0.92728714965626657</v>
      </c>
      <c r="R98" s="26">
        <v>0.89376948156640756</v>
      </c>
      <c r="S98" s="28">
        <v>0.9</v>
      </c>
      <c r="T98" s="26">
        <v>0.79654510556621883</v>
      </c>
      <c r="U98" s="26">
        <v>0.82125324862835691</v>
      </c>
      <c r="V98" s="26">
        <v>0.80169222633527237</v>
      </c>
      <c r="W98" s="26">
        <v>0.79764250653864066</v>
      </c>
      <c r="X98" s="28">
        <v>0.92</v>
      </c>
      <c r="Y98" s="28">
        <v>0.90130689499774674</v>
      </c>
      <c r="Z98" s="28">
        <v>0.93928070994862212</v>
      </c>
      <c r="AA98" s="28">
        <v>0.96031746031746035</v>
      </c>
      <c r="AB98" s="28">
        <v>0.94198091247672255</v>
      </c>
      <c r="AC98" s="28">
        <v>0.92</v>
      </c>
      <c r="AD98" s="26">
        <v>0.9961149961149961</v>
      </c>
      <c r="AE98" s="26">
        <v>0.99317147192716237</v>
      </c>
      <c r="AF98" s="26">
        <v>0.99561403508771928</v>
      </c>
      <c r="AG98" s="26">
        <v>0.98757302177376527</v>
      </c>
      <c r="AH98" s="28">
        <v>0.92</v>
      </c>
      <c r="AI98" s="26">
        <v>0.92927970065481758</v>
      </c>
      <c r="AJ98" s="26">
        <v>0.96002855103497498</v>
      </c>
      <c r="AK98" s="26">
        <v>0.97430148327009314</v>
      </c>
      <c r="AL98" s="26">
        <v>0.96263526698598545</v>
      </c>
      <c r="AM98" s="25">
        <v>0.99</v>
      </c>
      <c r="AN98" s="30">
        <v>1</v>
      </c>
      <c r="AO98" s="30">
        <v>1</v>
      </c>
      <c r="AP98" s="30">
        <v>1</v>
      </c>
      <c r="AQ98" s="30">
        <v>1</v>
      </c>
      <c r="AR98" s="32">
        <v>0.10526149898194399</v>
      </c>
      <c r="AS98" s="34">
        <v>3.8461538461538464E-2</v>
      </c>
      <c r="AT98" s="34">
        <v>0</v>
      </c>
      <c r="AU98" s="34">
        <v>0.04</v>
      </c>
      <c r="AV98" s="34">
        <v>6.4039408866995079E-2</v>
      </c>
      <c r="AW98" s="10"/>
      <c r="AX98" s="8"/>
    </row>
    <row r="99" spans="1:50">
      <c r="A99" s="7"/>
      <c r="B99" s="10"/>
      <c r="C99" s="45" t="s">
        <v>127</v>
      </c>
      <c r="D99" s="23" t="s">
        <v>11</v>
      </c>
      <c r="E99" s="46" t="s">
        <v>147</v>
      </c>
      <c r="F99" s="46" t="s">
        <v>147</v>
      </c>
      <c r="G99" s="46" t="s">
        <v>147</v>
      </c>
      <c r="H99" s="46" t="s">
        <v>147</v>
      </c>
      <c r="I99" s="25">
        <v>0.9</v>
      </c>
      <c r="J99" s="26">
        <v>0.91111111111111109</v>
      </c>
      <c r="K99" s="26">
        <v>0.94</v>
      </c>
      <c r="L99" s="27">
        <v>0.90384615384615385</v>
      </c>
      <c r="M99" s="26">
        <v>0.91935483870967738</v>
      </c>
      <c r="N99" s="28">
        <v>0.9</v>
      </c>
      <c r="O99" s="26">
        <v>0.94309772901250322</v>
      </c>
      <c r="P99" s="26">
        <v>0.92885181550539742</v>
      </c>
      <c r="Q99" s="26">
        <v>0.92994199018295409</v>
      </c>
      <c r="R99" s="26">
        <v>0.90225125751441537</v>
      </c>
      <c r="S99" s="28">
        <v>0.9</v>
      </c>
      <c r="T99" s="26">
        <v>0.8471548864506252</v>
      </c>
      <c r="U99" s="26">
        <v>0.87095191364082436</v>
      </c>
      <c r="V99" s="26">
        <v>0.88643462739848278</v>
      </c>
      <c r="W99" s="26">
        <v>0.84719666298613672</v>
      </c>
      <c r="X99" s="28">
        <v>0.92</v>
      </c>
      <c r="Y99" s="28">
        <v>0.90551181102362199</v>
      </c>
      <c r="Z99" s="28">
        <v>0.93336145086461408</v>
      </c>
      <c r="AA99" s="28">
        <v>0.94655870445344126</v>
      </c>
      <c r="AB99" s="28">
        <v>0.93614537333130299</v>
      </c>
      <c r="AC99" s="28">
        <v>0.92</v>
      </c>
      <c r="AD99" s="26">
        <v>0.99581749049429658</v>
      </c>
      <c r="AE99" s="26">
        <v>0.99330819981149854</v>
      </c>
      <c r="AF99" s="26">
        <v>0.99417295722420873</v>
      </c>
      <c r="AG99" s="26">
        <v>0.99099032785195873</v>
      </c>
      <c r="AH99" s="28">
        <v>0.92</v>
      </c>
      <c r="AI99" s="26">
        <v>0.93870917814579791</v>
      </c>
      <c r="AJ99" s="26">
        <v>0.96556537924616104</v>
      </c>
      <c r="AK99" s="26">
        <v>0.97224219761254138</v>
      </c>
      <c r="AL99" s="26">
        <v>0.96175239405929236</v>
      </c>
      <c r="AM99" s="25">
        <v>0.99</v>
      </c>
      <c r="AN99" s="30">
        <v>1</v>
      </c>
      <c r="AO99" s="30">
        <v>1</v>
      </c>
      <c r="AP99" s="30">
        <v>1</v>
      </c>
      <c r="AQ99" s="30">
        <v>1</v>
      </c>
      <c r="AR99" s="32">
        <v>0.10526149898194399</v>
      </c>
      <c r="AS99" s="34">
        <v>0.11764705882352941</v>
      </c>
      <c r="AT99" s="34">
        <v>0.12</v>
      </c>
      <c r="AU99" s="34">
        <v>0.10714285714285714</v>
      </c>
      <c r="AV99" s="34">
        <v>0.11734693877551021</v>
      </c>
      <c r="AW99" s="10"/>
      <c r="AX99" s="8"/>
    </row>
    <row r="100" spans="1:50">
      <c r="A100" s="7"/>
      <c r="B100" s="10"/>
      <c r="C100" s="45" t="s">
        <v>127</v>
      </c>
      <c r="D100" s="23" t="s">
        <v>11</v>
      </c>
      <c r="E100" s="46" t="s">
        <v>148</v>
      </c>
      <c r="F100" s="46" t="s">
        <v>148</v>
      </c>
      <c r="G100" s="46" t="s">
        <v>148</v>
      </c>
      <c r="H100" s="46" t="s">
        <v>148</v>
      </c>
      <c r="I100" s="25">
        <v>0.9</v>
      </c>
      <c r="J100" s="26">
        <v>1</v>
      </c>
      <c r="K100" s="26">
        <v>0.94285714285714284</v>
      </c>
      <c r="L100" s="27">
        <v>0.97058823529411764</v>
      </c>
      <c r="M100" s="26">
        <v>0.98207885304659504</v>
      </c>
      <c r="N100" s="28">
        <v>0.9</v>
      </c>
      <c r="O100" s="26">
        <v>0.95528995130588756</v>
      </c>
      <c r="P100" s="26">
        <v>0.95684340320591865</v>
      </c>
      <c r="Q100" s="26">
        <v>0.95954881369117073</v>
      </c>
      <c r="R100" s="26">
        <v>0.95576863594184969</v>
      </c>
      <c r="S100" s="28">
        <v>0.9</v>
      </c>
      <c r="T100" s="26">
        <v>0.91013722886232851</v>
      </c>
      <c r="U100" s="26">
        <v>0.92396218660090423</v>
      </c>
      <c r="V100" s="26">
        <v>0.93037728510307272</v>
      </c>
      <c r="W100" s="26">
        <v>0.92530157748221464</v>
      </c>
      <c r="X100" s="28">
        <v>0.92</v>
      </c>
      <c r="Y100" s="28">
        <v>0.93613024420788982</v>
      </c>
      <c r="Z100" s="28">
        <v>0.97071428571428575</v>
      </c>
      <c r="AA100" s="28">
        <v>0.97347670250896057</v>
      </c>
      <c r="AB100" s="28">
        <v>0.96350121105821429</v>
      </c>
      <c r="AC100" s="28">
        <v>0.92</v>
      </c>
      <c r="AD100" s="26">
        <v>0.99653579676674364</v>
      </c>
      <c r="AE100" s="26">
        <v>0.99045967042497829</v>
      </c>
      <c r="AF100" s="26">
        <v>0.99601593625498008</v>
      </c>
      <c r="AG100" s="26">
        <v>0.99059207225288515</v>
      </c>
      <c r="AH100" s="28">
        <v>0.92</v>
      </c>
      <c r="AI100" s="26">
        <v>0.95772821576763489</v>
      </c>
      <c r="AJ100" s="26">
        <v>0.97886772762848939</v>
      </c>
      <c r="AK100" s="26">
        <v>0.98134140191628849</v>
      </c>
      <c r="AL100" s="26">
        <v>0.97567894938161415</v>
      </c>
      <c r="AM100" s="25">
        <v>0.99</v>
      </c>
      <c r="AN100" s="30">
        <v>1</v>
      </c>
      <c r="AO100" s="30">
        <v>1</v>
      </c>
      <c r="AP100" s="30">
        <v>1</v>
      </c>
      <c r="AQ100" s="30">
        <v>1</v>
      </c>
      <c r="AR100" s="32">
        <v>0.10526149898194399</v>
      </c>
      <c r="AS100" s="34">
        <v>8.3333333333333329E-2</v>
      </c>
      <c r="AT100" s="34">
        <v>7.6923076923076927E-2</v>
      </c>
      <c r="AU100" s="34">
        <v>0</v>
      </c>
      <c r="AV100" s="34">
        <v>0.05</v>
      </c>
      <c r="AW100" s="10"/>
      <c r="AX100" s="8"/>
    </row>
    <row r="101" spans="1:50">
      <c r="A101" s="7"/>
      <c r="B101" s="10"/>
      <c r="C101" s="45" t="s">
        <v>127</v>
      </c>
      <c r="D101" s="23" t="s">
        <v>11</v>
      </c>
      <c r="E101" s="46" t="s">
        <v>149</v>
      </c>
      <c r="F101" s="46" t="s">
        <v>149</v>
      </c>
      <c r="G101" s="46" t="s">
        <v>149</v>
      </c>
      <c r="H101" s="46" t="s">
        <v>149</v>
      </c>
      <c r="I101" s="25">
        <v>0.9</v>
      </c>
      <c r="J101" s="26">
        <v>0.93333333333333335</v>
      </c>
      <c r="K101" s="26">
        <v>0.93939393939393945</v>
      </c>
      <c r="L101" s="27">
        <v>0.97058823529411764</v>
      </c>
      <c r="M101" s="26">
        <v>0.92007797270955161</v>
      </c>
      <c r="N101" s="28">
        <v>0.9</v>
      </c>
      <c r="O101" s="26">
        <v>0.93778525102089838</v>
      </c>
      <c r="P101" s="26">
        <v>0.94972796517954294</v>
      </c>
      <c r="Q101" s="26">
        <v>0.96966591514654643</v>
      </c>
      <c r="R101" s="26">
        <v>0.95780384490061909</v>
      </c>
      <c r="S101" s="28">
        <v>0.9</v>
      </c>
      <c r="T101" s="26">
        <v>0.88974297381695888</v>
      </c>
      <c r="U101" s="26">
        <v>0.9059847660500544</v>
      </c>
      <c r="V101" s="26">
        <v>0.92703422832547655</v>
      </c>
      <c r="W101" s="26">
        <v>0.90607689801238189</v>
      </c>
      <c r="X101" s="28">
        <v>0.92</v>
      </c>
      <c r="Y101" s="28">
        <v>0.91133333333333333</v>
      </c>
      <c r="Z101" s="28">
        <v>0.95413506681112314</v>
      </c>
      <c r="AA101" s="28">
        <v>0.97361575622445184</v>
      </c>
      <c r="AB101" s="28">
        <v>0.94917636723039756</v>
      </c>
      <c r="AC101" s="28">
        <v>0.92</v>
      </c>
      <c r="AD101" s="26">
        <v>0.99217118997912312</v>
      </c>
      <c r="AE101" s="26">
        <v>0.98699271592091575</v>
      </c>
      <c r="AF101" s="26">
        <v>0.99313621964097154</v>
      </c>
      <c r="AG101" s="26">
        <v>0.98907783768837276</v>
      </c>
      <c r="AH101" s="28">
        <v>0.92</v>
      </c>
      <c r="AI101" s="26">
        <v>0.93844221105527637</v>
      </c>
      <c r="AJ101" s="26">
        <v>0.9710794297352342</v>
      </c>
      <c r="AK101" s="26">
        <v>0.98124174372523121</v>
      </c>
      <c r="AL101" s="26">
        <v>0.96855493657292435</v>
      </c>
      <c r="AM101" s="25">
        <v>0.99</v>
      </c>
      <c r="AN101" s="30">
        <v>1</v>
      </c>
      <c r="AO101" s="30">
        <v>1</v>
      </c>
      <c r="AP101" s="30">
        <v>1</v>
      </c>
      <c r="AQ101" s="30">
        <v>1</v>
      </c>
      <c r="AR101" s="32">
        <v>0.10526149898194399</v>
      </c>
      <c r="AS101" s="34">
        <v>0.13043478260869565</v>
      </c>
      <c r="AT101" s="34">
        <v>0.10344827586206896</v>
      </c>
      <c r="AU101" s="34">
        <v>0.13793103448275862</v>
      </c>
      <c r="AV101" s="34">
        <v>0.12831858407079647</v>
      </c>
      <c r="AW101" s="10"/>
      <c r="AX101" s="8"/>
    </row>
    <row r="102" spans="1:50">
      <c r="A102" s="7"/>
      <c r="B102" s="10"/>
      <c r="C102" s="45" t="s">
        <v>127</v>
      </c>
      <c r="D102" s="23" t="s">
        <v>11</v>
      </c>
      <c r="E102" s="46" t="s">
        <v>150</v>
      </c>
      <c r="F102" s="46" t="s">
        <v>150</v>
      </c>
      <c r="G102" s="46" t="s">
        <v>150</v>
      </c>
      <c r="H102" s="46" t="s">
        <v>150</v>
      </c>
      <c r="I102" s="25">
        <v>0.9</v>
      </c>
      <c r="J102" s="26">
        <v>0</v>
      </c>
      <c r="K102" s="26">
        <v>0</v>
      </c>
      <c r="L102" s="27">
        <v>0</v>
      </c>
      <c r="M102" s="26">
        <v>0</v>
      </c>
      <c r="N102" s="28">
        <v>0.9</v>
      </c>
      <c r="O102" s="26">
        <v>0</v>
      </c>
      <c r="P102" s="26">
        <v>0</v>
      </c>
      <c r="Q102" s="26">
        <v>0.91005291005291</v>
      </c>
      <c r="R102" s="26">
        <v>0.72288202692003167</v>
      </c>
      <c r="S102" s="28">
        <v>0.9</v>
      </c>
      <c r="T102" s="26">
        <v>0.9707602339181286</v>
      </c>
      <c r="U102" s="26">
        <v>0.9568965517241379</v>
      </c>
      <c r="V102" s="26">
        <v>0.95767195767195767</v>
      </c>
      <c r="W102" s="26">
        <v>0.97149643705463185</v>
      </c>
      <c r="X102" s="28">
        <v>0.92</v>
      </c>
      <c r="Y102" s="28">
        <v>1</v>
      </c>
      <c r="Z102" s="28">
        <v>1</v>
      </c>
      <c r="AA102" s="28">
        <v>1</v>
      </c>
      <c r="AB102" s="28">
        <v>0.97123893805309736</v>
      </c>
      <c r="AC102" s="28">
        <v>0.92</v>
      </c>
      <c r="AD102" s="26">
        <v>0</v>
      </c>
      <c r="AE102" s="26">
        <v>0</v>
      </c>
      <c r="AF102" s="26">
        <v>0</v>
      </c>
      <c r="AG102" s="26">
        <v>0.73194748358862149</v>
      </c>
      <c r="AH102" s="28">
        <v>0.92</v>
      </c>
      <c r="AI102" s="26">
        <v>0.97021276595744677</v>
      </c>
      <c r="AJ102" s="26">
        <v>0.96296296296296291</v>
      </c>
      <c r="AK102" s="26">
        <v>0.96186440677966101</v>
      </c>
      <c r="AL102" s="26">
        <v>0.96583671105964097</v>
      </c>
      <c r="AM102" s="25">
        <v>0.99</v>
      </c>
      <c r="AN102" s="30">
        <v>0</v>
      </c>
      <c r="AO102" s="30">
        <v>0</v>
      </c>
      <c r="AP102" s="30">
        <v>0</v>
      </c>
      <c r="AQ102" s="30">
        <v>1</v>
      </c>
      <c r="AR102" s="32">
        <v>0.10526149898194399</v>
      </c>
      <c r="AS102" s="34">
        <v>0</v>
      </c>
      <c r="AT102" s="34">
        <v>0</v>
      </c>
      <c r="AU102" s="34">
        <v>0</v>
      </c>
      <c r="AV102" s="34">
        <v>0</v>
      </c>
      <c r="AW102" s="10"/>
      <c r="AX102" s="8"/>
    </row>
    <row r="103" spans="1:50">
      <c r="A103" s="7"/>
      <c r="B103" s="10"/>
      <c r="C103" s="45" t="s">
        <v>127</v>
      </c>
      <c r="D103" s="23" t="s">
        <v>11</v>
      </c>
      <c r="E103" s="46" t="s">
        <v>151</v>
      </c>
      <c r="F103" s="46" t="s">
        <v>151</v>
      </c>
      <c r="G103" s="46" t="s">
        <v>151</v>
      </c>
      <c r="H103" s="46" t="s">
        <v>151</v>
      </c>
      <c r="I103" s="25">
        <v>0.9</v>
      </c>
      <c r="J103" s="26">
        <v>0.96385542168674698</v>
      </c>
      <c r="K103" s="26">
        <v>0.96551724137931039</v>
      </c>
      <c r="L103" s="27">
        <v>0.96511627906976749</v>
      </c>
      <c r="M103" s="26">
        <v>0.94468704512372637</v>
      </c>
      <c r="N103" s="28">
        <v>0.9</v>
      </c>
      <c r="O103" s="26">
        <v>0.92649385420469754</v>
      </c>
      <c r="P103" s="26">
        <v>0.92279635258358661</v>
      </c>
      <c r="Q103" s="26">
        <v>0.93722216198633845</v>
      </c>
      <c r="R103" s="26">
        <v>0.92472574090888793</v>
      </c>
      <c r="S103" s="28">
        <v>0.9</v>
      </c>
      <c r="T103" s="26">
        <v>0.89107946939272242</v>
      </c>
      <c r="U103" s="26">
        <v>0.89531914893617026</v>
      </c>
      <c r="V103" s="26">
        <v>0.90035780114930064</v>
      </c>
      <c r="W103" s="26">
        <v>0.88334499337610339</v>
      </c>
      <c r="X103" s="28">
        <v>0.92</v>
      </c>
      <c r="Y103" s="28">
        <v>0.91526175687666367</v>
      </c>
      <c r="Z103" s="28">
        <v>0.93299832495812396</v>
      </c>
      <c r="AA103" s="28">
        <v>0.92309512541410321</v>
      </c>
      <c r="AB103" s="28">
        <v>0.91918535675950508</v>
      </c>
      <c r="AC103" s="28">
        <v>0.92</v>
      </c>
      <c r="AD103" s="26">
        <v>0.97634622818233174</v>
      </c>
      <c r="AE103" s="26">
        <v>0.8221092097922964</v>
      </c>
      <c r="AF103" s="26">
        <v>0.9551582773340096</v>
      </c>
      <c r="AG103" s="26">
        <v>0.89266559445579541</v>
      </c>
      <c r="AH103" s="28">
        <v>0.92</v>
      </c>
      <c r="AI103" s="26">
        <v>0.94307921802622285</v>
      </c>
      <c r="AJ103" s="26">
        <v>0.96438930067676443</v>
      </c>
      <c r="AK103" s="26">
        <v>0.95965225144895228</v>
      </c>
      <c r="AL103" s="26">
        <v>0.95271764006973048</v>
      </c>
      <c r="AM103" s="25">
        <v>0.99</v>
      </c>
      <c r="AN103" s="30">
        <v>1</v>
      </c>
      <c r="AO103" s="30">
        <v>1</v>
      </c>
      <c r="AP103" s="30">
        <v>1</v>
      </c>
      <c r="AQ103" s="30">
        <v>1</v>
      </c>
      <c r="AR103" s="32">
        <v>0.10526149898194399</v>
      </c>
      <c r="AS103" s="34">
        <v>6.6666666666666666E-2</v>
      </c>
      <c r="AT103" s="34">
        <v>6.6666666666666666E-2</v>
      </c>
      <c r="AU103" s="34">
        <v>0</v>
      </c>
      <c r="AV103" s="34">
        <v>8.666666666666667E-2</v>
      </c>
      <c r="AW103" s="10"/>
      <c r="AX103" s="8"/>
    </row>
    <row r="104" spans="1:50">
      <c r="A104" s="7"/>
      <c r="B104" s="10"/>
      <c r="C104" s="45" t="s">
        <v>127</v>
      </c>
      <c r="D104" s="23" t="s">
        <v>11</v>
      </c>
      <c r="E104" s="46" t="s">
        <v>152</v>
      </c>
      <c r="F104" s="46" t="s">
        <v>152</v>
      </c>
      <c r="G104" s="46" t="s">
        <v>152</v>
      </c>
      <c r="H104" s="46" t="s">
        <v>152</v>
      </c>
      <c r="I104" s="25">
        <v>0.9</v>
      </c>
      <c r="J104" s="26">
        <v>0</v>
      </c>
      <c r="K104" s="26">
        <v>0</v>
      </c>
      <c r="L104" s="27">
        <v>0</v>
      </c>
      <c r="M104" s="26">
        <v>0</v>
      </c>
      <c r="N104" s="28">
        <v>0.9</v>
      </c>
      <c r="O104" s="26">
        <v>0</v>
      </c>
      <c r="P104" s="26">
        <v>0</v>
      </c>
      <c r="Q104" s="26">
        <v>0</v>
      </c>
      <c r="R104" s="26">
        <v>0</v>
      </c>
      <c r="S104" s="28">
        <v>0.9</v>
      </c>
      <c r="T104" s="26">
        <v>0</v>
      </c>
      <c r="U104" s="26">
        <v>0</v>
      </c>
      <c r="V104" s="26">
        <v>0</v>
      </c>
      <c r="W104" s="26">
        <v>0</v>
      </c>
      <c r="X104" s="28">
        <v>0.92</v>
      </c>
      <c r="Y104" s="28">
        <v>0</v>
      </c>
      <c r="Z104" s="28">
        <v>0</v>
      </c>
      <c r="AA104" s="28">
        <v>0</v>
      </c>
      <c r="AB104" s="28">
        <v>0</v>
      </c>
      <c r="AC104" s="28">
        <v>0.92</v>
      </c>
      <c r="AD104" s="26">
        <v>0.83870967741935487</v>
      </c>
      <c r="AE104" s="26">
        <v>0.88221970554926388</v>
      </c>
      <c r="AF104" s="26">
        <v>0.8125</v>
      </c>
      <c r="AG104" s="26">
        <v>0.76152923024172814</v>
      </c>
      <c r="AH104" s="28">
        <v>0.92</v>
      </c>
      <c r="AI104" s="26">
        <v>0</v>
      </c>
      <c r="AJ104" s="26">
        <v>0</v>
      </c>
      <c r="AK104" s="26">
        <v>0</v>
      </c>
      <c r="AL104" s="26">
        <v>0</v>
      </c>
      <c r="AM104" s="25">
        <v>0.99</v>
      </c>
      <c r="AN104" s="30">
        <v>1</v>
      </c>
      <c r="AO104" s="30">
        <v>0</v>
      </c>
      <c r="AP104" s="30">
        <v>1</v>
      </c>
      <c r="AQ104" s="30">
        <v>1</v>
      </c>
      <c r="AR104" s="32">
        <v>0.10526149898194399</v>
      </c>
      <c r="AS104" s="34">
        <v>0</v>
      </c>
      <c r="AT104" s="34">
        <v>0</v>
      </c>
      <c r="AU104" s="34">
        <v>0</v>
      </c>
      <c r="AV104" s="34">
        <v>0</v>
      </c>
      <c r="AW104" s="10"/>
      <c r="AX104" s="8"/>
    </row>
    <row r="105" spans="1:50">
      <c r="A105" s="7"/>
      <c r="B105" s="10"/>
      <c r="C105" s="45" t="s">
        <v>127</v>
      </c>
      <c r="D105" s="23" t="s">
        <v>11</v>
      </c>
      <c r="E105" s="46" t="s">
        <v>153</v>
      </c>
      <c r="F105" s="46" t="s">
        <v>153</v>
      </c>
      <c r="G105" s="46" t="s">
        <v>153</v>
      </c>
      <c r="H105" s="46" t="s">
        <v>153</v>
      </c>
      <c r="I105" s="25">
        <v>0.9</v>
      </c>
      <c r="J105" s="26">
        <v>0.90909090909090906</v>
      </c>
      <c r="K105" s="26">
        <v>0.898876404494382</v>
      </c>
      <c r="L105" s="27">
        <v>0.93478260869565222</v>
      </c>
      <c r="M105" s="26">
        <v>0.91310541310541316</v>
      </c>
      <c r="N105" s="28">
        <v>0.9</v>
      </c>
      <c r="O105" s="26">
        <v>0.94993010547718892</v>
      </c>
      <c r="P105" s="26">
        <v>0.94797178130511461</v>
      </c>
      <c r="Q105" s="26">
        <v>0.94543496470025123</v>
      </c>
      <c r="R105" s="26">
        <v>0.95411448156571321</v>
      </c>
      <c r="S105" s="28">
        <v>0.9</v>
      </c>
      <c r="T105" s="26">
        <v>0.89337908247553688</v>
      </c>
      <c r="U105" s="26">
        <v>0.86772486772486768</v>
      </c>
      <c r="V105" s="26">
        <v>0.88201507718080652</v>
      </c>
      <c r="W105" s="26">
        <v>0.86399308113648743</v>
      </c>
      <c r="X105" s="28">
        <v>0.92</v>
      </c>
      <c r="Y105" s="28">
        <v>0.92136150234741787</v>
      </c>
      <c r="Z105" s="28">
        <v>0.93155216284987274</v>
      </c>
      <c r="AA105" s="28">
        <v>0.94171082513247539</v>
      </c>
      <c r="AB105" s="28">
        <v>0.92721252257676101</v>
      </c>
      <c r="AC105" s="28">
        <v>0.92</v>
      </c>
      <c r="AD105" s="26">
        <v>0.99625278935623762</v>
      </c>
      <c r="AE105" s="26">
        <v>0.96148395873483727</v>
      </c>
      <c r="AF105" s="26">
        <v>0.99073449640815126</v>
      </c>
      <c r="AG105" s="26">
        <v>0.97929826242275342</v>
      </c>
      <c r="AH105" s="28">
        <v>0.92</v>
      </c>
      <c r="AI105" s="26">
        <v>0.95287526775416054</v>
      </c>
      <c r="AJ105" s="26">
        <v>0.95815441609834129</v>
      </c>
      <c r="AK105" s="26">
        <v>0.96180358446192527</v>
      </c>
      <c r="AL105" s="26">
        <v>0.95755258925027675</v>
      </c>
      <c r="AM105" s="25">
        <v>0.99</v>
      </c>
      <c r="AN105" s="30">
        <v>1</v>
      </c>
      <c r="AO105" s="30">
        <v>1</v>
      </c>
      <c r="AP105" s="30">
        <v>1</v>
      </c>
      <c r="AQ105" s="30">
        <v>1</v>
      </c>
      <c r="AR105" s="32">
        <v>0.10526149898194399</v>
      </c>
      <c r="AS105" s="34">
        <v>0</v>
      </c>
      <c r="AT105" s="34">
        <v>0.13636363636363635</v>
      </c>
      <c r="AU105" s="34">
        <v>2.564102564102564E-2</v>
      </c>
      <c r="AV105" s="34">
        <v>4.5936395759717315E-2</v>
      </c>
      <c r="AW105" s="10"/>
      <c r="AX105" s="8"/>
    </row>
    <row r="106" spans="1:50">
      <c r="A106" s="7"/>
      <c r="B106" s="10"/>
      <c r="C106" s="45" t="s">
        <v>127</v>
      </c>
      <c r="D106" s="23" t="s">
        <v>11</v>
      </c>
      <c r="E106" s="46" t="s">
        <v>154</v>
      </c>
      <c r="F106" s="46" t="s">
        <v>154</v>
      </c>
      <c r="G106" s="46" t="s">
        <v>154</v>
      </c>
      <c r="H106" s="46" t="s">
        <v>154</v>
      </c>
      <c r="I106" s="25">
        <v>0.9</v>
      </c>
      <c r="J106" s="26">
        <v>0.9859154929577465</v>
      </c>
      <c r="K106" s="26">
        <v>0.98684210526315785</v>
      </c>
      <c r="L106" s="27">
        <v>0.97297297297297303</v>
      </c>
      <c r="M106" s="26">
        <v>0.95883361921097765</v>
      </c>
      <c r="N106" s="28">
        <v>0.9</v>
      </c>
      <c r="O106" s="26">
        <v>0.91467950120323782</v>
      </c>
      <c r="P106" s="26">
        <v>0.9433839479392625</v>
      </c>
      <c r="Q106" s="26">
        <v>0.93085548172757471</v>
      </c>
      <c r="R106" s="26">
        <v>0.92199558269455628</v>
      </c>
      <c r="S106" s="28">
        <v>0.9</v>
      </c>
      <c r="T106" s="26">
        <v>0.88361408882082693</v>
      </c>
      <c r="U106" s="26">
        <v>0.92646420824295006</v>
      </c>
      <c r="V106" s="26">
        <v>0.90199335548172754</v>
      </c>
      <c r="W106" s="26">
        <v>0.87810835390411845</v>
      </c>
      <c r="X106" s="28">
        <v>0.92</v>
      </c>
      <c r="Y106" s="28">
        <v>0.92065617676598599</v>
      </c>
      <c r="Z106" s="28">
        <v>0.94268635724331928</v>
      </c>
      <c r="AA106" s="28">
        <v>0.94156521739130439</v>
      </c>
      <c r="AB106" s="28">
        <v>0.94265632366176655</v>
      </c>
      <c r="AC106" s="28">
        <v>0.92</v>
      </c>
      <c r="AD106" s="26">
        <v>0.96469890240284784</v>
      </c>
      <c r="AE106" s="26">
        <v>0.98475381154711317</v>
      </c>
      <c r="AF106" s="26">
        <v>0.99467913576265721</v>
      </c>
      <c r="AG106" s="26">
        <v>0.9604669904815839</v>
      </c>
      <c r="AH106" s="28">
        <v>0.92</v>
      </c>
      <c r="AI106" s="26">
        <v>0.94787670326762796</v>
      </c>
      <c r="AJ106" s="26">
        <v>0.96418991416309008</v>
      </c>
      <c r="AK106" s="26">
        <v>0.96168333549811669</v>
      </c>
      <c r="AL106" s="26">
        <v>0.96235324557715318</v>
      </c>
      <c r="AM106" s="25">
        <v>0.99</v>
      </c>
      <c r="AN106" s="30">
        <v>1</v>
      </c>
      <c r="AO106" s="30">
        <v>1</v>
      </c>
      <c r="AP106" s="30">
        <v>1</v>
      </c>
      <c r="AQ106" s="30">
        <v>1</v>
      </c>
      <c r="AR106" s="32">
        <v>0.10526149898194399</v>
      </c>
      <c r="AS106" s="34">
        <v>3.3333333333333333E-2</v>
      </c>
      <c r="AT106" s="34">
        <v>8.3333333333333329E-2</v>
      </c>
      <c r="AU106" s="34">
        <v>7.3170731707317069E-2</v>
      </c>
      <c r="AV106" s="34">
        <v>8.7999999999999995E-2</v>
      </c>
      <c r="AW106" s="10"/>
      <c r="AX106" s="8"/>
    </row>
    <row r="107" spans="1:50">
      <c r="A107" s="7"/>
      <c r="B107" s="10"/>
      <c r="C107" s="45" t="s">
        <v>127</v>
      </c>
      <c r="D107" s="23" t="s">
        <v>11</v>
      </c>
      <c r="E107" s="46" t="s">
        <v>155</v>
      </c>
      <c r="F107" s="46" t="s">
        <v>155</v>
      </c>
      <c r="G107" s="46" t="s">
        <v>155</v>
      </c>
      <c r="H107" s="46" t="s">
        <v>155</v>
      </c>
      <c r="I107" s="25">
        <v>0.9</v>
      </c>
      <c r="J107" s="26">
        <v>1</v>
      </c>
      <c r="K107" s="26">
        <v>1</v>
      </c>
      <c r="L107" s="27">
        <v>1</v>
      </c>
      <c r="M107" s="26">
        <v>0.99779249448123619</v>
      </c>
      <c r="N107" s="28">
        <v>0.9</v>
      </c>
      <c r="O107" s="26">
        <v>0.96502057613168724</v>
      </c>
      <c r="P107" s="26">
        <v>0.98092031425364756</v>
      </c>
      <c r="Q107" s="26">
        <v>0.98505747126436782</v>
      </c>
      <c r="R107" s="26">
        <v>0.97794479173983284</v>
      </c>
      <c r="S107" s="28">
        <v>0.9</v>
      </c>
      <c r="T107" s="26">
        <v>0.86860670194003531</v>
      </c>
      <c r="U107" s="26">
        <v>0.89169472502805835</v>
      </c>
      <c r="V107" s="26">
        <v>0.89396551724137929</v>
      </c>
      <c r="W107" s="26">
        <v>0.88006602514574694</v>
      </c>
      <c r="X107" s="28">
        <v>0.92</v>
      </c>
      <c r="Y107" s="28">
        <v>0.93042782886845266</v>
      </c>
      <c r="Z107" s="28">
        <v>0.95652173913043481</v>
      </c>
      <c r="AA107" s="28">
        <v>0.96582397003745324</v>
      </c>
      <c r="AB107" s="28">
        <v>0.95062489491677404</v>
      </c>
      <c r="AC107" s="28">
        <v>0.92</v>
      </c>
      <c r="AD107" s="26">
        <v>0.99106823865666305</v>
      </c>
      <c r="AE107" s="26">
        <v>0.98912228057014251</v>
      </c>
      <c r="AF107" s="26">
        <v>0.99679743795036024</v>
      </c>
      <c r="AG107" s="26">
        <v>0.99220554272517325</v>
      </c>
      <c r="AH107" s="28">
        <v>0.92</v>
      </c>
      <c r="AI107" s="26">
        <v>0.94885690093141406</v>
      </c>
      <c r="AJ107" s="26">
        <v>0.97625698324022347</v>
      </c>
      <c r="AK107" s="26">
        <v>0.97792022792022792</v>
      </c>
      <c r="AL107" s="26">
        <v>0.96874190484414124</v>
      </c>
      <c r="AM107" s="25">
        <v>0.99</v>
      </c>
      <c r="AN107" s="30">
        <v>1</v>
      </c>
      <c r="AO107" s="30">
        <v>1</v>
      </c>
      <c r="AP107" s="30">
        <v>1</v>
      </c>
      <c r="AQ107" s="30">
        <v>1</v>
      </c>
      <c r="AR107" s="32">
        <v>0.10526149898194399</v>
      </c>
      <c r="AS107" s="34">
        <v>0</v>
      </c>
      <c r="AT107" s="34">
        <v>9.0909090909090912E-2</v>
      </c>
      <c r="AU107" s="34">
        <v>0.1</v>
      </c>
      <c r="AV107" s="34">
        <v>7.2992700729927001E-2</v>
      </c>
      <c r="AW107" s="10"/>
      <c r="AX107" s="8"/>
    </row>
    <row r="108" spans="1:50">
      <c r="A108" s="7"/>
      <c r="B108" s="10"/>
      <c r="C108" s="45" t="s">
        <v>127</v>
      </c>
      <c r="D108" s="23" t="s">
        <v>11</v>
      </c>
      <c r="E108" s="46" t="s">
        <v>156</v>
      </c>
      <c r="F108" s="46" t="s">
        <v>156</v>
      </c>
      <c r="G108" s="46" t="s">
        <v>156</v>
      </c>
      <c r="H108" s="46" t="s">
        <v>156</v>
      </c>
      <c r="I108" s="25">
        <v>0.9</v>
      </c>
      <c r="J108" s="26">
        <v>0.97560975609756095</v>
      </c>
      <c r="K108" s="26">
        <v>0.93181818181818177</v>
      </c>
      <c r="L108" s="27">
        <v>0.97826086956521741</v>
      </c>
      <c r="M108" s="26">
        <v>0.95</v>
      </c>
      <c r="N108" s="28">
        <v>0.9</v>
      </c>
      <c r="O108" s="26">
        <v>0.94233531705314999</v>
      </c>
      <c r="P108" s="26">
        <v>0.95519262981574538</v>
      </c>
      <c r="Q108" s="26">
        <v>0.96334690855238803</v>
      </c>
      <c r="R108" s="26">
        <v>0.94085080824171519</v>
      </c>
      <c r="S108" s="28">
        <v>0.9</v>
      </c>
      <c r="T108" s="26">
        <v>0.90806484711676583</v>
      </c>
      <c r="U108" s="26">
        <v>0.90159128978224456</v>
      </c>
      <c r="V108" s="26">
        <v>0.91928915216586449</v>
      </c>
      <c r="W108" s="26">
        <v>0.89298305173269266</v>
      </c>
      <c r="X108" s="28">
        <v>0.92</v>
      </c>
      <c r="Y108" s="28">
        <v>0.87410478703354688</v>
      </c>
      <c r="Z108" s="28">
        <v>0.93013100436681218</v>
      </c>
      <c r="AA108" s="28">
        <v>0.93029259896729777</v>
      </c>
      <c r="AB108" s="28">
        <v>0.91382911546121337</v>
      </c>
      <c r="AC108" s="28">
        <v>0.92</v>
      </c>
      <c r="AD108" s="26">
        <v>0.96686303387334316</v>
      </c>
      <c r="AE108" s="26">
        <v>0.98658350449414911</v>
      </c>
      <c r="AF108" s="26">
        <v>0.98988951058856856</v>
      </c>
      <c r="AG108" s="26">
        <v>0.98375066833006597</v>
      </c>
      <c r="AH108" s="28">
        <v>0.92</v>
      </c>
      <c r="AI108" s="26">
        <v>0.92425046431414171</v>
      </c>
      <c r="AJ108" s="26">
        <v>0.95741476105709977</v>
      </c>
      <c r="AK108" s="26">
        <v>0.96148377924260053</v>
      </c>
      <c r="AL108" s="26">
        <v>0.94736574191906342</v>
      </c>
      <c r="AM108" s="25">
        <v>0.99</v>
      </c>
      <c r="AN108" s="30">
        <v>1</v>
      </c>
      <c r="AO108" s="30">
        <v>1</v>
      </c>
      <c r="AP108" s="30">
        <v>1</v>
      </c>
      <c r="AQ108" s="30">
        <v>0.9996503496503496</v>
      </c>
      <c r="AR108" s="32">
        <v>0.10526149898194399</v>
      </c>
      <c r="AS108" s="34">
        <v>0.25</v>
      </c>
      <c r="AT108" s="34">
        <v>0.16666666666666666</v>
      </c>
      <c r="AU108" s="34">
        <v>0</v>
      </c>
      <c r="AV108" s="34">
        <v>0.1171875</v>
      </c>
      <c r="AW108" s="10"/>
      <c r="AX108" s="8"/>
    </row>
    <row r="109" spans="1:50">
      <c r="A109" s="7"/>
      <c r="B109" s="10"/>
      <c r="C109" s="45" t="s">
        <v>127</v>
      </c>
      <c r="D109" s="23" t="s">
        <v>11</v>
      </c>
      <c r="E109" s="46" t="s">
        <v>157</v>
      </c>
      <c r="F109" s="46" t="s">
        <v>157</v>
      </c>
      <c r="G109" s="46" t="s">
        <v>157</v>
      </c>
      <c r="H109" s="46" t="s">
        <v>157</v>
      </c>
      <c r="I109" s="25">
        <v>0.9</v>
      </c>
      <c r="J109" s="26">
        <v>0.98305084745762716</v>
      </c>
      <c r="K109" s="26">
        <v>0.984375</v>
      </c>
      <c r="L109" s="27">
        <v>0.96923076923076923</v>
      </c>
      <c r="M109" s="26">
        <v>0.98787878787878791</v>
      </c>
      <c r="N109" s="28">
        <v>0.9</v>
      </c>
      <c r="O109" s="26">
        <v>0.92153381856914607</v>
      </c>
      <c r="P109" s="26">
        <v>0.94319380935631381</v>
      </c>
      <c r="Q109" s="26">
        <v>0.94312236286919826</v>
      </c>
      <c r="R109" s="26">
        <v>0.91991624639769454</v>
      </c>
      <c r="S109" s="28">
        <v>0.9</v>
      </c>
      <c r="T109" s="26">
        <v>0.85673708503461743</v>
      </c>
      <c r="U109" s="26">
        <v>0.88832219486457964</v>
      </c>
      <c r="V109" s="26">
        <v>0.88827004219409278</v>
      </c>
      <c r="W109" s="26">
        <v>0.87936779538904897</v>
      </c>
      <c r="X109" s="28">
        <v>0.92</v>
      </c>
      <c r="Y109" s="28">
        <v>0.87609786700125469</v>
      </c>
      <c r="Z109" s="28">
        <v>0.89789789789789787</v>
      </c>
      <c r="AA109" s="28">
        <v>0.93087855297157618</v>
      </c>
      <c r="AB109" s="28">
        <v>0.9096029400015978</v>
      </c>
      <c r="AC109" s="28">
        <v>0.92</v>
      </c>
      <c r="AD109" s="26">
        <v>0.99438856994863378</v>
      </c>
      <c r="AE109" s="26">
        <v>0.98747758929802787</v>
      </c>
      <c r="AF109" s="26">
        <v>0.9897110641296688</v>
      </c>
      <c r="AG109" s="26">
        <v>0.94183397819656456</v>
      </c>
      <c r="AH109" s="28">
        <v>0.92</v>
      </c>
      <c r="AI109" s="26">
        <v>0.91611879392428019</v>
      </c>
      <c r="AJ109" s="26">
        <v>0.93356992347787515</v>
      </c>
      <c r="AK109" s="26">
        <v>0.95875374210001107</v>
      </c>
      <c r="AL109" s="26">
        <v>0.94315662164886116</v>
      </c>
      <c r="AM109" s="25">
        <v>0.99</v>
      </c>
      <c r="AN109" s="30">
        <v>1</v>
      </c>
      <c r="AO109" s="30">
        <v>1</v>
      </c>
      <c r="AP109" s="30">
        <v>1</v>
      </c>
      <c r="AQ109" s="30">
        <v>0.99956255468066491</v>
      </c>
      <c r="AR109" s="32">
        <v>0.10526149898194399</v>
      </c>
      <c r="AS109" s="34">
        <v>5.8823529411764705E-2</v>
      </c>
      <c r="AT109" s="34">
        <v>0</v>
      </c>
      <c r="AU109" s="34">
        <v>6.8965517241379309E-2</v>
      </c>
      <c r="AV109" s="34">
        <v>4.5267489711934158E-2</v>
      </c>
      <c r="AW109" s="10"/>
      <c r="AX109" s="8"/>
    </row>
    <row r="110" spans="1:50">
      <c r="A110" s="7"/>
      <c r="B110" s="10"/>
      <c r="C110" s="45" t="s">
        <v>127</v>
      </c>
      <c r="D110" s="23" t="s">
        <v>11</v>
      </c>
      <c r="E110" s="46" t="s">
        <v>158</v>
      </c>
      <c r="F110" s="46" t="s">
        <v>158</v>
      </c>
      <c r="G110" s="46" t="s">
        <v>158</v>
      </c>
      <c r="H110" s="46" t="s">
        <v>158</v>
      </c>
      <c r="I110" s="25">
        <v>0.9</v>
      </c>
      <c r="J110" s="26">
        <v>0</v>
      </c>
      <c r="K110" s="26">
        <v>0</v>
      </c>
      <c r="L110" s="27">
        <v>0</v>
      </c>
      <c r="M110" s="26">
        <v>0</v>
      </c>
      <c r="N110" s="28">
        <v>0.9</v>
      </c>
      <c r="O110" s="26">
        <v>0</v>
      </c>
      <c r="P110" s="26">
        <v>0</v>
      </c>
      <c r="Q110" s="26">
        <v>0</v>
      </c>
      <c r="R110" s="26">
        <v>0</v>
      </c>
      <c r="S110" s="28">
        <v>0.9</v>
      </c>
      <c r="T110" s="26">
        <v>0</v>
      </c>
      <c r="U110" s="26">
        <v>0</v>
      </c>
      <c r="V110" s="26">
        <v>0</v>
      </c>
      <c r="W110" s="26">
        <v>0</v>
      </c>
      <c r="X110" s="28">
        <v>0.92</v>
      </c>
      <c r="Y110" s="28">
        <v>0</v>
      </c>
      <c r="Z110" s="28">
        <v>0</v>
      </c>
      <c r="AA110" s="28">
        <v>0</v>
      </c>
      <c r="AB110" s="28">
        <v>1</v>
      </c>
      <c r="AC110" s="28">
        <v>0.92</v>
      </c>
      <c r="AD110" s="26">
        <v>0.78421052631578947</v>
      </c>
      <c r="AE110" s="26">
        <v>0.95918367346938771</v>
      </c>
      <c r="AF110" s="26">
        <v>0.95911949685534592</v>
      </c>
      <c r="AG110" s="26">
        <v>0.90972684876748833</v>
      </c>
      <c r="AH110" s="28">
        <v>0.92</v>
      </c>
      <c r="AI110" s="26">
        <v>0</v>
      </c>
      <c r="AJ110" s="26">
        <v>0</v>
      </c>
      <c r="AK110" s="26">
        <v>0</v>
      </c>
      <c r="AL110" s="26">
        <v>1</v>
      </c>
      <c r="AM110" s="25">
        <v>0.99</v>
      </c>
      <c r="AN110" s="30">
        <v>1</v>
      </c>
      <c r="AO110" s="30">
        <v>1</v>
      </c>
      <c r="AP110" s="30">
        <v>1</v>
      </c>
      <c r="AQ110" s="30">
        <v>1</v>
      </c>
      <c r="AR110" s="32">
        <v>0.10526149898194399</v>
      </c>
      <c r="AS110" s="34">
        <v>0</v>
      </c>
      <c r="AT110" s="34">
        <v>0</v>
      </c>
      <c r="AU110" s="34">
        <v>0</v>
      </c>
      <c r="AV110" s="34">
        <v>0</v>
      </c>
      <c r="AW110" s="10"/>
      <c r="AX110" s="8"/>
    </row>
    <row r="111" spans="1:50">
      <c r="A111" s="7"/>
      <c r="B111" s="10"/>
      <c r="C111" s="45" t="s">
        <v>127</v>
      </c>
      <c r="D111" s="23" t="s">
        <v>11</v>
      </c>
      <c r="E111" s="46" t="s">
        <v>159</v>
      </c>
      <c r="F111" s="46" t="s">
        <v>159</v>
      </c>
      <c r="G111" s="46" t="s">
        <v>159</v>
      </c>
      <c r="H111" s="46" t="s">
        <v>159</v>
      </c>
      <c r="I111" s="25">
        <v>0.9</v>
      </c>
      <c r="J111" s="26">
        <v>0.95238095238095233</v>
      </c>
      <c r="K111" s="26">
        <v>0.90476190476190477</v>
      </c>
      <c r="L111" s="27">
        <v>0.94545454545454544</v>
      </c>
      <c r="M111" s="26">
        <v>0.87621359223300976</v>
      </c>
      <c r="N111" s="28">
        <v>0.9</v>
      </c>
      <c r="O111" s="26">
        <v>0.8956563706563706</v>
      </c>
      <c r="P111" s="26">
        <v>0.90931965547275717</v>
      </c>
      <c r="Q111" s="26">
        <v>0.90425919184564985</v>
      </c>
      <c r="R111" s="26">
        <v>0.88752505934298398</v>
      </c>
      <c r="S111" s="28">
        <v>0.9</v>
      </c>
      <c r="T111" s="26">
        <v>0.8703667953667954</v>
      </c>
      <c r="U111" s="26">
        <v>0.89470628084776926</v>
      </c>
      <c r="V111" s="26">
        <v>0.88587550054605024</v>
      </c>
      <c r="W111" s="26">
        <v>0.85904042702350347</v>
      </c>
      <c r="X111" s="28">
        <v>0.92</v>
      </c>
      <c r="Y111" s="28">
        <v>0.83957489878542513</v>
      </c>
      <c r="Z111" s="28">
        <v>0.91891389250511435</v>
      </c>
      <c r="AA111" s="28">
        <v>0.93712235649546827</v>
      </c>
      <c r="AB111" s="28">
        <v>0.89073401243786643</v>
      </c>
      <c r="AC111" s="28">
        <v>0.92</v>
      </c>
      <c r="AD111" s="26">
        <v>0.98562068209233467</v>
      </c>
      <c r="AE111" s="26">
        <v>0.98783702091645509</v>
      </c>
      <c r="AF111" s="26">
        <v>0.98695797569947608</v>
      </c>
      <c r="AG111" s="26">
        <v>0.98210481527999338</v>
      </c>
      <c r="AH111" s="28">
        <v>0.92</v>
      </c>
      <c r="AI111" s="26">
        <v>0.90695390658565023</v>
      </c>
      <c r="AJ111" s="26">
        <v>0.95233549700903652</v>
      </c>
      <c r="AK111" s="26">
        <v>0.96628178356467265</v>
      </c>
      <c r="AL111" s="26">
        <v>0.93488854903763108</v>
      </c>
      <c r="AM111" s="25">
        <v>0.99</v>
      </c>
      <c r="AN111" s="30">
        <v>1</v>
      </c>
      <c r="AO111" s="30">
        <v>1</v>
      </c>
      <c r="AP111" s="30">
        <v>1</v>
      </c>
      <c r="AQ111" s="30">
        <v>1</v>
      </c>
      <c r="AR111" s="32">
        <v>0.10526149898194399</v>
      </c>
      <c r="AS111" s="34">
        <v>2.3529411764705882E-2</v>
      </c>
      <c r="AT111" s="34">
        <v>1.4705882352941176E-2</v>
      </c>
      <c r="AU111" s="34">
        <v>2.7027027027027029E-2</v>
      </c>
      <c r="AV111" s="34">
        <v>2.3612750885478158E-2</v>
      </c>
      <c r="AW111" s="10"/>
      <c r="AX111" s="8"/>
    </row>
    <row r="112" spans="1:50">
      <c r="A112" s="7"/>
      <c r="B112" s="10"/>
      <c r="C112" s="45" t="s">
        <v>127</v>
      </c>
      <c r="D112" s="23" t="s">
        <v>11</v>
      </c>
      <c r="E112" s="46" t="s">
        <v>160</v>
      </c>
      <c r="F112" s="46" t="s">
        <v>160</v>
      </c>
      <c r="G112" s="46" t="s">
        <v>160</v>
      </c>
      <c r="H112" s="46" t="s">
        <v>160</v>
      </c>
      <c r="I112" s="25">
        <v>0.9</v>
      </c>
      <c r="J112" s="26">
        <v>0</v>
      </c>
      <c r="K112" s="26">
        <v>0</v>
      </c>
      <c r="L112" s="27">
        <v>0</v>
      </c>
      <c r="M112" s="26">
        <v>0</v>
      </c>
      <c r="N112" s="28">
        <v>0.9</v>
      </c>
      <c r="O112" s="26">
        <v>0</v>
      </c>
      <c r="P112" s="26">
        <v>1</v>
      </c>
      <c r="Q112" s="26">
        <v>0</v>
      </c>
      <c r="R112" s="26">
        <v>0.33333333333333331</v>
      </c>
      <c r="S112" s="28">
        <v>0.9</v>
      </c>
      <c r="T112" s="26">
        <v>1</v>
      </c>
      <c r="U112" s="26">
        <v>1</v>
      </c>
      <c r="V112" s="26">
        <v>0</v>
      </c>
      <c r="W112" s="26">
        <v>1</v>
      </c>
      <c r="X112" s="28">
        <v>0.92</v>
      </c>
      <c r="Y112" s="28">
        <v>0</v>
      </c>
      <c r="Z112" s="28">
        <v>0</v>
      </c>
      <c r="AA112" s="28">
        <v>0</v>
      </c>
      <c r="AB112" s="28">
        <v>0</v>
      </c>
      <c r="AC112" s="28">
        <v>0.92</v>
      </c>
      <c r="AD112" s="26">
        <v>0.96005566436449852</v>
      </c>
      <c r="AE112" s="26">
        <v>0.89563754495881198</v>
      </c>
      <c r="AF112" s="26">
        <v>0.96959038616545756</v>
      </c>
      <c r="AG112" s="26">
        <v>0.93476068994918082</v>
      </c>
      <c r="AH112" s="28">
        <v>0.92</v>
      </c>
      <c r="AI112" s="26">
        <v>1</v>
      </c>
      <c r="AJ112" s="26">
        <v>1</v>
      </c>
      <c r="AK112" s="26">
        <v>0</v>
      </c>
      <c r="AL112" s="26">
        <v>1</v>
      </c>
      <c r="AM112" s="25">
        <v>0.99</v>
      </c>
      <c r="AN112" s="30">
        <v>1</v>
      </c>
      <c r="AO112" s="30">
        <v>1</v>
      </c>
      <c r="AP112" s="30">
        <v>1</v>
      </c>
      <c r="AQ112" s="30">
        <v>1</v>
      </c>
      <c r="AR112" s="32">
        <v>0.10526149898194399</v>
      </c>
      <c r="AS112" s="34">
        <v>0</v>
      </c>
      <c r="AT112" s="34">
        <v>0</v>
      </c>
      <c r="AU112" s="34">
        <v>0</v>
      </c>
      <c r="AV112" s="34">
        <v>0</v>
      </c>
      <c r="AW112" s="10"/>
      <c r="AX112" s="8"/>
    </row>
    <row r="113" spans="1:50">
      <c r="A113" s="7"/>
      <c r="B113" s="10"/>
      <c r="C113" s="45" t="s">
        <v>127</v>
      </c>
      <c r="D113" s="23" t="s">
        <v>11</v>
      </c>
      <c r="E113" s="46" t="s">
        <v>161</v>
      </c>
      <c r="F113" s="46" t="s">
        <v>161</v>
      </c>
      <c r="G113" s="46" t="s">
        <v>161</v>
      </c>
      <c r="H113" s="46" t="s">
        <v>161</v>
      </c>
      <c r="I113" s="25">
        <v>0.9</v>
      </c>
      <c r="J113" s="26">
        <v>0.95774647887323938</v>
      </c>
      <c r="K113" s="26">
        <v>0.9452054794520548</v>
      </c>
      <c r="L113" s="27">
        <v>0.96</v>
      </c>
      <c r="M113" s="26">
        <v>0.88967971530249113</v>
      </c>
      <c r="N113" s="28">
        <v>0.9</v>
      </c>
      <c r="O113" s="26">
        <v>0.9399813895781638</v>
      </c>
      <c r="P113" s="26">
        <v>0.92438364401683704</v>
      </c>
      <c r="Q113" s="26">
        <v>0.93707309984013953</v>
      </c>
      <c r="R113" s="26">
        <v>0.93692136299028084</v>
      </c>
      <c r="S113" s="28">
        <v>0.9</v>
      </c>
      <c r="T113" s="26">
        <v>0.87329404466501237</v>
      </c>
      <c r="U113" s="26">
        <v>0.88755261575466027</v>
      </c>
      <c r="V113" s="26">
        <v>0.87356488882429884</v>
      </c>
      <c r="W113" s="26">
        <v>0.86293265721639578</v>
      </c>
      <c r="X113" s="28">
        <v>0.92</v>
      </c>
      <c r="Y113" s="28">
        <v>0.88468233246301131</v>
      </c>
      <c r="Z113" s="28">
        <v>0.90002524614996215</v>
      </c>
      <c r="AA113" s="28">
        <v>0.90183415138207179</v>
      </c>
      <c r="AB113" s="28">
        <v>0.89287376291378406</v>
      </c>
      <c r="AC113" s="28">
        <v>0.92</v>
      </c>
      <c r="AD113" s="26">
        <v>0.9512369658556532</v>
      </c>
      <c r="AE113" s="26">
        <v>0.9012908803625197</v>
      </c>
      <c r="AF113" s="26">
        <v>0.82603032840264212</v>
      </c>
      <c r="AG113" s="26">
        <v>0.93306656146085776</v>
      </c>
      <c r="AH113" s="28">
        <v>0.92</v>
      </c>
      <c r="AI113" s="26">
        <v>0.92231075697211151</v>
      </c>
      <c r="AJ113" s="26">
        <v>0.94148685574295676</v>
      </c>
      <c r="AK113" s="26">
        <v>0.94234167209150932</v>
      </c>
      <c r="AL113" s="26">
        <v>0.93228079331941549</v>
      </c>
      <c r="AM113" s="25">
        <v>0.99</v>
      </c>
      <c r="AN113" s="30">
        <v>1</v>
      </c>
      <c r="AO113" s="30">
        <v>1</v>
      </c>
      <c r="AP113" s="30">
        <v>1</v>
      </c>
      <c r="AQ113" s="30">
        <v>1</v>
      </c>
      <c r="AR113" s="32">
        <v>0.10526149898194399</v>
      </c>
      <c r="AS113" s="34">
        <v>5.5555555555555552E-2</v>
      </c>
      <c r="AT113" s="34">
        <v>3.3333333333333333E-2</v>
      </c>
      <c r="AU113" s="34">
        <v>0</v>
      </c>
      <c r="AV113" s="34">
        <v>7.5471698113207544E-2</v>
      </c>
      <c r="AW113" s="10"/>
      <c r="AX113" s="8"/>
    </row>
    <row r="114" spans="1:50">
      <c r="A114" s="7"/>
      <c r="B114" s="10"/>
      <c r="C114" s="45" t="s">
        <v>127</v>
      </c>
      <c r="D114" s="23" t="s">
        <v>11</v>
      </c>
      <c r="E114" s="46" t="s">
        <v>162</v>
      </c>
      <c r="F114" s="46" t="s">
        <v>162</v>
      </c>
      <c r="G114" s="46" t="s">
        <v>162</v>
      </c>
      <c r="H114" s="46" t="s">
        <v>162</v>
      </c>
      <c r="I114" s="25">
        <v>0.9</v>
      </c>
      <c r="J114" s="26">
        <v>0.94680851063829785</v>
      </c>
      <c r="K114" s="26">
        <v>0.88659793814432986</v>
      </c>
      <c r="L114" s="27">
        <v>0.91919191919191923</v>
      </c>
      <c r="M114" s="26">
        <v>0.89124668435013266</v>
      </c>
      <c r="N114" s="28">
        <v>0.9</v>
      </c>
      <c r="O114" s="26">
        <v>0.67296827466318987</v>
      </c>
      <c r="P114" s="26">
        <v>0.69655172413793098</v>
      </c>
      <c r="Q114" s="26">
        <v>0.71402925531914896</v>
      </c>
      <c r="R114" s="26">
        <v>0.72816391667379099</v>
      </c>
      <c r="S114" s="28">
        <v>0.9</v>
      </c>
      <c r="T114" s="26">
        <v>0.94741416775315079</v>
      </c>
      <c r="U114" s="26">
        <v>0.94413018209996125</v>
      </c>
      <c r="V114" s="26">
        <v>0.95186170212765953</v>
      </c>
      <c r="W114" s="26">
        <v>0.92954508753431553</v>
      </c>
      <c r="X114" s="28">
        <v>0.92</v>
      </c>
      <c r="Y114" s="28">
        <v>0.9568028210402586</v>
      </c>
      <c r="Z114" s="28">
        <v>0.97932584269662926</v>
      </c>
      <c r="AA114" s="28">
        <v>0.9846364466078491</v>
      </c>
      <c r="AB114" s="28">
        <v>0.97343715073392445</v>
      </c>
      <c r="AC114" s="28">
        <v>0.92</v>
      </c>
      <c r="AD114" s="26">
        <v>0.9797547739917345</v>
      </c>
      <c r="AE114" s="26">
        <v>0.95608113023614483</v>
      </c>
      <c r="AF114" s="26">
        <v>0.96470662580176314</v>
      </c>
      <c r="AG114" s="26">
        <v>0.96524349859305414</v>
      </c>
      <c r="AH114" s="28">
        <v>0.92</v>
      </c>
      <c r="AI114" s="26">
        <v>0.97474184321520341</v>
      </c>
      <c r="AJ114" s="26">
        <v>0.98708458828934609</v>
      </c>
      <c r="AK114" s="26">
        <v>0.99033257782506123</v>
      </c>
      <c r="AL114" s="26">
        <v>0.98179886329343125</v>
      </c>
      <c r="AM114" s="25">
        <v>0.99</v>
      </c>
      <c r="AN114" s="30">
        <v>1</v>
      </c>
      <c r="AO114" s="30">
        <v>1</v>
      </c>
      <c r="AP114" s="30">
        <v>1</v>
      </c>
      <c r="AQ114" s="30">
        <v>1</v>
      </c>
      <c r="AR114" s="32">
        <v>0.10526149898194399</v>
      </c>
      <c r="AS114" s="34">
        <v>0.15151515151515152</v>
      </c>
      <c r="AT114" s="34">
        <v>3.125E-2</v>
      </c>
      <c r="AU114" s="34">
        <v>0</v>
      </c>
      <c r="AV114" s="34">
        <v>5.1792828685258967E-2</v>
      </c>
      <c r="AW114" s="10"/>
      <c r="AX114" s="8"/>
    </row>
    <row r="115" spans="1:50">
      <c r="A115" s="7"/>
      <c r="B115" s="10"/>
      <c r="C115" s="45" t="s">
        <v>127</v>
      </c>
      <c r="D115" s="23" t="s">
        <v>11</v>
      </c>
      <c r="E115" s="46" t="s">
        <v>163</v>
      </c>
      <c r="F115" s="46" t="s">
        <v>163</v>
      </c>
      <c r="G115" s="46" t="s">
        <v>163</v>
      </c>
      <c r="H115" s="46" t="s">
        <v>163</v>
      </c>
      <c r="I115" s="25">
        <v>0.9</v>
      </c>
      <c r="J115" s="26">
        <v>0.92941176470588238</v>
      </c>
      <c r="K115" s="26">
        <v>0.85365853658536583</v>
      </c>
      <c r="L115" s="27">
        <v>0.85227272727272729</v>
      </c>
      <c r="M115" s="26">
        <v>0.86349693251533743</v>
      </c>
      <c r="N115" s="28">
        <v>0.9</v>
      </c>
      <c r="O115" s="26">
        <v>0.91682419659735348</v>
      </c>
      <c r="P115" s="26">
        <v>0.94824651004426286</v>
      </c>
      <c r="Q115" s="26">
        <v>0.93135313531353137</v>
      </c>
      <c r="R115" s="26">
        <v>0.91531324924424062</v>
      </c>
      <c r="S115" s="28">
        <v>0.9</v>
      </c>
      <c r="T115" s="26">
        <v>0.85891046571575869</v>
      </c>
      <c r="U115" s="26">
        <v>0.86857337419135172</v>
      </c>
      <c r="V115" s="26">
        <v>0.86551155115511547</v>
      </c>
      <c r="W115" s="26">
        <v>0.82024392786406752</v>
      </c>
      <c r="X115" s="28">
        <v>0.92</v>
      </c>
      <c r="Y115" s="28">
        <v>0.92033486362408856</v>
      </c>
      <c r="Z115" s="28">
        <v>0.93958756898054019</v>
      </c>
      <c r="AA115" s="28">
        <v>0.91292213229137598</v>
      </c>
      <c r="AB115" s="28">
        <v>0.92523762235778129</v>
      </c>
      <c r="AC115" s="28">
        <v>0.92</v>
      </c>
      <c r="AD115" s="26">
        <v>0.9793297839022862</v>
      </c>
      <c r="AE115" s="26">
        <v>0.98567818028643639</v>
      </c>
      <c r="AF115" s="26">
        <v>0.97064430041936711</v>
      </c>
      <c r="AG115" s="26">
        <v>0.97011843963924804</v>
      </c>
      <c r="AH115" s="28">
        <v>0.92</v>
      </c>
      <c r="AI115" s="26">
        <v>0.93478945710385386</v>
      </c>
      <c r="AJ115" s="26">
        <v>0.96243425995492116</v>
      </c>
      <c r="AK115" s="26">
        <v>0.95665698880132721</v>
      </c>
      <c r="AL115" s="26">
        <v>0.95204589311734511</v>
      </c>
      <c r="AM115" s="25">
        <v>0.99</v>
      </c>
      <c r="AN115" s="30">
        <v>1</v>
      </c>
      <c r="AO115" s="30">
        <v>1</v>
      </c>
      <c r="AP115" s="30">
        <v>1</v>
      </c>
      <c r="AQ115" s="30">
        <v>1</v>
      </c>
      <c r="AR115" s="32">
        <v>0.10526149898194399</v>
      </c>
      <c r="AS115" s="34">
        <v>0.12121212121212122</v>
      </c>
      <c r="AT115" s="34">
        <v>0.08</v>
      </c>
      <c r="AU115" s="34">
        <v>0.1111111111111111</v>
      </c>
      <c r="AV115" s="34">
        <v>6.9958847736625515E-2</v>
      </c>
      <c r="AW115" s="10"/>
      <c r="AX115" s="8"/>
    </row>
    <row r="116" spans="1:50">
      <c r="A116" s="7"/>
      <c r="B116" s="10"/>
      <c r="C116" s="45" t="s">
        <v>127</v>
      </c>
      <c r="D116" s="23" t="s">
        <v>11</v>
      </c>
      <c r="E116" s="46" t="s">
        <v>164</v>
      </c>
      <c r="F116" s="46" t="s">
        <v>164</v>
      </c>
      <c r="G116" s="46" t="s">
        <v>164</v>
      </c>
      <c r="H116" s="46" t="s">
        <v>164</v>
      </c>
      <c r="I116" s="25">
        <v>0.9</v>
      </c>
      <c r="J116" s="26">
        <v>0.97674418604651159</v>
      </c>
      <c r="K116" s="26">
        <v>0.98901098901098905</v>
      </c>
      <c r="L116" s="27">
        <v>0.98969072164948457</v>
      </c>
      <c r="M116" s="26">
        <v>0.97884344146685476</v>
      </c>
      <c r="N116" s="28">
        <v>0.9</v>
      </c>
      <c r="O116" s="26">
        <v>0</v>
      </c>
      <c r="P116" s="26">
        <v>0</v>
      </c>
      <c r="Q116" s="26">
        <v>0</v>
      </c>
      <c r="R116" s="26">
        <v>0</v>
      </c>
      <c r="S116" s="28">
        <v>0.9</v>
      </c>
      <c r="T116" s="26">
        <v>0</v>
      </c>
      <c r="U116" s="26">
        <v>0</v>
      </c>
      <c r="V116" s="26">
        <v>0</v>
      </c>
      <c r="W116" s="26">
        <v>0.5</v>
      </c>
      <c r="X116" s="28">
        <v>0.92</v>
      </c>
      <c r="Y116" s="28">
        <v>0</v>
      </c>
      <c r="Z116" s="28">
        <v>0</v>
      </c>
      <c r="AA116" s="28">
        <v>0</v>
      </c>
      <c r="AB116" s="28">
        <v>0</v>
      </c>
      <c r="AC116" s="28">
        <v>0.92</v>
      </c>
      <c r="AD116" s="26">
        <v>0.99932569116655423</v>
      </c>
      <c r="AE116" s="26">
        <v>0.99591121495327106</v>
      </c>
      <c r="AF116" s="26">
        <v>0.99643620812544542</v>
      </c>
      <c r="AG116" s="26">
        <v>0.99634057087094419</v>
      </c>
      <c r="AH116" s="28">
        <v>0.92</v>
      </c>
      <c r="AI116" s="26">
        <v>0.96000963623223323</v>
      </c>
      <c r="AJ116" s="26">
        <v>0.97426254554001646</v>
      </c>
      <c r="AK116" s="26">
        <v>0.98134735588848099</v>
      </c>
      <c r="AL116" s="26">
        <v>0.97706204458241708</v>
      </c>
      <c r="AM116" s="25">
        <v>0.99</v>
      </c>
      <c r="AN116" s="30">
        <v>1</v>
      </c>
      <c r="AO116" s="30">
        <v>1</v>
      </c>
      <c r="AP116" s="30">
        <v>1</v>
      </c>
      <c r="AQ116" s="30">
        <v>1</v>
      </c>
      <c r="AR116" s="32">
        <v>0.10526149898194399</v>
      </c>
      <c r="AS116" s="34">
        <v>8.3333333333333329E-2</v>
      </c>
      <c r="AT116" s="34">
        <v>0</v>
      </c>
      <c r="AU116" s="34">
        <v>4.5454545454545456E-2</v>
      </c>
      <c r="AV116" s="34">
        <v>9.2391304347826081E-2</v>
      </c>
      <c r="AW116" s="10"/>
      <c r="AX116" s="8"/>
    </row>
    <row r="117" spans="1:50">
      <c r="A117" s="7"/>
      <c r="B117" s="10"/>
      <c r="C117" s="45" t="s">
        <v>127</v>
      </c>
      <c r="D117" s="23" t="s">
        <v>11</v>
      </c>
      <c r="E117" s="46" t="s">
        <v>165</v>
      </c>
      <c r="F117" s="46" t="s">
        <v>165</v>
      </c>
      <c r="G117" s="46" t="s">
        <v>165</v>
      </c>
      <c r="H117" s="46" t="s">
        <v>165</v>
      </c>
      <c r="I117" s="25">
        <v>0.9</v>
      </c>
      <c r="J117" s="26">
        <v>0.94</v>
      </c>
      <c r="K117" s="26">
        <v>0.84210526315789469</v>
      </c>
      <c r="L117" s="27">
        <v>0.9285714285714286</v>
      </c>
      <c r="M117" s="26">
        <v>0.92172897196261683</v>
      </c>
      <c r="N117" s="28">
        <v>0.9</v>
      </c>
      <c r="O117" s="26">
        <v>0</v>
      </c>
      <c r="P117" s="26">
        <v>0</v>
      </c>
      <c r="Q117" s="26">
        <v>0</v>
      </c>
      <c r="R117" s="26">
        <v>0</v>
      </c>
      <c r="S117" s="28">
        <v>0.9</v>
      </c>
      <c r="T117" s="26">
        <v>0</v>
      </c>
      <c r="U117" s="26">
        <v>0</v>
      </c>
      <c r="V117" s="26">
        <v>0</v>
      </c>
      <c r="W117" s="26">
        <v>0</v>
      </c>
      <c r="X117" s="28">
        <v>0.92</v>
      </c>
      <c r="Y117" s="28">
        <v>0</v>
      </c>
      <c r="Z117" s="28">
        <v>0</v>
      </c>
      <c r="AA117" s="28">
        <v>0</v>
      </c>
      <c r="AB117" s="28">
        <v>0</v>
      </c>
      <c r="AC117" s="28">
        <v>0.92</v>
      </c>
      <c r="AD117" s="26">
        <v>0.99494949494949492</v>
      </c>
      <c r="AE117" s="26">
        <v>0.81645569620253167</v>
      </c>
      <c r="AF117" s="26">
        <v>0.98181818181818181</v>
      </c>
      <c r="AG117" s="26">
        <v>0.90570846075433231</v>
      </c>
      <c r="AH117" s="28">
        <v>0.92</v>
      </c>
      <c r="AI117" s="26">
        <v>0.96295356508500385</v>
      </c>
      <c r="AJ117" s="26">
        <v>0.96941972678280486</v>
      </c>
      <c r="AK117" s="26">
        <v>0.97974061202000506</v>
      </c>
      <c r="AL117" s="26">
        <v>0.97578493741021954</v>
      </c>
      <c r="AM117" s="25">
        <v>0.99</v>
      </c>
      <c r="AN117" s="30">
        <v>1</v>
      </c>
      <c r="AO117" s="30">
        <v>1</v>
      </c>
      <c r="AP117" s="30">
        <v>1</v>
      </c>
      <c r="AQ117" s="30">
        <v>1</v>
      </c>
      <c r="AR117" s="32">
        <v>0.10526149898194399</v>
      </c>
      <c r="AS117" s="34">
        <v>0</v>
      </c>
      <c r="AT117" s="34">
        <v>0.18181818181818182</v>
      </c>
      <c r="AU117" s="34">
        <v>0</v>
      </c>
      <c r="AV117" s="34">
        <v>5.6179775280898875E-2</v>
      </c>
      <c r="AW117" s="10"/>
      <c r="AX117" s="8"/>
    </row>
    <row r="118" spans="1:50">
      <c r="A118" s="7"/>
      <c r="B118" s="10"/>
      <c r="C118" s="45" t="s">
        <v>127</v>
      </c>
      <c r="D118" s="23" t="s">
        <v>11</v>
      </c>
      <c r="E118" s="46" t="s">
        <v>166</v>
      </c>
      <c r="F118" s="46" t="s">
        <v>166</v>
      </c>
      <c r="G118" s="46" t="s">
        <v>166</v>
      </c>
      <c r="H118" s="46" t="s">
        <v>166</v>
      </c>
      <c r="I118" s="25">
        <v>0.9</v>
      </c>
      <c r="J118" s="26">
        <v>0.98750000000000004</v>
      </c>
      <c r="K118" s="26">
        <v>1</v>
      </c>
      <c r="L118" s="27">
        <v>0.97499999999999998</v>
      </c>
      <c r="M118" s="26">
        <v>0.97415185783521807</v>
      </c>
      <c r="N118" s="28">
        <v>0.9</v>
      </c>
      <c r="O118" s="26">
        <v>0</v>
      </c>
      <c r="P118" s="26">
        <v>0.66666666666666663</v>
      </c>
      <c r="Q118" s="26">
        <v>0</v>
      </c>
      <c r="R118" s="26">
        <v>0.5714285714285714</v>
      </c>
      <c r="S118" s="28">
        <v>0.9</v>
      </c>
      <c r="T118" s="26">
        <v>0</v>
      </c>
      <c r="U118" s="26">
        <v>0</v>
      </c>
      <c r="V118" s="26">
        <v>0</v>
      </c>
      <c r="W118" s="26">
        <v>0</v>
      </c>
      <c r="X118" s="28">
        <v>0.92</v>
      </c>
      <c r="Y118" s="28">
        <v>0</v>
      </c>
      <c r="Z118" s="28">
        <v>0</v>
      </c>
      <c r="AA118" s="28">
        <v>0</v>
      </c>
      <c r="AB118" s="28">
        <v>0</v>
      </c>
      <c r="AC118" s="28">
        <v>0.92</v>
      </c>
      <c r="AD118" s="26">
        <v>1</v>
      </c>
      <c r="AE118" s="26">
        <v>0.9907407407407407</v>
      </c>
      <c r="AF118" s="26">
        <v>0.99514563106796117</v>
      </c>
      <c r="AG118" s="26">
        <v>0.995225102319236</v>
      </c>
      <c r="AH118" s="28">
        <v>0.92</v>
      </c>
      <c r="AI118" s="26">
        <v>0.96168234894002946</v>
      </c>
      <c r="AJ118" s="26">
        <v>0.97125097125097126</v>
      </c>
      <c r="AK118" s="26">
        <v>0.96715063520871147</v>
      </c>
      <c r="AL118" s="26">
        <v>0.97164501587132224</v>
      </c>
      <c r="AM118" s="25">
        <v>0.99</v>
      </c>
      <c r="AN118" s="30">
        <v>1</v>
      </c>
      <c r="AO118" s="30">
        <v>1</v>
      </c>
      <c r="AP118" s="30">
        <v>1</v>
      </c>
      <c r="AQ118" s="30">
        <v>1</v>
      </c>
      <c r="AR118" s="32">
        <v>0.10526149898194399</v>
      </c>
      <c r="AS118" s="34">
        <v>0.1875</v>
      </c>
      <c r="AT118" s="34">
        <v>7.1428571428571425E-2</v>
      </c>
      <c r="AU118" s="34">
        <v>6.25E-2</v>
      </c>
      <c r="AV118" s="34">
        <v>9.6774193548387094E-2</v>
      </c>
      <c r="AW118" s="10"/>
      <c r="AX118" s="8"/>
    </row>
    <row r="119" spans="1:50">
      <c r="A119" s="7"/>
      <c r="B119" s="10"/>
      <c r="C119" s="45" t="s">
        <v>127</v>
      </c>
      <c r="D119" s="23" t="s">
        <v>11</v>
      </c>
      <c r="E119" s="46" t="s">
        <v>167</v>
      </c>
      <c r="F119" s="46" t="s">
        <v>167</v>
      </c>
      <c r="G119" s="46" t="s">
        <v>167</v>
      </c>
      <c r="H119" s="46" t="s">
        <v>167</v>
      </c>
      <c r="I119" s="25">
        <v>0.9</v>
      </c>
      <c r="J119" s="26">
        <v>0.95789473684210524</v>
      </c>
      <c r="K119" s="26">
        <v>0.92391304347826086</v>
      </c>
      <c r="L119" s="27">
        <v>0.91208791208791207</v>
      </c>
      <c r="M119" s="26">
        <v>0.93013698630136987</v>
      </c>
      <c r="N119" s="28">
        <v>0.9</v>
      </c>
      <c r="O119" s="26">
        <v>0</v>
      </c>
      <c r="P119" s="26">
        <v>0</v>
      </c>
      <c r="Q119" s="26">
        <v>0</v>
      </c>
      <c r="R119" s="26">
        <v>0</v>
      </c>
      <c r="S119" s="28">
        <v>0.9</v>
      </c>
      <c r="T119" s="26">
        <v>0</v>
      </c>
      <c r="U119" s="26">
        <v>0</v>
      </c>
      <c r="V119" s="26">
        <v>0</v>
      </c>
      <c r="W119" s="26">
        <v>0</v>
      </c>
      <c r="X119" s="28">
        <v>0.92</v>
      </c>
      <c r="Y119" s="28">
        <v>0</v>
      </c>
      <c r="Z119" s="28">
        <v>0</v>
      </c>
      <c r="AA119" s="28">
        <v>0</v>
      </c>
      <c r="AB119" s="28">
        <v>0</v>
      </c>
      <c r="AC119" s="28">
        <v>0.92</v>
      </c>
      <c r="AD119" s="26">
        <v>1</v>
      </c>
      <c r="AE119" s="26">
        <v>0.9826086956521739</v>
      </c>
      <c r="AF119" s="26">
        <v>0.94354838709677424</v>
      </c>
      <c r="AG119" s="26">
        <v>0.95255813953488377</v>
      </c>
      <c r="AH119" s="28">
        <v>0.92</v>
      </c>
      <c r="AI119" s="26">
        <v>0.96681922196796344</v>
      </c>
      <c r="AJ119" s="26">
        <v>0.97321987235640095</v>
      </c>
      <c r="AK119" s="26">
        <v>0.96723433920924207</v>
      </c>
      <c r="AL119" s="26">
        <v>0.97267607286380575</v>
      </c>
      <c r="AM119" s="25">
        <v>0.99</v>
      </c>
      <c r="AN119" s="30">
        <v>1</v>
      </c>
      <c r="AO119" s="30">
        <v>1</v>
      </c>
      <c r="AP119" s="30">
        <v>1</v>
      </c>
      <c r="AQ119" s="30">
        <v>1</v>
      </c>
      <c r="AR119" s="32">
        <v>0.10526149898194399</v>
      </c>
      <c r="AS119" s="34">
        <v>6.25E-2</v>
      </c>
      <c r="AT119" s="34">
        <v>0</v>
      </c>
      <c r="AU119" s="34">
        <v>0</v>
      </c>
      <c r="AV119" s="34">
        <v>4.6728971962616821E-2</v>
      </c>
      <c r="AW119" s="10"/>
      <c r="AX119" s="8"/>
    </row>
    <row r="120" spans="1:50">
      <c r="A120" s="7"/>
      <c r="B120" s="10"/>
      <c r="C120" s="45" t="s">
        <v>127</v>
      </c>
      <c r="D120" s="23" t="s">
        <v>11</v>
      </c>
      <c r="E120" s="46" t="s">
        <v>168</v>
      </c>
      <c r="F120" s="46" t="s">
        <v>168</v>
      </c>
      <c r="G120" s="46" t="s">
        <v>168</v>
      </c>
      <c r="H120" s="46" t="s">
        <v>168</v>
      </c>
      <c r="I120" s="25">
        <v>0.9</v>
      </c>
      <c r="J120" s="26">
        <v>0.92307692307692313</v>
      </c>
      <c r="K120" s="26">
        <v>0.92222222222222228</v>
      </c>
      <c r="L120" s="27">
        <v>0.91836734693877553</v>
      </c>
      <c r="M120" s="26">
        <v>0.93715846994535523</v>
      </c>
      <c r="N120" s="28">
        <v>0.9</v>
      </c>
      <c r="O120" s="26">
        <v>0</v>
      </c>
      <c r="P120" s="26">
        <v>0</v>
      </c>
      <c r="Q120" s="26">
        <v>0</v>
      </c>
      <c r="R120" s="26">
        <v>0</v>
      </c>
      <c r="S120" s="28">
        <v>0.9</v>
      </c>
      <c r="T120" s="26">
        <v>0</v>
      </c>
      <c r="U120" s="26">
        <v>0</v>
      </c>
      <c r="V120" s="26">
        <v>0</v>
      </c>
      <c r="W120" s="26">
        <v>0</v>
      </c>
      <c r="X120" s="28">
        <v>0.92</v>
      </c>
      <c r="Y120" s="28">
        <v>0</v>
      </c>
      <c r="Z120" s="28">
        <v>0</v>
      </c>
      <c r="AA120" s="28">
        <v>0</v>
      </c>
      <c r="AB120" s="28">
        <v>0</v>
      </c>
      <c r="AC120" s="28">
        <v>0.92</v>
      </c>
      <c r="AD120" s="26">
        <v>0.98648648648648651</v>
      </c>
      <c r="AE120" s="26">
        <v>0.97333333333333338</v>
      </c>
      <c r="AF120" s="26">
        <v>0.98095238095238091</v>
      </c>
      <c r="AG120" s="26">
        <v>0.95993836671802768</v>
      </c>
      <c r="AH120" s="28">
        <v>0.92</v>
      </c>
      <c r="AI120" s="26">
        <v>0.92155595761178599</v>
      </c>
      <c r="AJ120" s="26">
        <v>0.9473866790009251</v>
      </c>
      <c r="AK120" s="26">
        <v>0.95515066573230556</v>
      </c>
      <c r="AL120" s="26">
        <v>0.94713040973572404</v>
      </c>
      <c r="AM120" s="25">
        <v>0.99</v>
      </c>
      <c r="AN120" s="30">
        <v>1</v>
      </c>
      <c r="AO120" s="30">
        <v>1</v>
      </c>
      <c r="AP120" s="30">
        <v>1</v>
      </c>
      <c r="AQ120" s="30">
        <v>1</v>
      </c>
      <c r="AR120" s="32">
        <v>0.10526149898194399</v>
      </c>
      <c r="AS120" s="34">
        <v>0.17391304347826086</v>
      </c>
      <c r="AT120" s="34">
        <v>6.6666666666666666E-2</v>
      </c>
      <c r="AU120" s="34">
        <v>0.25</v>
      </c>
      <c r="AV120" s="34">
        <v>9.8765432098765427E-2</v>
      </c>
      <c r="AW120" s="10"/>
      <c r="AX120" s="8"/>
    </row>
    <row r="121" spans="1:50">
      <c r="A121" s="7"/>
      <c r="B121" s="10"/>
      <c r="C121" s="45" t="s">
        <v>127</v>
      </c>
      <c r="D121" s="23" t="s">
        <v>11</v>
      </c>
      <c r="E121" s="46" t="s">
        <v>169</v>
      </c>
      <c r="F121" s="46" t="s">
        <v>169</v>
      </c>
      <c r="G121" s="46" t="s">
        <v>169</v>
      </c>
      <c r="H121" s="46" t="s">
        <v>169</v>
      </c>
      <c r="I121" s="25">
        <v>0.9</v>
      </c>
      <c r="J121" s="26">
        <v>1</v>
      </c>
      <c r="K121" s="26">
        <v>1</v>
      </c>
      <c r="L121" s="27">
        <v>1</v>
      </c>
      <c r="M121" s="26">
        <v>0.99196787148594379</v>
      </c>
      <c r="N121" s="28">
        <v>0.9</v>
      </c>
      <c r="O121" s="26">
        <v>1</v>
      </c>
      <c r="P121" s="26">
        <v>0</v>
      </c>
      <c r="Q121" s="26">
        <v>0</v>
      </c>
      <c r="R121" s="26">
        <v>0.33333333333333331</v>
      </c>
      <c r="S121" s="28">
        <v>0.9</v>
      </c>
      <c r="T121" s="26">
        <v>0</v>
      </c>
      <c r="U121" s="26">
        <v>0</v>
      </c>
      <c r="V121" s="26">
        <v>0</v>
      </c>
      <c r="W121" s="26">
        <v>0</v>
      </c>
      <c r="X121" s="28">
        <v>0.92</v>
      </c>
      <c r="Y121" s="28">
        <v>0</v>
      </c>
      <c r="Z121" s="28">
        <v>0</v>
      </c>
      <c r="AA121" s="28">
        <v>0</v>
      </c>
      <c r="AB121" s="28">
        <v>0</v>
      </c>
      <c r="AC121" s="28">
        <v>0.92</v>
      </c>
      <c r="AD121" s="26">
        <v>1</v>
      </c>
      <c r="AE121" s="26">
        <v>0.99732620320855614</v>
      </c>
      <c r="AF121" s="26">
        <v>1</v>
      </c>
      <c r="AG121" s="26">
        <v>0.9955263157894737</v>
      </c>
      <c r="AH121" s="28">
        <v>0.92</v>
      </c>
      <c r="AI121" s="26">
        <v>0.96905016008537892</v>
      </c>
      <c r="AJ121" s="26">
        <v>0.97530040053404543</v>
      </c>
      <c r="AK121" s="26">
        <v>0.97469036079698435</v>
      </c>
      <c r="AL121" s="26">
        <v>0.97770168033766025</v>
      </c>
      <c r="AM121" s="25">
        <v>0.99</v>
      </c>
      <c r="AN121" s="30">
        <v>1</v>
      </c>
      <c r="AO121" s="30">
        <v>1</v>
      </c>
      <c r="AP121" s="30">
        <v>1</v>
      </c>
      <c r="AQ121" s="30">
        <v>1</v>
      </c>
      <c r="AR121" s="32">
        <v>0.10526149898194399</v>
      </c>
      <c r="AS121" s="34">
        <v>0.66666666666666663</v>
      </c>
      <c r="AT121" s="34">
        <v>0</v>
      </c>
      <c r="AU121" s="34">
        <v>0</v>
      </c>
      <c r="AV121" s="34">
        <v>0.25</v>
      </c>
      <c r="AW121" s="10"/>
      <c r="AX121" s="8"/>
    </row>
    <row r="122" spans="1:50">
      <c r="A122" s="7"/>
      <c r="B122" s="10"/>
      <c r="C122" s="45" t="s">
        <v>127</v>
      </c>
      <c r="D122" s="23" t="s">
        <v>11</v>
      </c>
      <c r="E122" s="46" t="s">
        <v>170</v>
      </c>
      <c r="F122" s="46" t="s">
        <v>170</v>
      </c>
      <c r="G122" s="46" t="s">
        <v>170</v>
      </c>
      <c r="H122" s="46" t="s">
        <v>170</v>
      </c>
      <c r="I122" s="25">
        <v>0.9</v>
      </c>
      <c r="J122" s="26">
        <v>1</v>
      </c>
      <c r="K122" s="26">
        <v>1</v>
      </c>
      <c r="L122" s="27">
        <v>1</v>
      </c>
      <c r="M122" s="26">
        <v>1</v>
      </c>
      <c r="N122" s="28">
        <v>0.9</v>
      </c>
      <c r="O122" s="26">
        <v>0</v>
      </c>
      <c r="P122" s="26">
        <v>0</v>
      </c>
      <c r="Q122" s="26">
        <v>0</v>
      </c>
      <c r="R122" s="26">
        <v>0</v>
      </c>
      <c r="S122" s="28">
        <v>0.9</v>
      </c>
      <c r="T122" s="26">
        <v>0</v>
      </c>
      <c r="U122" s="26">
        <v>1</v>
      </c>
      <c r="V122" s="26">
        <v>0</v>
      </c>
      <c r="W122" s="26">
        <v>0.5</v>
      </c>
      <c r="X122" s="28">
        <v>0.92</v>
      </c>
      <c r="Y122" s="28">
        <v>0</v>
      </c>
      <c r="Z122" s="28">
        <v>0</v>
      </c>
      <c r="AA122" s="28">
        <v>0</v>
      </c>
      <c r="AB122" s="28">
        <v>0.125</v>
      </c>
      <c r="AC122" s="28">
        <v>0.92</v>
      </c>
      <c r="AD122" s="26">
        <v>0.98373983739837401</v>
      </c>
      <c r="AE122" s="26">
        <v>0.97701149425287359</v>
      </c>
      <c r="AF122" s="26">
        <v>0.98281786941580751</v>
      </c>
      <c r="AG122" s="26">
        <v>0.98051330798479086</v>
      </c>
      <c r="AH122" s="28">
        <v>0.92</v>
      </c>
      <c r="AI122" s="26">
        <v>0.96486916293190694</v>
      </c>
      <c r="AJ122" s="26">
        <v>0.9775645548186821</v>
      </c>
      <c r="AK122" s="26">
        <v>0.9782044042913608</v>
      </c>
      <c r="AL122" s="26">
        <v>0.98430754471321869</v>
      </c>
      <c r="AM122" s="25">
        <v>0.99</v>
      </c>
      <c r="AN122" s="30">
        <v>1</v>
      </c>
      <c r="AO122" s="30">
        <v>1</v>
      </c>
      <c r="AP122" s="30">
        <v>1</v>
      </c>
      <c r="AQ122" s="30">
        <v>1</v>
      </c>
      <c r="AR122" s="32">
        <v>0.10526149898194399</v>
      </c>
      <c r="AS122" s="34">
        <v>0.25</v>
      </c>
      <c r="AT122" s="34">
        <v>0</v>
      </c>
      <c r="AU122" s="34">
        <v>0</v>
      </c>
      <c r="AV122" s="34">
        <v>0.22077922077922077</v>
      </c>
      <c r="AW122" s="10"/>
      <c r="AX122" s="8"/>
    </row>
    <row r="123" spans="1:50">
      <c r="A123" s="7"/>
      <c r="B123" s="10"/>
      <c r="C123" s="45" t="s">
        <v>127</v>
      </c>
      <c r="D123" s="23" t="s">
        <v>11</v>
      </c>
      <c r="E123" s="46" t="s">
        <v>171</v>
      </c>
      <c r="F123" s="46" t="s">
        <v>171</v>
      </c>
      <c r="G123" s="46" t="s">
        <v>171</v>
      </c>
      <c r="H123" s="46" t="s">
        <v>171</v>
      </c>
      <c r="I123" s="25">
        <v>0.9</v>
      </c>
      <c r="J123" s="26">
        <v>1</v>
      </c>
      <c r="K123" s="26">
        <v>0.98795180722891562</v>
      </c>
      <c r="L123" s="27">
        <v>0.9885057471264368</v>
      </c>
      <c r="M123" s="26">
        <v>0.98320610687022902</v>
      </c>
      <c r="N123" s="28">
        <v>0.9</v>
      </c>
      <c r="O123" s="26">
        <v>0</v>
      </c>
      <c r="P123" s="26">
        <v>0</v>
      </c>
      <c r="Q123" s="26">
        <v>1</v>
      </c>
      <c r="R123" s="26">
        <v>0.25</v>
      </c>
      <c r="S123" s="28">
        <v>0.9</v>
      </c>
      <c r="T123" s="26">
        <v>0</v>
      </c>
      <c r="U123" s="26">
        <v>0</v>
      </c>
      <c r="V123" s="26">
        <v>0</v>
      </c>
      <c r="W123" s="26">
        <v>0</v>
      </c>
      <c r="X123" s="28">
        <v>0.92</v>
      </c>
      <c r="Y123" s="28">
        <v>0</v>
      </c>
      <c r="Z123" s="28">
        <v>0</v>
      </c>
      <c r="AA123" s="28">
        <v>0</v>
      </c>
      <c r="AB123" s="28">
        <v>0</v>
      </c>
      <c r="AC123" s="28">
        <v>0.92</v>
      </c>
      <c r="AD123" s="26">
        <v>1</v>
      </c>
      <c r="AE123" s="26">
        <v>0.99</v>
      </c>
      <c r="AF123" s="26">
        <v>0.99590163934426235</v>
      </c>
      <c r="AG123" s="26">
        <v>0.99367242638111464</v>
      </c>
      <c r="AH123" s="28">
        <v>0.92</v>
      </c>
      <c r="AI123" s="26">
        <v>0.96868149076103982</v>
      </c>
      <c r="AJ123" s="26">
        <v>0.98374473208910296</v>
      </c>
      <c r="AK123" s="26">
        <v>0.9866159135559921</v>
      </c>
      <c r="AL123" s="26">
        <v>0.98270602039895294</v>
      </c>
      <c r="AM123" s="25">
        <v>0.99</v>
      </c>
      <c r="AN123" s="30">
        <v>1</v>
      </c>
      <c r="AO123" s="30">
        <v>1</v>
      </c>
      <c r="AP123" s="30">
        <v>1</v>
      </c>
      <c r="AQ123" s="30">
        <v>1</v>
      </c>
      <c r="AR123" s="32">
        <v>0.10526149898194399</v>
      </c>
      <c r="AS123" s="34">
        <v>0.1111111111111111</v>
      </c>
      <c r="AT123" s="34">
        <v>0.33333333333333331</v>
      </c>
      <c r="AU123" s="34">
        <v>0.14285714285714285</v>
      </c>
      <c r="AV123" s="34">
        <v>0.16901408450704225</v>
      </c>
      <c r="AW123" s="10"/>
      <c r="AX123" s="8"/>
    </row>
    <row r="124" spans="1:50">
      <c r="A124" s="7"/>
      <c r="B124" s="10"/>
      <c r="C124" s="45" t="s">
        <v>127</v>
      </c>
      <c r="D124" s="23" t="s">
        <v>11</v>
      </c>
      <c r="E124" s="46" t="s">
        <v>172</v>
      </c>
      <c r="F124" s="46" t="s">
        <v>172</v>
      </c>
      <c r="G124" s="46" t="s">
        <v>172</v>
      </c>
      <c r="H124" s="46" t="s">
        <v>172</v>
      </c>
      <c r="I124" s="25">
        <v>0.9</v>
      </c>
      <c r="J124" s="26">
        <v>0.98550724637681164</v>
      </c>
      <c r="K124" s="26">
        <v>1</v>
      </c>
      <c r="L124" s="27">
        <v>0.9859154929577465</v>
      </c>
      <c r="M124" s="26">
        <v>0.99043977055449328</v>
      </c>
      <c r="N124" s="28">
        <v>0.9</v>
      </c>
      <c r="O124" s="26">
        <v>0</v>
      </c>
      <c r="P124" s="26">
        <v>0</v>
      </c>
      <c r="Q124" s="26">
        <v>0</v>
      </c>
      <c r="R124" s="26">
        <v>0</v>
      </c>
      <c r="S124" s="28">
        <v>0.9</v>
      </c>
      <c r="T124" s="26">
        <v>0</v>
      </c>
      <c r="U124" s="26">
        <v>0</v>
      </c>
      <c r="V124" s="26">
        <v>0</v>
      </c>
      <c r="W124" s="26">
        <v>0</v>
      </c>
      <c r="X124" s="28">
        <v>0.92</v>
      </c>
      <c r="Y124" s="28">
        <v>1</v>
      </c>
      <c r="Z124" s="28">
        <v>0</v>
      </c>
      <c r="AA124" s="28">
        <v>0</v>
      </c>
      <c r="AB124" s="28">
        <v>0.25</v>
      </c>
      <c r="AC124" s="28">
        <v>0.92</v>
      </c>
      <c r="AD124" s="26">
        <v>0.9771986970684039</v>
      </c>
      <c r="AE124" s="26">
        <v>0.92950391644908614</v>
      </c>
      <c r="AF124" s="26">
        <v>0.5</v>
      </c>
      <c r="AG124" s="26">
        <v>0.8917716827279466</v>
      </c>
      <c r="AH124" s="28">
        <v>0.92</v>
      </c>
      <c r="AI124" s="26">
        <v>0.91998238144178535</v>
      </c>
      <c r="AJ124" s="26">
        <v>0.94200887902330743</v>
      </c>
      <c r="AK124" s="26">
        <v>0.95649645225078517</v>
      </c>
      <c r="AL124" s="26">
        <v>0.95218393922951705</v>
      </c>
      <c r="AM124" s="25">
        <v>0.99</v>
      </c>
      <c r="AN124" s="30">
        <v>1</v>
      </c>
      <c r="AO124" s="30">
        <v>1</v>
      </c>
      <c r="AP124" s="30">
        <v>1</v>
      </c>
      <c r="AQ124" s="30">
        <v>1</v>
      </c>
      <c r="AR124" s="32">
        <v>0.10526149898194399</v>
      </c>
      <c r="AS124" s="34">
        <v>0</v>
      </c>
      <c r="AT124" s="34">
        <v>0</v>
      </c>
      <c r="AU124" s="34">
        <v>0.2857142857142857</v>
      </c>
      <c r="AV124" s="34">
        <v>0.11881188118811881</v>
      </c>
      <c r="AW124" s="10"/>
      <c r="AX124" s="8"/>
    </row>
    <row r="125" spans="1:50">
      <c r="A125" s="7"/>
      <c r="B125" s="10"/>
      <c r="C125" s="45" t="s">
        <v>127</v>
      </c>
      <c r="D125" s="23" t="s">
        <v>11</v>
      </c>
      <c r="E125" s="46" t="s">
        <v>173</v>
      </c>
      <c r="F125" s="46" t="s">
        <v>173</v>
      </c>
      <c r="G125" s="46" t="s">
        <v>173</v>
      </c>
      <c r="H125" s="46" t="s">
        <v>173</v>
      </c>
      <c r="I125" s="25">
        <v>0.9</v>
      </c>
      <c r="J125" s="26">
        <v>0.98305084745762716</v>
      </c>
      <c r="K125" s="26">
        <v>1</v>
      </c>
      <c r="L125" s="27">
        <v>1</v>
      </c>
      <c r="M125" s="26">
        <v>0.98275862068965514</v>
      </c>
      <c r="N125" s="28">
        <v>0.9</v>
      </c>
      <c r="O125" s="26">
        <v>0.5</v>
      </c>
      <c r="P125" s="26">
        <v>0</v>
      </c>
      <c r="Q125" s="26">
        <v>0</v>
      </c>
      <c r="R125" s="26">
        <v>0.5</v>
      </c>
      <c r="S125" s="28">
        <v>0.9</v>
      </c>
      <c r="T125" s="26">
        <v>0</v>
      </c>
      <c r="U125" s="26">
        <v>0</v>
      </c>
      <c r="V125" s="26">
        <v>0</v>
      </c>
      <c r="W125" s="26">
        <v>0</v>
      </c>
      <c r="X125" s="28">
        <v>0.92</v>
      </c>
      <c r="Y125" s="28">
        <v>0</v>
      </c>
      <c r="Z125" s="28">
        <v>0</v>
      </c>
      <c r="AA125" s="28">
        <v>0</v>
      </c>
      <c r="AB125" s="28">
        <v>0</v>
      </c>
      <c r="AC125" s="28">
        <v>0.92</v>
      </c>
      <c r="AD125" s="26">
        <v>0.99567099567099571</v>
      </c>
      <c r="AE125" s="26">
        <v>0.99148936170212765</v>
      </c>
      <c r="AF125" s="26">
        <v>0.97354497354497349</v>
      </c>
      <c r="AG125" s="26">
        <v>0.98304157549234139</v>
      </c>
      <c r="AH125" s="28">
        <v>0.92</v>
      </c>
      <c r="AI125" s="26">
        <v>0.96419575386829792</v>
      </c>
      <c r="AJ125" s="26">
        <v>0.97995428169509402</v>
      </c>
      <c r="AK125" s="26">
        <v>0.98489467849223944</v>
      </c>
      <c r="AL125" s="26">
        <v>0.98049034950443403</v>
      </c>
      <c r="AM125" s="25">
        <v>0.99</v>
      </c>
      <c r="AN125" s="30">
        <v>1</v>
      </c>
      <c r="AO125" s="30">
        <v>1</v>
      </c>
      <c r="AP125" s="30">
        <v>1</v>
      </c>
      <c r="AQ125" s="30">
        <v>1</v>
      </c>
      <c r="AR125" s="32">
        <v>0.10526149898194399</v>
      </c>
      <c r="AS125" s="34">
        <v>0</v>
      </c>
      <c r="AT125" s="34">
        <v>0</v>
      </c>
      <c r="AU125" s="34">
        <v>0</v>
      </c>
      <c r="AV125" s="34">
        <v>4.0816326530612242E-2</v>
      </c>
      <c r="AW125" s="10"/>
      <c r="AX125" s="8"/>
    </row>
    <row r="126" spans="1:50">
      <c r="A126" s="7"/>
      <c r="B126" s="10"/>
      <c r="C126" s="45" t="s">
        <v>127</v>
      </c>
      <c r="D126" s="23" t="s">
        <v>11</v>
      </c>
      <c r="E126" s="46" t="s">
        <v>174</v>
      </c>
      <c r="F126" s="46" t="s">
        <v>174</v>
      </c>
      <c r="G126" s="46" t="s">
        <v>174</v>
      </c>
      <c r="H126" s="46" t="s">
        <v>174</v>
      </c>
      <c r="I126" s="25">
        <v>0.9</v>
      </c>
      <c r="J126" s="26">
        <v>1</v>
      </c>
      <c r="K126" s="26">
        <v>1</v>
      </c>
      <c r="L126" s="27">
        <v>1</v>
      </c>
      <c r="M126" s="26">
        <v>0.98287671232876717</v>
      </c>
      <c r="N126" s="28">
        <v>0.9</v>
      </c>
      <c r="O126" s="26">
        <v>0</v>
      </c>
      <c r="P126" s="26">
        <v>0</v>
      </c>
      <c r="Q126" s="26">
        <v>0</v>
      </c>
      <c r="R126" s="26">
        <v>0</v>
      </c>
      <c r="S126" s="28">
        <v>0.9</v>
      </c>
      <c r="T126" s="26">
        <v>0</v>
      </c>
      <c r="U126" s="26">
        <v>0</v>
      </c>
      <c r="V126" s="26">
        <v>0</v>
      </c>
      <c r="W126" s="26">
        <v>0</v>
      </c>
      <c r="X126" s="28">
        <v>0.92</v>
      </c>
      <c r="Y126" s="28">
        <v>0</v>
      </c>
      <c r="Z126" s="28">
        <v>0</v>
      </c>
      <c r="AA126" s="28">
        <v>0</v>
      </c>
      <c r="AB126" s="28">
        <v>0</v>
      </c>
      <c r="AC126" s="28">
        <v>0.92</v>
      </c>
      <c r="AD126" s="26">
        <v>1</v>
      </c>
      <c r="AE126" s="26">
        <v>1</v>
      </c>
      <c r="AF126" s="26">
        <v>1</v>
      </c>
      <c r="AG126" s="26">
        <v>0.99773242630385484</v>
      </c>
      <c r="AH126" s="28">
        <v>0.92</v>
      </c>
      <c r="AI126" s="26">
        <v>0.98153454313912769</v>
      </c>
      <c r="AJ126" s="26">
        <v>0.98572355613238161</v>
      </c>
      <c r="AK126" s="26">
        <v>0.98786113134255882</v>
      </c>
      <c r="AL126" s="26">
        <v>0.98504693703387625</v>
      </c>
      <c r="AM126" s="25">
        <v>0.99</v>
      </c>
      <c r="AN126" s="30">
        <v>1</v>
      </c>
      <c r="AO126" s="30">
        <v>1</v>
      </c>
      <c r="AP126" s="30">
        <v>1</v>
      </c>
      <c r="AQ126" s="30">
        <v>1</v>
      </c>
      <c r="AR126" s="32">
        <v>0.10526149898194399</v>
      </c>
      <c r="AS126" s="34">
        <v>0</v>
      </c>
      <c r="AT126" s="34">
        <v>0</v>
      </c>
      <c r="AU126" s="34">
        <v>0</v>
      </c>
      <c r="AV126" s="34">
        <v>0</v>
      </c>
      <c r="AW126" s="10"/>
      <c r="AX126" s="8"/>
    </row>
    <row r="127" spans="1:50">
      <c r="A127" s="7"/>
      <c r="B127" s="10"/>
      <c r="C127" s="45" t="s">
        <v>127</v>
      </c>
      <c r="D127" s="23" t="s">
        <v>11</v>
      </c>
      <c r="E127" s="46" t="s">
        <v>175</v>
      </c>
      <c r="F127" s="46" t="s">
        <v>175</v>
      </c>
      <c r="G127" s="46" t="s">
        <v>175</v>
      </c>
      <c r="H127" s="46" t="s">
        <v>175</v>
      </c>
      <c r="I127" s="25">
        <v>0.9</v>
      </c>
      <c r="J127" s="26">
        <v>0.98058252427184467</v>
      </c>
      <c r="K127" s="26">
        <v>0.99082568807339455</v>
      </c>
      <c r="L127" s="27">
        <v>0.98130841121495327</v>
      </c>
      <c r="M127" s="26">
        <v>0.98331346841477951</v>
      </c>
      <c r="N127" s="28">
        <v>0.9</v>
      </c>
      <c r="O127" s="26">
        <v>0</v>
      </c>
      <c r="P127" s="26">
        <v>0</v>
      </c>
      <c r="Q127" s="26">
        <v>0</v>
      </c>
      <c r="R127" s="26">
        <v>0</v>
      </c>
      <c r="S127" s="28">
        <v>0.9</v>
      </c>
      <c r="T127" s="26">
        <v>0</v>
      </c>
      <c r="U127" s="26">
        <v>0</v>
      </c>
      <c r="V127" s="26">
        <v>0</v>
      </c>
      <c r="W127" s="26">
        <v>0</v>
      </c>
      <c r="X127" s="28">
        <v>0.92</v>
      </c>
      <c r="Y127" s="28">
        <v>0.14285714285714285</v>
      </c>
      <c r="Z127" s="28">
        <v>0</v>
      </c>
      <c r="AA127" s="28">
        <v>0</v>
      </c>
      <c r="AB127" s="28">
        <v>0.1</v>
      </c>
      <c r="AC127" s="28">
        <v>0.92</v>
      </c>
      <c r="AD127" s="26">
        <v>0.99764150943396224</v>
      </c>
      <c r="AE127" s="26">
        <v>0.98903878583473859</v>
      </c>
      <c r="AF127" s="26">
        <v>0.98283649503161696</v>
      </c>
      <c r="AG127" s="26">
        <v>0.98983413590155167</v>
      </c>
      <c r="AH127" s="28">
        <v>0.92</v>
      </c>
      <c r="AI127" s="26">
        <v>0.96262002743484221</v>
      </c>
      <c r="AJ127" s="26">
        <v>0.98232547799021785</v>
      </c>
      <c r="AK127" s="26">
        <v>0.98715144887916895</v>
      </c>
      <c r="AL127" s="26">
        <v>0.98296340087064005</v>
      </c>
      <c r="AM127" s="25">
        <v>0.99</v>
      </c>
      <c r="AN127" s="30">
        <v>1</v>
      </c>
      <c r="AO127" s="30">
        <v>1</v>
      </c>
      <c r="AP127" s="30">
        <v>1</v>
      </c>
      <c r="AQ127" s="30">
        <v>1</v>
      </c>
      <c r="AR127" s="32">
        <v>0.10526149898194399</v>
      </c>
      <c r="AS127" s="34">
        <v>0</v>
      </c>
      <c r="AT127" s="34">
        <v>0</v>
      </c>
      <c r="AU127" s="34">
        <v>0</v>
      </c>
      <c r="AV127" s="34">
        <v>3.7735849056603772E-2</v>
      </c>
      <c r="AW127" s="10"/>
      <c r="AX127" s="8"/>
    </row>
    <row r="128" spans="1:50">
      <c r="A128" s="7"/>
      <c r="B128" s="10"/>
      <c r="C128" s="45" t="s">
        <v>127</v>
      </c>
      <c r="D128" s="23" t="s">
        <v>11</v>
      </c>
      <c r="E128" s="46" t="s">
        <v>176</v>
      </c>
      <c r="F128" s="46" t="s">
        <v>176</v>
      </c>
      <c r="G128" s="46" t="s">
        <v>176</v>
      </c>
      <c r="H128" s="46" t="s">
        <v>176</v>
      </c>
      <c r="I128" s="25">
        <v>0.9</v>
      </c>
      <c r="J128" s="26">
        <v>0.94230769230769229</v>
      </c>
      <c r="K128" s="26">
        <v>0.96078431372549022</v>
      </c>
      <c r="L128" s="27">
        <v>1</v>
      </c>
      <c r="M128" s="26">
        <v>0.9779411764705882</v>
      </c>
      <c r="N128" s="28">
        <v>0.9</v>
      </c>
      <c r="O128" s="26">
        <v>0.33333333333333331</v>
      </c>
      <c r="P128" s="26">
        <v>0</v>
      </c>
      <c r="Q128" s="26">
        <v>0</v>
      </c>
      <c r="R128" s="26">
        <v>0.33333333333333331</v>
      </c>
      <c r="S128" s="28">
        <v>0.9</v>
      </c>
      <c r="T128" s="26">
        <v>0</v>
      </c>
      <c r="U128" s="26">
        <v>0</v>
      </c>
      <c r="V128" s="26">
        <v>0</v>
      </c>
      <c r="W128" s="26">
        <v>0.16666666666666666</v>
      </c>
      <c r="X128" s="28">
        <v>0.92</v>
      </c>
      <c r="Y128" s="28">
        <v>0</v>
      </c>
      <c r="Z128" s="28">
        <v>0</v>
      </c>
      <c r="AA128" s="28">
        <v>0</v>
      </c>
      <c r="AB128" s="28">
        <v>0</v>
      </c>
      <c r="AC128" s="28">
        <v>0.92</v>
      </c>
      <c r="AD128" s="26">
        <v>0.97204968944099379</v>
      </c>
      <c r="AE128" s="26">
        <v>0.98412698412698407</v>
      </c>
      <c r="AF128" s="26">
        <v>0.97443181818181823</v>
      </c>
      <c r="AG128" s="26">
        <v>0.97645854657113618</v>
      </c>
      <c r="AH128" s="28">
        <v>0.92</v>
      </c>
      <c r="AI128" s="26">
        <v>0.95873144948160194</v>
      </c>
      <c r="AJ128" s="26">
        <v>0.96794105933890884</v>
      </c>
      <c r="AK128" s="26">
        <v>0.97870890819281209</v>
      </c>
      <c r="AL128" s="26">
        <v>0.97223898611949311</v>
      </c>
      <c r="AM128" s="25">
        <v>0.99</v>
      </c>
      <c r="AN128" s="30">
        <v>1</v>
      </c>
      <c r="AO128" s="30">
        <v>1</v>
      </c>
      <c r="AP128" s="30">
        <v>1</v>
      </c>
      <c r="AQ128" s="30">
        <v>1</v>
      </c>
      <c r="AR128" s="32">
        <v>0.10526149898194399</v>
      </c>
      <c r="AS128" s="34">
        <v>0</v>
      </c>
      <c r="AT128" s="34">
        <v>0</v>
      </c>
      <c r="AU128" s="34">
        <v>0</v>
      </c>
      <c r="AV128" s="34">
        <v>2.8985507246376812E-2</v>
      </c>
      <c r="AW128" s="10"/>
      <c r="AX128" s="8"/>
    </row>
    <row r="129" spans="1:50">
      <c r="A129" s="7"/>
      <c r="B129" s="10"/>
      <c r="C129" s="45" t="s">
        <v>127</v>
      </c>
      <c r="D129" s="23" t="s">
        <v>11</v>
      </c>
      <c r="E129" s="46" t="s">
        <v>177</v>
      </c>
      <c r="F129" s="46" t="s">
        <v>177</v>
      </c>
      <c r="G129" s="46" t="s">
        <v>177</v>
      </c>
      <c r="H129" s="46" t="s">
        <v>177</v>
      </c>
      <c r="I129" s="25">
        <v>0.9</v>
      </c>
      <c r="J129" s="26">
        <v>0.96363636363636362</v>
      </c>
      <c r="K129" s="26">
        <v>0.9821428571428571</v>
      </c>
      <c r="L129" s="27">
        <v>1</v>
      </c>
      <c r="M129" s="26">
        <v>0.99105145413870244</v>
      </c>
      <c r="N129" s="28">
        <v>0.9</v>
      </c>
      <c r="O129" s="26">
        <v>0.5</v>
      </c>
      <c r="P129" s="26">
        <v>0</v>
      </c>
      <c r="Q129" s="26">
        <v>0</v>
      </c>
      <c r="R129" s="26">
        <v>0.33333333333333331</v>
      </c>
      <c r="S129" s="28">
        <v>0.9</v>
      </c>
      <c r="T129" s="26">
        <v>0</v>
      </c>
      <c r="U129" s="26">
        <v>0</v>
      </c>
      <c r="V129" s="26">
        <v>0</v>
      </c>
      <c r="W129" s="26">
        <v>0</v>
      </c>
      <c r="X129" s="28">
        <v>0.92</v>
      </c>
      <c r="Y129" s="28">
        <v>0</v>
      </c>
      <c r="Z129" s="28">
        <v>0</v>
      </c>
      <c r="AA129" s="28">
        <v>0</v>
      </c>
      <c r="AB129" s="28">
        <v>0</v>
      </c>
      <c r="AC129" s="28">
        <v>0.92</v>
      </c>
      <c r="AD129" s="26">
        <v>1</v>
      </c>
      <c r="AE129" s="26">
        <v>0.99722735674676521</v>
      </c>
      <c r="AF129" s="26">
        <v>0.99886234357224113</v>
      </c>
      <c r="AG129" s="26">
        <v>0.99580116483814163</v>
      </c>
      <c r="AH129" s="28">
        <v>0.92</v>
      </c>
      <c r="AI129" s="26">
        <v>0.97131217110847057</v>
      </c>
      <c r="AJ129" s="26">
        <v>0.98287153652392945</v>
      </c>
      <c r="AK129" s="26">
        <v>0.98684571115374076</v>
      </c>
      <c r="AL129" s="26">
        <v>0.98439542160085547</v>
      </c>
      <c r="AM129" s="25">
        <v>0.99</v>
      </c>
      <c r="AN129" s="30">
        <v>1</v>
      </c>
      <c r="AO129" s="30">
        <v>1</v>
      </c>
      <c r="AP129" s="30">
        <v>1</v>
      </c>
      <c r="AQ129" s="30">
        <v>1</v>
      </c>
      <c r="AR129" s="32">
        <v>0.10526149898194399</v>
      </c>
      <c r="AS129" s="34">
        <v>0</v>
      </c>
      <c r="AT129" s="34">
        <v>0.1</v>
      </c>
      <c r="AU129" s="34">
        <v>0</v>
      </c>
      <c r="AV129" s="34">
        <v>3.896103896103896E-2</v>
      </c>
      <c r="AW129" s="10"/>
      <c r="AX129" s="8"/>
    </row>
    <row r="130" spans="1:50">
      <c r="A130" s="7"/>
      <c r="B130" s="10"/>
      <c r="C130" s="45" t="s">
        <v>127</v>
      </c>
      <c r="D130" s="23" t="s">
        <v>11</v>
      </c>
      <c r="E130" s="46" t="s">
        <v>178</v>
      </c>
      <c r="F130" s="46" t="s">
        <v>178</v>
      </c>
      <c r="G130" s="46" t="s">
        <v>178</v>
      </c>
      <c r="H130" s="46" t="s">
        <v>178</v>
      </c>
      <c r="I130" s="25">
        <v>0.9</v>
      </c>
      <c r="J130" s="26">
        <v>1</v>
      </c>
      <c r="K130" s="26">
        <v>1</v>
      </c>
      <c r="L130" s="27">
        <v>1</v>
      </c>
      <c r="M130" s="26">
        <v>0.99588477366255146</v>
      </c>
      <c r="N130" s="28">
        <v>0.9</v>
      </c>
      <c r="O130" s="26">
        <v>0</v>
      </c>
      <c r="P130" s="26">
        <v>0</v>
      </c>
      <c r="Q130" s="26">
        <v>0</v>
      </c>
      <c r="R130" s="26">
        <v>0</v>
      </c>
      <c r="S130" s="28">
        <v>0.9</v>
      </c>
      <c r="T130" s="26">
        <v>0</v>
      </c>
      <c r="U130" s="26">
        <v>0</v>
      </c>
      <c r="V130" s="26">
        <v>0</v>
      </c>
      <c r="W130" s="26">
        <v>1</v>
      </c>
      <c r="X130" s="28">
        <v>0.92</v>
      </c>
      <c r="Y130" s="28">
        <v>0</v>
      </c>
      <c r="Z130" s="28">
        <v>0</v>
      </c>
      <c r="AA130" s="28">
        <v>0</v>
      </c>
      <c r="AB130" s="28">
        <v>0</v>
      </c>
      <c r="AC130" s="28">
        <v>0.92</v>
      </c>
      <c r="AD130" s="26">
        <v>0.99308983218163871</v>
      </c>
      <c r="AE130" s="26">
        <v>0.99256900212314225</v>
      </c>
      <c r="AF130" s="26">
        <v>0.99465240641711228</v>
      </c>
      <c r="AG130" s="26">
        <v>0.99192762700069592</v>
      </c>
      <c r="AH130" s="28">
        <v>0.92</v>
      </c>
      <c r="AI130" s="26">
        <v>0.96855472686958277</v>
      </c>
      <c r="AJ130" s="26">
        <v>0.97811733635163178</v>
      </c>
      <c r="AK130" s="26">
        <v>0.98239542582004213</v>
      </c>
      <c r="AL130" s="26">
        <v>0.98275746243590034</v>
      </c>
      <c r="AM130" s="25">
        <v>0.99</v>
      </c>
      <c r="AN130" s="30">
        <v>1</v>
      </c>
      <c r="AO130" s="30">
        <v>1</v>
      </c>
      <c r="AP130" s="30">
        <v>1</v>
      </c>
      <c r="AQ130" s="30">
        <v>1</v>
      </c>
      <c r="AR130" s="32">
        <v>0.10526149898194399</v>
      </c>
      <c r="AS130" s="34">
        <v>0</v>
      </c>
      <c r="AT130" s="34">
        <v>0</v>
      </c>
      <c r="AU130" s="34">
        <v>0</v>
      </c>
      <c r="AV130" s="34">
        <v>6.0606060606060608E-2</v>
      </c>
      <c r="AW130" s="10"/>
      <c r="AX130" s="8"/>
    </row>
    <row r="131" spans="1:50">
      <c r="A131" s="7"/>
      <c r="B131" s="10"/>
      <c r="C131" s="45" t="s">
        <v>127</v>
      </c>
      <c r="D131" s="23" t="s">
        <v>11</v>
      </c>
      <c r="E131" s="46" t="s">
        <v>179</v>
      </c>
      <c r="F131" s="46" t="s">
        <v>179</v>
      </c>
      <c r="G131" s="46" t="s">
        <v>179</v>
      </c>
      <c r="H131" s="46" t="s">
        <v>179</v>
      </c>
      <c r="I131" s="25">
        <v>0.9</v>
      </c>
      <c r="J131" s="26">
        <v>1</v>
      </c>
      <c r="K131" s="26">
        <v>1</v>
      </c>
      <c r="L131" s="27">
        <v>1</v>
      </c>
      <c r="M131" s="26">
        <v>0.99569892473118282</v>
      </c>
      <c r="N131" s="28">
        <v>0.9</v>
      </c>
      <c r="O131" s="26">
        <v>0</v>
      </c>
      <c r="P131" s="26">
        <v>1</v>
      </c>
      <c r="Q131" s="26">
        <v>0</v>
      </c>
      <c r="R131" s="26">
        <v>1</v>
      </c>
      <c r="S131" s="28">
        <v>0.9</v>
      </c>
      <c r="T131" s="26">
        <v>0</v>
      </c>
      <c r="U131" s="26">
        <v>1</v>
      </c>
      <c r="V131" s="26">
        <v>0</v>
      </c>
      <c r="W131" s="26">
        <v>1</v>
      </c>
      <c r="X131" s="28">
        <v>0.92</v>
      </c>
      <c r="Y131" s="28">
        <v>0</v>
      </c>
      <c r="Z131" s="28">
        <v>0</v>
      </c>
      <c r="AA131" s="28">
        <v>0</v>
      </c>
      <c r="AB131" s="28">
        <v>0</v>
      </c>
      <c r="AC131" s="28">
        <v>0.92</v>
      </c>
      <c r="AD131" s="26">
        <v>0.98561151079136688</v>
      </c>
      <c r="AE131" s="26">
        <v>0.99661016949152548</v>
      </c>
      <c r="AF131" s="26">
        <v>0.99444444444444446</v>
      </c>
      <c r="AG131" s="26">
        <v>0.97834082550061297</v>
      </c>
      <c r="AH131" s="28">
        <v>0.92</v>
      </c>
      <c r="AI131" s="26">
        <v>0.95992714025500914</v>
      </c>
      <c r="AJ131" s="26">
        <v>0.96363636363636362</v>
      </c>
      <c r="AK131" s="26">
        <v>0.97370068879148408</v>
      </c>
      <c r="AL131" s="26">
        <v>0.96882120437107644</v>
      </c>
      <c r="AM131" s="25">
        <v>0.99</v>
      </c>
      <c r="AN131" s="30">
        <v>1</v>
      </c>
      <c r="AO131" s="30">
        <v>1</v>
      </c>
      <c r="AP131" s="30">
        <v>1</v>
      </c>
      <c r="AQ131" s="30">
        <v>1</v>
      </c>
      <c r="AR131" s="32">
        <v>0.10526149898194399</v>
      </c>
      <c r="AS131" s="34">
        <v>0.14285714285714285</v>
      </c>
      <c r="AT131" s="34">
        <v>0</v>
      </c>
      <c r="AU131" s="34">
        <v>0.4</v>
      </c>
      <c r="AV131" s="34">
        <v>0.12727272727272726</v>
      </c>
      <c r="AW131" s="10"/>
      <c r="AX131" s="8"/>
    </row>
    <row r="132" spans="1:50">
      <c r="A132" s="7"/>
      <c r="B132" s="10"/>
      <c r="C132" s="45" t="s">
        <v>127</v>
      </c>
      <c r="D132" s="23" t="s">
        <v>11</v>
      </c>
      <c r="E132" s="46" t="s">
        <v>180</v>
      </c>
      <c r="F132" s="46" t="s">
        <v>180</v>
      </c>
      <c r="G132" s="46" t="s">
        <v>180</v>
      </c>
      <c r="H132" s="46" t="s">
        <v>180</v>
      </c>
      <c r="I132" s="25">
        <v>0.9</v>
      </c>
      <c r="J132" s="26">
        <v>1</v>
      </c>
      <c r="K132" s="26">
        <v>1</v>
      </c>
      <c r="L132" s="27">
        <v>0.90625</v>
      </c>
      <c r="M132" s="26">
        <v>0.97709923664122134</v>
      </c>
      <c r="N132" s="28">
        <v>0.9</v>
      </c>
      <c r="O132" s="26">
        <v>0</v>
      </c>
      <c r="P132" s="26">
        <v>0</v>
      </c>
      <c r="Q132" s="26">
        <v>0</v>
      </c>
      <c r="R132" s="26">
        <v>0</v>
      </c>
      <c r="S132" s="28">
        <v>0.9</v>
      </c>
      <c r="T132" s="26">
        <v>0</v>
      </c>
      <c r="U132" s="26">
        <v>0</v>
      </c>
      <c r="V132" s="26">
        <v>0</v>
      </c>
      <c r="W132" s="26">
        <v>0</v>
      </c>
      <c r="X132" s="28">
        <v>0.92</v>
      </c>
      <c r="Y132" s="28">
        <v>0</v>
      </c>
      <c r="Z132" s="28">
        <v>0</v>
      </c>
      <c r="AA132" s="28">
        <v>0</v>
      </c>
      <c r="AB132" s="28">
        <v>0</v>
      </c>
      <c r="AC132" s="28">
        <v>0.92</v>
      </c>
      <c r="AD132" s="26">
        <v>1</v>
      </c>
      <c r="AE132" s="26">
        <v>0.9</v>
      </c>
      <c r="AF132" s="26">
        <v>1</v>
      </c>
      <c r="AG132" s="26">
        <v>0.97</v>
      </c>
      <c r="AH132" s="28">
        <v>0.92</v>
      </c>
      <c r="AI132" s="26">
        <v>0.97194388777555107</v>
      </c>
      <c r="AJ132" s="26">
        <v>0.97291132021670945</v>
      </c>
      <c r="AK132" s="26">
        <v>0.97482261387045088</v>
      </c>
      <c r="AL132" s="26">
        <v>0.98005215565414705</v>
      </c>
      <c r="AM132" s="25">
        <v>0.99</v>
      </c>
      <c r="AN132" s="30">
        <v>1</v>
      </c>
      <c r="AO132" s="30">
        <v>1</v>
      </c>
      <c r="AP132" s="30">
        <v>1</v>
      </c>
      <c r="AQ132" s="30">
        <v>1</v>
      </c>
      <c r="AR132" s="32">
        <v>0.10526149898194399</v>
      </c>
      <c r="AS132" s="34">
        <v>0</v>
      </c>
      <c r="AT132" s="34">
        <v>0</v>
      </c>
      <c r="AU132" s="34">
        <v>0.4</v>
      </c>
      <c r="AV132" s="34">
        <v>7.6923076923076927E-2</v>
      </c>
      <c r="AW132" s="10"/>
      <c r="AX132" s="8"/>
    </row>
    <row r="133" spans="1:50">
      <c r="A133" s="7"/>
      <c r="B133" s="10"/>
      <c r="C133" s="45" t="s">
        <v>127</v>
      </c>
      <c r="D133" s="23" t="s">
        <v>11</v>
      </c>
      <c r="E133" s="46" t="s">
        <v>181</v>
      </c>
      <c r="F133" s="46" t="s">
        <v>181</v>
      </c>
      <c r="G133" s="46" t="s">
        <v>181</v>
      </c>
      <c r="H133" s="46" t="s">
        <v>181</v>
      </c>
      <c r="I133" s="25">
        <v>0.9</v>
      </c>
      <c r="J133" s="26">
        <v>1</v>
      </c>
      <c r="K133" s="26">
        <v>0.95454545454545459</v>
      </c>
      <c r="L133" s="27">
        <v>1</v>
      </c>
      <c r="M133" s="26">
        <v>0.96987951807228912</v>
      </c>
      <c r="N133" s="28">
        <v>0.9</v>
      </c>
      <c r="O133" s="26">
        <v>0</v>
      </c>
      <c r="P133" s="26">
        <v>0</v>
      </c>
      <c r="Q133" s="26">
        <v>0</v>
      </c>
      <c r="R133" s="26">
        <v>0</v>
      </c>
      <c r="S133" s="28">
        <v>0.9</v>
      </c>
      <c r="T133" s="26">
        <v>0</v>
      </c>
      <c r="U133" s="26">
        <v>0</v>
      </c>
      <c r="V133" s="26">
        <v>0</v>
      </c>
      <c r="W133" s="26">
        <v>0</v>
      </c>
      <c r="X133" s="28">
        <v>0.92</v>
      </c>
      <c r="Y133" s="28">
        <v>0</v>
      </c>
      <c r="Z133" s="28">
        <v>0</v>
      </c>
      <c r="AA133" s="28">
        <v>0</v>
      </c>
      <c r="AB133" s="28">
        <v>0</v>
      </c>
      <c r="AC133" s="28">
        <v>0.92</v>
      </c>
      <c r="AD133" s="26">
        <v>1</v>
      </c>
      <c r="AE133" s="26">
        <v>0.97391304347826091</v>
      </c>
      <c r="AF133" s="26">
        <v>1</v>
      </c>
      <c r="AG133" s="26">
        <v>0.98602150537634403</v>
      </c>
      <c r="AH133" s="28">
        <v>0.92</v>
      </c>
      <c r="AI133" s="26">
        <v>0.98505371321812241</v>
      </c>
      <c r="AJ133" s="26">
        <v>0.98837209302325579</v>
      </c>
      <c r="AK133" s="26">
        <v>0.99351117519826959</v>
      </c>
      <c r="AL133" s="26">
        <v>0.99112853311326599</v>
      </c>
      <c r="AM133" s="25">
        <v>0.99</v>
      </c>
      <c r="AN133" s="30">
        <v>1</v>
      </c>
      <c r="AO133" s="30">
        <v>1</v>
      </c>
      <c r="AP133" s="30">
        <v>1</v>
      </c>
      <c r="AQ133" s="30">
        <v>1</v>
      </c>
      <c r="AR133" s="32">
        <v>0.10526149898194399</v>
      </c>
      <c r="AS133" s="34">
        <v>0</v>
      </c>
      <c r="AT133" s="34">
        <v>0</v>
      </c>
      <c r="AU133" s="34">
        <v>0</v>
      </c>
      <c r="AV133" s="34">
        <v>0.04</v>
      </c>
      <c r="AW133" s="10"/>
      <c r="AX133" s="8"/>
    </row>
    <row r="134" spans="1:50">
      <c r="A134" s="7"/>
      <c r="B134" s="10"/>
      <c r="C134" s="45" t="s">
        <v>127</v>
      </c>
      <c r="D134" s="23" t="s">
        <v>11</v>
      </c>
      <c r="E134" s="46" t="s">
        <v>182</v>
      </c>
      <c r="F134" s="46" t="s">
        <v>182</v>
      </c>
      <c r="G134" s="46" t="s">
        <v>182</v>
      </c>
      <c r="H134" s="46" t="s">
        <v>182</v>
      </c>
      <c r="I134" s="25">
        <v>0.9</v>
      </c>
      <c r="J134" s="26">
        <v>1</v>
      </c>
      <c r="K134" s="26">
        <v>1</v>
      </c>
      <c r="L134" s="27">
        <v>0.98684210526315785</v>
      </c>
      <c r="M134" s="26">
        <v>0.98141891891891897</v>
      </c>
      <c r="N134" s="28">
        <v>0.9</v>
      </c>
      <c r="O134" s="26">
        <v>0</v>
      </c>
      <c r="P134" s="26">
        <v>0</v>
      </c>
      <c r="Q134" s="26">
        <v>0</v>
      </c>
      <c r="R134" s="26">
        <v>0</v>
      </c>
      <c r="S134" s="28">
        <v>0.9</v>
      </c>
      <c r="T134" s="26">
        <v>0</v>
      </c>
      <c r="U134" s="26">
        <v>0</v>
      </c>
      <c r="V134" s="26">
        <v>0</v>
      </c>
      <c r="W134" s="26">
        <v>0.33333333333333331</v>
      </c>
      <c r="X134" s="28">
        <v>0.92</v>
      </c>
      <c r="Y134" s="28">
        <v>0</v>
      </c>
      <c r="Z134" s="28">
        <v>0</v>
      </c>
      <c r="AA134" s="28">
        <v>0</v>
      </c>
      <c r="AB134" s="28">
        <v>0</v>
      </c>
      <c r="AC134" s="28">
        <v>0.92</v>
      </c>
      <c r="AD134" s="26">
        <v>1</v>
      </c>
      <c r="AE134" s="26">
        <v>0.99548192771084343</v>
      </c>
      <c r="AF134" s="26">
        <v>0.99273607748184023</v>
      </c>
      <c r="AG134" s="26">
        <v>0.99281461712174091</v>
      </c>
      <c r="AH134" s="28">
        <v>0.92</v>
      </c>
      <c r="AI134" s="26">
        <v>0.96122659590151849</v>
      </c>
      <c r="AJ134" s="26">
        <v>0.97497511730413766</v>
      </c>
      <c r="AK134" s="26">
        <v>0.98765574526995847</v>
      </c>
      <c r="AL134" s="26">
        <v>0.983833518159135</v>
      </c>
      <c r="AM134" s="25">
        <v>0.99</v>
      </c>
      <c r="AN134" s="30">
        <v>1</v>
      </c>
      <c r="AO134" s="30">
        <v>1</v>
      </c>
      <c r="AP134" s="30">
        <v>1</v>
      </c>
      <c r="AQ134" s="30">
        <v>1</v>
      </c>
      <c r="AR134" s="32">
        <v>0.10526149898194399</v>
      </c>
      <c r="AS134" s="34">
        <v>0</v>
      </c>
      <c r="AT134" s="34">
        <v>5.8823529411764705E-2</v>
      </c>
      <c r="AU134" s="34">
        <v>-0.05</v>
      </c>
      <c r="AV134" s="34">
        <v>3.3333333333333333E-2</v>
      </c>
      <c r="AW134" s="10"/>
      <c r="AX134" s="8"/>
    </row>
    <row r="135" spans="1:50">
      <c r="A135" s="7"/>
      <c r="B135" s="10"/>
      <c r="C135" s="45" t="s">
        <v>127</v>
      </c>
      <c r="D135" s="23" t="s">
        <v>11</v>
      </c>
      <c r="E135" s="46" t="s">
        <v>183</v>
      </c>
      <c r="F135" s="46" t="s">
        <v>183</v>
      </c>
      <c r="G135" s="46" t="s">
        <v>183</v>
      </c>
      <c r="H135" s="46" t="s">
        <v>183</v>
      </c>
      <c r="I135" s="25">
        <v>0.9</v>
      </c>
      <c r="J135" s="26">
        <v>1</v>
      </c>
      <c r="K135" s="26">
        <v>0.98611111111111116</v>
      </c>
      <c r="L135" s="27">
        <v>0.9358974358974359</v>
      </c>
      <c r="M135" s="26">
        <v>0.97168141592920354</v>
      </c>
      <c r="N135" s="28">
        <v>0.9</v>
      </c>
      <c r="O135" s="26">
        <v>0</v>
      </c>
      <c r="P135" s="26">
        <v>0</v>
      </c>
      <c r="Q135" s="26">
        <v>0</v>
      </c>
      <c r="R135" s="26">
        <v>0</v>
      </c>
      <c r="S135" s="28">
        <v>0.9</v>
      </c>
      <c r="T135" s="26">
        <v>0</v>
      </c>
      <c r="U135" s="26">
        <v>0</v>
      </c>
      <c r="V135" s="26">
        <v>0.5</v>
      </c>
      <c r="W135" s="26">
        <v>0.33333333333333331</v>
      </c>
      <c r="X135" s="28">
        <v>0.92</v>
      </c>
      <c r="Y135" s="28">
        <v>0</v>
      </c>
      <c r="Z135" s="28">
        <v>0</v>
      </c>
      <c r="AA135" s="28">
        <v>0</v>
      </c>
      <c r="AB135" s="28">
        <v>0</v>
      </c>
      <c r="AC135" s="28">
        <v>0.92</v>
      </c>
      <c r="AD135" s="26">
        <v>0.99728997289972898</v>
      </c>
      <c r="AE135" s="26">
        <v>1</v>
      </c>
      <c r="AF135" s="26">
        <v>0.99310344827586206</v>
      </c>
      <c r="AG135" s="26">
        <v>0.99417419166909404</v>
      </c>
      <c r="AH135" s="28">
        <v>0.92</v>
      </c>
      <c r="AI135" s="26">
        <v>0.98567144285238251</v>
      </c>
      <c r="AJ135" s="26">
        <v>0.98870505886096083</v>
      </c>
      <c r="AK135" s="26">
        <v>0.99279134961954341</v>
      </c>
      <c r="AL135" s="26">
        <v>0.98967804878048782</v>
      </c>
      <c r="AM135" s="25">
        <v>0.99</v>
      </c>
      <c r="AN135" s="30">
        <v>1</v>
      </c>
      <c r="AO135" s="30">
        <v>1</v>
      </c>
      <c r="AP135" s="30">
        <v>1</v>
      </c>
      <c r="AQ135" s="30">
        <v>1</v>
      </c>
      <c r="AR135" s="32">
        <v>0.10526149898194399</v>
      </c>
      <c r="AS135" s="34">
        <v>7.1428571428571425E-2</v>
      </c>
      <c r="AT135" s="34">
        <v>2.5000000000000001E-2</v>
      </c>
      <c r="AU135" s="34">
        <v>0</v>
      </c>
      <c r="AV135" s="34">
        <v>4.1666666666666664E-2</v>
      </c>
      <c r="AW135" s="10"/>
      <c r="AX135" s="8"/>
    </row>
    <row r="136" spans="1:50">
      <c r="A136" s="7"/>
      <c r="B136" s="10"/>
      <c r="C136" s="45" t="s">
        <v>127</v>
      </c>
      <c r="D136" s="23" t="s">
        <v>11</v>
      </c>
      <c r="E136" s="46" t="s">
        <v>184</v>
      </c>
      <c r="F136" s="46" t="s">
        <v>184</v>
      </c>
      <c r="G136" s="46" t="s">
        <v>184</v>
      </c>
      <c r="H136" s="46" t="s">
        <v>184</v>
      </c>
      <c r="I136" s="25">
        <v>0.9</v>
      </c>
      <c r="J136" s="26">
        <v>0.97916666666666663</v>
      </c>
      <c r="K136" s="26">
        <v>1</v>
      </c>
      <c r="L136" s="27">
        <v>0.98</v>
      </c>
      <c r="M136" s="26">
        <v>0.98659517426273458</v>
      </c>
      <c r="N136" s="28">
        <v>0.9</v>
      </c>
      <c r="O136" s="26">
        <v>0</v>
      </c>
      <c r="P136" s="26">
        <v>0</v>
      </c>
      <c r="Q136" s="26">
        <v>0</v>
      </c>
      <c r="R136" s="26">
        <v>0</v>
      </c>
      <c r="S136" s="28">
        <v>0.9</v>
      </c>
      <c r="T136" s="26">
        <v>0</v>
      </c>
      <c r="U136" s="26">
        <v>0</v>
      </c>
      <c r="V136" s="26">
        <v>0</v>
      </c>
      <c r="W136" s="26">
        <v>0</v>
      </c>
      <c r="X136" s="28">
        <v>0.92</v>
      </c>
      <c r="Y136" s="28">
        <v>0</v>
      </c>
      <c r="Z136" s="28">
        <v>0</v>
      </c>
      <c r="AA136" s="28">
        <v>0</v>
      </c>
      <c r="AB136" s="28">
        <v>0</v>
      </c>
      <c r="AC136" s="28">
        <v>0.92</v>
      </c>
      <c r="AD136" s="26">
        <v>0.99358974358974361</v>
      </c>
      <c r="AE136" s="26">
        <v>0.99367088607594933</v>
      </c>
      <c r="AF136" s="26">
        <v>1</v>
      </c>
      <c r="AG136" s="26">
        <v>0.99632843791722292</v>
      </c>
      <c r="AH136" s="28">
        <v>0.92</v>
      </c>
      <c r="AI136" s="26">
        <v>0.9826897470039947</v>
      </c>
      <c r="AJ136" s="26">
        <v>0.99286943693139906</v>
      </c>
      <c r="AK136" s="26">
        <v>0.99408284023668636</v>
      </c>
      <c r="AL136" s="26">
        <v>0.99192095146564152</v>
      </c>
      <c r="AM136" s="25">
        <v>0.99</v>
      </c>
      <c r="AN136" s="30">
        <v>1</v>
      </c>
      <c r="AO136" s="30">
        <v>1</v>
      </c>
      <c r="AP136" s="30">
        <v>1</v>
      </c>
      <c r="AQ136" s="30">
        <v>1</v>
      </c>
      <c r="AR136" s="32">
        <v>0.10526149898194399</v>
      </c>
      <c r="AS136" s="34">
        <v>0</v>
      </c>
      <c r="AT136" s="34">
        <v>0</v>
      </c>
      <c r="AU136" s="34">
        <v>0</v>
      </c>
      <c r="AV136" s="34">
        <v>0.11538461538461539</v>
      </c>
      <c r="AW136" s="10"/>
      <c r="AX136" s="8"/>
    </row>
    <row r="137" spans="1:50">
      <c r="A137" s="7"/>
      <c r="B137" s="10"/>
      <c r="C137" s="45" t="s">
        <v>127</v>
      </c>
      <c r="D137" s="23" t="s">
        <v>11</v>
      </c>
      <c r="E137" s="46" t="s">
        <v>185</v>
      </c>
      <c r="F137" s="46" t="s">
        <v>185</v>
      </c>
      <c r="G137" s="46" t="s">
        <v>185</v>
      </c>
      <c r="H137" s="46" t="s">
        <v>185</v>
      </c>
      <c r="I137" s="25">
        <v>0.9</v>
      </c>
      <c r="J137" s="26">
        <v>1</v>
      </c>
      <c r="K137" s="26">
        <v>1</v>
      </c>
      <c r="L137" s="27">
        <v>1</v>
      </c>
      <c r="M137" s="26">
        <v>0.99604743083003955</v>
      </c>
      <c r="N137" s="28">
        <v>0.9</v>
      </c>
      <c r="O137" s="26">
        <v>0</v>
      </c>
      <c r="P137" s="26">
        <v>0</v>
      </c>
      <c r="Q137" s="26">
        <v>0</v>
      </c>
      <c r="R137" s="26">
        <v>0</v>
      </c>
      <c r="S137" s="28">
        <v>0.9</v>
      </c>
      <c r="T137" s="26">
        <v>0</v>
      </c>
      <c r="U137" s="26">
        <v>0</v>
      </c>
      <c r="V137" s="26">
        <v>0</v>
      </c>
      <c r="W137" s="26">
        <v>0</v>
      </c>
      <c r="X137" s="28">
        <v>0.92</v>
      </c>
      <c r="Y137" s="28">
        <v>0</v>
      </c>
      <c r="Z137" s="28">
        <v>0</v>
      </c>
      <c r="AA137" s="28">
        <v>0</v>
      </c>
      <c r="AB137" s="28">
        <v>0</v>
      </c>
      <c r="AC137" s="28">
        <v>0.92</v>
      </c>
      <c r="AD137" s="26">
        <v>0.97709923664122134</v>
      </c>
      <c r="AE137" s="26">
        <v>0.99315068493150682</v>
      </c>
      <c r="AF137" s="26">
        <v>0.98245614035087714</v>
      </c>
      <c r="AG137" s="26">
        <v>0.97777777777777775</v>
      </c>
      <c r="AH137" s="28">
        <v>0.92</v>
      </c>
      <c r="AI137" s="26">
        <v>0.96973684210526312</v>
      </c>
      <c r="AJ137" s="26">
        <v>0.98379923761118171</v>
      </c>
      <c r="AK137" s="26">
        <v>0.99341563786008236</v>
      </c>
      <c r="AL137" s="26">
        <v>0.98848016244923465</v>
      </c>
      <c r="AM137" s="25">
        <v>0.99</v>
      </c>
      <c r="AN137" s="30">
        <v>1</v>
      </c>
      <c r="AO137" s="30">
        <v>1</v>
      </c>
      <c r="AP137" s="30">
        <v>1</v>
      </c>
      <c r="AQ137" s="30">
        <v>1</v>
      </c>
      <c r="AR137" s="32">
        <v>0.10526149898194399</v>
      </c>
      <c r="AS137" s="34">
        <v>0</v>
      </c>
      <c r="AT137" s="34">
        <v>0.5</v>
      </c>
      <c r="AU137" s="34">
        <v>0.5</v>
      </c>
      <c r="AV137" s="34">
        <v>0.2</v>
      </c>
      <c r="AW137" s="10"/>
      <c r="AX137" s="8"/>
    </row>
    <row r="138" spans="1:50">
      <c r="A138" s="7"/>
      <c r="B138" s="10"/>
      <c r="C138" s="45" t="s">
        <v>127</v>
      </c>
      <c r="D138" s="23" t="s">
        <v>11</v>
      </c>
      <c r="E138" s="46" t="s">
        <v>186</v>
      </c>
      <c r="F138" s="46" t="s">
        <v>186</v>
      </c>
      <c r="G138" s="46" t="s">
        <v>186</v>
      </c>
      <c r="H138" s="46" t="s">
        <v>186</v>
      </c>
      <c r="I138" s="25">
        <v>0.9</v>
      </c>
      <c r="J138" s="26">
        <v>0.96923076923076923</v>
      </c>
      <c r="K138" s="26">
        <v>0.97058823529411764</v>
      </c>
      <c r="L138" s="27">
        <v>1</v>
      </c>
      <c r="M138" s="26">
        <v>0.98390804597701154</v>
      </c>
      <c r="N138" s="28">
        <v>0.9</v>
      </c>
      <c r="O138" s="26">
        <v>0.14285714285714285</v>
      </c>
      <c r="P138" s="26">
        <v>0</v>
      </c>
      <c r="Q138" s="26">
        <v>0.25</v>
      </c>
      <c r="R138" s="26">
        <v>0.125</v>
      </c>
      <c r="S138" s="28">
        <v>0.9</v>
      </c>
      <c r="T138" s="26">
        <v>0</v>
      </c>
      <c r="U138" s="26">
        <v>0</v>
      </c>
      <c r="V138" s="26">
        <v>0</v>
      </c>
      <c r="W138" s="26">
        <v>6.25E-2</v>
      </c>
      <c r="X138" s="28">
        <v>0.92</v>
      </c>
      <c r="Y138" s="28">
        <v>0</v>
      </c>
      <c r="Z138" s="28">
        <v>0</v>
      </c>
      <c r="AA138" s="28">
        <v>0</v>
      </c>
      <c r="AB138" s="28">
        <v>0</v>
      </c>
      <c r="AC138" s="28">
        <v>0.92</v>
      </c>
      <c r="AD138" s="26">
        <v>0.99866844207723038</v>
      </c>
      <c r="AE138" s="26">
        <v>0.99655963302752293</v>
      </c>
      <c r="AF138" s="26">
        <v>0.99504132231404963</v>
      </c>
      <c r="AG138" s="26">
        <v>0.9979085748431431</v>
      </c>
      <c r="AH138" s="28">
        <v>0.92</v>
      </c>
      <c r="AI138" s="26">
        <v>0.97072474116387009</v>
      </c>
      <c r="AJ138" s="26">
        <v>0.98469475494411007</v>
      </c>
      <c r="AK138" s="26">
        <v>0.98337473724441049</v>
      </c>
      <c r="AL138" s="26">
        <v>0.98389643195453114</v>
      </c>
      <c r="AM138" s="25">
        <v>0.99</v>
      </c>
      <c r="AN138" s="30">
        <v>1</v>
      </c>
      <c r="AO138" s="30">
        <v>1</v>
      </c>
      <c r="AP138" s="30">
        <v>1</v>
      </c>
      <c r="AQ138" s="30">
        <v>1</v>
      </c>
      <c r="AR138" s="32">
        <v>0.10526149898194399</v>
      </c>
      <c r="AS138" s="34">
        <v>0</v>
      </c>
      <c r="AT138" s="34">
        <v>0</v>
      </c>
      <c r="AU138" s="34">
        <v>0.33333333333333331</v>
      </c>
      <c r="AV138" s="34">
        <v>7.2463768115942032E-2</v>
      </c>
      <c r="AW138" s="10"/>
      <c r="AX138" s="8"/>
    </row>
    <row r="139" spans="1:50">
      <c r="A139" s="7"/>
      <c r="B139" s="10"/>
      <c r="C139" s="45" t="s">
        <v>127</v>
      </c>
      <c r="D139" s="23" t="s">
        <v>11</v>
      </c>
      <c r="E139" s="46" t="s">
        <v>187</v>
      </c>
      <c r="F139" s="46" t="s">
        <v>187</v>
      </c>
      <c r="G139" s="46" t="s">
        <v>187</v>
      </c>
      <c r="H139" s="46" t="s">
        <v>187</v>
      </c>
      <c r="I139" s="25">
        <v>0.9</v>
      </c>
      <c r="J139" s="26">
        <v>0.94505494505494503</v>
      </c>
      <c r="K139" s="26">
        <v>0.95918367346938771</v>
      </c>
      <c r="L139" s="27">
        <v>0.95918367346938771</v>
      </c>
      <c r="M139" s="26">
        <v>0.94899328859060406</v>
      </c>
      <c r="N139" s="28">
        <v>0.9</v>
      </c>
      <c r="O139" s="26">
        <v>0.9482670483590635</v>
      </c>
      <c r="P139" s="26">
        <v>0.94970205029794974</v>
      </c>
      <c r="Q139" s="26">
        <v>0.96590909090909094</v>
      </c>
      <c r="R139" s="26">
        <v>0.95236118857083563</v>
      </c>
      <c r="S139" s="28">
        <v>0.9</v>
      </c>
      <c r="T139" s="26">
        <v>0.92352520192209386</v>
      </c>
      <c r="U139" s="26">
        <v>0.91707908292091711</v>
      </c>
      <c r="V139" s="26">
        <v>0.9351325757575758</v>
      </c>
      <c r="W139" s="26">
        <v>0.92880766786423008</v>
      </c>
      <c r="X139" s="28">
        <v>0.92</v>
      </c>
      <c r="Y139" s="28">
        <v>0.93297777777777779</v>
      </c>
      <c r="Z139" s="28">
        <v>0.96762731938412949</v>
      </c>
      <c r="AA139" s="28">
        <v>0.96476025418833045</v>
      </c>
      <c r="AB139" s="28">
        <v>0.96084875330427943</v>
      </c>
      <c r="AC139" s="28">
        <v>0.92</v>
      </c>
      <c r="AD139" s="26">
        <v>0.97170955882352938</v>
      </c>
      <c r="AE139" s="26">
        <v>0.9932660582321956</v>
      </c>
      <c r="AF139" s="26">
        <v>0.99184425667065301</v>
      </c>
      <c r="AG139" s="26">
        <v>0.9888834964791634</v>
      </c>
      <c r="AH139" s="28">
        <v>0.92</v>
      </c>
      <c r="AI139" s="26">
        <v>0.96282359047557253</v>
      </c>
      <c r="AJ139" s="26">
        <v>0.97915831663326658</v>
      </c>
      <c r="AK139" s="26">
        <v>0.97765504983177809</v>
      </c>
      <c r="AL139" s="26">
        <v>0.97707373175174828</v>
      </c>
      <c r="AM139" s="25">
        <v>0.99</v>
      </c>
      <c r="AN139" s="30">
        <v>1</v>
      </c>
      <c r="AO139" s="30">
        <v>1</v>
      </c>
      <c r="AP139" s="30">
        <v>1</v>
      </c>
      <c r="AQ139" s="30">
        <v>1</v>
      </c>
      <c r="AR139" s="32">
        <v>0.10526149898194399</v>
      </c>
      <c r="AS139" s="34">
        <v>0.13333333333333333</v>
      </c>
      <c r="AT139" s="34">
        <v>0</v>
      </c>
      <c r="AU139" s="34">
        <v>0</v>
      </c>
      <c r="AV139" s="34">
        <v>5.9880239520958084E-2</v>
      </c>
      <c r="AW139" s="10"/>
      <c r="AX139" s="8"/>
    </row>
    <row r="140" spans="1:50">
      <c r="A140" s="7"/>
      <c r="B140" s="10"/>
      <c r="C140" s="45" t="s">
        <v>127</v>
      </c>
      <c r="D140" s="23" t="s">
        <v>11</v>
      </c>
      <c r="E140" s="46" t="s">
        <v>188</v>
      </c>
      <c r="F140" s="46" t="s">
        <v>188</v>
      </c>
      <c r="G140" s="46" t="s">
        <v>188</v>
      </c>
      <c r="H140" s="46" t="s">
        <v>188</v>
      </c>
      <c r="I140" s="25">
        <v>0.9</v>
      </c>
      <c r="J140" s="26">
        <v>1</v>
      </c>
      <c r="K140" s="26">
        <v>0.96103896103896103</v>
      </c>
      <c r="L140" s="27">
        <v>0.98765432098765427</v>
      </c>
      <c r="M140" s="26">
        <v>0.97622820919175912</v>
      </c>
      <c r="N140" s="28">
        <v>0.9</v>
      </c>
      <c r="O140" s="26">
        <v>0.97294357579877633</v>
      </c>
      <c r="P140" s="26">
        <v>0.9760152630144453</v>
      </c>
      <c r="Q140" s="26">
        <v>0.97767165720185856</v>
      </c>
      <c r="R140" s="26">
        <v>0.97276109025170354</v>
      </c>
      <c r="S140" s="28">
        <v>0.9</v>
      </c>
      <c r="T140" s="26">
        <v>0.94629503738953091</v>
      </c>
      <c r="U140" s="26">
        <v>0.93186154265467425</v>
      </c>
      <c r="V140" s="26">
        <v>0.94140423335054213</v>
      </c>
      <c r="W140" s="26">
        <v>0.94002920317062999</v>
      </c>
      <c r="X140" s="28">
        <v>0.92</v>
      </c>
      <c r="Y140" s="28">
        <v>0.95431703974417548</v>
      </c>
      <c r="Z140" s="28">
        <v>0.97030970053749677</v>
      </c>
      <c r="AA140" s="28">
        <v>0.96037785358173711</v>
      </c>
      <c r="AB140" s="28">
        <v>0.96484483987971603</v>
      </c>
      <c r="AC140" s="28">
        <v>0.92</v>
      </c>
      <c r="AD140" s="26">
        <v>0.99500515163732473</v>
      </c>
      <c r="AE140" s="26">
        <v>0.98547334373014495</v>
      </c>
      <c r="AF140" s="26">
        <v>0.98321641834309237</v>
      </c>
      <c r="AG140" s="26">
        <v>0.98386554061932607</v>
      </c>
      <c r="AH140" s="28">
        <v>0.92</v>
      </c>
      <c r="AI140" s="26">
        <v>0.97596727458667121</v>
      </c>
      <c r="AJ140" s="26">
        <v>0.98150453494575851</v>
      </c>
      <c r="AK140" s="26">
        <v>0.981401384083045</v>
      </c>
      <c r="AL140" s="26">
        <v>0.98107891395861635</v>
      </c>
      <c r="AM140" s="25">
        <v>0.99</v>
      </c>
      <c r="AN140" s="30">
        <v>1</v>
      </c>
      <c r="AO140" s="30">
        <v>1</v>
      </c>
      <c r="AP140" s="30">
        <v>1</v>
      </c>
      <c r="AQ140" s="30">
        <v>1</v>
      </c>
      <c r="AR140" s="32">
        <v>0.10526149898194399</v>
      </c>
      <c r="AS140" s="34">
        <v>0.15</v>
      </c>
      <c r="AT140" s="34">
        <v>8.3333333333333329E-2</v>
      </c>
      <c r="AU140" s="34">
        <v>0.05</v>
      </c>
      <c r="AV140" s="34">
        <v>0.12337662337662338</v>
      </c>
      <c r="AW140" s="10"/>
      <c r="AX140" s="8"/>
    </row>
    <row r="141" spans="1:50">
      <c r="A141" s="7"/>
      <c r="B141" s="10"/>
      <c r="C141" s="45" t="s">
        <v>127</v>
      </c>
      <c r="D141" s="23" t="s">
        <v>11</v>
      </c>
      <c r="E141" s="46" t="s">
        <v>189</v>
      </c>
      <c r="F141" s="46" t="s">
        <v>189</v>
      </c>
      <c r="G141" s="46" t="s">
        <v>189</v>
      </c>
      <c r="H141" s="46" t="s">
        <v>189</v>
      </c>
      <c r="I141" s="25">
        <v>0.9</v>
      </c>
      <c r="J141" s="26">
        <v>0.97058823529411764</v>
      </c>
      <c r="K141" s="26">
        <v>0.93203883495145634</v>
      </c>
      <c r="L141" s="27">
        <v>0.96296296296296291</v>
      </c>
      <c r="M141" s="26">
        <v>0.96381182147165256</v>
      </c>
      <c r="N141" s="28">
        <v>0.9</v>
      </c>
      <c r="O141" s="26">
        <v>0.90669534821188491</v>
      </c>
      <c r="P141" s="26">
        <v>0.93748627479686697</v>
      </c>
      <c r="Q141" s="26">
        <v>0.93981778519183878</v>
      </c>
      <c r="R141" s="26">
        <v>0.91802197018332266</v>
      </c>
      <c r="S141" s="28">
        <v>0.9</v>
      </c>
      <c r="T141" s="26">
        <v>0.92618983597741333</v>
      </c>
      <c r="U141" s="26">
        <v>0.93023936754263958</v>
      </c>
      <c r="V141" s="26">
        <v>0.93827794174258949</v>
      </c>
      <c r="W141" s="26">
        <v>0.92451316071046441</v>
      </c>
      <c r="X141" s="28">
        <v>0.92</v>
      </c>
      <c r="Y141" s="28">
        <v>0.88557213930348255</v>
      </c>
      <c r="Z141" s="28">
        <v>0.91200747547111038</v>
      </c>
      <c r="AA141" s="28">
        <v>0.9285601140503722</v>
      </c>
      <c r="AB141" s="28">
        <v>0.91579274876919414</v>
      </c>
      <c r="AC141" s="28">
        <v>0.92</v>
      </c>
      <c r="AD141" s="26">
        <v>0.98897273674314612</v>
      </c>
      <c r="AE141" s="26">
        <v>0.99055431818348882</v>
      </c>
      <c r="AF141" s="26">
        <v>0.98939842775239017</v>
      </c>
      <c r="AG141" s="26">
        <v>0.98935601622875147</v>
      </c>
      <c r="AH141" s="28">
        <v>0.92</v>
      </c>
      <c r="AI141" s="26">
        <v>0.93682145789617732</v>
      </c>
      <c r="AJ141" s="26">
        <v>0.95321288138967697</v>
      </c>
      <c r="AK141" s="26">
        <v>0.96589352570541498</v>
      </c>
      <c r="AL141" s="26">
        <v>0.95417628195522519</v>
      </c>
      <c r="AM141" s="25">
        <v>0.99</v>
      </c>
      <c r="AN141" s="30">
        <v>1</v>
      </c>
      <c r="AO141" s="30">
        <v>1</v>
      </c>
      <c r="AP141" s="30">
        <v>1</v>
      </c>
      <c r="AQ141" s="30">
        <v>1</v>
      </c>
      <c r="AR141" s="32">
        <v>0.10526149898194399</v>
      </c>
      <c r="AS141" s="34">
        <v>3.2258064516129031E-2</v>
      </c>
      <c r="AT141" s="34">
        <v>4.3478260869565216E-2</v>
      </c>
      <c r="AU141" s="34">
        <v>0.16216216216216217</v>
      </c>
      <c r="AV141" s="34">
        <v>9.2682926829268292E-2</v>
      </c>
      <c r="AW141" s="10"/>
      <c r="AX141" s="8"/>
    </row>
    <row r="142" spans="1:50">
      <c r="A142" s="7"/>
      <c r="B142" s="10"/>
      <c r="C142" s="45" t="s">
        <v>127</v>
      </c>
      <c r="D142" s="23" t="s">
        <v>11</v>
      </c>
      <c r="E142" s="46" t="s">
        <v>190</v>
      </c>
      <c r="F142" s="46" t="s">
        <v>190</v>
      </c>
      <c r="G142" s="46" t="s">
        <v>190</v>
      </c>
      <c r="H142" s="46" t="s">
        <v>190</v>
      </c>
      <c r="I142" s="25">
        <v>0.9</v>
      </c>
      <c r="J142" s="26">
        <v>0.95454545454545459</v>
      </c>
      <c r="K142" s="26">
        <v>0</v>
      </c>
      <c r="L142" s="27">
        <v>0.96666666666666667</v>
      </c>
      <c r="M142" s="26">
        <v>0.85338865836791145</v>
      </c>
      <c r="N142" s="28">
        <v>0.9</v>
      </c>
      <c r="O142" s="26">
        <v>0.94397837434750187</v>
      </c>
      <c r="P142" s="26">
        <v>0.94736325247962294</v>
      </c>
      <c r="Q142" s="26">
        <v>0.95519031141868516</v>
      </c>
      <c r="R142" s="26">
        <v>0.95637958911926957</v>
      </c>
      <c r="S142" s="28">
        <v>0.9</v>
      </c>
      <c r="T142" s="26">
        <v>0.92170022371364657</v>
      </c>
      <c r="U142" s="26">
        <v>0.93626632622999117</v>
      </c>
      <c r="V142" s="26">
        <v>0.93044982698961942</v>
      </c>
      <c r="W142" s="26">
        <v>0.93516977363515308</v>
      </c>
      <c r="X142" s="28">
        <v>0.92</v>
      </c>
      <c r="Y142" s="28">
        <v>0.93240168995775108</v>
      </c>
      <c r="Z142" s="28">
        <v>0.94269190325972663</v>
      </c>
      <c r="AA142" s="28">
        <v>0.95115633672525435</v>
      </c>
      <c r="AB142" s="28">
        <v>0.94705240174672489</v>
      </c>
      <c r="AC142" s="28">
        <v>0.92</v>
      </c>
      <c r="AD142" s="26">
        <v>0.99165918131656616</v>
      </c>
      <c r="AE142" s="26">
        <v>0.95900359811790759</v>
      </c>
      <c r="AF142" s="26">
        <v>0.98646773074253991</v>
      </c>
      <c r="AG142" s="26">
        <v>0.96076986918333529</v>
      </c>
      <c r="AH142" s="28">
        <v>0.92</v>
      </c>
      <c r="AI142" s="26">
        <v>0.95679706456767477</v>
      </c>
      <c r="AJ142" s="26">
        <v>0.96716361577656162</v>
      </c>
      <c r="AK142" s="26">
        <v>0.97606414337931846</v>
      </c>
      <c r="AL142" s="26">
        <v>0.97195981291156375</v>
      </c>
      <c r="AM142" s="25">
        <v>0.99</v>
      </c>
      <c r="AN142" s="30">
        <v>1</v>
      </c>
      <c r="AO142" s="30">
        <v>1</v>
      </c>
      <c r="AP142" s="30">
        <v>1</v>
      </c>
      <c r="AQ142" s="30">
        <v>1</v>
      </c>
      <c r="AR142" s="32">
        <v>0.10526149898194399</v>
      </c>
      <c r="AS142" s="34">
        <v>0.15</v>
      </c>
      <c r="AT142" s="34">
        <v>5.2631578947368418E-2</v>
      </c>
      <c r="AU142" s="34">
        <v>5.8823529411764705E-2</v>
      </c>
      <c r="AV142" s="34">
        <v>0.10714285714285714</v>
      </c>
      <c r="AW142" s="10"/>
      <c r="AX142" s="8"/>
    </row>
    <row r="143" spans="1:50">
      <c r="A143" s="7"/>
      <c r="B143" s="10"/>
      <c r="C143" s="45" t="s">
        <v>127</v>
      </c>
      <c r="D143" s="23" t="s">
        <v>11</v>
      </c>
      <c r="E143" s="46" t="s">
        <v>191</v>
      </c>
      <c r="F143" s="46" t="s">
        <v>191</v>
      </c>
      <c r="G143" s="46" t="s">
        <v>191</v>
      </c>
      <c r="H143" s="46" t="s">
        <v>191</v>
      </c>
      <c r="I143" s="25">
        <v>0.9</v>
      </c>
      <c r="J143" s="26">
        <v>1</v>
      </c>
      <c r="K143" s="26">
        <v>1</v>
      </c>
      <c r="L143" s="27">
        <v>1</v>
      </c>
      <c r="M143" s="26">
        <v>0.99685534591194969</v>
      </c>
      <c r="N143" s="28">
        <v>0.9</v>
      </c>
      <c r="O143" s="26">
        <v>0.97614533965244865</v>
      </c>
      <c r="P143" s="26">
        <v>0.96830656810264248</v>
      </c>
      <c r="Q143" s="26">
        <v>0.97468354430379744</v>
      </c>
      <c r="R143" s="26">
        <v>0.97117034857669449</v>
      </c>
      <c r="S143" s="28">
        <v>0.9</v>
      </c>
      <c r="T143" s="26">
        <v>0.97148499210110584</v>
      </c>
      <c r="U143" s="26">
        <v>0.96711700229416264</v>
      </c>
      <c r="V143" s="26">
        <v>0.95889033479238139</v>
      </c>
      <c r="W143" s="26">
        <v>0.96444061176351237</v>
      </c>
      <c r="X143" s="28">
        <v>0.92</v>
      </c>
      <c r="Y143" s="28">
        <v>0.9130144975837361</v>
      </c>
      <c r="Z143" s="28">
        <v>0.96990149580445095</v>
      </c>
      <c r="AA143" s="28">
        <v>0.94062787337449105</v>
      </c>
      <c r="AB143" s="28">
        <v>0.9416934801016088</v>
      </c>
      <c r="AC143" s="28">
        <v>0.92</v>
      </c>
      <c r="AD143" s="26">
        <v>0.98770646937370954</v>
      </c>
      <c r="AE143" s="26">
        <v>0.97071836346336826</v>
      </c>
      <c r="AF143" s="26">
        <v>0.969132455460883</v>
      </c>
      <c r="AG143" s="26">
        <v>0.97737020873239988</v>
      </c>
      <c r="AH143" s="28">
        <v>0.92</v>
      </c>
      <c r="AI143" s="26">
        <v>0.96171557078603553</v>
      </c>
      <c r="AJ143" s="26">
        <v>0.98232644103038003</v>
      </c>
      <c r="AK143" s="26">
        <v>0.97614387080988496</v>
      </c>
      <c r="AL143" s="26">
        <v>0.97425190194420963</v>
      </c>
      <c r="AM143" s="25">
        <v>0.99</v>
      </c>
      <c r="AN143" s="30">
        <v>1</v>
      </c>
      <c r="AO143" s="30">
        <v>1</v>
      </c>
      <c r="AP143" s="30">
        <v>1</v>
      </c>
      <c r="AQ143" s="30">
        <v>1</v>
      </c>
      <c r="AR143" s="32">
        <v>0.10526149898194399</v>
      </c>
      <c r="AS143" s="34">
        <v>0</v>
      </c>
      <c r="AT143" s="34">
        <v>0</v>
      </c>
      <c r="AU143" s="34">
        <v>0.1</v>
      </c>
      <c r="AV143" s="34">
        <v>5.181347150259067E-2</v>
      </c>
      <c r="AW143" s="10"/>
      <c r="AX143" s="8"/>
    </row>
    <row r="144" spans="1:50">
      <c r="A144" s="7"/>
      <c r="B144" s="10"/>
      <c r="C144" s="45" t="s">
        <v>127</v>
      </c>
      <c r="D144" s="23" t="s">
        <v>11</v>
      </c>
      <c r="E144" s="46" t="s">
        <v>192</v>
      </c>
      <c r="F144" s="46" t="s">
        <v>192</v>
      </c>
      <c r="G144" s="46" t="s">
        <v>192</v>
      </c>
      <c r="H144" s="46" t="s">
        <v>192</v>
      </c>
      <c r="I144" s="25">
        <v>0.9</v>
      </c>
      <c r="J144" s="26">
        <v>1</v>
      </c>
      <c r="K144" s="26">
        <v>1</v>
      </c>
      <c r="L144" s="27">
        <v>1</v>
      </c>
      <c r="M144" s="26">
        <v>1</v>
      </c>
      <c r="N144" s="28">
        <v>0.9</v>
      </c>
      <c r="O144" s="26">
        <v>0.85676500508647002</v>
      </c>
      <c r="P144" s="26">
        <v>0.96548004314994607</v>
      </c>
      <c r="Q144" s="26">
        <v>0.97837072973519301</v>
      </c>
      <c r="R144" s="26">
        <v>0.95945146544770099</v>
      </c>
      <c r="S144" s="28">
        <v>0.9</v>
      </c>
      <c r="T144" s="26">
        <v>0.95788402848423193</v>
      </c>
      <c r="U144" s="26">
        <v>0.96699029126213587</v>
      </c>
      <c r="V144" s="26">
        <v>0.97028502122498483</v>
      </c>
      <c r="W144" s="26">
        <v>0.96784081742403871</v>
      </c>
      <c r="X144" s="28">
        <v>0.92</v>
      </c>
      <c r="Y144" s="28">
        <v>0.96099962135554717</v>
      </c>
      <c r="Z144" s="28">
        <v>0.97527242246437551</v>
      </c>
      <c r="AA144" s="28">
        <v>0.97226962457337884</v>
      </c>
      <c r="AB144" s="28">
        <v>0.96761293507775858</v>
      </c>
      <c r="AC144" s="28">
        <v>0.92</v>
      </c>
      <c r="AD144" s="26">
        <v>0.99168490153172861</v>
      </c>
      <c r="AE144" s="26">
        <v>0.98916114358819451</v>
      </c>
      <c r="AF144" s="26">
        <v>0.98918520549823463</v>
      </c>
      <c r="AG144" s="26">
        <v>0.97509062424206672</v>
      </c>
      <c r="AH144" s="28">
        <v>0.92</v>
      </c>
      <c r="AI144" s="26">
        <v>0.97737496692246628</v>
      </c>
      <c r="AJ144" s="26">
        <v>0.98548455955599834</v>
      </c>
      <c r="AK144" s="26">
        <v>0.98848210612916498</v>
      </c>
      <c r="AL144" s="26">
        <v>0.98385047769869305</v>
      </c>
      <c r="AM144" s="25">
        <v>0.99</v>
      </c>
      <c r="AN144" s="30">
        <v>1</v>
      </c>
      <c r="AO144" s="30">
        <v>1</v>
      </c>
      <c r="AP144" s="30">
        <v>1</v>
      </c>
      <c r="AQ144" s="30">
        <v>1</v>
      </c>
      <c r="AR144" s="32">
        <v>0.10526149898194399</v>
      </c>
      <c r="AS144" s="34">
        <v>0.125</v>
      </c>
      <c r="AT144" s="34">
        <v>0</v>
      </c>
      <c r="AU144" s="34">
        <v>0.1</v>
      </c>
      <c r="AV144" s="34">
        <v>0.1125</v>
      </c>
      <c r="AW144" s="10"/>
      <c r="AX144" s="8"/>
    </row>
    <row r="145" spans="1:50">
      <c r="A145" s="7"/>
      <c r="B145" s="10"/>
      <c r="C145" s="45" t="s">
        <v>127</v>
      </c>
      <c r="D145" s="23" t="s">
        <v>11</v>
      </c>
      <c r="E145" s="46" t="s">
        <v>193</v>
      </c>
      <c r="F145" s="46" t="s">
        <v>193</v>
      </c>
      <c r="G145" s="46" t="s">
        <v>193</v>
      </c>
      <c r="H145" s="46" t="s">
        <v>193</v>
      </c>
      <c r="I145" s="25">
        <v>0.9</v>
      </c>
      <c r="J145" s="26">
        <v>0.92920353982300885</v>
      </c>
      <c r="K145" s="26">
        <v>0.91150442477876104</v>
      </c>
      <c r="L145" s="27">
        <v>0.93693693693693691</v>
      </c>
      <c r="M145" s="26">
        <v>0.92920353982300885</v>
      </c>
      <c r="N145" s="28">
        <v>0.9</v>
      </c>
      <c r="O145" s="26">
        <v>0.94598292825959474</v>
      </c>
      <c r="P145" s="26">
        <v>0.92637704696169987</v>
      </c>
      <c r="Q145" s="26">
        <v>0.58966395428287466</v>
      </c>
      <c r="R145" s="26">
        <v>0.8910561124315387</v>
      </c>
      <c r="S145" s="28">
        <v>0.9</v>
      </c>
      <c r="T145" s="26">
        <v>0.91894181273213005</v>
      </c>
      <c r="U145" s="26">
        <v>0.86676140208417918</v>
      </c>
      <c r="V145" s="26">
        <v>0.86185477358842166</v>
      </c>
      <c r="W145" s="26">
        <v>0.88087733801798074</v>
      </c>
      <c r="X145" s="28">
        <v>0.92</v>
      </c>
      <c r="Y145" s="28">
        <v>0.92976878612716762</v>
      </c>
      <c r="Z145" s="28">
        <v>0.95118505729084912</v>
      </c>
      <c r="AA145" s="28">
        <v>0.93917916597989126</v>
      </c>
      <c r="AB145" s="28">
        <v>0.94506606691031769</v>
      </c>
      <c r="AC145" s="28">
        <v>0.92</v>
      </c>
      <c r="AD145" s="26">
        <v>0.86187535092644585</v>
      </c>
      <c r="AE145" s="26">
        <v>0.99738953003279607</v>
      </c>
      <c r="AF145" s="26">
        <v>0.96562746061073823</v>
      </c>
      <c r="AG145" s="26">
        <v>0.98078767248981036</v>
      </c>
      <c r="AH145" s="28">
        <v>0.92</v>
      </c>
      <c r="AI145" s="26">
        <v>0.96035202730007629</v>
      </c>
      <c r="AJ145" s="26">
        <v>0.96751773049645395</v>
      </c>
      <c r="AK145" s="26">
        <v>0.9670711353692093</v>
      </c>
      <c r="AL145" s="26">
        <v>0.96420143477440057</v>
      </c>
      <c r="AM145" s="25">
        <v>0.99</v>
      </c>
      <c r="AN145" s="30">
        <v>1</v>
      </c>
      <c r="AO145" s="30">
        <v>1</v>
      </c>
      <c r="AP145" s="30">
        <v>1</v>
      </c>
      <c r="AQ145" s="30">
        <v>1</v>
      </c>
      <c r="AR145" s="32">
        <v>0.10526149898194399</v>
      </c>
      <c r="AS145" s="34">
        <v>0.04</v>
      </c>
      <c r="AT145" s="34">
        <v>0</v>
      </c>
      <c r="AU145" s="34">
        <v>6.8965517241379309E-2</v>
      </c>
      <c r="AV145" s="34">
        <v>6.8669527896995708E-2</v>
      </c>
      <c r="AW145" s="10"/>
      <c r="AX145" s="8"/>
    </row>
    <row r="146" spans="1:50">
      <c r="A146" s="7"/>
      <c r="B146" s="10"/>
      <c r="C146" s="45" t="s">
        <v>127</v>
      </c>
      <c r="D146" s="23" t="s">
        <v>11</v>
      </c>
      <c r="E146" s="46" t="s">
        <v>194</v>
      </c>
      <c r="F146" s="46" t="s">
        <v>194</v>
      </c>
      <c r="G146" s="46" t="s">
        <v>194</v>
      </c>
      <c r="H146" s="46" t="s">
        <v>194</v>
      </c>
      <c r="I146" s="25">
        <v>0.9</v>
      </c>
      <c r="J146" s="26">
        <v>0.96296296296296291</v>
      </c>
      <c r="K146" s="26">
        <v>0.94444444444444442</v>
      </c>
      <c r="L146" s="27">
        <v>0.9642857142857143</v>
      </c>
      <c r="M146" s="26">
        <v>0.9393232205367561</v>
      </c>
      <c r="N146" s="28">
        <v>0.9</v>
      </c>
      <c r="O146" s="26">
        <v>0.96884460141271445</v>
      </c>
      <c r="P146" s="26">
        <v>0.98078155028827674</v>
      </c>
      <c r="Q146" s="26">
        <v>0.98201438848920863</v>
      </c>
      <c r="R146" s="26">
        <v>0.97447537069615486</v>
      </c>
      <c r="S146" s="28">
        <v>0.9</v>
      </c>
      <c r="T146" s="26">
        <v>0.93251765893037331</v>
      </c>
      <c r="U146" s="26">
        <v>0.94131966688020496</v>
      </c>
      <c r="V146" s="26">
        <v>0.94268585131894489</v>
      </c>
      <c r="W146" s="26">
        <v>0.93919640613219402</v>
      </c>
      <c r="X146" s="28">
        <v>0.92</v>
      </c>
      <c r="Y146" s="28">
        <v>0.92159048680787814</v>
      </c>
      <c r="Z146" s="28">
        <v>0.94160746003552398</v>
      </c>
      <c r="AA146" s="28">
        <v>0.95490064746595227</v>
      </c>
      <c r="AB146" s="28">
        <v>0.94822953523637232</v>
      </c>
      <c r="AC146" s="28">
        <v>0.92</v>
      </c>
      <c r="AD146" s="26">
        <v>0.99129642287537023</v>
      </c>
      <c r="AE146" s="26">
        <v>0.99337476246725898</v>
      </c>
      <c r="AF146" s="26">
        <v>0.99446937757831266</v>
      </c>
      <c r="AG146" s="26">
        <v>0.99114683975435924</v>
      </c>
      <c r="AH146" s="28">
        <v>0.92</v>
      </c>
      <c r="AI146" s="26">
        <v>0.94900105152471081</v>
      </c>
      <c r="AJ146" s="26">
        <v>0.96863828404289898</v>
      </c>
      <c r="AK146" s="26">
        <v>0.97831682396068953</v>
      </c>
      <c r="AL146" s="26">
        <v>0.97168954280635922</v>
      </c>
      <c r="AM146" s="25">
        <v>0.99</v>
      </c>
      <c r="AN146" s="30">
        <v>1</v>
      </c>
      <c r="AO146" s="30">
        <v>1</v>
      </c>
      <c r="AP146" s="30">
        <v>1</v>
      </c>
      <c r="AQ146" s="30">
        <v>1</v>
      </c>
      <c r="AR146" s="32">
        <v>0.10526149898194399</v>
      </c>
      <c r="AS146" s="34">
        <v>0</v>
      </c>
      <c r="AT146" s="34">
        <v>7.6923076923076927E-2</v>
      </c>
      <c r="AU146" s="34">
        <v>0.33333333333333331</v>
      </c>
      <c r="AV146" s="34">
        <v>9.5588235294117641E-2</v>
      </c>
      <c r="AW146" s="10"/>
      <c r="AX146" s="8"/>
    </row>
    <row r="147" spans="1:50">
      <c r="A147" s="7"/>
      <c r="B147" s="10"/>
      <c r="C147" s="45" t="s">
        <v>127</v>
      </c>
      <c r="D147" s="23" t="s">
        <v>11</v>
      </c>
      <c r="E147" s="46" t="s">
        <v>195</v>
      </c>
      <c r="F147" s="46" t="s">
        <v>195</v>
      </c>
      <c r="G147" s="46" t="s">
        <v>195</v>
      </c>
      <c r="H147" s="46" t="s">
        <v>195</v>
      </c>
      <c r="I147" s="25">
        <v>0.9</v>
      </c>
      <c r="J147" s="26">
        <v>0.96341463414634143</v>
      </c>
      <c r="K147" s="26">
        <v>0.95348837209302328</v>
      </c>
      <c r="L147" s="27">
        <v>0.96511627906976749</v>
      </c>
      <c r="M147" s="26">
        <v>0.95168374816983892</v>
      </c>
      <c r="N147" s="28">
        <v>0.9</v>
      </c>
      <c r="O147" s="26">
        <v>0.98365257595772793</v>
      </c>
      <c r="P147" s="26">
        <v>0.97892116182572619</v>
      </c>
      <c r="Q147" s="26">
        <v>0.98326426522154931</v>
      </c>
      <c r="R147" s="26">
        <v>0.98305679379230637</v>
      </c>
      <c r="S147" s="28">
        <v>0.9</v>
      </c>
      <c r="T147" s="26">
        <v>0.94187582562747685</v>
      </c>
      <c r="U147" s="26">
        <v>0.95419087136929459</v>
      </c>
      <c r="V147" s="26">
        <v>0.95329933057060889</v>
      </c>
      <c r="W147" s="26">
        <v>0.94776704639260356</v>
      </c>
      <c r="X147" s="28">
        <v>0.92</v>
      </c>
      <c r="Y147" s="28">
        <v>0.93420744556309998</v>
      </c>
      <c r="Z147" s="28">
        <v>0.94524158125915081</v>
      </c>
      <c r="AA147" s="28">
        <v>0.95501627700503111</v>
      </c>
      <c r="AB147" s="28">
        <v>0.94899665551839463</v>
      </c>
      <c r="AC147" s="28">
        <v>0.92</v>
      </c>
      <c r="AD147" s="26">
        <v>0.99275862068965515</v>
      </c>
      <c r="AE147" s="26">
        <v>0.99278110852808021</v>
      </c>
      <c r="AF147" s="26">
        <v>0.98295998468313228</v>
      </c>
      <c r="AG147" s="26">
        <v>0.96367948280623106</v>
      </c>
      <c r="AH147" s="28">
        <v>0.92</v>
      </c>
      <c r="AI147" s="26">
        <v>0.95742622157716495</v>
      </c>
      <c r="AJ147" s="26">
        <v>0.97203982207159501</v>
      </c>
      <c r="AK147" s="26">
        <v>0.97876747799067843</v>
      </c>
      <c r="AL147" s="26">
        <v>0.97349122852478553</v>
      </c>
      <c r="AM147" s="25">
        <v>0.99</v>
      </c>
      <c r="AN147" s="30">
        <v>1</v>
      </c>
      <c r="AO147" s="30">
        <v>1</v>
      </c>
      <c r="AP147" s="30">
        <v>1</v>
      </c>
      <c r="AQ147" s="30">
        <v>1</v>
      </c>
      <c r="AR147" s="32">
        <v>0.10526149898194399</v>
      </c>
      <c r="AS147" s="34">
        <v>0.2</v>
      </c>
      <c r="AT147" s="34">
        <v>0.27272727272727271</v>
      </c>
      <c r="AU147" s="34">
        <v>0.11764705882352941</v>
      </c>
      <c r="AV147" s="34">
        <v>0.14851485148514851</v>
      </c>
      <c r="AW147" s="10"/>
      <c r="AX147" s="8"/>
    </row>
    <row r="148" spans="1:50">
      <c r="A148" s="7"/>
      <c r="B148" s="10"/>
      <c r="C148" s="45" t="s">
        <v>127</v>
      </c>
      <c r="D148" s="23" t="s">
        <v>11</v>
      </c>
      <c r="E148" s="46" t="s">
        <v>196</v>
      </c>
      <c r="F148" s="46" t="s">
        <v>196</v>
      </c>
      <c r="G148" s="46" t="s">
        <v>196</v>
      </c>
      <c r="H148" s="46" t="s">
        <v>196</v>
      </c>
      <c r="I148" s="25">
        <v>0.9</v>
      </c>
      <c r="J148" s="26">
        <v>1</v>
      </c>
      <c r="K148" s="26">
        <v>0.97777777777777775</v>
      </c>
      <c r="L148" s="27">
        <v>1</v>
      </c>
      <c r="M148" s="26">
        <v>0.99425287356321834</v>
      </c>
      <c r="N148" s="28">
        <v>0.9</v>
      </c>
      <c r="O148" s="26">
        <v>0.95491433724075747</v>
      </c>
      <c r="P148" s="26">
        <v>0.94656144306651635</v>
      </c>
      <c r="Q148" s="26">
        <v>0.92394067796610169</v>
      </c>
      <c r="R148" s="26">
        <v>0.94870235759100086</v>
      </c>
      <c r="S148" s="28">
        <v>0.9</v>
      </c>
      <c r="T148" s="26">
        <v>0.91050495942290355</v>
      </c>
      <c r="U148" s="26">
        <v>0.95603156708004511</v>
      </c>
      <c r="V148" s="26">
        <v>0.93220338983050843</v>
      </c>
      <c r="W148" s="26">
        <v>0.9235233962577043</v>
      </c>
      <c r="X148" s="28">
        <v>0.92</v>
      </c>
      <c r="Y148" s="28">
        <v>0.94537230340988165</v>
      </c>
      <c r="Z148" s="28">
        <v>0.95346062052505964</v>
      </c>
      <c r="AA148" s="28">
        <v>0.96940884663083915</v>
      </c>
      <c r="AB148" s="28">
        <v>0.95481898939726817</v>
      </c>
      <c r="AC148" s="28">
        <v>0.92</v>
      </c>
      <c r="AD148" s="26">
        <v>0.98187177597641861</v>
      </c>
      <c r="AE148" s="26">
        <v>0.93781751676488523</v>
      </c>
      <c r="AF148" s="26">
        <v>0.96224463408326866</v>
      </c>
      <c r="AG148" s="26">
        <v>0.96571193922595211</v>
      </c>
      <c r="AH148" s="28">
        <v>0.92</v>
      </c>
      <c r="AI148" s="26">
        <v>0.96758309396799347</v>
      </c>
      <c r="AJ148" s="26">
        <v>0.97639948193984749</v>
      </c>
      <c r="AK148" s="26">
        <v>0.98361574009242403</v>
      </c>
      <c r="AL148" s="26">
        <v>0.97638429354200584</v>
      </c>
      <c r="AM148" s="25">
        <v>0.99</v>
      </c>
      <c r="AN148" s="30">
        <v>1</v>
      </c>
      <c r="AO148" s="30">
        <v>1</v>
      </c>
      <c r="AP148" s="30">
        <v>1</v>
      </c>
      <c r="AQ148" s="30">
        <v>1</v>
      </c>
      <c r="AR148" s="32">
        <v>0.10526149898194399</v>
      </c>
      <c r="AS148" s="34">
        <v>0.125</v>
      </c>
      <c r="AT148" s="34">
        <v>0.22222222222222221</v>
      </c>
      <c r="AU148" s="34">
        <v>5.2631578947368418E-2</v>
      </c>
      <c r="AV148" s="34">
        <v>0.12037037037037036</v>
      </c>
      <c r="AW148" s="10"/>
      <c r="AX148" s="8"/>
    </row>
    <row r="149" spans="1:50">
      <c r="A149" s="7"/>
      <c r="B149" s="10"/>
      <c r="C149" s="45" t="s">
        <v>127</v>
      </c>
      <c r="D149" s="23" t="s">
        <v>11</v>
      </c>
      <c r="E149" s="46" t="s">
        <v>197</v>
      </c>
      <c r="F149" s="46" t="s">
        <v>197</v>
      </c>
      <c r="G149" s="46" t="s">
        <v>197</v>
      </c>
      <c r="H149" s="46" t="s">
        <v>197</v>
      </c>
      <c r="I149" s="25">
        <v>0.9</v>
      </c>
      <c r="J149" s="26">
        <v>0.96511627906976749</v>
      </c>
      <c r="K149" s="26">
        <v>0.98837209302325579</v>
      </c>
      <c r="L149" s="27">
        <v>0.97530864197530864</v>
      </c>
      <c r="M149" s="26">
        <v>0.97990726429675423</v>
      </c>
      <c r="N149" s="28">
        <v>0.9</v>
      </c>
      <c r="O149" s="26">
        <v>0.93964981994287844</v>
      </c>
      <c r="P149" s="26">
        <v>0.94810533076429027</v>
      </c>
      <c r="Q149" s="26">
        <v>0.90650075590184909</v>
      </c>
      <c r="R149" s="26">
        <v>0.91179087007413184</v>
      </c>
      <c r="S149" s="28">
        <v>0.9</v>
      </c>
      <c r="T149" s="26">
        <v>0.90587358748292557</v>
      </c>
      <c r="U149" s="26">
        <v>0.90789980732177267</v>
      </c>
      <c r="V149" s="26">
        <v>0.87591580416327475</v>
      </c>
      <c r="W149" s="26">
        <v>0.88710105345298473</v>
      </c>
      <c r="X149" s="28">
        <v>0.92</v>
      </c>
      <c r="Y149" s="28">
        <v>0.90096347748151473</v>
      </c>
      <c r="Z149" s="28">
        <v>0.91849148418491489</v>
      </c>
      <c r="AA149" s="28">
        <v>0.9309500489715965</v>
      </c>
      <c r="AB149" s="28">
        <v>0.90995260663507105</v>
      </c>
      <c r="AC149" s="28">
        <v>0.92</v>
      </c>
      <c r="AD149" s="26">
        <v>0.99547002405573437</v>
      </c>
      <c r="AE149" s="26">
        <v>0.98559392392607859</v>
      </c>
      <c r="AF149" s="26">
        <v>0.98757753967614592</v>
      </c>
      <c r="AG149" s="26">
        <v>0.9901245703510686</v>
      </c>
      <c r="AH149" s="28">
        <v>0.92</v>
      </c>
      <c r="AI149" s="26">
        <v>0.94177781327370014</v>
      </c>
      <c r="AJ149" s="26">
        <v>0.96015802303101627</v>
      </c>
      <c r="AK149" s="26">
        <v>0.96105943559829732</v>
      </c>
      <c r="AL149" s="26">
        <v>0.949107893696998</v>
      </c>
      <c r="AM149" s="25">
        <v>0.99</v>
      </c>
      <c r="AN149" s="30">
        <v>1</v>
      </c>
      <c r="AO149" s="30">
        <v>1</v>
      </c>
      <c r="AP149" s="30">
        <v>1</v>
      </c>
      <c r="AQ149" s="30">
        <v>1</v>
      </c>
      <c r="AR149" s="32">
        <v>0.10526149898194399</v>
      </c>
      <c r="AS149" s="34">
        <v>0</v>
      </c>
      <c r="AT149" s="34">
        <v>0</v>
      </c>
      <c r="AU149" s="34">
        <v>0.27777777777777779</v>
      </c>
      <c r="AV149" s="34">
        <v>8.3832335329341312E-2</v>
      </c>
      <c r="AW149" s="10"/>
      <c r="AX149" s="8"/>
    </row>
    <row r="150" spans="1:50">
      <c r="A150" s="7"/>
      <c r="B150" s="10"/>
      <c r="C150" s="45" t="s">
        <v>127</v>
      </c>
      <c r="D150" s="23" t="s">
        <v>11</v>
      </c>
      <c r="E150" s="46" t="s">
        <v>198</v>
      </c>
      <c r="F150" s="46" t="s">
        <v>198</v>
      </c>
      <c r="G150" s="46" t="s">
        <v>198</v>
      </c>
      <c r="H150" s="46" t="s">
        <v>198</v>
      </c>
      <c r="I150" s="25">
        <v>0.9</v>
      </c>
      <c r="J150" s="26">
        <v>0.13636363636363635</v>
      </c>
      <c r="K150" s="26">
        <v>1</v>
      </c>
      <c r="L150" s="27">
        <v>0.8571428571428571</v>
      </c>
      <c r="M150" s="26">
        <v>0.58083832335329344</v>
      </c>
      <c r="N150" s="28">
        <v>0.9</v>
      </c>
      <c r="O150" s="26">
        <v>0.9144634525660964</v>
      </c>
      <c r="P150" s="26">
        <v>0.90126984126984122</v>
      </c>
      <c r="Q150" s="26">
        <v>0.89229843561973521</v>
      </c>
      <c r="R150" s="26">
        <v>0.79452449567723338</v>
      </c>
      <c r="S150" s="28">
        <v>0.9</v>
      </c>
      <c r="T150" s="26">
        <v>0.83825816485225502</v>
      </c>
      <c r="U150" s="26">
        <v>0.84190476190476193</v>
      </c>
      <c r="V150" s="26">
        <v>0.76564380264741272</v>
      </c>
      <c r="W150" s="26">
        <v>0.77254013997529847</v>
      </c>
      <c r="X150" s="28">
        <v>0.92</v>
      </c>
      <c r="Y150" s="28">
        <v>0.92391304347826086</v>
      </c>
      <c r="Z150" s="28">
        <v>0.9387626262626263</v>
      </c>
      <c r="AA150" s="28">
        <v>0.93155663234403396</v>
      </c>
      <c r="AB150" s="28">
        <v>0.93524177949709864</v>
      </c>
      <c r="AC150" s="28">
        <v>0.92</v>
      </c>
      <c r="AD150" s="26">
        <v>0.98760056092700566</v>
      </c>
      <c r="AE150" s="26">
        <v>0.98279382720182107</v>
      </c>
      <c r="AF150" s="26">
        <v>0.99079266444377079</v>
      </c>
      <c r="AG150" s="26">
        <v>0.98200429761180574</v>
      </c>
      <c r="AH150" s="28">
        <v>0.92</v>
      </c>
      <c r="AI150" s="26">
        <v>0.93789556962025311</v>
      </c>
      <c r="AJ150" s="26">
        <v>0.96007604562737647</v>
      </c>
      <c r="AK150" s="26">
        <v>0.95658291457286437</v>
      </c>
      <c r="AL150" s="26">
        <v>0.95102227237312265</v>
      </c>
      <c r="AM150" s="25">
        <v>0.99</v>
      </c>
      <c r="AN150" s="30">
        <v>1</v>
      </c>
      <c r="AO150" s="30">
        <v>1</v>
      </c>
      <c r="AP150" s="30">
        <v>1</v>
      </c>
      <c r="AQ150" s="30">
        <v>1</v>
      </c>
      <c r="AR150" s="32">
        <v>0.10526149898194399</v>
      </c>
      <c r="AS150" s="34">
        <v>0.2</v>
      </c>
      <c r="AT150" s="34">
        <v>0</v>
      </c>
      <c r="AU150" s="34">
        <v>0.125</v>
      </c>
      <c r="AV150" s="34">
        <v>0.10256410256410256</v>
      </c>
      <c r="AW150" s="10"/>
      <c r="AX150" s="8"/>
    </row>
    <row r="151" spans="1:50">
      <c r="A151" s="7"/>
      <c r="B151" s="10"/>
      <c r="C151" s="45" t="s">
        <v>127</v>
      </c>
      <c r="D151" s="23" t="s">
        <v>11</v>
      </c>
      <c r="E151" s="46" t="s">
        <v>199</v>
      </c>
      <c r="F151" s="46" t="s">
        <v>199</v>
      </c>
      <c r="G151" s="46" t="s">
        <v>199</v>
      </c>
      <c r="H151" s="46" t="s">
        <v>199</v>
      </c>
      <c r="I151" s="25">
        <v>0.9</v>
      </c>
      <c r="J151" s="26">
        <v>1</v>
      </c>
      <c r="K151" s="26">
        <v>1</v>
      </c>
      <c r="L151" s="27">
        <v>0.98571428571428577</v>
      </c>
      <c r="M151" s="26">
        <v>0.99809523809523815</v>
      </c>
      <c r="N151" s="28">
        <v>0.9</v>
      </c>
      <c r="O151" s="26">
        <v>0.96683011248918371</v>
      </c>
      <c r="P151" s="26">
        <v>0.97203923290879812</v>
      </c>
      <c r="Q151" s="26">
        <v>0.97635047815973119</v>
      </c>
      <c r="R151" s="26">
        <v>0.9737526175175103</v>
      </c>
      <c r="S151" s="28">
        <v>0.9</v>
      </c>
      <c r="T151" s="26">
        <v>0.94750504759157772</v>
      </c>
      <c r="U151" s="26">
        <v>0.92373005416483678</v>
      </c>
      <c r="V151" s="26">
        <v>0.94468855001292329</v>
      </c>
      <c r="W151" s="26">
        <v>0.9338219366019207</v>
      </c>
      <c r="X151" s="28">
        <v>0.92</v>
      </c>
      <c r="Y151" s="28">
        <v>0.91317873303167418</v>
      </c>
      <c r="Z151" s="28">
        <v>0.94219154443485764</v>
      </c>
      <c r="AA151" s="28">
        <v>0.92803899082568808</v>
      </c>
      <c r="AB151" s="28">
        <v>0.92432525951557098</v>
      </c>
      <c r="AC151" s="28">
        <v>0.92</v>
      </c>
      <c r="AD151" s="26">
        <v>0.99785538327778578</v>
      </c>
      <c r="AE151" s="26">
        <v>0.97428034936002339</v>
      </c>
      <c r="AF151" s="26">
        <v>0.99318798763935601</v>
      </c>
      <c r="AG151" s="26">
        <v>0.98994977010736829</v>
      </c>
      <c r="AH151" s="28">
        <v>0.92</v>
      </c>
      <c r="AI151" s="26">
        <v>0.95799522673031023</v>
      </c>
      <c r="AJ151" s="26">
        <v>0.96905616451644194</v>
      </c>
      <c r="AK151" s="26">
        <v>0.96756949394155378</v>
      </c>
      <c r="AL151" s="26">
        <v>0.96089617382641079</v>
      </c>
      <c r="AM151" s="25">
        <v>0.99</v>
      </c>
      <c r="AN151" s="30">
        <v>1</v>
      </c>
      <c r="AO151" s="30">
        <v>1</v>
      </c>
      <c r="AP151" s="30">
        <v>1</v>
      </c>
      <c r="AQ151" s="30">
        <v>1</v>
      </c>
      <c r="AR151" s="32">
        <v>0.10526149898194399</v>
      </c>
      <c r="AS151" s="34">
        <v>4.7619047619047616E-2</v>
      </c>
      <c r="AT151" s="34">
        <v>3.3333333333333333E-2</v>
      </c>
      <c r="AU151" s="34">
        <v>3.8461538461538464E-2</v>
      </c>
      <c r="AV151" s="34">
        <v>5.3639846743295021E-2</v>
      </c>
      <c r="AW151" s="10"/>
      <c r="AX151" s="8"/>
    </row>
    <row r="152" spans="1:50">
      <c r="A152" s="7"/>
      <c r="B152" s="10"/>
      <c r="C152" s="45" t="s">
        <v>127</v>
      </c>
      <c r="D152" s="23" t="s">
        <v>11</v>
      </c>
      <c r="E152" s="46" t="s">
        <v>200</v>
      </c>
      <c r="F152" s="46" t="s">
        <v>200</v>
      </c>
      <c r="G152" s="46" t="s">
        <v>200</v>
      </c>
      <c r="H152" s="46" t="s">
        <v>200</v>
      </c>
      <c r="I152" s="25">
        <v>0.9</v>
      </c>
      <c r="J152" s="26">
        <v>0</v>
      </c>
      <c r="K152" s="26">
        <v>0</v>
      </c>
      <c r="L152" s="27">
        <v>0</v>
      </c>
      <c r="M152" s="26">
        <v>0</v>
      </c>
      <c r="N152" s="28">
        <v>0.9</v>
      </c>
      <c r="O152" s="26">
        <v>0</v>
      </c>
      <c r="P152" s="26">
        <v>0</v>
      </c>
      <c r="Q152" s="26">
        <v>0</v>
      </c>
      <c r="R152" s="26">
        <v>0</v>
      </c>
      <c r="S152" s="28">
        <v>0.9</v>
      </c>
      <c r="T152" s="26">
        <v>0</v>
      </c>
      <c r="U152" s="26">
        <v>0</v>
      </c>
      <c r="V152" s="26">
        <v>0</v>
      </c>
      <c r="W152" s="26">
        <v>0</v>
      </c>
      <c r="X152" s="28">
        <v>0.92</v>
      </c>
      <c r="Y152" s="28">
        <v>0</v>
      </c>
      <c r="Z152" s="28">
        <v>0</v>
      </c>
      <c r="AA152" s="28">
        <v>0</v>
      </c>
      <c r="AB152" s="28">
        <v>0</v>
      </c>
      <c r="AC152" s="28">
        <v>0.92</v>
      </c>
      <c r="AD152" s="26">
        <v>0</v>
      </c>
      <c r="AE152" s="26">
        <v>0</v>
      </c>
      <c r="AF152" s="26">
        <v>0</v>
      </c>
      <c r="AG152" s="26">
        <v>0</v>
      </c>
      <c r="AH152" s="28">
        <v>0.92</v>
      </c>
      <c r="AI152" s="26">
        <v>0</v>
      </c>
      <c r="AJ152" s="26">
        <v>0</v>
      </c>
      <c r="AK152" s="26">
        <v>0</v>
      </c>
      <c r="AL152" s="26">
        <v>0</v>
      </c>
      <c r="AM152" s="25">
        <v>0.99</v>
      </c>
      <c r="AN152" s="30">
        <v>0</v>
      </c>
      <c r="AO152" s="30">
        <v>0</v>
      </c>
      <c r="AP152" s="30">
        <v>0</v>
      </c>
      <c r="AQ152" s="30">
        <v>0</v>
      </c>
      <c r="AR152" s="32">
        <v>0.10526149898194399</v>
      </c>
      <c r="AS152" s="34">
        <v>0</v>
      </c>
      <c r="AT152" s="34">
        <v>0</v>
      </c>
      <c r="AU152" s="34">
        <v>0</v>
      </c>
      <c r="AV152" s="34">
        <v>0</v>
      </c>
      <c r="AW152" s="10"/>
      <c r="AX152" s="8"/>
    </row>
    <row r="153" spans="1:50">
      <c r="A153" s="7"/>
      <c r="B153" s="10"/>
      <c r="C153" s="45" t="s">
        <v>127</v>
      </c>
      <c r="D153" s="23" t="s">
        <v>11</v>
      </c>
      <c r="E153" s="46" t="s">
        <v>201</v>
      </c>
      <c r="F153" s="46" t="s">
        <v>201</v>
      </c>
      <c r="G153" s="46" t="s">
        <v>201</v>
      </c>
      <c r="H153" s="46" t="s">
        <v>201</v>
      </c>
      <c r="I153" s="25">
        <v>0.9</v>
      </c>
      <c r="J153" s="26">
        <v>0.97499999999999998</v>
      </c>
      <c r="K153" s="26">
        <v>0.96385542168674698</v>
      </c>
      <c r="L153" s="27">
        <v>0.97777777777777775</v>
      </c>
      <c r="M153" s="26">
        <v>0.95386904761904767</v>
      </c>
      <c r="N153" s="28">
        <v>0.9</v>
      </c>
      <c r="O153" s="26">
        <v>0.94231140266255065</v>
      </c>
      <c r="P153" s="26">
        <v>0.95439355219186162</v>
      </c>
      <c r="Q153" s="26">
        <v>0.94972577696526506</v>
      </c>
      <c r="R153" s="26">
        <v>0.9427538415185297</v>
      </c>
      <c r="S153" s="28">
        <v>0.9</v>
      </c>
      <c r="T153" s="26">
        <v>0.93169978776770213</v>
      </c>
      <c r="U153" s="26">
        <v>0.94338509927265579</v>
      </c>
      <c r="V153" s="26">
        <v>0.94405850091407684</v>
      </c>
      <c r="W153" s="26">
        <v>0.93399116199658527</v>
      </c>
      <c r="X153" s="28">
        <v>0.92</v>
      </c>
      <c r="Y153" s="28">
        <v>0.94589178356713421</v>
      </c>
      <c r="Z153" s="28">
        <v>0.96835443037974689</v>
      </c>
      <c r="AA153" s="28">
        <v>0.97332542975696501</v>
      </c>
      <c r="AB153" s="28">
        <v>0.96555115749070408</v>
      </c>
      <c r="AC153" s="28">
        <v>0.92</v>
      </c>
      <c r="AD153" s="26">
        <v>0.99230149268767731</v>
      </c>
      <c r="AE153" s="26">
        <v>0.98743747510070379</v>
      </c>
      <c r="AF153" s="26">
        <v>0.98914022857684825</v>
      </c>
      <c r="AG153" s="26">
        <v>0.98863518766117919</v>
      </c>
      <c r="AH153" s="28">
        <v>0.92</v>
      </c>
      <c r="AI153" s="26">
        <v>0.96771956370972823</v>
      </c>
      <c r="AJ153" s="26">
        <v>0.98175374113940672</v>
      </c>
      <c r="AK153" s="26">
        <v>0.98600524803198797</v>
      </c>
      <c r="AL153" s="26">
        <v>0.97953534354918437</v>
      </c>
      <c r="AM153" s="25">
        <v>0.99</v>
      </c>
      <c r="AN153" s="30">
        <v>1</v>
      </c>
      <c r="AO153" s="30">
        <v>1</v>
      </c>
      <c r="AP153" s="30">
        <v>1</v>
      </c>
      <c r="AQ153" s="30">
        <v>1</v>
      </c>
      <c r="AR153" s="32">
        <v>0.10526149898194399</v>
      </c>
      <c r="AS153" s="34">
        <v>0.1111111111111111</v>
      </c>
      <c r="AT153" s="34">
        <v>0</v>
      </c>
      <c r="AU153" s="34">
        <v>0</v>
      </c>
      <c r="AV153" s="34">
        <v>4.9450549450549448E-2</v>
      </c>
      <c r="AW153" s="10"/>
      <c r="AX153" s="8"/>
    </row>
    <row r="154" spans="1:50">
      <c r="A154" s="7"/>
      <c r="B154" s="10"/>
      <c r="C154" s="45" t="s">
        <v>127</v>
      </c>
      <c r="D154" s="23" t="s">
        <v>11</v>
      </c>
      <c r="E154" s="46" t="s">
        <v>202</v>
      </c>
      <c r="F154" s="46" t="s">
        <v>202</v>
      </c>
      <c r="G154" s="46" t="s">
        <v>202</v>
      </c>
      <c r="H154" s="46" t="s">
        <v>202</v>
      </c>
      <c r="I154" s="25">
        <v>0.9</v>
      </c>
      <c r="J154" s="26">
        <v>0.97457627118644063</v>
      </c>
      <c r="K154" s="26">
        <v>0.98360655737704916</v>
      </c>
      <c r="L154" s="27">
        <v>0.97520661157024791</v>
      </c>
      <c r="M154" s="26">
        <v>0.97113402061855669</v>
      </c>
      <c r="N154" s="28">
        <v>0.9</v>
      </c>
      <c r="O154" s="26">
        <v>0.92329661362709103</v>
      </c>
      <c r="P154" s="26">
        <v>0.90389225779156679</v>
      </c>
      <c r="Q154" s="26">
        <v>0.89126237777916173</v>
      </c>
      <c r="R154" s="26">
        <v>0.91070761153943103</v>
      </c>
      <c r="S154" s="28">
        <v>0.9</v>
      </c>
      <c r="T154" s="26">
        <v>0.94145246838025298</v>
      </c>
      <c r="U154" s="26">
        <v>0.95296855168523475</v>
      </c>
      <c r="V154" s="26">
        <v>0.94488385127981567</v>
      </c>
      <c r="W154" s="26">
        <v>0.94037323227494374</v>
      </c>
      <c r="X154" s="28">
        <v>0.92</v>
      </c>
      <c r="Y154" s="28">
        <v>0.93947100712105802</v>
      </c>
      <c r="Z154" s="28">
        <v>0.95437535981577437</v>
      </c>
      <c r="AA154" s="28">
        <v>0.9603340292275574</v>
      </c>
      <c r="AB154" s="28">
        <v>0.95097277578869144</v>
      </c>
      <c r="AC154" s="28">
        <v>0.92</v>
      </c>
      <c r="AD154" s="26">
        <v>0.95604915718674743</v>
      </c>
      <c r="AE154" s="26">
        <v>0.89036009925934345</v>
      </c>
      <c r="AF154" s="26">
        <v>0.88819707340355136</v>
      </c>
      <c r="AG154" s="26">
        <v>0.94431366338425693</v>
      </c>
      <c r="AH154" s="28">
        <v>0.92</v>
      </c>
      <c r="AI154" s="26">
        <v>0.96540727288833772</v>
      </c>
      <c r="AJ154" s="26">
        <v>0.97733295476055271</v>
      </c>
      <c r="AK154" s="26">
        <v>0.98188390206119025</v>
      </c>
      <c r="AL154" s="26">
        <v>0.97389378499954093</v>
      </c>
      <c r="AM154" s="25">
        <v>0.99</v>
      </c>
      <c r="AN154" s="30">
        <v>1</v>
      </c>
      <c r="AO154" s="30">
        <v>1</v>
      </c>
      <c r="AP154" s="30">
        <v>1</v>
      </c>
      <c r="AQ154" s="30">
        <v>1</v>
      </c>
      <c r="AR154" s="32">
        <v>0.10526149898194399</v>
      </c>
      <c r="AS154" s="34">
        <v>3.4090909090909088E-2</v>
      </c>
      <c r="AT154" s="34">
        <v>0</v>
      </c>
      <c r="AU154" s="34">
        <v>1.0416666666666666E-2</v>
      </c>
      <c r="AV154" s="34">
        <v>2.0408163265306121E-2</v>
      </c>
      <c r="AW154" s="10"/>
      <c r="AX154" s="8"/>
    </row>
    <row r="155" spans="1:50">
      <c r="A155" s="7"/>
      <c r="B155" s="10"/>
      <c r="C155" s="45" t="s">
        <v>127</v>
      </c>
      <c r="D155" s="23" t="s">
        <v>11</v>
      </c>
      <c r="E155" s="46" t="s">
        <v>203</v>
      </c>
      <c r="F155" s="46" t="s">
        <v>203</v>
      </c>
      <c r="G155" s="46" t="s">
        <v>203</v>
      </c>
      <c r="H155" s="46" t="s">
        <v>203</v>
      </c>
      <c r="I155" s="25">
        <v>0.9</v>
      </c>
      <c r="J155" s="26">
        <v>0.94117647058823528</v>
      </c>
      <c r="K155" s="26">
        <v>0.95833333333333337</v>
      </c>
      <c r="L155" s="27">
        <v>0.95588235294117652</v>
      </c>
      <c r="M155" s="26">
        <v>0.95497185741088175</v>
      </c>
      <c r="N155" s="28">
        <v>0.9</v>
      </c>
      <c r="O155" s="26">
        <v>0.88856868395773292</v>
      </c>
      <c r="P155" s="26">
        <v>0.91878703380968973</v>
      </c>
      <c r="Q155" s="26">
        <v>0.84732947232947231</v>
      </c>
      <c r="R155" s="26">
        <v>0.87177749062639021</v>
      </c>
      <c r="S155" s="28">
        <v>0.9</v>
      </c>
      <c r="T155" s="26">
        <v>0.84117835414665387</v>
      </c>
      <c r="U155" s="26">
        <v>0.89944231439525968</v>
      </c>
      <c r="V155" s="26">
        <v>0.83301158301158296</v>
      </c>
      <c r="W155" s="26">
        <v>0.84752261317177535</v>
      </c>
      <c r="X155" s="28">
        <v>0.92</v>
      </c>
      <c r="Y155" s="28">
        <v>0.95038676980528136</v>
      </c>
      <c r="Z155" s="28">
        <v>0.95595776772247365</v>
      </c>
      <c r="AA155" s="28">
        <v>0.95715645826721674</v>
      </c>
      <c r="AB155" s="28">
        <v>0.93238158477202304</v>
      </c>
      <c r="AC155" s="28">
        <v>0.92</v>
      </c>
      <c r="AD155" s="26">
        <v>0.98235086480762446</v>
      </c>
      <c r="AE155" s="26">
        <v>0.98396946564885501</v>
      </c>
      <c r="AF155" s="26">
        <v>0.99363732767762458</v>
      </c>
      <c r="AG155" s="26">
        <v>0.99013825319681026</v>
      </c>
      <c r="AH155" s="28">
        <v>0.92</v>
      </c>
      <c r="AI155" s="26">
        <v>0.94848969793958793</v>
      </c>
      <c r="AJ155" s="26">
        <v>0.96940578749723882</v>
      </c>
      <c r="AK155" s="26">
        <v>0.97683603757472248</v>
      </c>
      <c r="AL155" s="26">
        <v>0.95574899765896182</v>
      </c>
      <c r="AM155" s="25">
        <v>0.99</v>
      </c>
      <c r="AN155" s="30">
        <v>1</v>
      </c>
      <c r="AO155" s="30">
        <v>1</v>
      </c>
      <c r="AP155" s="30">
        <v>1</v>
      </c>
      <c r="AQ155" s="30">
        <v>1</v>
      </c>
      <c r="AR155" s="32">
        <v>0.10526149898194399</v>
      </c>
      <c r="AS155" s="34">
        <v>8.6956521739130432E-2</v>
      </c>
      <c r="AT155" s="34">
        <v>9.0909090909090912E-2</v>
      </c>
      <c r="AU155" s="34">
        <v>6.25E-2</v>
      </c>
      <c r="AV155" s="34">
        <v>6.7567567567567571E-2</v>
      </c>
      <c r="AW155" s="10"/>
      <c r="AX155" s="8"/>
    </row>
    <row r="156" spans="1:50">
      <c r="A156" s="7"/>
      <c r="B156" s="10"/>
      <c r="C156" s="45" t="s">
        <v>127</v>
      </c>
      <c r="D156" s="23" t="s">
        <v>11</v>
      </c>
      <c r="E156" s="46" t="s">
        <v>204</v>
      </c>
      <c r="F156" s="46" t="s">
        <v>204</v>
      </c>
      <c r="G156" s="46" t="s">
        <v>204</v>
      </c>
      <c r="H156" s="46" t="s">
        <v>204</v>
      </c>
      <c r="I156" s="25">
        <v>0.9</v>
      </c>
      <c r="J156" s="26">
        <v>0.98305084745762716</v>
      </c>
      <c r="K156" s="26">
        <v>1</v>
      </c>
      <c r="L156" s="27">
        <v>0.98305084745762716</v>
      </c>
      <c r="M156" s="26">
        <v>0.97136563876651982</v>
      </c>
      <c r="N156" s="28">
        <v>0.9</v>
      </c>
      <c r="O156" s="26">
        <v>0.93415118167057554</v>
      </c>
      <c r="P156" s="26">
        <v>0.95037220843672454</v>
      </c>
      <c r="Q156" s="26">
        <v>0.94638157894736841</v>
      </c>
      <c r="R156" s="26">
        <v>0.94236968487533168</v>
      </c>
      <c r="S156" s="28">
        <v>0.9</v>
      </c>
      <c r="T156" s="26">
        <v>0.93884178242828797</v>
      </c>
      <c r="U156" s="26">
        <v>0.93069833392414036</v>
      </c>
      <c r="V156" s="26">
        <v>0.93223684210526314</v>
      </c>
      <c r="W156" s="26">
        <v>0.93664612618144338</v>
      </c>
      <c r="X156" s="28">
        <v>0.92</v>
      </c>
      <c r="Y156" s="28">
        <v>0.95660694288913772</v>
      </c>
      <c r="Z156" s="28">
        <v>0.96616177892362232</v>
      </c>
      <c r="AA156" s="28">
        <v>0.97359948486799741</v>
      </c>
      <c r="AB156" s="28">
        <v>0.96764443755570195</v>
      </c>
      <c r="AC156" s="28">
        <v>0.92</v>
      </c>
      <c r="AD156" s="26">
        <v>0.99516386515165745</v>
      </c>
      <c r="AE156" s="26">
        <v>0.99189556439871884</v>
      </c>
      <c r="AF156" s="26">
        <v>0.99065775122113153</v>
      </c>
      <c r="AG156" s="26">
        <v>0.98644798387903943</v>
      </c>
      <c r="AH156" s="28">
        <v>0.92</v>
      </c>
      <c r="AI156" s="26">
        <v>0.96918521767737686</v>
      </c>
      <c r="AJ156" s="26">
        <v>0.97781843128287216</v>
      </c>
      <c r="AK156" s="26">
        <v>0.98367258082072495</v>
      </c>
      <c r="AL156" s="26">
        <v>0.97944639681895185</v>
      </c>
      <c r="AM156" s="25">
        <v>0.99</v>
      </c>
      <c r="AN156" s="30">
        <v>1</v>
      </c>
      <c r="AO156" s="30">
        <v>1</v>
      </c>
      <c r="AP156" s="30">
        <v>1</v>
      </c>
      <c r="AQ156" s="30">
        <v>1</v>
      </c>
      <c r="AR156" s="32">
        <v>0.10526149898194399</v>
      </c>
      <c r="AS156" s="34">
        <v>0.16666666666666666</v>
      </c>
      <c r="AT156" s="34">
        <v>4.1666666666666664E-2</v>
      </c>
      <c r="AU156" s="34">
        <v>0.11764705882352941</v>
      </c>
      <c r="AV156" s="34">
        <v>8.9041095890410954E-2</v>
      </c>
      <c r="AW156" s="10"/>
      <c r="AX156" s="8"/>
    </row>
    <row r="157" spans="1:50">
      <c r="A157" s="7"/>
      <c r="B157" s="10"/>
      <c r="C157" s="45" t="s">
        <v>127</v>
      </c>
      <c r="D157" s="23" t="s">
        <v>11</v>
      </c>
      <c r="E157" s="46" t="s">
        <v>205</v>
      </c>
      <c r="F157" s="46" t="s">
        <v>205</v>
      </c>
      <c r="G157" s="46" t="s">
        <v>205</v>
      </c>
      <c r="H157" s="46" t="s">
        <v>205</v>
      </c>
      <c r="I157" s="25">
        <v>0.9</v>
      </c>
      <c r="J157" s="26">
        <v>0.97272727272727277</v>
      </c>
      <c r="K157" s="26">
        <v>0.98230088495575218</v>
      </c>
      <c r="L157" s="27">
        <v>0.99115044247787609</v>
      </c>
      <c r="M157" s="26">
        <v>0.96713615023474175</v>
      </c>
      <c r="N157" s="28">
        <v>0.9</v>
      </c>
      <c r="O157" s="26">
        <v>0.96188843465646845</v>
      </c>
      <c r="P157" s="26">
        <v>0.93811951288586803</v>
      </c>
      <c r="Q157" s="26">
        <v>0.97255762897914377</v>
      </c>
      <c r="R157" s="26">
        <v>0.96091872513099319</v>
      </c>
      <c r="S157" s="28">
        <v>0.9</v>
      </c>
      <c r="T157" s="26">
        <v>0.88592905182645387</v>
      </c>
      <c r="U157" s="26">
        <v>0.875672613990371</v>
      </c>
      <c r="V157" s="26">
        <v>0.91314489571899016</v>
      </c>
      <c r="W157" s="26">
        <v>0.89479178978056184</v>
      </c>
      <c r="X157" s="28">
        <v>0.92</v>
      </c>
      <c r="Y157" s="28">
        <v>0.93948231862923803</v>
      </c>
      <c r="Z157" s="28">
        <v>0.95086090152834202</v>
      </c>
      <c r="AA157" s="28">
        <v>0.95215032932971722</v>
      </c>
      <c r="AB157" s="28">
        <v>0.94844655081621909</v>
      </c>
      <c r="AC157" s="28">
        <v>0.92</v>
      </c>
      <c r="AD157" s="26">
        <v>0.97222222222222221</v>
      </c>
      <c r="AE157" s="26">
        <v>0.97171145685997173</v>
      </c>
      <c r="AF157" s="26">
        <v>0.97428958051420844</v>
      </c>
      <c r="AG157" s="26">
        <v>0.97655890914662169</v>
      </c>
      <c r="AH157" s="28">
        <v>0.92</v>
      </c>
      <c r="AI157" s="26">
        <v>0.95824411134903642</v>
      </c>
      <c r="AJ157" s="26">
        <v>0.968364260606556</v>
      </c>
      <c r="AK157" s="26">
        <v>0.97462051240864189</v>
      </c>
      <c r="AL157" s="26">
        <v>0.96831834876856171</v>
      </c>
      <c r="AM157" s="25">
        <v>0.99</v>
      </c>
      <c r="AN157" s="30">
        <v>1</v>
      </c>
      <c r="AO157" s="30">
        <v>1</v>
      </c>
      <c r="AP157" s="30">
        <v>1</v>
      </c>
      <c r="AQ157" s="30">
        <v>1</v>
      </c>
      <c r="AR157" s="32">
        <v>0.10526149898194399</v>
      </c>
      <c r="AS157" s="34">
        <v>0.16666666666666666</v>
      </c>
      <c r="AT157" s="34">
        <v>0</v>
      </c>
      <c r="AU157" s="34">
        <v>0.1</v>
      </c>
      <c r="AV157" s="34">
        <v>0.14166666666666666</v>
      </c>
      <c r="AW157" s="10"/>
      <c r="AX157" s="8"/>
    </row>
    <row r="158" spans="1:50">
      <c r="A158" s="7"/>
      <c r="B158" s="10"/>
      <c r="C158" s="45" t="s">
        <v>127</v>
      </c>
      <c r="D158" s="23" t="s">
        <v>11</v>
      </c>
      <c r="E158" s="46" t="s">
        <v>206</v>
      </c>
      <c r="F158" s="46" t="s">
        <v>206</v>
      </c>
      <c r="G158" s="46" t="s">
        <v>206</v>
      </c>
      <c r="H158" s="46" t="s">
        <v>206</v>
      </c>
      <c r="I158" s="25">
        <v>0.9</v>
      </c>
      <c r="J158" s="26">
        <v>0.98837209302325579</v>
      </c>
      <c r="K158" s="26">
        <v>1</v>
      </c>
      <c r="L158" s="27">
        <v>0.97872340425531912</v>
      </c>
      <c r="M158" s="26">
        <v>0.9757489300998573</v>
      </c>
      <c r="N158" s="28">
        <v>0.9</v>
      </c>
      <c r="O158" s="26">
        <v>0.97124600638977632</v>
      </c>
      <c r="P158" s="26">
        <v>0.96914973664409332</v>
      </c>
      <c r="Q158" s="26">
        <v>0.95279882994282672</v>
      </c>
      <c r="R158" s="26">
        <v>0.9337504318120754</v>
      </c>
      <c r="S158" s="28">
        <v>0.9</v>
      </c>
      <c r="T158" s="26">
        <v>0.93418530351437701</v>
      </c>
      <c r="U158" s="26">
        <v>0.94477050413844998</v>
      </c>
      <c r="V158" s="26">
        <v>0.95838319372423875</v>
      </c>
      <c r="W158" s="26">
        <v>0.94785629294131191</v>
      </c>
      <c r="X158" s="28">
        <v>0.92</v>
      </c>
      <c r="Y158" s="28">
        <v>0.95961079493299062</v>
      </c>
      <c r="Z158" s="28">
        <v>0.96389144434222629</v>
      </c>
      <c r="AA158" s="28">
        <v>0.97472848788638267</v>
      </c>
      <c r="AB158" s="28">
        <v>0.96335688017567533</v>
      </c>
      <c r="AC158" s="28">
        <v>0.92</v>
      </c>
      <c r="AD158" s="26">
        <v>0.99508716323296353</v>
      </c>
      <c r="AE158" s="26">
        <v>0.99326505621729932</v>
      </c>
      <c r="AF158" s="26">
        <v>0.70642095503013447</v>
      </c>
      <c r="AG158" s="26">
        <v>0.83767419750306482</v>
      </c>
      <c r="AH158" s="28">
        <v>0.92</v>
      </c>
      <c r="AI158" s="26">
        <v>0.97174080081960212</v>
      </c>
      <c r="AJ158" s="26">
        <v>0.97698954070031829</v>
      </c>
      <c r="AK158" s="26">
        <v>0.98480909829406982</v>
      </c>
      <c r="AL158" s="26">
        <v>0.9771787001201121</v>
      </c>
      <c r="AM158" s="25">
        <v>0.99</v>
      </c>
      <c r="AN158" s="30">
        <v>1</v>
      </c>
      <c r="AO158" s="30">
        <v>1</v>
      </c>
      <c r="AP158" s="30">
        <v>1</v>
      </c>
      <c r="AQ158" s="30">
        <v>1</v>
      </c>
      <c r="AR158" s="32">
        <v>0.10526149898194399</v>
      </c>
      <c r="AS158" s="34">
        <v>9.5238095238095233E-2</v>
      </c>
      <c r="AT158" s="34">
        <v>5.8823529411764705E-2</v>
      </c>
      <c r="AU158" s="34">
        <v>7.6923076923076927E-2</v>
      </c>
      <c r="AV158" s="34">
        <v>3.825136612021858E-2</v>
      </c>
      <c r="AW158" s="10"/>
      <c r="AX158" s="8"/>
    </row>
    <row r="159" spans="1:50">
      <c r="A159" s="7"/>
      <c r="B159" s="10"/>
      <c r="C159" s="45" t="s">
        <v>127</v>
      </c>
      <c r="D159" s="23" t="s">
        <v>11</v>
      </c>
      <c r="E159" s="46" t="s">
        <v>207</v>
      </c>
      <c r="F159" s="46" t="s">
        <v>207</v>
      </c>
      <c r="G159" s="46" t="s">
        <v>207</v>
      </c>
      <c r="H159" s="46" t="s">
        <v>207</v>
      </c>
      <c r="I159" s="25">
        <v>0.9</v>
      </c>
      <c r="J159" s="26">
        <v>0.98571428571428577</v>
      </c>
      <c r="K159" s="26">
        <v>0.97142857142857142</v>
      </c>
      <c r="L159" s="27">
        <v>0.97222222222222221</v>
      </c>
      <c r="M159" s="26">
        <v>0.96564195298372513</v>
      </c>
      <c r="N159" s="28">
        <v>0.9</v>
      </c>
      <c r="O159" s="26">
        <v>0</v>
      </c>
      <c r="P159" s="26">
        <v>1</v>
      </c>
      <c r="Q159" s="26">
        <v>0</v>
      </c>
      <c r="R159" s="26">
        <v>0.15</v>
      </c>
      <c r="S159" s="28">
        <v>0.9</v>
      </c>
      <c r="T159" s="26">
        <v>0</v>
      </c>
      <c r="U159" s="26">
        <v>0</v>
      </c>
      <c r="V159" s="26">
        <v>0</v>
      </c>
      <c r="W159" s="26">
        <v>0.3</v>
      </c>
      <c r="X159" s="28">
        <v>0.92</v>
      </c>
      <c r="Y159" s="28">
        <v>0</v>
      </c>
      <c r="Z159" s="28">
        <v>0</v>
      </c>
      <c r="AA159" s="28">
        <v>0.5</v>
      </c>
      <c r="AB159" s="28">
        <v>0.25</v>
      </c>
      <c r="AC159" s="28">
        <v>0.92</v>
      </c>
      <c r="AD159" s="26">
        <v>0.99062499999999998</v>
      </c>
      <c r="AE159" s="26">
        <v>0.98726114649681529</v>
      </c>
      <c r="AF159" s="26">
        <v>0.97916666666666663</v>
      </c>
      <c r="AG159" s="26">
        <v>0.98348472336911641</v>
      </c>
      <c r="AH159" s="28">
        <v>0.92</v>
      </c>
      <c r="AI159" s="26">
        <v>0.98880020597322349</v>
      </c>
      <c r="AJ159" s="26">
        <v>0.99170731707317072</v>
      </c>
      <c r="AK159" s="26">
        <v>0.99178879534351938</v>
      </c>
      <c r="AL159" s="26">
        <v>0.99204731769356891</v>
      </c>
      <c r="AM159" s="25">
        <v>0.99</v>
      </c>
      <c r="AN159" s="30">
        <v>1</v>
      </c>
      <c r="AO159" s="30">
        <v>1</v>
      </c>
      <c r="AP159" s="30">
        <v>1</v>
      </c>
      <c r="AQ159" s="30">
        <v>1</v>
      </c>
      <c r="AR159" s="32">
        <v>0.10526149898194399</v>
      </c>
      <c r="AS159" s="34">
        <v>0.1111111111111111</v>
      </c>
      <c r="AT159" s="34">
        <v>0.13333333333333333</v>
      </c>
      <c r="AU159" s="34">
        <v>0</v>
      </c>
      <c r="AV159" s="34">
        <v>8.7499999999999994E-2</v>
      </c>
      <c r="AW159" s="10"/>
      <c r="AX159" s="8"/>
    </row>
    <row r="160" spans="1:50">
      <c r="A160" s="7"/>
      <c r="B160" s="10"/>
      <c r="C160" s="45" t="s">
        <v>127</v>
      </c>
      <c r="D160" s="23" t="s">
        <v>11</v>
      </c>
      <c r="E160" s="46" t="s">
        <v>208</v>
      </c>
      <c r="F160" s="46" t="s">
        <v>208</v>
      </c>
      <c r="G160" s="46" t="s">
        <v>208</v>
      </c>
      <c r="H160" s="46" t="s">
        <v>208</v>
      </c>
      <c r="I160" s="25">
        <v>0.9</v>
      </c>
      <c r="J160" s="26">
        <v>0.96969696969696972</v>
      </c>
      <c r="K160" s="26">
        <v>0.93939393939393945</v>
      </c>
      <c r="L160" s="27">
        <v>0.94117647058823528</v>
      </c>
      <c r="M160" s="26">
        <v>0.96691176470588236</v>
      </c>
      <c r="N160" s="28">
        <v>0.9</v>
      </c>
      <c r="O160" s="26">
        <v>0.97005261027923917</v>
      </c>
      <c r="P160" s="26">
        <v>0.97817764165390508</v>
      </c>
      <c r="Q160" s="26">
        <v>0.96675191815856776</v>
      </c>
      <c r="R160" s="26">
        <v>0.97035741301058998</v>
      </c>
      <c r="S160" s="28">
        <v>0.9</v>
      </c>
      <c r="T160" s="26">
        <v>0.94658033184945367</v>
      </c>
      <c r="U160" s="26">
        <v>0.95367534456355285</v>
      </c>
      <c r="V160" s="26">
        <v>0.9473876507124589</v>
      </c>
      <c r="W160" s="26">
        <v>0.94624621785173979</v>
      </c>
      <c r="X160" s="28">
        <v>0.92</v>
      </c>
      <c r="Y160" s="28">
        <v>0.96494252873563213</v>
      </c>
      <c r="Z160" s="28">
        <v>0.97202342225113858</v>
      </c>
      <c r="AA160" s="28">
        <v>0.98657718120805371</v>
      </c>
      <c r="AB160" s="28">
        <v>0.97870355976993628</v>
      </c>
      <c r="AC160" s="28">
        <v>0.92</v>
      </c>
      <c r="AD160" s="26">
        <v>0.97701149425287359</v>
      </c>
      <c r="AE160" s="26">
        <v>0.98167539267015702</v>
      </c>
      <c r="AF160" s="26">
        <v>0.99067599067599066</v>
      </c>
      <c r="AG160" s="26">
        <v>0.98636926889714993</v>
      </c>
      <c r="AH160" s="28">
        <v>0.92</v>
      </c>
      <c r="AI160" s="26">
        <v>0.97957729755402512</v>
      </c>
      <c r="AJ160" s="26">
        <v>0.98529766208724989</v>
      </c>
      <c r="AK160" s="26">
        <v>0.99077359829666434</v>
      </c>
      <c r="AL160" s="26">
        <v>0.98794791146124228</v>
      </c>
      <c r="AM160" s="25">
        <v>0.99</v>
      </c>
      <c r="AN160" s="30">
        <v>1</v>
      </c>
      <c r="AO160" s="30">
        <v>1</v>
      </c>
      <c r="AP160" s="30">
        <v>1</v>
      </c>
      <c r="AQ160" s="30">
        <v>1</v>
      </c>
      <c r="AR160" s="32">
        <v>0.10526149898194399</v>
      </c>
      <c r="AS160" s="34">
        <v>0.25</v>
      </c>
      <c r="AT160" s="34">
        <v>0.16666666666666666</v>
      </c>
      <c r="AU160" s="34">
        <v>0</v>
      </c>
      <c r="AV160" s="34">
        <v>0.10869565217391304</v>
      </c>
      <c r="AW160" s="10"/>
      <c r="AX160" s="8"/>
    </row>
    <row r="161" spans="1:50">
      <c r="A161" s="7"/>
      <c r="B161" s="10"/>
      <c r="C161" s="45" t="s">
        <v>127</v>
      </c>
      <c r="D161" s="23" t="s">
        <v>11</v>
      </c>
      <c r="E161" s="46" t="s">
        <v>209</v>
      </c>
      <c r="F161" s="46" t="s">
        <v>209</v>
      </c>
      <c r="G161" s="46" t="s">
        <v>209</v>
      </c>
      <c r="H161" s="46" t="s">
        <v>209</v>
      </c>
      <c r="I161" s="25">
        <v>0.9</v>
      </c>
      <c r="J161" s="26">
        <v>0.92792792792792789</v>
      </c>
      <c r="K161" s="26">
        <v>0.91743119266055051</v>
      </c>
      <c r="L161" s="27">
        <v>0.94594594594594594</v>
      </c>
      <c r="M161" s="26">
        <v>0.9320843091334895</v>
      </c>
      <c r="N161" s="28">
        <v>0.9</v>
      </c>
      <c r="O161" s="26">
        <v>0.33333333333333331</v>
      </c>
      <c r="P161" s="26">
        <v>0.1</v>
      </c>
      <c r="Q161" s="26">
        <v>0</v>
      </c>
      <c r="R161" s="26">
        <v>0.19354838709677419</v>
      </c>
      <c r="S161" s="28">
        <v>0.9</v>
      </c>
      <c r="T161" s="26">
        <v>0</v>
      </c>
      <c r="U161" s="26">
        <v>0.1</v>
      </c>
      <c r="V161" s="26">
        <v>0.4</v>
      </c>
      <c r="W161" s="26">
        <v>0.19354838709677419</v>
      </c>
      <c r="X161" s="28">
        <v>0.92</v>
      </c>
      <c r="Y161" s="28">
        <v>0</v>
      </c>
      <c r="Z161" s="28">
        <v>0.21428571428571427</v>
      </c>
      <c r="AA161" s="28">
        <v>0.80952380952380953</v>
      </c>
      <c r="AB161" s="28">
        <v>0.59090909090909094</v>
      </c>
      <c r="AC161" s="28">
        <v>0.92</v>
      </c>
      <c r="AD161" s="26">
        <v>0.97608453837597331</v>
      </c>
      <c r="AE161" s="26">
        <v>0.87637362637362637</v>
      </c>
      <c r="AF161" s="26">
        <v>0.98232611174458384</v>
      </c>
      <c r="AG161" s="26">
        <v>0.96081199166498621</v>
      </c>
      <c r="AH161" s="28">
        <v>0.92</v>
      </c>
      <c r="AI161" s="26">
        <v>0.95422573314576342</v>
      </c>
      <c r="AJ161" s="26">
        <v>0.96434720956143016</v>
      </c>
      <c r="AK161" s="26">
        <v>0.97619481940897479</v>
      </c>
      <c r="AL161" s="26">
        <v>0.97006465095017302</v>
      </c>
      <c r="AM161" s="25">
        <v>0.99</v>
      </c>
      <c r="AN161" s="30">
        <v>1</v>
      </c>
      <c r="AO161" s="30">
        <v>1</v>
      </c>
      <c r="AP161" s="30">
        <v>1</v>
      </c>
      <c r="AQ161" s="30">
        <v>1</v>
      </c>
      <c r="AR161" s="32">
        <v>0.10526149898194399</v>
      </c>
      <c r="AS161" s="34">
        <v>7.6923076923076927E-2</v>
      </c>
      <c r="AT161" s="34">
        <v>0.27272727272727271</v>
      </c>
      <c r="AU161" s="34">
        <v>0</v>
      </c>
      <c r="AV161" s="34">
        <v>0.12173913043478261</v>
      </c>
      <c r="AW161" s="10"/>
      <c r="AX161" s="8"/>
    </row>
    <row r="162" spans="1:50">
      <c r="A162" s="7"/>
      <c r="B162" s="10"/>
      <c r="C162" s="45" t="s">
        <v>127</v>
      </c>
      <c r="D162" s="23" t="s">
        <v>11</v>
      </c>
      <c r="E162" s="46" t="s">
        <v>210</v>
      </c>
      <c r="F162" s="46" t="s">
        <v>210</v>
      </c>
      <c r="G162" s="46" t="s">
        <v>210</v>
      </c>
      <c r="H162" s="46" t="s">
        <v>210</v>
      </c>
      <c r="I162" s="25">
        <v>0.9</v>
      </c>
      <c r="J162" s="26">
        <v>0.93442622950819676</v>
      </c>
      <c r="K162" s="26">
        <v>0.88709677419354838</v>
      </c>
      <c r="L162" s="27">
        <v>0.87878787878787878</v>
      </c>
      <c r="M162" s="26">
        <v>0.89075630252100846</v>
      </c>
      <c r="N162" s="28">
        <v>0.9</v>
      </c>
      <c r="O162" s="26">
        <v>0.97965046684223123</v>
      </c>
      <c r="P162" s="26">
        <v>0.97203987357160226</v>
      </c>
      <c r="Q162" s="26">
        <v>0.98789509078681914</v>
      </c>
      <c r="R162" s="26">
        <v>0.97247856001565203</v>
      </c>
      <c r="S162" s="28">
        <v>0.9</v>
      </c>
      <c r="T162" s="26">
        <v>0.87622695714627719</v>
      </c>
      <c r="U162" s="26">
        <v>0.91709214685144669</v>
      </c>
      <c r="V162" s="26">
        <v>0.91638646043488003</v>
      </c>
      <c r="W162" s="26">
        <v>0.9063814523755177</v>
      </c>
      <c r="X162" s="28">
        <v>0.92</v>
      </c>
      <c r="Y162" s="28">
        <v>0.94216182048040453</v>
      </c>
      <c r="Z162" s="28">
        <v>0.94582623509369679</v>
      </c>
      <c r="AA162" s="28">
        <v>0.94834571235651588</v>
      </c>
      <c r="AB162" s="28">
        <v>0.95166109253065778</v>
      </c>
      <c r="AC162" s="28">
        <v>0.92</v>
      </c>
      <c r="AD162" s="26">
        <v>0.9811463046757164</v>
      </c>
      <c r="AE162" s="26">
        <v>0.97942001870907391</v>
      </c>
      <c r="AF162" s="26">
        <v>0.97151576805696849</v>
      </c>
      <c r="AG162" s="26">
        <v>0.9741504854368932</v>
      </c>
      <c r="AH162" s="28">
        <v>0.92</v>
      </c>
      <c r="AI162" s="26">
        <v>0.956989247311828</v>
      </c>
      <c r="AJ162" s="26">
        <v>0.96368794326241136</v>
      </c>
      <c r="AK162" s="26">
        <v>0.9723831335039741</v>
      </c>
      <c r="AL162" s="26">
        <v>0.97001883239171371</v>
      </c>
      <c r="AM162" s="25">
        <v>0.99</v>
      </c>
      <c r="AN162" s="30">
        <v>1</v>
      </c>
      <c r="AO162" s="30">
        <v>1</v>
      </c>
      <c r="AP162" s="30">
        <v>1</v>
      </c>
      <c r="AQ162" s="30">
        <v>1</v>
      </c>
      <c r="AR162" s="32">
        <v>0.10526149898194399</v>
      </c>
      <c r="AS162" s="34">
        <v>0.125</v>
      </c>
      <c r="AT162" s="34">
        <v>0.125</v>
      </c>
      <c r="AU162" s="34">
        <v>0.16666666666666666</v>
      </c>
      <c r="AV162" s="34">
        <v>7.792207792207792E-2</v>
      </c>
      <c r="AW162" s="10"/>
      <c r="AX162" s="8"/>
    </row>
    <row r="163" spans="1:50">
      <c r="A163" s="7"/>
      <c r="B163" s="10"/>
      <c r="C163" s="45" t="s">
        <v>127</v>
      </c>
      <c r="D163" s="23" t="s">
        <v>11</v>
      </c>
      <c r="E163" s="46" t="s">
        <v>211</v>
      </c>
      <c r="F163" s="46" t="s">
        <v>211</v>
      </c>
      <c r="G163" s="46" t="s">
        <v>211</v>
      </c>
      <c r="H163" s="46" t="s">
        <v>211</v>
      </c>
      <c r="I163" s="25">
        <v>0.9</v>
      </c>
      <c r="J163" s="26">
        <v>1</v>
      </c>
      <c r="K163" s="26">
        <v>0.97777777777777775</v>
      </c>
      <c r="L163" s="27">
        <v>0.95918367346938771</v>
      </c>
      <c r="M163" s="26">
        <v>0.97905759162303663</v>
      </c>
      <c r="N163" s="28">
        <v>0.9</v>
      </c>
      <c r="O163" s="26">
        <v>0.93390684011749892</v>
      </c>
      <c r="P163" s="26">
        <v>0.90910927085437288</v>
      </c>
      <c r="Q163" s="26">
        <v>0.91350922436024595</v>
      </c>
      <c r="R163" s="26">
        <v>0.92386448250186148</v>
      </c>
      <c r="S163" s="28">
        <v>0.9</v>
      </c>
      <c r="T163" s="26">
        <v>0.91166596726814941</v>
      </c>
      <c r="U163" s="26">
        <v>0.88931528984043628</v>
      </c>
      <c r="V163" s="26">
        <v>0.89287839714342387</v>
      </c>
      <c r="W163" s="26">
        <v>0.90144665461121154</v>
      </c>
      <c r="X163" s="28">
        <v>0.92</v>
      </c>
      <c r="Y163" s="28">
        <v>0.95311994827028779</v>
      </c>
      <c r="Z163" s="28">
        <v>0.96432552954292083</v>
      </c>
      <c r="AA163" s="28">
        <v>0.96535433070866139</v>
      </c>
      <c r="AB163" s="28">
        <v>0.96269793638336176</v>
      </c>
      <c r="AC163" s="28">
        <v>0.92</v>
      </c>
      <c r="AD163" s="26">
        <v>0.99391504018369692</v>
      </c>
      <c r="AE163" s="26">
        <v>0.98993516517443658</v>
      </c>
      <c r="AF163" s="26">
        <v>0.99470293486041517</v>
      </c>
      <c r="AG163" s="26">
        <v>0.98243590950453419</v>
      </c>
      <c r="AH163" s="28">
        <v>0.92</v>
      </c>
      <c r="AI163" s="26">
        <v>0.96476275283042867</v>
      </c>
      <c r="AJ163" s="26">
        <v>0.97108465262331545</v>
      </c>
      <c r="AK163" s="26">
        <v>0.981139541018201</v>
      </c>
      <c r="AL163" s="26">
        <v>0.97408644599655836</v>
      </c>
      <c r="AM163" s="25">
        <v>0.99</v>
      </c>
      <c r="AN163" s="30">
        <v>1</v>
      </c>
      <c r="AO163" s="30">
        <v>1</v>
      </c>
      <c r="AP163" s="30">
        <v>1</v>
      </c>
      <c r="AQ163" s="30">
        <v>1</v>
      </c>
      <c r="AR163" s="32">
        <v>0.10526149898194399</v>
      </c>
      <c r="AS163" s="34">
        <v>0.16666666666666666</v>
      </c>
      <c r="AT163" s="34">
        <v>5.5555555555555552E-2</v>
      </c>
      <c r="AU163" s="34">
        <v>0</v>
      </c>
      <c r="AV163" s="34">
        <v>7.9646017699115043E-2</v>
      </c>
      <c r="AW163" s="10"/>
      <c r="AX163" s="8"/>
    </row>
    <row r="164" spans="1:50">
      <c r="A164" s="7"/>
      <c r="B164" s="10"/>
      <c r="C164" s="45" t="s">
        <v>127</v>
      </c>
      <c r="D164" s="23" t="s">
        <v>11</v>
      </c>
      <c r="E164" s="46" t="s">
        <v>212</v>
      </c>
      <c r="F164" s="46" t="s">
        <v>212</v>
      </c>
      <c r="G164" s="46" t="s">
        <v>212</v>
      </c>
      <c r="H164" s="46" t="s">
        <v>212</v>
      </c>
      <c r="I164" s="25">
        <v>0.9</v>
      </c>
      <c r="J164" s="26">
        <v>0.96153846153846156</v>
      </c>
      <c r="K164" s="26">
        <v>0.96491228070175439</v>
      </c>
      <c r="L164" s="27">
        <v>0.96296296296296291</v>
      </c>
      <c r="M164" s="26">
        <v>0.97867298578199047</v>
      </c>
      <c r="N164" s="28">
        <v>0.9</v>
      </c>
      <c r="O164" s="26">
        <v>0.97200086151195353</v>
      </c>
      <c r="P164" s="26">
        <v>0.98114463176574973</v>
      </c>
      <c r="Q164" s="26">
        <v>0.9829987709954936</v>
      </c>
      <c r="R164" s="26">
        <v>0.9782155146720134</v>
      </c>
      <c r="S164" s="28">
        <v>0.9</v>
      </c>
      <c r="T164" s="26">
        <v>0.93904802929140641</v>
      </c>
      <c r="U164" s="26">
        <v>0.95341614906832295</v>
      </c>
      <c r="V164" s="26">
        <v>0.959852519459238</v>
      </c>
      <c r="W164" s="26">
        <v>0.94838377543555419</v>
      </c>
      <c r="X164" s="28">
        <v>0.92</v>
      </c>
      <c r="Y164" s="28">
        <v>0.95650648895124513</v>
      </c>
      <c r="Z164" s="28">
        <v>0.97396035755926935</v>
      </c>
      <c r="AA164" s="28">
        <v>0.98079139454475606</v>
      </c>
      <c r="AB164" s="28">
        <v>0.97530806133007242</v>
      </c>
      <c r="AC164" s="28">
        <v>0.92</v>
      </c>
      <c r="AD164" s="26">
        <v>0.96846011131725418</v>
      </c>
      <c r="AE164" s="26">
        <v>0.94017094017094016</v>
      </c>
      <c r="AF164" s="26">
        <v>0.96087352138307547</v>
      </c>
      <c r="AG164" s="26">
        <v>0.96318575553416752</v>
      </c>
      <c r="AH164" s="28">
        <v>0.92</v>
      </c>
      <c r="AI164" s="26">
        <v>0.9666444296197465</v>
      </c>
      <c r="AJ164" s="26">
        <v>0.98150240045184978</v>
      </c>
      <c r="AK164" s="26">
        <v>0.98864547154688753</v>
      </c>
      <c r="AL164" s="26">
        <v>0.98351638907509586</v>
      </c>
      <c r="AM164" s="25">
        <v>0.99</v>
      </c>
      <c r="AN164" s="30">
        <v>1</v>
      </c>
      <c r="AO164" s="30">
        <v>1</v>
      </c>
      <c r="AP164" s="30">
        <v>1</v>
      </c>
      <c r="AQ164" s="30">
        <v>1</v>
      </c>
      <c r="AR164" s="32">
        <v>0.10526149898194399</v>
      </c>
      <c r="AS164" s="34">
        <v>0.16666666666666666</v>
      </c>
      <c r="AT164" s="34">
        <v>5.8823529411764705E-2</v>
      </c>
      <c r="AU164" s="34">
        <v>0.1111111111111111</v>
      </c>
      <c r="AV164" s="34">
        <v>7.3684210526315783E-2</v>
      </c>
      <c r="AW164" s="10"/>
      <c r="AX164" s="8"/>
    </row>
    <row r="165" spans="1:50">
      <c r="A165" s="7"/>
      <c r="B165" s="10"/>
      <c r="C165" s="45" t="s">
        <v>127</v>
      </c>
      <c r="D165" s="23" t="s">
        <v>11</v>
      </c>
      <c r="E165" s="46" t="s">
        <v>213</v>
      </c>
      <c r="F165" s="46" t="s">
        <v>213</v>
      </c>
      <c r="G165" s="46" t="s">
        <v>213</v>
      </c>
      <c r="H165" s="46" t="s">
        <v>213</v>
      </c>
      <c r="I165" s="25">
        <v>0.9</v>
      </c>
      <c r="J165" s="26">
        <v>0.97979797979797978</v>
      </c>
      <c r="K165" s="26">
        <v>0.97247706422018354</v>
      </c>
      <c r="L165" s="27">
        <v>0.95283018867924529</v>
      </c>
      <c r="M165" s="26">
        <v>0.96687116564417175</v>
      </c>
      <c r="N165" s="28">
        <v>0.9</v>
      </c>
      <c r="O165" s="26">
        <v>0.97700664486868471</v>
      </c>
      <c r="P165" s="26">
        <v>0.98077922077922075</v>
      </c>
      <c r="Q165" s="26">
        <v>0.97538192079400599</v>
      </c>
      <c r="R165" s="26">
        <v>0.97000144856920867</v>
      </c>
      <c r="S165" s="28">
        <v>0.9</v>
      </c>
      <c r="T165" s="26">
        <v>0.94188376753507019</v>
      </c>
      <c r="U165" s="26">
        <v>0.95864935064935064</v>
      </c>
      <c r="V165" s="26">
        <v>0.97139242969738249</v>
      </c>
      <c r="W165" s="26">
        <v>0.94293954198875385</v>
      </c>
      <c r="X165" s="28">
        <v>0.92</v>
      </c>
      <c r="Y165" s="28">
        <v>0.93782476258734992</v>
      </c>
      <c r="Z165" s="28">
        <v>0.96005377376608414</v>
      </c>
      <c r="AA165" s="28">
        <v>0.95970911949685533</v>
      </c>
      <c r="AB165" s="28">
        <v>0.955952380952381</v>
      </c>
      <c r="AC165" s="28">
        <v>0.92</v>
      </c>
      <c r="AD165" s="26">
        <v>0.99524191124912353</v>
      </c>
      <c r="AE165" s="26">
        <v>0.99154934774987546</v>
      </c>
      <c r="AF165" s="26">
        <v>0.9952496083906559</v>
      </c>
      <c r="AG165" s="26">
        <v>0.9944294729588028</v>
      </c>
      <c r="AH165" s="28">
        <v>0.92</v>
      </c>
      <c r="AI165" s="26">
        <v>0.96363153703212101</v>
      </c>
      <c r="AJ165" s="26">
        <v>0.98072126727334008</v>
      </c>
      <c r="AK165" s="26">
        <v>0.98243216865118099</v>
      </c>
      <c r="AL165" s="26">
        <v>0.97625540797602817</v>
      </c>
      <c r="AM165" s="25">
        <v>0.99</v>
      </c>
      <c r="AN165" s="30">
        <v>1</v>
      </c>
      <c r="AO165" s="30">
        <v>1</v>
      </c>
      <c r="AP165" s="30">
        <v>1</v>
      </c>
      <c r="AQ165" s="30">
        <v>1</v>
      </c>
      <c r="AR165" s="32">
        <v>0.10526149898194399</v>
      </c>
      <c r="AS165" s="34">
        <v>0.10714285714285714</v>
      </c>
      <c r="AT165" s="34">
        <v>0.12</v>
      </c>
      <c r="AU165" s="34">
        <v>0</v>
      </c>
      <c r="AV165" s="34">
        <v>8.1632653061224483E-2</v>
      </c>
      <c r="AW165" s="10"/>
      <c r="AX165" s="8"/>
    </row>
    <row r="166" spans="1:50">
      <c r="A166" s="7"/>
      <c r="B166" s="10"/>
      <c r="C166" s="45" t="s">
        <v>127</v>
      </c>
      <c r="D166" s="23" t="s">
        <v>11</v>
      </c>
      <c r="E166" s="46" t="s">
        <v>214</v>
      </c>
      <c r="F166" s="46" t="s">
        <v>214</v>
      </c>
      <c r="G166" s="46" t="s">
        <v>214</v>
      </c>
      <c r="H166" s="46" t="s">
        <v>214</v>
      </c>
      <c r="I166" s="25">
        <v>0.9</v>
      </c>
      <c r="J166" s="26">
        <v>1</v>
      </c>
      <c r="K166" s="26">
        <v>1</v>
      </c>
      <c r="L166" s="27">
        <v>1</v>
      </c>
      <c r="M166" s="26">
        <v>0.98254364089775559</v>
      </c>
      <c r="N166" s="28">
        <v>0.9</v>
      </c>
      <c r="O166" s="26">
        <v>0</v>
      </c>
      <c r="P166" s="26">
        <v>0.25</v>
      </c>
      <c r="Q166" s="26">
        <v>0</v>
      </c>
      <c r="R166" s="26">
        <v>0.1</v>
      </c>
      <c r="S166" s="28">
        <v>0.9</v>
      </c>
      <c r="T166" s="26">
        <v>0</v>
      </c>
      <c r="U166" s="26">
        <v>0</v>
      </c>
      <c r="V166" s="26">
        <v>0</v>
      </c>
      <c r="W166" s="26">
        <v>0.1</v>
      </c>
      <c r="X166" s="28">
        <v>0.92</v>
      </c>
      <c r="Y166" s="28">
        <v>0</v>
      </c>
      <c r="Z166" s="28">
        <v>0</v>
      </c>
      <c r="AA166" s="28">
        <v>0</v>
      </c>
      <c r="AB166" s="28">
        <v>0</v>
      </c>
      <c r="AC166" s="28">
        <v>0.92</v>
      </c>
      <c r="AD166" s="26">
        <v>0.9833836858006042</v>
      </c>
      <c r="AE166" s="26">
        <v>1</v>
      </c>
      <c r="AF166" s="26">
        <v>0.98181818181818181</v>
      </c>
      <c r="AG166" s="26">
        <v>0.9895310330092939</v>
      </c>
      <c r="AH166" s="28">
        <v>0.92</v>
      </c>
      <c r="AI166" s="26">
        <v>0.98256269592476486</v>
      </c>
      <c r="AJ166" s="26">
        <v>0.98614634146341462</v>
      </c>
      <c r="AK166" s="26">
        <v>0.99035369774919613</v>
      </c>
      <c r="AL166" s="26">
        <v>0.98891378981499145</v>
      </c>
      <c r="AM166" s="25">
        <v>0.99</v>
      </c>
      <c r="AN166" s="30">
        <v>1</v>
      </c>
      <c r="AO166" s="30">
        <v>1</v>
      </c>
      <c r="AP166" s="30">
        <v>1</v>
      </c>
      <c r="AQ166" s="30">
        <v>1</v>
      </c>
      <c r="AR166" s="32">
        <v>0.10526149898194399</v>
      </c>
      <c r="AS166" s="34">
        <v>0</v>
      </c>
      <c r="AT166" s="34">
        <v>0</v>
      </c>
      <c r="AU166" s="34">
        <v>0.5</v>
      </c>
      <c r="AV166" s="34">
        <v>8.5106382978723402E-2</v>
      </c>
      <c r="AW166" s="10"/>
      <c r="AX166" s="8"/>
    </row>
    <row r="167" spans="1:50">
      <c r="A167" s="7"/>
      <c r="B167" s="10"/>
      <c r="C167" s="45" t="s">
        <v>127</v>
      </c>
      <c r="D167" s="23" t="s">
        <v>11</v>
      </c>
      <c r="E167" s="46" t="s">
        <v>215</v>
      </c>
      <c r="F167" s="46" t="s">
        <v>215</v>
      </c>
      <c r="G167" s="46" t="s">
        <v>215</v>
      </c>
      <c r="H167" s="46" t="s">
        <v>215</v>
      </c>
      <c r="I167" s="25">
        <v>0.9</v>
      </c>
      <c r="J167" s="26">
        <v>0.9821428571428571</v>
      </c>
      <c r="K167" s="26">
        <v>0.94736842105263153</v>
      </c>
      <c r="L167" s="27">
        <v>0.9821428571428571</v>
      </c>
      <c r="M167" s="26">
        <v>0.98194130925507905</v>
      </c>
      <c r="N167" s="28">
        <v>0.9</v>
      </c>
      <c r="O167" s="26">
        <v>0.96178343949044587</v>
      </c>
      <c r="P167" s="26">
        <v>0.96679197994987465</v>
      </c>
      <c r="Q167" s="26">
        <v>0.96895012614011256</v>
      </c>
      <c r="R167" s="26">
        <v>0.95764148591373721</v>
      </c>
      <c r="S167" s="28">
        <v>0.9</v>
      </c>
      <c r="T167" s="26">
        <v>0.94472981302650505</v>
      </c>
      <c r="U167" s="26">
        <v>0.95530492898913955</v>
      </c>
      <c r="V167" s="26">
        <v>0.94605084416844554</v>
      </c>
      <c r="W167" s="26">
        <v>0.94525056095736726</v>
      </c>
      <c r="X167" s="28">
        <v>0.92</v>
      </c>
      <c r="Y167" s="28">
        <v>0.95686619718309862</v>
      </c>
      <c r="Z167" s="28">
        <v>0.97127407908077057</v>
      </c>
      <c r="AA167" s="28">
        <v>0.97448444599790285</v>
      </c>
      <c r="AB167" s="28">
        <v>0.96898592124056315</v>
      </c>
      <c r="AC167" s="28">
        <v>0.92</v>
      </c>
      <c r="AD167" s="26">
        <v>0.99869470630891954</v>
      </c>
      <c r="AE167" s="26">
        <v>0.99586513994910941</v>
      </c>
      <c r="AF167" s="26">
        <v>0.99516466283324623</v>
      </c>
      <c r="AG167" s="26">
        <v>0.9947443280371886</v>
      </c>
      <c r="AH167" s="28">
        <v>0.92</v>
      </c>
      <c r="AI167" s="26">
        <v>0.96955050749154181</v>
      </c>
      <c r="AJ167" s="26">
        <v>0.98476829740544725</v>
      </c>
      <c r="AK167" s="26">
        <v>0.98664836536061895</v>
      </c>
      <c r="AL167" s="26">
        <v>0.982250901381861</v>
      </c>
      <c r="AM167" s="25">
        <v>0.99</v>
      </c>
      <c r="AN167" s="30">
        <v>1</v>
      </c>
      <c r="AO167" s="30">
        <v>1</v>
      </c>
      <c r="AP167" s="30">
        <v>1</v>
      </c>
      <c r="AQ167" s="30">
        <v>1</v>
      </c>
      <c r="AR167" s="32">
        <v>0.10526149898194399</v>
      </c>
      <c r="AS167" s="34">
        <v>0.33333333333333331</v>
      </c>
      <c r="AT167" s="34">
        <v>4.7619047619047616E-2</v>
      </c>
      <c r="AU167" s="34">
        <v>0.25</v>
      </c>
      <c r="AV167" s="34">
        <v>0.11494252873563218</v>
      </c>
      <c r="AW167" s="10"/>
      <c r="AX167" s="8"/>
    </row>
    <row r="168" spans="1:50">
      <c r="A168" s="7"/>
      <c r="B168" s="10"/>
      <c r="C168" s="45" t="s">
        <v>127</v>
      </c>
      <c r="D168" s="23" t="s">
        <v>11</v>
      </c>
      <c r="E168" s="46" t="s">
        <v>216</v>
      </c>
      <c r="F168" s="46" t="s">
        <v>216</v>
      </c>
      <c r="G168" s="46" t="s">
        <v>216</v>
      </c>
      <c r="H168" s="46" t="s">
        <v>216</v>
      </c>
      <c r="I168" s="25">
        <v>0.9</v>
      </c>
      <c r="J168" s="26">
        <v>0.94871794871794868</v>
      </c>
      <c r="K168" s="26">
        <v>1</v>
      </c>
      <c r="L168" s="27">
        <v>0.93333333333333335</v>
      </c>
      <c r="M168" s="26">
        <v>0.94985250737463123</v>
      </c>
      <c r="N168" s="28">
        <v>0.9</v>
      </c>
      <c r="O168" s="26">
        <v>0.93026538678712589</v>
      </c>
      <c r="P168" s="26">
        <v>0.95154884829229547</v>
      </c>
      <c r="Q168" s="26">
        <v>0.94865341052101682</v>
      </c>
      <c r="R168" s="26">
        <v>0.94642917269941751</v>
      </c>
      <c r="S168" s="28">
        <v>0.9</v>
      </c>
      <c r="T168" s="26">
        <v>0.90965556182947482</v>
      </c>
      <c r="U168" s="26">
        <v>0.93248610007942812</v>
      </c>
      <c r="V168" s="26">
        <v>0.93355147243896297</v>
      </c>
      <c r="W168" s="26">
        <v>0.91834741910502038</v>
      </c>
      <c r="X168" s="28">
        <v>0.92</v>
      </c>
      <c r="Y168" s="28">
        <v>0.93469551282051277</v>
      </c>
      <c r="Z168" s="28">
        <v>0.95719661335841955</v>
      </c>
      <c r="AA168" s="28">
        <v>0.95408163265306123</v>
      </c>
      <c r="AB168" s="28">
        <v>0.94964228273528928</v>
      </c>
      <c r="AC168" s="28">
        <v>0.92</v>
      </c>
      <c r="AD168" s="26">
        <v>0.9712918660287081</v>
      </c>
      <c r="AE168" s="26">
        <v>0.93061224489795913</v>
      </c>
      <c r="AF168" s="26">
        <v>0.97402597402597402</v>
      </c>
      <c r="AG168" s="26">
        <v>0.93231552162849873</v>
      </c>
      <c r="AH168" s="28">
        <v>0.92</v>
      </c>
      <c r="AI168" s="26">
        <v>0.95097714474991724</v>
      </c>
      <c r="AJ168" s="26">
        <v>0.97340335422666446</v>
      </c>
      <c r="AK168" s="26">
        <v>0.97405775819872731</v>
      </c>
      <c r="AL168" s="26">
        <v>0.96687964805698123</v>
      </c>
      <c r="AM168" s="25">
        <v>0.99</v>
      </c>
      <c r="AN168" s="30">
        <v>1</v>
      </c>
      <c r="AO168" s="30">
        <v>1</v>
      </c>
      <c r="AP168" s="30">
        <v>1</v>
      </c>
      <c r="AQ168" s="30">
        <v>1</v>
      </c>
      <c r="AR168" s="32">
        <v>0.10526149898194399</v>
      </c>
      <c r="AS168" s="34">
        <v>5.8823529411764705E-2</v>
      </c>
      <c r="AT168" s="34">
        <v>0</v>
      </c>
      <c r="AU168" s="34">
        <v>0</v>
      </c>
      <c r="AV168" s="34">
        <v>5.1020408163265307E-2</v>
      </c>
      <c r="AW168" s="10"/>
      <c r="AX168" s="8"/>
    </row>
    <row r="169" spans="1:50">
      <c r="A169" s="7"/>
      <c r="B169" s="10"/>
      <c r="C169" s="45" t="s">
        <v>127</v>
      </c>
      <c r="D169" s="23" t="s">
        <v>11</v>
      </c>
      <c r="E169" s="46" t="s">
        <v>217</v>
      </c>
      <c r="F169" s="46" t="s">
        <v>217</v>
      </c>
      <c r="G169" s="46" t="s">
        <v>217</v>
      </c>
      <c r="H169" s="46" t="s">
        <v>217</v>
      </c>
      <c r="I169" s="25">
        <v>0.9</v>
      </c>
      <c r="J169" s="26">
        <v>0.94117647058823528</v>
      </c>
      <c r="K169" s="26">
        <v>0.97014925373134331</v>
      </c>
      <c r="L169" s="27">
        <v>0.95774647887323938</v>
      </c>
      <c r="M169" s="26">
        <v>0.95161290322580649</v>
      </c>
      <c r="N169" s="28">
        <v>0.9</v>
      </c>
      <c r="O169" s="26">
        <v>0.92550143266475648</v>
      </c>
      <c r="P169" s="26">
        <v>0.93288324066719619</v>
      </c>
      <c r="Q169" s="26">
        <v>0.94125206535707728</v>
      </c>
      <c r="R169" s="26">
        <v>0.92403763492215107</v>
      </c>
      <c r="S169" s="28">
        <v>0.9</v>
      </c>
      <c r="T169" s="26">
        <v>0.87679083094555876</v>
      </c>
      <c r="U169" s="26">
        <v>0.88641779189833203</v>
      </c>
      <c r="V169" s="26">
        <v>0.8979254635579218</v>
      </c>
      <c r="W169" s="26">
        <v>0.88957875632820704</v>
      </c>
      <c r="X169" s="28">
        <v>0.92</v>
      </c>
      <c r="Y169" s="28">
        <v>0.9516483516483516</v>
      </c>
      <c r="Z169" s="28">
        <v>0.92575894198978059</v>
      </c>
      <c r="AA169" s="28">
        <v>0.93735800064913988</v>
      </c>
      <c r="AB169" s="28">
        <v>0.94071237962640675</v>
      </c>
      <c r="AC169" s="28">
        <v>0.92</v>
      </c>
      <c r="AD169" s="26">
        <v>0.99541173629558077</v>
      </c>
      <c r="AE169" s="26">
        <v>0.9946236559139785</v>
      </c>
      <c r="AF169" s="26">
        <v>0.98970928736815023</v>
      </c>
      <c r="AG169" s="26">
        <v>0.98907346822094466</v>
      </c>
      <c r="AH169" s="28">
        <v>0.92</v>
      </c>
      <c r="AI169" s="26">
        <v>0.94908955778520998</v>
      </c>
      <c r="AJ169" s="26">
        <v>0.95755111801984938</v>
      </c>
      <c r="AK169" s="26">
        <v>0.96435272045028142</v>
      </c>
      <c r="AL169" s="26">
        <v>0.96309200425180108</v>
      </c>
      <c r="AM169" s="25">
        <v>0.99</v>
      </c>
      <c r="AN169" s="30">
        <v>1</v>
      </c>
      <c r="AO169" s="30">
        <v>1</v>
      </c>
      <c r="AP169" s="30">
        <v>1</v>
      </c>
      <c r="AQ169" s="30">
        <v>1</v>
      </c>
      <c r="AR169" s="32">
        <v>0.10526149898194399</v>
      </c>
      <c r="AS169" s="34">
        <v>9.0909090909090912E-2</v>
      </c>
      <c r="AT169" s="34">
        <v>0.10638297872340426</v>
      </c>
      <c r="AU169" s="34">
        <v>0.16129032258064516</v>
      </c>
      <c r="AV169" s="34">
        <v>9.2150170648464161E-2</v>
      </c>
      <c r="AW169" s="10"/>
      <c r="AX169" s="8"/>
    </row>
    <row r="170" spans="1:50">
      <c r="A170" s="7"/>
      <c r="B170" s="10"/>
      <c r="C170" s="45" t="s">
        <v>127</v>
      </c>
      <c r="D170" s="23" t="s">
        <v>11</v>
      </c>
      <c r="E170" s="46" t="s">
        <v>218</v>
      </c>
      <c r="F170" s="46" t="s">
        <v>218</v>
      </c>
      <c r="G170" s="46" t="s">
        <v>218</v>
      </c>
      <c r="H170" s="46" t="s">
        <v>218</v>
      </c>
      <c r="I170" s="25">
        <v>0.9</v>
      </c>
      <c r="J170" s="26">
        <v>0.93333333333333335</v>
      </c>
      <c r="K170" s="26">
        <v>0.95294117647058818</v>
      </c>
      <c r="L170" s="27">
        <v>0.93827160493827155</v>
      </c>
      <c r="M170" s="26">
        <v>0.92553191489361697</v>
      </c>
      <c r="N170" s="28">
        <v>0.9</v>
      </c>
      <c r="O170" s="26">
        <v>0.9560855574484195</v>
      </c>
      <c r="P170" s="26">
        <v>0.96135703918722781</v>
      </c>
      <c r="Q170" s="26">
        <v>0.93776387802971073</v>
      </c>
      <c r="R170" s="26">
        <v>0.93133862976251491</v>
      </c>
      <c r="S170" s="28">
        <v>0.9</v>
      </c>
      <c r="T170" s="26">
        <v>0.93280333144046945</v>
      </c>
      <c r="U170" s="26">
        <v>0.90838171262699563</v>
      </c>
      <c r="V170" s="26">
        <v>0.88553557466770916</v>
      </c>
      <c r="W170" s="26">
        <v>0.89328122330428839</v>
      </c>
      <c r="X170" s="28">
        <v>0.92</v>
      </c>
      <c r="Y170" s="28">
        <v>0.9321266968325792</v>
      </c>
      <c r="Z170" s="28">
        <v>0.93290823398946487</v>
      </c>
      <c r="AA170" s="28">
        <v>0.94994212962962965</v>
      </c>
      <c r="AB170" s="28">
        <v>0.93839123114455558</v>
      </c>
      <c r="AC170" s="28">
        <v>0.92</v>
      </c>
      <c r="AD170" s="26">
        <v>0.95915107256960297</v>
      </c>
      <c r="AE170" s="26">
        <v>0.99656682845980826</v>
      </c>
      <c r="AF170" s="26">
        <v>0.98940020682523266</v>
      </c>
      <c r="AG170" s="26">
        <v>0.99059570048515377</v>
      </c>
      <c r="AH170" s="28">
        <v>0.92</v>
      </c>
      <c r="AI170" s="26">
        <v>0.95688225538971805</v>
      </c>
      <c r="AJ170" s="26">
        <v>0.9600833424717623</v>
      </c>
      <c r="AK170" s="26">
        <v>0.969859955348082</v>
      </c>
      <c r="AL170" s="26">
        <v>0.9631565779597856</v>
      </c>
      <c r="AM170" s="25">
        <v>0.99</v>
      </c>
      <c r="AN170" s="30">
        <v>1</v>
      </c>
      <c r="AO170" s="30">
        <v>1</v>
      </c>
      <c r="AP170" s="30">
        <v>1</v>
      </c>
      <c r="AQ170" s="30">
        <v>1</v>
      </c>
      <c r="AR170" s="32">
        <v>0.10526149898194399</v>
      </c>
      <c r="AS170" s="34">
        <v>0</v>
      </c>
      <c r="AT170" s="34">
        <v>5.6603773584905662E-2</v>
      </c>
      <c r="AU170" s="34">
        <v>0.1</v>
      </c>
      <c r="AV170" s="34">
        <v>5.9945504087193457E-2</v>
      </c>
      <c r="AW170" s="10"/>
      <c r="AX170" s="8"/>
    </row>
    <row r="171" spans="1:50">
      <c r="A171" s="7"/>
      <c r="B171" s="10"/>
      <c r="C171" s="45" t="s">
        <v>127</v>
      </c>
      <c r="D171" s="23" t="s">
        <v>11</v>
      </c>
      <c r="E171" s="46" t="s">
        <v>219</v>
      </c>
      <c r="F171" s="46" t="s">
        <v>219</v>
      </c>
      <c r="G171" s="46" t="s">
        <v>219</v>
      </c>
      <c r="H171" s="46" t="s">
        <v>219</v>
      </c>
      <c r="I171" s="25">
        <v>0.9</v>
      </c>
      <c r="J171" s="26">
        <v>0.93243243243243246</v>
      </c>
      <c r="K171" s="26">
        <v>0.98780487804878048</v>
      </c>
      <c r="L171" s="27">
        <v>0.93333333333333335</v>
      </c>
      <c r="M171" s="26">
        <v>0.94009983361064897</v>
      </c>
      <c r="N171" s="28">
        <v>0.9</v>
      </c>
      <c r="O171" s="26">
        <v>0.94828435396486621</v>
      </c>
      <c r="P171" s="26">
        <v>0.96241389637616048</v>
      </c>
      <c r="Q171" s="26">
        <v>0.94174223687826331</v>
      </c>
      <c r="R171" s="26">
        <v>0.93564384123492239</v>
      </c>
      <c r="S171" s="28">
        <v>0.9</v>
      </c>
      <c r="T171" s="26">
        <v>0.90806107371531763</v>
      </c>
      <c r="U171" s="26">
        <v>0.9186882300089847</v>
      </c>
      <c r="V171" s="26">
        <v>0.90107172300082439</v>
      </c>
      <c r="W171" s="26">
        <v>0.87475530863737205</v>
      </c>
      <c r="X171" s="28">
        <v>0.92</v>
      </c>
      <c r="Y171" s="28">
        <v>0.9128462273161414</v>
      </c>
      <c r="Z171" s="28">
        <v>0.94154488517745305</v>
      </c>
      <c r="AA171" s="28">
        <v>0.9412751677852349</v>
      </c>
      <c r="AB171" s="28">
        <v>0.92342690614963718</v>
      </c>
      <c r="AC171" s="28">
        <v>0.92</v>
      </c>
      <c r="AD171" s="26">
        <v>0.99722827162938033</v>
      </c>
      <c r="AE171" s="26">
        <v>0.99486721713903148</v>
      </c>
      <c r="AF171" s="26">
        <v>0.98905573937388647</v>
      </c>
      <c r="AG171" s="26">
        <v>0.99066916294238438</v>
      </c>
      <c r="AH171" s="28">
        <v>0.92</v>
      </c>
      <c r="AI171" s="26">
        <v>0.94357976653696496</v>
      </c>
      <c r="AJ171" s="26">
        <v>0.96360658720771541</v>
      </c>
      <c r="AK171" s="26">
        <v>0.96585451052309845</v>
      </c>
      <c r="AL171" s="26">
        <v>0.95151938766156385</v>
      </c>
      <c r="AM171" s="25">
        <v>0.99</v>
      </c>
      <c r="AN171" s="30">
        <v>1</v>
      </c>
      <c r="AO171" s="30">
        <v>1</v>
      </c>
      <c r="AP171" s="30">
        <v>1</v>
      </c>
      <c r="AQ171" s="30">
        <v>1</v>
      </c>
      <c r="AR171" s="32">
        <v>0.10526149898194399</v>
      </c>
      <c r="AS171" s="34">
        <v>8.5106382978723402E-2</v>
      </c>
      <c r="AT171" s="34">
        <v>7.6923076923076927E-2</v>
      </c>
      <c r="AU171" s="34">
        <v>9.7560975609756101E-2</v>
      </c>
      <c r="AV171" s="34">
        <v>8.6513994910941472E-2</v>
      </c>
      <c r="AW171" s="10"/>
      <c r="AX171" s="8"/>
    </row>
    <row r="172" spans="1:50">
      <c r="A172" s="7"/>
      <c r="B172" s="10"/>
      <c r="C172" s="45" t="s">
        <v>127</v>
      </c>
      <c r="D172" s="23" t="s">
        <v>11</v>
      </c>
      <c r="E172" s="46" t="s">
        <v>220</v>
      </c>
      <c r="F172" s="46" t="s">
        <v>220</v>
      </c>
      <c r="G172" s="46" t="s">
        <v>220</v>
      </c>
      <c r="H172" s="46" t="s">
        <v>220</v>
      </c>
      <c r="I172" s="25">
        <v>0.9</v>
      </c>
      <c r="J172" s="26">
        <v>0.94444444444444442</v>
      </c>
      <c r="K172" s="26">
        <v>0.96610169491525422</v>
      </c>
      <c r="L172" s="27">
        <v>1</v>
      </c>
      <c r="M172" s="26">
        <v>0.96287703016241299</v>
      </c>
      <c r="N172" s="28">
        <v>0.9</v>
      </c>
      <c r="O172" s="26">
        <v>0.948483956432146</v>
      </c>
      <c r="P172" s="26">
        <v>0.9649957994959395</v>
      </c>
      <c r="Q172" s="26">
        <v>0.95583832335329344</v>
      </c>
      <c r="R172" s="26">
        <v>0.95978800927459429</v>
      </c>
      <c r="S172" s="28">
        <v>0.9</v>
      </c>
      <c r="T172" s="26">
        <v>0.92257874595231082</v>
      </c>
      <c r="U172" s="26">
        <v>0.93923270792495095</v>
      </c>
      <c r="V172" s="26">
        <v>0.92514970059880242</v>
      </c>
      <c r="W172" s="26">
        <v>0.91974163630341177</v>
      </c>
      <c r="X172" s="28">
        <v>0.92</v>
      </c>
      <c r="Y172" s="28">
        <v>0.93598615916955019</v>
      </c>
      <c r="Z172" s="28">
        <v>0.95838986883763</v>
      </c>
      <c r="AA172" s="28">
        <v>0.96160877513711152</v>
      </c>
      <c r="AB172" s="28">
        <v>0.95688124306326305</v>
      </c>
      <c r="AC172" s="28">
        <v>0.92</v>
      </c>
      <c r="AD172" s="26">
        <v>0.99485633203263568</v>
      </c>
      <c r="AE172" s="26">
        <v>0.99406739439962033</v>
      </c>
      <c r="AF172" s="26">
        <v>0.996249506514015</v>
      </c>
      <c r="AG172" s="26">
        <v>0.99336106016377779</v>
      </c>
      <c r="AH172" s="28">
        <v>0.92</v>
      </c>
      <c r="AI172" s="26">
        <v>0.95726046593098613</v>
      </c>
      <c r="AJ172" s="26">
        <v>0.97613282601176066</v>
      </c>
      <c r="AK172" s="26">
        <v>0.97756617172369276</v>
      </c>
      <c r="AL172" s="26">
        <v>0.97314002447472669</v>
      </c>
      <c r="AM172" s="25">
        <v>0.99</v>
      </c>
      <c r="AN172" s="30">
        <v>1</v>
      </c>
      <c r="AO172" s="30">
        <v>1</v>
      </c>
      <c r="AP172" s="30">
        <v>1</v>
      </c>
      <c r="AQ172" s="30">
        <v>1</v>
      </c>
      <c r="AR172" s="32">
        <v>0.10526149898194399</v>
      </c>
      <c r="AS172" s="34">
        <v>0.10526315789473684</v>
      </c>
      <c r="AT172" s="34">
        <v>3.7037037037037035E-2</v>
      </c>
      <c r="AU172" s="34">
        <v>3.8461538461538464E-2</v>
      </c>
      <c r="AV172" s="34">
        <v>7.575757575757576E-2</v>
      </c>
      <c r="AW172" s="10"/>
      <c r="AX172" s="8"/>
    </row>
    <row r="173" spans="1:50">
      <c r="A173" s="7"/>
      <c r="B173" s="10"/>
      <c r="C173" s="45" t="s">
        <v>127</v>
      </c>
      <c r="D173" s="23" t="s">
        <v>11</v>
      </c>
      <c r="E173" s="46" t="s">
        <v>221</v>
      </c>
      <c r="F173" s="46" t="s">
        <v>221</v>
      </c>
      <c r="G173" s="46" t="s">
        <v>221</v>
      </c>
      <c r="H173" s="46" t="s">
        <v>221</v>
      </c>
      <c r="I173" s="25">
        <v>0.9</v>
      </c>
      <c r="J173" s="26">
        <v>0.97297297297297303</v>
      </c>
      <c r="K173" s="26">
        <v>0.96</v>
      </c>
      <c r="L173" s="27">
        <v>0.93243243243243246</v>
      </c>
      <c r="M173" s="26">
        <v>0.9345335515548282</v>
      </c>
      <c r="N173" s="28">
        <v>0.9</v>
      </c>
      <c r="O173" s="26">
        <v>0.96427763961112367</v>
      </c>
      <c r="P173" s="26">
        <v>0.97245179063360887</v>
      </c>
      <c r="Q173" s="26">
        <v>0.97618102421595876</v>
      </c>
      <c r="R173" s="26">
        <v>0.9671463414634146</v>
      </c>
      <c r="S173" s="28">
        <v>0.9</v>
      </c>
      <c r="T173" s="26">
        <v>0.90662446303413968</v>
      </c>
      <c r="U173" s="26">
        <v>0.90318772136953951</v>
      </c>
      <c r="V173" s="26">
        <v>0.90611353711790388</v>
      </c>
      <c r="W173" s="26">
        <v>0.90343902439024393</v>
      </c>
      <c r="X173" s="28">
        <v>0.92</v>
      </c>
      <c r="Y173" s="28">
        <v>0.92161820480404555</v>
      </c>
      <c r="Z173" s="28">
        <v>0.93459981314232321</v>
      </c>
      <c r="AA173" s="28">
        <v>0.93645273474549473</v>
      </c>
      <c r="AB173" s="28">
        <v>0.93574692719823516</v>
      </c>
      <c r="AC173" s="28">
        <v>0.92</v>
      </c>
      <c r="AD173" s="26">
        <v>0.98653275507874916</v>
      </c>
      <c r="AE173" s="26">
        <v>0.42997424339987123</v>
      </c>
      <c r="AF173" s="26">
        <v>0.97276132107592783</v>
      </c>
      <c r="AG173" s="26">
        <v>0.66800368361813156</v>
      </c>
      <c r="AH173" s="28">
        <v>0.92</v>
      </c>
      <c r="AI173" s="26">
        <v>0.94666842243876748</v>
      </c>
      <c r="AJ173" s="26">
        <v>0.95868465430016858</v>
      </c>
      <c r="AK173" s="26">
        <v>0.96159941484822631</v>
      </c>
      <c r="AL173" s="26">
        <v>0.96077397982231594</v>
      </c>
      <c r="AM173" s="25">
        <v>0.99</v>
      </c>
      <c r="AN173" s="30">
        <v>1</v>
      </c>
      <c r="AO173" s="30">
        <v>1</v>
      </c>
      <c r="AP173" s="30">
        <v>1</v>
      </c>
      <c r="AQ173" s="30">
        <v>1</v>
      </c>
      <c r="AR173" s="32">
        <v>0.10526149898194399</v>
      </c>
      <c r="AS173" s="34">
        <v>4.5454545454545456E-2</v>
      </c>
      <c r="AT173" s="34">
        <v>0</v>
      </c>
      <c r="AU173" s="34">
        <v>9.0909090909090912E-2</v>
      </c>
      <c r="AV173" s="34">
        <v>8.7499999999999994E-2</v>
      </c>
      <c r="AW173" s="10"/>
      <c r="AX173" s="8"/>
    </row>
    <row r="174" spans="1:50">
      <c r="A174" s="7"/>
      <c r="B174" s="10"/>
      <c r="C174" s="45" t="s">
        <v>127</v>
      </c>
      <c r="D174" s="23" t="s">
        <v>11</v>
      </c>
      <c r="E174" s="46" t="s">
        <v>222</v>
      </c>
      <c r="F174" s="46" t="s">
        <v>222</v>
      </c>
      <c r="G174" s="46" t="s">
        <v>222</v>
      </c>
      <c r="H174" s="46" t="s">
        <v>222</v>
      </c>
      <c r="I174" s="25">
        <v>0.9</v>
      </c>
      <c r="J174" s="26">
        <v>0.94202898550724634</v>
      </c>
      <c r="K174" s="26">
        <v>0.9285714285714286</v>
      </c>
      <c r="L174" s="27">
        <v>0.94444444444444442</v>
      </c>
      <c r="M174" s="26">
        <v>0.91592128801431127</v>
      </c>
      <c r="N174" s="28">
        <v>0.9</v>
      </c>
      <c r="O174" s="26">
        <v>0.93367436937731518</v>
      </c>
      <c r="P174" s="26">
        <v>0.92533017270572304</v>
      </c>
      <c r="Q174" s="26">
        <v>0.84375502330814978</v>
      </c>
      <c r="R174" s="26">
        <v>0.90911968264686027</v>
      </c>
      <c r="S174" s="28">
        <v>0.9</v>
      </c>
      <c r="T174" s="26">
        <v>0.85994002469571351</v>
      </c>
      <c r="U174" s="26">
        <v>0.89112766677954625</v>
      </c>
      <c r="V174" s="26">
        <v>0.86159781385629319</v>
      </c>
      <c r="W174" s="26">
        <v>0.86976704929101956</v>
      </c>
      <c r="X174" s="28">
        <v>0.92</v>
      </c>
      <c r="Y174" s="28">
        <v>0.89179755671902272</v>
      </c>
      <c r="Z174" s="28">
        <v>0.90817832890463535</v>
      </c>
      <c r="AA174" s="28">
        <v>0.92718731650029362</v>
      </c>
      <c r="AB174" s="28">
        <v>0.9116177504718902</v>
      </c>
      <c r="AC174" s="28">
        <v>0.92</v>
      </c>
      <c r="AD174" s="26">
        <v>0.97854771784232364</v>
      </c>
      <c r="AE174" s="26">
        <v>0.98639224357883992</v>
      </c>
      <c r="AF174" s="26">
        <v>0.99624886329190665</v>
      </c>
      <c r="AG174" s="26">
        <v>0.98220828033941421</v>
      </c>
      <c r="AH174" s="28">
        <v>0.92</v>
      </c>
      <c r="AI174" s="26">
        <v>0.91855104281009881</v>
      </c>
      <c r="AJ174" s="26">
        <v>0.94502420656266806</v>
      </c>
      <c r="AK174" s="26">
        <v>0.95585791441628587</v>
      </c>
      <c r="AL174" s="26">
        <v>0.94385993200843843</v>
      </c>
      <c r="AM174" s="25">
        <v>0.99</v>
      </c>
      <c r="AN174" s="30">
        <v>1</v>
      </c>
      <c r="AO174" s="30">
        <v>1</v>
      </c>
      <c r="AP174" s="30">
        <v>1</v>
      </c>
      <c r="AQ174" s="30">
        <v>1</v>
      </c>
      <c r="AR174" s="32">
        <v>0.10526149898194399</v>
      </c>
      <c r="AS174" s="34">
        <v>0.11538461538461539</v>
      </c>
      <c r="AT174" s="34">
        <v>5.4054054054054057E-2</v>
      </c>
      <c r="AU174" s="34">
        <v>8.3333333333333329E-2</v>
      </c>
      <c r="AV174" s="34">
        <v>6.6666666666666666E-2</v>
      </c>
      <c r="AW174" s="10"/>
      <c r="AX174" s="8"/>
    </row>
    <row r="175" spans="1:50">
      <c r="A175" s="7"/>
      <c r="B175" s="10"/>
      <c r="C175" s="45" t="s">
        <v>127</v>
      </c>
      <c r="D175" s="23" t="s">
        <v>11</v>
      </c>
      <c r="E175" s="46" t="s">
        <v>223</v>
      </c>
      <c r="F175" s="46" t="s">
        <v>223</v>
      </c>
      <c r="G175" s="46" t="s">
        <v>223</v>
      </c>
      <c r="H175" s="46" t="s">
        <v>223</v>
      </c>
      <c r="I175" s="25">
        <v>0.9</v>
      </c>
      <c r="J175" s="26">
        <v>0.96202531645569622</v>
      </c>
      <c r="K175" s="26">
        <v>0.95180722891566261</v>
      </c>
      <c r="L175" s="27">
        <v>0.90588235294117647</v>
      </c>
      <c r="M175" s="26">
        <v>0.93353474320241692</v>
      </c>
      <c r="N175" s="28">
        <v>0.9</v>
      </c>
      <c r="O175" s="26">
        <v>0.92226965492707225</v>
      </c>
      <c r="P175" s="26">
        <v>0.92400275103163687</v>
      </c>
      <c r="Q175" s="26">
        <v>0.94108405341712487</v>
      </c>
      <c r="R175" s="26">
        <v>0.92923225050234426</v>
      </c>
      <c r="S175" s="28">
        <v>0.9</v>
      </c>
      <c r="T175" s="26">
        <v>0.88331554606901463</v>
      </c>
      <c r="U175" s="26">
        <v>0.90147867950481431</v>
      </c>
      <c r="V175" s="26">
        <v>0.90432050274941089</v>
      </c>
      <c r="W175" s="26">
        <v>0.89230994641661088</v>
      </c>
      <c r="X175" s="28">
        <v>0.92</v>
      </c>
      <c r="Y175" s="28">
        <v>0.92126876239025768</v>
      </c>
      <c r="Z175" s="28">
        <v>0.93949736270555384</v>
      </c>
      <c r="AA175" s="28">
        <v>0.95443572721786363</v>
      </c>
      <c r="AB175" s="28">
        <v>0.94660555928161561</v>
      </c>
      <c r="AC175" s="28">
        <v>0.92</v>
      </c>
      <c r="AD175" s="26">
        <v>0.98755918202881032</v>
      </c>
      <c r="AE175" s="26">
        <v>0.96505113383726104</v>
      </c>
      <c r="AF175" s="26">
        <v>0.9766671684479904</v>
      </c>
      <c r="AG175" s="26">
        <v>0.9440679063848918</v>
      </c>
      <c r="AH175" s="28">
        <v>0.92</v>
      </c>
      <c r="AI175" s="26">
        <v>0.9527086063783311</v>
      </c>
      <c r="AJ175" s="26">
        <v>0.96846996349153669</v>
      </c>
      <c r="AK175" s="26">
        <v>0.97654958677685955</v>
      </c>
      <c r="AL175" s="26">
        <v>0.96950206356863378</v>
      </c>
      <c r="AM175" s="25">
        <v>0.99</v>
      </c>
      <c r="AN175" s="30">
        <v>1</v>
      </c>
      <c r="AO175" s="30">
        <v>1</v>
      </c>
      <c r="AP175" s="30">
        <v>1</v>
      </c>
      <c r="AQ175" s="30">
        <v>1</v>
      </c>
      <c r="AR175" s="32">
        <v>0.10526149898194399</v>
      </c>
      <c r="AS175" s="34">
        <v>3.4482758620689655E-2</v>
      </c>
      <c r="AT175" s="34">
        <v>9.0909090909090912E-2</v>
      </c>
      <c r="AU175" s="34">
        <v>7.1428571428571425E-2</v>
      </c>
      <c r="AV175" s="34">
        <v>9.8765432098765427E-2</v>
      </c>
      <c r="AW175" s="10"/>
      <c r="AX175" s="8"/>
    </row>
    <row r="176" spans="1:50">
      <c r="A176" s="7"/>
      <c r="B176" s="10"/>
      <c r="C176" s="45" t="s">
        <v>127</v>
      </c>
      <c r="D176" s="23" t="s">
        <v>11</v>
      </c>
      <c r="E176" s="46" t="s">
        <v>224</v>
      </c>
      <c r="F176" s="46" t="s">
        <v>224</v>
      </c>
      <c r="G176" s="46" t="s">
        <v>224</v>
      </c>
      <c r="H176" s="46" t="s">
        <v>224</v>
      </c>
      <c r="I176" s="25">
        <v>0.9</v>
      </c>
      <c r="J176" s="26">
        <v>0.97777777777777775</v>
      </c>
      <c r="K176" s="26">
        <v>0.9</v>
      </c>
      <c r="L176" s="27">
        <v>0.97916666666666663</v>
      </c>
      <c r="M176" s="26">
        <v>0.94037940379403795</v>
      </c>
      <c r="N176" s="28">
        <v>0.9</v>
      </c>
      <c r="O176" s="26">
        <v>0.94141791044776124</v>
      </c>
      <c r="P176" s="26">
        <v>0.96806318681318682</v>
      </c>
      <c r="Q176" s="26">
        <v>0.97253933970996609</v>
      </c>
      <c r="R176" s="26">
        <v>0.95621038768622935</v>
      </c>
      <c r="S176" s="28">
        <v>0.9</v>
      </c>
      <c r="T176" s="26">
        <v>0.91716417910447756</v>
      </c>
      <c r="U176" s="26">
        <v>0.94986263736263732</v>
      </c>
      <c r="V176" s="26">
        <v>0.93952483801295894</v>
      </c>
      <c r="W176" s="26">
        <v>0.90694707383323725</v>
      </c>
      <c r="X176" s="28">
        <v>0.92</v>
      </c>
      <c r="Y176" s="28">
        <v>0.92545638945233266</v>
      </c>
      <c r="Z176" s="28">
        <v>0.96167979002624671</v>
      </c>
      <c r="AA176" s="28">
        <v>0.96815974096060442</v>
      </c>
      <c r="AB176" s="28">
        <v>0.95440907905035222</v>
      </c>
      <c r="AC176" s="28">
        <v>0.92</v>
      </c>
      <c r="AD176" s="26">
        <v>0.99671592775041051</v>
      </c>
      <c r="AE176" s="26">
        <v>0.99096385542168675</v>
      </c>
      <c r="AF176" s="26">
        <v>0.97839506172839508</v>
      </c>
      <c r="AG176" s="26">
        <v>0.97506983240223466</v>
      </c>
      <c r="AH176" s="28">
        <v>0.92</v>
      </c>
      <c r="AI176" s="26">
        <v>0.94563816072195961</v>
      </c>
      <c r="AJ176" s="26">
        <v>0.97737180817936475</v>
      </c>
      <c r="AK176" s="26">
        <v>0.98213584609344329</v>
      </c>
      <c r="AL176" s="26">
        <v>0.97282704680206888</v>
      </c>
      <c r="AM176" s="25">
        <v>0.99</v>
      </c>
      <c r="AN176" s="30">
        <v>1</v>
      </c>
      <c r="AO176" s="30">
        <v>1</v>
      </c>
      <c r="AP176" s="30">
        <v>1</v>
      </c>
      <c r="AQ176" s="30">
        <v>1</v>
      </c>
      <c r="AR176" s="32">
        <v>0.10526149898194399</v>
      </c>
      <c r="AS176" s="34">
        <v>0.23076923076923078</v>
      </c>
      <c r="AT176" s="34">
        <v>4.7619047619047616E-2</v>
      </c>
      <c r="AU176" s="34">
        <v>0</v>
      </c>
      <c r="AV176" s="34">
        <v>8.5714285714285715E-2</v>
      </c>
      <c r="AW176" s="10"/>
      <c r="AX176" s="8"/>
    </row>
    <row r="177" spans="1:50">
      <c r="A177" s="7"/>
      <c r="B177" s="10"/>
      <c r="C177" s="45" t="s">
        <v>127</v>
      </c>
      <c r="D177" s="23" t="s">
        <v>11</v>
      </c>
      <c r="E177" s="46" t="s">
        <v>225</v>
      </c>
      <c r="F177" s="46" t="s">
        <v>225</v>
      </c>
      <c r="G177" s="46" t="s">
        <v>225</v>
      </c>
      <c r="H177" s="46" t="s">
        <v>225</v>
      </c>
      <c r="I177" s="25">
        <v>0.9</v>
      </c>
      <c r="J177" s="26">
        <v>0.97297297297297303</v>
      </c>
      <c r="K177" s="26">
        <v>0.97297297297297303</v>
      </c>
      <c r="L177" s="27">
        <v>0.97402597402597402</v>
      </c>
      <c r="M177" s="26">
        <v>0.97840531561461797</v>
      </c>
      <c r="N177" s="28">
        <v>0.9</v>
      </c>
      <c r="O177" s="26">
        <v>0.93524043524043521</v>
      </c>
      <c r="P177" s="26">
        <v>0.93230769230769228</v>
      </c>
      <c r="Q177" s="26">
        <v>0.89374438790781208</v>
      </c>
      <c r="R177" s="26">
        <v>0.91799835255354201</v>
      </c>
      <c r="S177" s="28">
        <v>0.9</v>
      </c>
      <c r="T177" s="26">
        <v>0.93295893295893295</v>
      </c>
      <c r="U177" s="26">
        <v>0.91965811965811961</v>
      </c>
      <c r="V177" s="26">
        <v>0.93041005686920086</v>
      </c>
      <c r="W177" s="26">
        <v>0.92742998352553541</v>
      </c>
      <c r="X177" s="28">
        <v>0.92</v>
      </c>
      <c r="Y177" s="28">
        <v>0.95536185948230323</v>
      </c>
      <c r="Z177" s="28">
        <v>0.98454221165279432</v>
      </c>
      <c r="AA177" s="28">
        <v>0.98485281509002576</v>
      </c>
      <c r="AB177" s="28">
        <v>0.98363003887865763</v>
      </c>
      <c r="AC177" s="28">
        <v>0.92</v>
      </c>
      <c r="AD177" s="26">
        <v>0.99550886197770472</v>
      </c>
      <c r="AE177" s="26">
        <v>0.85198369705411958</v>
      </c>
      <c r="AF177" s="26">
        <v>0.96355596218359252</v>
      </c>
      <c r="AG177" s="26">
        <v>0.93071394345951131</v>
      </c>
      <c r="AH177" s="28">
        <v>0.92</v>
      </c>
      <c r="AI177" s="26">
        <v>0.97280775716694767</v>
      </c>
      <c r="AJ177" s="26">
        <v>0.99099196874321682</v>
      </c>
      <c r="AK177" s="26">
        <v>0.9919457813574305</v>
      </c>
      <c r="AL177" s="26">
        <v>0.99065600492870065</v>
      </c>
      <c r="AM177" s="25">
        <v>0.99</v>
      </c>
      <c r="AN177" s="30">
        <v>1</v>
      </c>
      <c r="AO177" s="30">
        <v>1</v>
      </c>
      <c r="AP177" s="30">
        <v>1</v>
      </c>
      <c r="AQ177" s="30">
        <v>1</v>
      </c>
      <c r="AR177" s="32">
        <v>0.10526149898194399</v>
      </c>
      <c r="AS177" s="34">
        <v>0.25</v>
      </c>
      <c r="AT177" s="34">
        <v>0.11538461538461539</v>
      </c>
      <c r="AU177" s="34">
        <v>3.125E-2</v>
      </c>
      <c r="AV177" s="34">
        <v>0.14767932489451477</v>
      </c>
      <c r="AW177" s="10"/>
      <c r="AX177" s="8"/>
    </row>
    <row r="178" spans="1:50">
      <c r="A178" s="7"/>
      <c r="B178" s="10"/>
      <c r="C178" s="45" t="s">
        <v>127</v>
      </c>
      <c r="D178" s="23" t="s">
        <v>11</v>
      </c>
      <c r="E178" s="46" t="s">
        <v>226</v>
      </c>
      <c r="F178" s="46" t="s">
        <v>226</v>
      </c>
      <c r="G178" s="46" t="s">
        <v>226</v>
      </c>
      <c r="H178" s="46" t="s">
        <v>226</v>
      </c>
      <c r="I178" s="25">
        <v>0.9</v>
      </c>
      <c r="J178" s="26">
        <v>0.94545454545454544</v>
      </c>
      <c r="K178" s="26">
        <v>0.93442622950819676</v>
      </c>
      <c r="L178" s="27">
        <v>0.96491228070175439</v>
      </c>
      <c r="M178" s="26">
        <v>0.95364238410596025</v>
      </c>
      <c r="N178" s="28">
        <v>0.9</v>
      </c>
      <c r="O178" s="26">
        <v>0.94165694282380397</v>
      </c>
      <c r="P178" s="26">
        <v>0.96098297046777326</v>
      </c>
      <c r="Q178" s="26">
        <v>0.94610140605027693</v>
      </c>
      <c r="R178" s="26">
        <v>0.93850354997269247</v>
      </c>
      <c r="S178" s="28">
        <v>0.9</v>
      </c>
      <c r="T178" s="26">
        <v>0.9201866977829638</v>
      </c>
      <c r="U178" s="26">
        <v>0.94201336494934251</v>
      </c>
      <c r="V178" s="26">
        <v>0.92799318278653598</v>
      </c>
      <c r="W178" s="26">
        <v>0.92779901693063904</v>
      </c>
      <c r="X178" s="28">
        <v>0.92</v>
      </c>
      <c r="Y178" s="28">
        <v>0.94234659474039106</v>
      </c>
      <c r="Z178" s="28">
        <v>0.9553224553224553</v>
      </c>
      <c r="AA178" s="28">
        <v>0.95347896440129454</v>
      </c>
      <c r="AB178" s="28">
        <v>0.95471574412288096</v>
      </c>
      <c r="AC178" s="28">
        <v>0.92</v>
      </c>
      <c r="AD178" s="26">
        <v>0.99454214675560948</v>
      </c>
      <c r="AE178" s="26">
        <v>0.98167307123854564</v>
      </c>
      <c r="AF178" s="26">
        <v>0.98758149642968018</v>
      </c>
      <c r="AG178" s="26">
        <v>0.97479890636763478</v>
      </c>
      <c r="AH178" s="28">
        <v>0.92</v>
      </c>
      <c r="AI178" s="26">
        <v>0.956989247311828</v>
      </c>
      <c r="AJ178" s="26">
        <v>0.97379731041175654</v>
      </c>
      <c r="AK178" s="26">
        <v>0.97236952274630195</v>
      </c>
      <c r="AL178" s="26">
        <v>0.97287182671081673</v>
      </c>
      <c r="AM178" s="25">
        <v>0.99</v>
      </c>
      <c r="AN178" s="30">
        <v>1</v>
      </c>
      <c r="AO178" s="30">
        <v>1</v>
      </c>
      <c r="AP178" s="30">
        <v>1</v>
      </c>
      <c r="AQ178" s="30">
        <v>1</v>
      </c>
      <c r="AR178" s="32">
        <v>0.10526149898194399</v>
      </c>
      <c r="AS178" s="34">
        <v>0.1875</v>
      </c>
      <c r="AT178" s="34">
        <v>0</v>
      </c>
      <c r="AU178" s="34">
        <v>6.25E-2</v>
      </c>
      <c r="AV178" s="34">
        <v>9.3457943925233641E-2</v>
      </c>
      <c r="AW178" s="10"/>
      <c r="AX178" s="8"/>
    </row>
    <row r="179" spans="1:50">
      <c r="A179" s="7"/>
      <c r="B179" s="10"/>
      <c r="C179" s="45" t="s">
        <v>127</v>
      </c>
      <c r="D179" s="23" t="s">
        <v>11</v>
      </c>
      <c r="E179" s="46" t="s">
        <v>227</v>
      </c>
      <c r="F179" s="46" t="s">
        <v>227</v>
      </c>
      <c r="G179" s="46" t="s">
        <v>227</v>
      </c>
      <c r="H179" s="46" t="s">
        <v>227</v>
      </c>
      <c r="I179" s="25">
        <v>0.9</v>
      </c>
      <c r="J179" s="26">
        <v>0.96052631578947367</v>
      </c>
      <c r="K179" s="26">
        <v>0.88749999999999996</v>
      </c>
      <c r="L179" s="27">
        <v>0.93506493506493504</v>
      </c>
      <c r="M179" s="26">
        <v>0.92580101180438445</v>
      </c>
      <c r="N179" s="28">
        <v>0.9</v>
      </c>
      <c r="O179" s="26">
        <v>0.91546847843261181</v>
      </c>
      <c r="P179" s="26">
        <v>0.95623156914480834</v>
      </c>
      <c r="Q179" s="26">
        <v>0.92715231788079466</v>
      </c>
      <c r="R179" s="26">
        <v>0.91597584305487822</v>
      </c>
      <c r="S179" s="28">
        <v>0.9</v>
      </c>
      <c r="T179" s="26">
        <v>0.88307789540211723</v>
      </c>
      <c r="U179" s="26">
        <v>0.92146515598323764</v>
      </c>
      <c r="V179" s="26">
        <v>0.91018211920529801</v>
      </c>
      <c r="W179" s="26">
        <v>0.900221313627668</v>
      </c>
      <c r="X179" s="28">
        <v>0.92</v>
      </c>
      <c r="Y179" s="28">
        <v>0.89806451612903226</v>
      </c>
      <c r="Z179" s="28">
        <v>0.92219423453680383</v>
      </c>
      <c r="AA179" s="28">
        <v>0.9177820267686424</v>
      </c>
      <c r="AB179" s="28">
        <v>0.91877280265339967</v>
      </c>
      <c r="AC179" s="28">
        <v>0.92</v>
      </c>
      <c r="AD179" s="26">
        <v>0.99684997330485847</v>
      </c>
      <c r="AE179" s="26">
        <v>0.98926818745618295</v>
      </c>
      <c r="AF179" s="26">
        <v>0.99710895621273266</v>
      </c>
      <c r="AG179" s="26">
        <v>0.98934514704226839</v>
      </c>
      <c r="AH179" s="28">
        <v>0.92</v>
      </c>
      <c r="AI179" s="26">
        <v>0.92634671890303621</v>
      </c>
      <c r="AJ179" s="26">
        <v>0.95656948881789139</v>
      </c>
      <c r="AK179" s="26">
        <v>0.95820731372009893</v>
      </c>
      <c r="AL179" s="26">
        <v>0.95435162781783767</v>
      </c>
      <c r="AM179" s="25">
        <v>0.99</v>
      </c>
      <c r="AN179" s="30">
        <v>1</v>
      </c>
      <c r="AO179" s="30">
        <v>1</v>
      </c>
      <c r="AP179" s="30">
        <v>1</v>
      </c>
      <c r="AQ179" s="30">
        <v>1</v>
      </c>
      <c r="AR179" s="32">
        <v>0.10526149898194399</v>
      </c>
      <c r="AS179" s="34">
        <v>0.21428571428571427</v>
      </c>
      <c r="AT179" s="34">
        <v>0</v>
      </c>
      <c r="AU179" s="34">
        <v>0.24390243902439024</v>
      </c>
      <c r="AV179" s="34">
        <v>0.15322580645161291</v>
      </c>
      <c r="AW179" s="10"/>
      <c r="AX179" s="8"/>
    </row>
    <row r="180" spans="1:50">
      <c r="A180" s="7"/>
      <c r="B180" s="10"/>
      <c r="C180" s="45" t="s">
        <v>127</v>
      </c>
      <c r="D180" s="23" t="s">
        <v>11</v>
      </c>
      <c r="E180" s="46" t="s">
        <v>228</v>
      </c>
      <c r="F180" s="46" t="s">
        <v>228</v>
      </c>
      <c r="G180" s="46" t="s">
        <v>228</v>
      </c>
      <c r="H180" s="46" t="s">
        <v>228</v>
      </c>
      <c r="I180" s="25">
        <v>0.9</v>
      </c>
      <c r="J180" s="26">
        <v>0.84615384615384615</v>
      </c>
      <c r="K180" s="26">
        <v>0.82758620689655171</v>
      </c>
      <c r="L180" s="27">
        <v>0.93406593406593408</v>
      </c>
      <c r="M180" s="26">
        <v>0.83304042179261861</v>
      </c>
      <c r="N180" s="28">
        <v>0.9</v>
      </c>
      <c r="O180" s="26">
        <v>0.7080491132332879</v>
      </c>
      <c r="P180" s="26">
        <v>0.36276062285563471</v>
      </c>
      <c r="Q180" s="26">
        <v>0.90493124703651018</v>
      </c>
      <c r="R180" s="26">
        <v>0.76593465452597753</v>
      </c>
      <c r="S180" s="28">
        <v>0.9</v>
      </c>
      <c r="T180" s="26">
        <v>0.84038199181446116</v>
      </c>
      <c r="U180" s="26">
        <v>0.87503299023489045</v>
      </c>
      <c r="V180" s="26">
        <v>0.8718587008060692</v>
      </c>
      <c r="W180" s="26">
        <v>0.83470426199403169</v>
      </c>
      <c r="X180" s="28">
        <v>0.92</v>
      </c>
      <c r="Y180" s="28">
        <v>0.97674418604651159</v>
      </c>
      <c r="Z180" s="28">
        <v>0.98277004638833665</v>
      </c>
      <c r="AA180" s="28">
        <v>0.9826705176627416</v>
      </c>
      <c r="AB180" s="28">
        <v>0.94638507883604661</v>
      </c>
      <c r="AC180" s="28">
        <v>0.92</v>
      </c>
      <c r="AD180" s="26">
        <v>0.96936542669584247</v>
      </c>
      <c r="AE180" s="26">
        <v>0.77102330293819654</v>
      </c>
      <c r="AF180" s="26">
        <v>0.94168734491315131</v>
      </c>
      <c r="AG180" s="26">
        <v>0.91282721562647495</v>
      </c>
      <c r="AH180" s="28">
        <v>0.92</v>
      </c>
      <c r="AI180" s="26">
        <v>0.97784810126582278</v>
      </c>
      <c r="AJ180" s="26">
        <v>0.9876978594275404</v>
      </c>
      <c r="AK180" s="26">
        <v>0.97047942619856553</v>
      </c>
      <c r="AL180" s="26">
        <v>0.96207463540177296</v>
      </c>
      <c r="AM180" s="25">
        <v>0.99</v>
      </c>
      <c r="AN180" s="30">
        <v>1</v>
      </c>
      <c r="AO180" s="30">
        <v>1</v>
      </c>
      <c r="AP180" s="30">
        <v>1</v>
      </c>
      <c r="AQ180" s="30">
        <v>1</v>
      </c>
      <c r="AR180" s="32">
        <v>0.10526149898194399</v>
      </c>
      <c r="AS180" s="34">
        <v>0</v>
      </c>
      <c r="AT180" s="34">
        <v>2.7777777777777776E-2</v>
      </c>
      <c r="AU180" s="34">
        <v>0.11764705882352941</v>
      </c>
      <c r="AV180" s="34">
        <v>8.3969465648854963E-2</v>
      </c>
      <c r="AW180" s="10"/>
      <c r="AX180" s="8"/>
    </row>
    <row r="181" spans="1:50">
      <c r="A181" s="7"/>
      <c r="B181" s="10"/>
      <c r="C181" s="45" t="s">
        <v>127</v>
      </c>
      <c r="D181" s="23" t="s">
        <v>11</v>
      </c>
      <c r="E181" s="46" t="s">
        <v>229</v>
      </c>
      <c r="F181" s="46" t="s">
        <v>229</v>
      </c>
      <c r="G181" s="46" t="s">
        <v>229</v>
      </c>
      <c r="H181" s="46" t="s">
        <v>229</v>
      </c>
      <c r="I181" s="25">
        <v>0.9</v>
      </c>
      <c r="J181" s="26">
        <v>0.96491228070175439</v>
      </c>
      <c r="K181" s="26">
        <v>0.96610169491525422</v>
      </c>
      <c r="L181" s="27">
        <v>0.96666666666666667</v>
      </c>
      <c r="M181" s="26">
        <v>0.93918918918918914</v>
      </c>
      <c r="N181" s="28">
        <v>0.9</v>
      </c>
      <c r="O181" s="26">
        <v>0.85461745156272095</v>
      </c>
      <c r="P181" s="26">
        <v>0.92949556621601981</v>
      </c>
      <c r="Q181" s="26">
        <v>0.79155538598499298</v>
      </c>
      <c r="R181" s="26">
        <v>0.82491447703617438</v>
      </c>
      <c r="S181" s="28">
        <v>0.9</v>
      </c>
      <c r="T181" s="26">
        <v>0.88742752085985011</v>
      </c>
      <c r="U181" s="26">
        <v>0.92527983718563744</v>
      </c>
      <c r="V181" s="26">
        <v>0.90626987155029892</v>
      </c>
      <c r="W181" s="26">
        <v>0.89216828007860838</v>
      </c>
      <c r="X181" s="28">
        <v>0.92</v>
      </c>
      <c r="Y181" s="28">
        <v>0.9186686686686687</v>
      </c>
      <c r="Z181" s="28">
        <v>0.93771626297577859</v>
      </c>
      <c r="AA181" s="28">
        <v>0.95601726929303832</v>
      </c>
      <c r="AB181" s="28">
        <v>0.94197705381504981</v>
      </c>
      <c r="AC181" s="28">
        <v>0.92</v>
      </c>
      <c r="AD181" s="26">
        <v>0.99198910937745433</v>
      </c>
      <c r="AE181" s="26">
        <v>0.99339724461938927</v>
      </c>
      <c r="AF181" s="26">
        <v>0.99535429605359671</v>
      </c>
      <c r="AG181" s="26">
        <v>0.9599147289881963</v>
      </c>
      <c r="AH181" s="28">
        <v>0.92</v>
      </c>
      <c r="AI181" s="26">
        <v>0.94283908253566917</v>
      </c>
      <c r="AJ181" s="26">
        <v>0.96234388205465304</v>
      </c>
      <c r="AK181" s="26">
        <v>0.97537158658831657</v>
      </c>
      <c r="AL181" s="26">
        <v>0.96241147205150712</v>
      </c>
      <c r="AM181" s="25">
        <v>0.99</v>
      </c>
      <c r="AN181" s="30">
        <v>1</v>
      </c>
      <c r="AO181" s="30">
        <v>1</v>
      </c>
      <c r="AP181" s="30">
        <v>1</v>
      </c>
      <c r="AQ181" s="30">
        <v>1</v>
      </c>
      <c r="AR181" s="32">
        <v>0.10526149898194399</v>
      </c>
      <c r="AS181" s="34">
        <v>2.2222222222222223E-2</v>
      </c>
      <c r="AT181" s="34">
        <v>3.5714285714285712E-2</v>
      </c>
      <c r="AU181" s="34">
        <v>8.1081081081081086E-2</v>
      </c>
      <c r="AV181" s="34">
        <v>0.06</v>
      </c>
      <c r="AW181" s="10"/>
      <c r="AX181" s="8"/>
    </row>
    <row r="182" spans="1:50">
      <c r="A182" s="7"/>
      <c r="B182" s="10"/>
      <c r="C182" s="45" t="s">
        <v>127</v>
      </c>
      <c r="D182" s="23" t="s">
        <v>11</v>
      </c>
      <c r="E182" s="46" t="s">
        <v>230</v>
      </c>
      <c r="F182" s="46" t="s">
        <v>230</v>
      </c>
      <c r="G182" s="46" t="s">
        <v>230</v>
      </c>
      <c r="H182" s="46" t="s">
        <v>230</v>
      </c>
      <c r="I182" s="25">
        <v>0.9</v>
      </c>
      <c r="J182" s="26">
        <v>0.94339622641509435</v>
      </c>
      <c r="K182" s="26">
        <v>0.98039215686274506</v>
      </c>
      <c r="L182" s="27">
        <v>0.90566037735849059</v>
      </c>
      <c r="M182" s="26">
        <v>0.94014962593516205</v>
      </c>
      <c r="N182" s="28">
        <v>0.9</v>
      </c>
      <c r="O182" s="26">
        <v>0.93938325991189431</v>
      </c>
      <c r="P182" s="26">
        <v>0.93542757417102962</v>
      </c>
      <c r="Q182" s="26">
        <v>0.9233570863024545</v>
      </c>
      <c r="R182" s="26">
        <v>0.93618210347570019</v>
      </c>
      <c r="S182" s="28">
        <v>0.9</v>
      </c>
      <c r="T182" s="26">
        <v>0.91207048458149775</v>
      </c>
      <c r="U182" s="26">
        <v>0.93315881326352534</v>
      </c>
      <c r="V182" s="26">
        <v>0.93016627078384795</v>
      </c>
      <c r="W182" s="26">
        <v>0.91851342346796205</v>
      </c>
      <c r="X182" s="28">
        <v>0.92</v>
      </c>
      <c r="Y182" s="28">
        <v>0.91836734693877553</v>
      </c>
      <c r="Z182" s="28">
        <v>0.94852941176470584</v>
      </c>
      <c r="AA182" s="28">
        <v>0.96683906297535749</v>
      </c>
      <c r="AB182" s="28">
        <v>0.95044519048314113</v>
      </c>
      <c r="AC182" s="28">
        <v>0.92</v>
      </c>
      <c r="AD182" s="26">
        <v>0.98958875585632478</v>
      </c>
      <c r="AE182" s="26">
        <v>0.95186427303215626</v>
      </c>
      <c r="AF182" s="26">
        <v>0.98777506112469438</v>
      </c>
      <c r="AG182" s="26">
        <v>0.98233943669858337</v>
      </c>
      <c r="AH182" s="28">
        <v>0.92</v>
      </c>
      <c r="AI182" s="26">
        <v>0.94062532898199813</v>
      </c>
      <c r="AJ182" s="26">
        <v>0.96769247618004595</v>
      </c>
      <c r="AK182" s="26">
        <v>0.97761116317817354</v>
      </c>
      <c r="AL182" s="26">
        <v>0.96828380918890411</v>
      </c>
      <c r="AM182" s="25">
        <v>0.99</v>
      </c>
      <c r="AN182" s="30">
        <v>1</v>
      </c>
      <c r="AO182" s="30">
        <v>1</v>
      </c>
      <c r="AP182" s="30">
        <v>1</v>
      </c>
      <c r="AQ182" s="30">
        <v>1</v>
      </c>
      <c r="AR182" s="32">
        <v>0.10526149898194399</v>
      </c>
      <c r="AS182" s="34">
        <v>8.6956521739130432E-2</v>
      </c>
      <c r="AT182" s="34">
        <v>0</v>
      </c>
      <c r="AU182" s="34">
        <v>0</v>
      </c>
      <c r="AV182" s="34">
        <v>4.790419161676647E-2</v>
      </c>
      <c r="AW182" s="10"/>
      <c r="AX182" s="8"/>
    </row>
    <row r="183" spans="1:50">
      <c r="A183" s="7"/>
      <c r="B183" s="10"/>
      <c r="C183" s="45" t="s">
        <v>127</v>
      </c>
      <c r="D183" s="23" t="s">
        <v>11</v>
      </c>
      <c r="E183" s="46" t="s">
        <v>231</v>
      </c>
      <c r="F183" s="46" t="s">
        <v>231</v>
      </c>
      <c r="G183" s="46" t="s">
        <v>231</v>
      </c>
      <c r="H183" s="46" t="s">
        <v>231</v>
      </c>
      <c r="I183" s="25">
        <v>0.9</v>
      </c>
      <c r="J183" s="26">
        <v>0.9555555555555556</v>
      </c>
      <c r="K183" s="26">
        <v>0.9555555555555556</v>
      </c>
      <c r="L183" s="27">
        <v>0.97826086956521741</v>
      </c>
      <c r="M183" s="26">
        <v>0.97674418604651159</v>
      </c>
      <c r="N183" s="28">
        <v>0.9</v>
      </c>
      <c r="O183" s="26">
        <v>0.91670052824055259</v>
      </c>
      <c r="P183" s="26">
        <v>0.9319039110581695</v>
      </c>
      <c r="Q183" s="26">
        <v>0.91109504878930248</v>
      </c>
      <c r="R183" s="26">
        <v>0.90768816282544273</v>
      </c>
      <c r="S183" s="28">
        <v>0.9</v>
      </c>
      <c r="T183" s="26">
        <v>0.91182446160097519</v>
      </c>
      <c r="U183" s="26">
        <v>0.93309509628747267</v>
      </c>
      <c r="V183" s="26">
        <v>0.91055294542826171</v>
      </c>
      <c r="W183" s="26">
        <v>0.91395821597394011</v>
      </c>
      <c r="X183" s="28">
        <v>0.92</v>
      </c>
      <c r="Y183" s="28">
        <v>0.92876165113182418</v>
      </c>
      <c r="Z183" s="28">
        <v>0.95746189294576389</v>
      </c>
      <c r="AA183" s="28">
        <v>0.95738963531669863</v>
      </c>
      <c r="AB183" s="28">
        <v>0.95502248875562223</v>
      </c>
      <c r="AC183" s="28">
        <v>0.92</v>
      </c>
      <c r="AD183" s="26">
        <v>0.96208148446954422</v>
      </c>
      <c r="AE183" s="26">
        <v>0.94987429289754877</v>
      </c>
      <c r="AF183" s="26">
        <v>0.97169531713100177</v>
      </c>
      <c r="AG183" s="26">
        <v>0.96340979305821639</v>
      </c>
      <c r="AH183" s="28">
        <v>0.92</v>
      </c>
      <c r="AI183" s="26">
        <v>0.95635170934779867</v>
      </c>
      <c r="AJ183" s="26">
        <v>0.97480916030534348</v>
      </c>
      <c r="AK183" s="26">
        <v>0.97433693516699416</v>
      </c>
      <c r="AL183" s="26">
        <v>0.97159994332582922</v>
      </c>
      <c r="AM183" s="25">
        <v>0.99</v>
      </c>
      <c r="AN183" s="30">
        <v>1</v>
      </c>
      <c r="AO183" s="30">
        <v>1</v>
      </c>
      <c r="AP183" s="30">
        <v>1</v>
      </c>
      <c r="AQ183" s="30">
        <v>1</v>
      </c>
      <c r="AR183" s="32">
        <v>0.10526149898194399</v>
      </c>
      <c r="AS183" s="34">
        <v>5.5555555555555552E-2</v>
      </c>
      <c r="AT183" s="34">
        <v>4.3478260869565216E-2</v>
      </c>
      <c r="AU183" s="34">
        <v>5.8823529411764705E-2</v>
      </c>
      <c r="AV183" s="34">
        <v>7.8431372549019607E-2</v>
      </c>
      <c r="AW183" s="10"/>
      <c r="AX183" s="8"/>
    </row>
    <row r="184" spans="1:50">
      <c r="A184" s="7"/>
      <c r="B184" s="10"/>
      <c r="C184" s="45" t="s">
        <v>127</v>
      </c>
      <c r="D184" s="23" t="s">
        <v>11</v>
      </c>
      <c r="E184" s="46" t="s">
        <v>232</v>
      </c>
      <c r="F184" s="46" t="s">
        <v>232</v>
      </c>
      <c r="G184" s="46" t="s">
        <v>232</v>
      </c>
      <c r="H184" s="46" t="s">
        <v>232</v>
      </c>
      <c r="I184" s="25">
        <v>0.9</v>
      </c>
      <c r="J184" s="26">
        <v>0.94666666666666666</v>
      </c>
      <c r="K184" s="26">
        <v>0.92105263157894735</v>
      </c>
      <c r="L184" s="27">
        <v>0.92</v>
      </c>
      <c r="M184" s="26">
        <v>0.9408783783783784</v>
      </c>
      <c r="N184" s="28">
        <v>0.9</v>
      </c>
      <c r="O184" s="26">
        <v>0.91783965728274175</v>
      </c>
      <c r="P184" s="26">
        <v>0.93882352941176472</v>
      </c>
      <c r="Q184" s="26">
        <v>0.93025582392453909</v>
      </c>
      <c r="R184" s="26">
        <v>0.89121593779672859</v>
      </c>
      <c r="S184" s="28">
        <v>0.9</v>
      </c>
      <c r="T184" s="26">
        <v>0.90208078335373321</v>
      </c>
      <c r="U184" s="26">
        <v>0.91455882352941176</v>
      </c>
      <c r="V184" s="26">
        <v>0.91253394311847935</v>
      </c>
      <c r="W184" s="26">
        <v>0.89218338499023597</v>
      </c>
      <c r="X184" s="28">
        <v>0.92</v>
      </c>
      <c r="Y184" s="28">
        <v>0.92043863742417176</v>
      </c>
      <c r="Z184" s="28">
        <v>0.93686934023285895</v>
      </c>
      <c r="AA184" s="28">
        <v>0.94192185850052801</v>
      </c>
      <c r="AB184" s="28">
        <v>0.92690988462737756</v>
      </c>
      <c r="AC184" s="28">
        <v>0.92</v>
      </c>
      <c r="AD184" s="26">
        <v>0.98618784530386738</v>
      </c>
      <c r="AE184" s="26">
        <v>0.98347107438016534</v>
      </c>
      <c r="AF184" s="26">
        <v>0.92325976230899831</v>
      </c>
      <c r="AG184" s="26">
        <v>0.96406326544894672</v>
      </c>
      <c r="AH184" s="28">
        <v>0.92</v>
      </c>
      <c r="AI184" s="26">
        <v>0.94188302688718473</v>
      </c>
      <c r="AJ184" s="26">
        <v>0.95950885743743553</v>
      </c>
      <c r="AK184" s="26">
        <v>0.96143506072123852</v>
      </c>
      <c r="AL184" s="26">
        <v>0.95299096680243012</v>
      </c>
      <c r="AM184" s="25">
        <v>0.99</v>
      </c>
      <c r="AN184" s="30">
        <v>1</v>
      </c>
      <c r="AO184" s="30">
        <v>1</v>
      </c>
      <c r="AP184" s="30">
        <v>1</v>
      </c>
      <c r="AQ184" s="30">
        <v>1</v>
      </c>
      <c r="AR184" s="32">
        <v>0.10526149898194399</v>
      </c>
      <c r="AS184" s="34">
        <v>2.6315789473684209E-2</v>
      </c>
      <c r="AT184" s="34">
        <v>0</v>
      </c>
      <c r="AU184" s="34">
        <v>8.3333333333333329E-2</v>
      </c>
      <c r="AV184" s="34">
        <v>9.2682926829268292E-2</v>
      </c>
      <c r="AW184" s="10"/>
      <c r="AX184" s="8"/>
    </row>
    <row r="185" spans="1:50">
      <c r="A185" s="7"/>
      <c r="B185" s="10"/>
      <c r="C185" s="45" t="s">
        <v>127</v>
      </c>
      <c r="D185" s="23" t="s">
        <v>11</v>
      </c>
      <c r="E185" s="46" t="s">
        <v>233</v>
      </c>
      <c r="F185" s="46" t="s">
        <v>233</v>
      </c>
      <c r="G185" s="46" t="s">
        <v>233</v>
      </c>
      <c r="H185" s="46" t="s">
        <v>233</v>
      </c>
      <c r="I185" s="25">
        <v>0.9</v>
      </c>
      <c r="J185" s="26">
        <v>0.96226415094339623</v>
      </c>
      <c r="K185" s="26">
        <v>0.92592592592592593</v>
      </c>
      <c r="L185" s="27">
        <v>0.98019801980198018</v>
      </c>
      <c r="M185" s="26">
        <v>0.94749694749694746</v>
      </c>
      <c r="N185" s="28">
        <v>0.9</v>
      </c>
      <c r="O185" s="26">
        <v>0.88780862223359347</v>
      </c>
      <c r="P185" s="26">
        <v>0.92179552390640895</v>
      </c>
      <c r="Q185" s="26">
        <v>0.91572161871791813</v>
      </c>
      <c r="R185" s="26">
        <v>0.91623683808942469</v>
      </c>
      <c r="S185" s="28">
        <v>0.9</v>
      </c>
      <c r="T185" s="26">
        <v>0.88972751695023666</v>
      </c>
      <c r="U185" s="26">
        <v>0.92103255340793488</v>
      </c>
      <c r="V185" s="26">
        <v>0.90008356213441565</v>
      </c>
      <c r="W185" s="26">
        <v>0.90535632534716926</v>
      </c>
      <c r="X185" s="28">
        <v>0.92</v>
      </c>
      <c r="Y185" s="28">
        <v>0.91561102831594632</v>
      </c>
      <c r="Z185" s="28">
        <v>0.94249618819429315</v>
      </c>
      <c r="AA185" s="28">
        <v>0.94845824893090258</v>
      </c>
      <c r="AB185" s="28">
        <v>0.94252515821143268</v>
      </c>
      <c r="AC185" s="28">
        <v>0.92</v>
      </c>
      <c r="AD185" s="26">
        <v>0.99702992917523414</v>
      </c>
      <c r="AE185" s="26">
        <v>0.99269552823801888</v>
      </c>
      <c r="AF185" s="26">
        <v>0.99010189228529843</v>
      </c>
      <c r="AG185" s="26">
        <v>0.99211822660098525</v>
      </c>
      <c r="AH185" s="28">
        <v>0.92</v>
      </c>
      <c r="AI185" s="26">
        <v>0.93729147710039429</v>
      </c>
      <c r="AJ185" s="26">
        <v>0.96507707129094411</v>
      </c>
      <c r="AK185" s="26">
        <v>0.96802370924972703</v>
      </c>
      <c r="AL185" s="26">
        <v>0.96401467847605138</v>
      </c>
      <c r="AM185" s="25">
        <v>0.99</v>
      </c>
      <c r="AN185" s="30">
        <v>1</v>
      </c>
      <c r="AO185" s="30">
        <v>1</v>
      </c>
      <c r="AP185" s="30">
        <v>1</v>
      </c>
      <c r="AQ185" s="30">
        <v>1</v>
      </c>
      <c r="AR185" s="32">
        <v>0.10526149898194399</v>
      </c>
      <c r="AS185" s="34">
        <v>0.19230769230769232</v>
      </c>
      <c r="AT185" s="34">
        <v>2.8571428571428571E-2</v>
      </c>
      <c r="AU185" s="34">
        <v>0.10526315789473684</v>
      </c>
      <c r="AV185" s="34">
        <v>9.012875536480687E-2</v>
      </c>
      <c r="AW185" s="10"/>
      <c r="AX185" s="8"/>
    </row>
    <row r="186" spans="1:50">
      <c r="A186" s="7"/>
      <c r="B186" s="10"/>
      <c r="C186" s="45" t="s">
        <v>127</v>
      </c>
      <c r="D186" s="23" t="s">
        <v>11</v>
      </c>
      <c r="E186" s="46" t="s">
        <v>234</v>
      </c>
      <c r="F186" s="46" t="s">
        <v>234</v>
      </c>
      <c r="G186" s="46" t="s">
        <v>234</v>
      </c>
      <c r="H186" s="46" t="s">
        <v>234</v>
      </c>
      <c r="I186" s="25">
        <v>0.9</v>
      </c>
      <c r="J186" s="26">
        <v>0</v>
      </c>
      <c r="K186" s="26">
        <v>0</v>
      </c>
      <c r="L186" s="27">
        <v>0</v>
      </c>
      <c r="M186" s="26">
        <v>0.86274509803921573</v>
      </c>
      <c r="N186" s="28">
        <v>0.9</v>
      </c>
      <c r="O186" s="26">
        <v>0.9</v>
      </c>
      <c r="P186" s="26">
        <v>0.52173913043478259</v>
      </c>
      <c r="Q186" s="26">
        <v>0.87179487179487181</v>
      </c>
      <c r="R186" s="26">
        <v>0.67343135224684203</v>
      </c>
      <c r="S186" s="28">
        <v>0.9</v>
      </c>
      <c r="T186" s="26">
        <v>1</v>
      </c>
      <c r="U186" s="26">
        <v>1</v>
      </c>
      <c r="V186" s="26">
        <v>0.97435897435897434</v>
      </c>
      <c r="W186" s="26">
        <v>0.85276454752536757</v>
      </c>
      <c r="X186" s="28">
        <v>0.92</v>
      </c>
      <c r="Y186" s="28">
        <v>1</v>
      </c>
      <c r="Z186" s="28">
        <v>1</v>
      </c>
      <c r="AA186" s="28">
        <v>1</v>
      </c>
      <c r="AB186" s="28">
        <v>0.97120991253644318</v>
      </c>
      <c r="AC186" s="28">
        <v>0.92</v>
      </c>
      <c r="AD186" s="26">
        <v>0</v>
      </c>
      <c r="AE186" s="26">
        <v>1</v>
      </c>
      <c r="AF186" s="26">
        <v>0.99453551912568305</v>
      </c>
      <c r="AG186" s="26">
        <v>0.96073903002309469</v>
      </c>
      <c r="AH186" s="28">
        <v>0.92</v>
      </c>
      <c r="AI186" s="26">
        <v>1</v>
      </c>
      <c r="AJ186" s="26">
        <v>1</v>
      </c>
      <c r="AK186" s="26">
        <v>0.9821428571428571</v>
      </c>
      <c r="AL186" s="26">
        <v>0.98275862068965514</v>
      </c>
      <c r="AM186" s="25">
        <v>0.99</v>
      </c>
      <c r="AN186" s="30">
        <v>0</v>
      </c>
      <c r="AO186" s="30">
        <v>0</v>
      </c>
      <c r="AP186" s="30">
        <v>0</v>
      </c>
      <c r="AQ186" s="30">
        <v>1</v>
      </c>
      <c r="AR186" s="32">
        <v>0.10526149898194399</v>
      </c>
      <c r="AS186" s="34">
        <v>0</v>
      </c>
      <c r="AT186" s="34">
        <v>0</v>
      </c>
      <c r="AU186" s="34">
        <v>0</v>
      </c>
      <c r="AV186" s="34">
        <v>0.39130434782608697</v>
      </c>
      <c r="AW186" s="10"/>
      <c r="AX186" s="8"/>
    </row>
    <row r="187" spans="1:50">
      <c r="A187" s="7"/>
      <c r="B187" s="10"/>
      <c r="C187" s="45" t="s">
        <v>127</v>
      </c>
      <c r="D187" s="23" t="s">
        <v>11</v>
      </c>
      <c r="E187" s="46" t="s">
        <v>235</v>
      </c>
      <c r="F187" s="46" t="s">
        <v>235</v>
      </c>
      <c r="G187" s="46" t="s">
        <v>235</v>
      </c>
      <c r="H187" s="46" t="s">
        <v>235</v>
      </c>
      <c r="I187" s="25">
        <v>0.9</v>
      </c>
      <c r="J187" s="26">
        <v>0</v>
      </c>
      <c r="K187" s="26">
        <v>0</v>
      </c>
      <c r="L187" s="27">
        <v>0</v>
      </c>
      <c r="M187" s="26">
        <v>0</v>
      </c>
      <c r="N187" s="28">
        <v>0.9</v>
      </c>
      <c r="O187" s="26">
        <v>0</v>
      </c>
      <c r="P187" s="26">
        <v>0</v>
      </c>
      <c r="Q187" s="26">
        <v>0</v>
      </c>
      <c r="R187" s="26">
        <v>0</v>
      </c>
      <c r="S187" s="28">
        <v>0.9</v>
      </c>
      <c r="T187" s="26">
        <v>0</v>
      </c>
      <c r="U187" s="26">
        <v>0</v>
      </c>
      <c r="V187" s="26">
        <v>0</v>
      </c>
      <c r="W187" s="26">
        <v>0</v>
      </c>
      <c r="X187" s="28">
        <v>0.92</v>
      </c>
      <c r="Y187" s="28">
        <v>0</v>
      </c>
      <c r="Z187" s="28">
        <v>0</v>
      </c>
      <c r="AA187" s="28">
        <v>0</v>
      </c>
      <c r="AB187" s="28">
        <v>0</v>
      </c>
      <c r="AC187" s="28">
        <v>0.92</v>
      </c>
      <c r="AD187" s="26">
        <v>8.3333333333333329E-2</v>
      </c>
      <c r="AE187" s="26">
        <v>0</v>
      </c>
      <c r="AF187" s="26">
        <v>0</v>
      </c>
      <c r="AG187" s="26">
        <v>8.3333333333333329E-2</v>
      </c>
      <c r="AH187" s="28">
        <v>0.92</v>
      </c>
      <c r="AI187" s="26">
        <v>0</v>
      </c>
      <c r="AJ187" s="26">
        <v>0</v>
      </c>
      <c r="AK187" s="26">
        <v>0</v>
      </c>
      <c r="AL187" s="26">
        <v>0</v>
      </c>
      <c r="AM187" s="25">
        <v>0.99</v>
      </c>
      <c r="AN187" s="30">
        <v>0</v>
      </c>
      <c r="AO187" s="30">
        <v>0</v>
      </c>
      <c r="AP187" s="30">
        <v>0</v>
      </c>
      <c r="AQ187" s="30">
        <v>0</v>
      </c>
      <c r="AR187" s="32">
        <v>0.10526149898194399</v>
      </c>
      <c r="AS187" s="34">
        <v>0</v>
      </c>
      <c r="AT187" s="34">
        <v>0</v>
      </c>
      <c r="AU187" s="34">
        <v>0</v>
      </c>
      <c r="AV187" s="34">
        <v>0</v>
      </c>
      <c r="AW187" s="10"/>
      <c r="AX187" s="8"/>
    </row>
    <row r="188" spans="1:50">
      <c r="A188" s="7"/>
      <c r="B188" s="10"/>
      <c r="C188" s="47"/>
      <c r="D188" s="48"/>
      <c r="E188" s="48"/>
      <c r="F188" s="48"/>
      <c r="G188" s="48"/>
      <c r="H188" s="48"/>
      <c r="I188" s="39"/>
      <c r="J188" s="40"/>
      <c r="K188" s="40"/>
      <c r="L188" s="27"/>
      <c r="M188" s="40"/>
      <c r="N188" s="43"/>
      <c r="O188" s="40"/>
      <c r="P188" s="40"/>
      <c r="Q188" s="26"/>
      <c r="R188" s="40"/>
      <c r="S188" s="43"/>
      <c r="T188" s="40"/>
      <c r="U188" s="40"/>
      <c r="V188" s="26"/>
      <c r="W188" s="40"/>
      <c r="X188" s="43"/>
      <c r="Y188" s="43"/>
      <c r="Z188" s="43"/>
      <c r="AA188" s="28"/>
      <c r="AB188" s="43"/>
      <c r="AC188" s="43"/>
      <c r="AD188" s="40"/>
      <c r="AE188" s="40"/>
      <c r="AF188" s="26"/>
      <c r="AG188" s="40"/>
      <c r="AH188" s="43"/>
      <c r="AI188" s="40"/>
      <c r="AJ188" s="40"/>
      <c r="AK188" s="26"/>
      <c r="AL188" s="40"/>
      <c r="AM188" s="39"/>
      <c r="AN188" s="39"/>
      <c r="AO188" s="39"/>
      <c r="AP188" s="30"/>
      <c r="AQ188" s="39"/>
      <c r="AR188" s="40"/>
      <c r="AS188" s="39"/>
      <c r="AT188" s="39"/>
      <c r="AU188" s="34"/>
      <c r="AV188" s="39"/>
      <c r="AW188" s="10"/>
      <c r="AX188" s="8"/>
    </row>
    <row r="189" spans="1:50">
      <c r="A189" s="7"/>
      <c r="B189" s="10"/>
      <c r="C189" s="45" t="s">
        <v>236</v>
      </c>
      <c r="D189" s="23" t="s">
        <v>13</v>
      </c>
      <c r="E189" s="49" t="s">
        <v>12</v>
      </c>
      <c r="F189" s="49" t="s">
        <v>12</v>
      </c>
      <c r="G189" s="49" t="s">
        <v>12</v>
      </c>
      <c r="H189" s="49" t="s">
        <v>12</v>
      </c>
      <c r="I189" s="25">
        <v>0.9</v>
      </c>
      <c r="J189" s="26">
        <v>0</v>
      </c>
      <c r="K189" s="26">
        <v>0</v>
      </c>
      <c r="L189" s="27">
        <v>0</v>
      </c>
      <c r="M189" s="26">
        <v>0</v>
      </c>
      <c r="N189" s="28">
        <v>0.9</v>
      </c>
      <c r="O189" s="26">
        <v>0</v>
      </c>
      <c r="P189" s="26">
        <v>0</v>
      </c>
      <c r="Q189" s="26">
        <v>0</v>
      </c>
      <c r="R189" s="26">
        <v>0</v>
      </c>
      <c r="S189" s="28">
        <v>0.9</v>
      </c>
      <c r="T189" s="26">
        <v>0</v>
      </c>
      <c r="U189" s="26">
        <v>0</v>
      </c>
      <c r="V189" s="26">
        <v>0</v>
      </c>
      <c r="W189" s="26">
        <v>0</v>
      </c>
      <c r="X189" s="28">
        <v>0.92</v>
      </c>
      <c r="Y189" s="28">
        <v>0</v>
      </c>
      <c r="Z189" s="28">
        <v>0</v>
      </c>
      <c r="AA189" s="28">
        <v>1</v>
      </c>
      <c r="AB189" s="28">
        <v>1</v>
      </c>
      <c r="AC189" s="28">
        <v>0.92</v>
      </c>
      <c r="AD189" s="26">
        <v>0.99851632047477745</v>
      </c>
      <c r="AE189" s="26">
        <v>0.99854439592430855</v>
      </c>
      <c r="AF189" s="26">
        <v>0.99336870026525204</v>
      </c>
      <c r="AG189" s="26">
        <v>0.99427856248882529</v>
      </c>
      <c r="AH189" s="28">
        <v>0.92</v>
      </c>
      <c r="AI189" s="26">
        <v>0</v>
      </c>
      <c r="AJ189" s="26">
        <v>0</v>
      </c>
      <c r="AK189" s="26">
        <v>1</v>
      </c>
      <c r="AL189" s="26">
        <v>1</v>
      </c>
      <c r="AM189" s="25">
        <v>0.99</v>
      </c>
      <c r="AN189" s="30">
        <v>1</v>
      </c>
      <c r="AO189" s="30">
        <v>1</v>
      </c>
      <c r="AP189" s="30">
        <v>1</v>
      </c>
      <c r="AQ189" s="30">
        <v>1</v>
      </c>
      <c r="AR189" s="50">
        <v>7.19793575775068E-2</v>
      </c>
      <c r="AS189" s="34">
        <v>0</v>
      </c>
      <c r="AT189" s="34">
        <v>0</v>
      </c>
      <c r="AU189" s="34">
        <v>0</v>
      </c>
      <c r="AV189" s="34">
        <v>0</v>
      </c>
      <c r="AW189" s="10"/>
      <c r="AX189" s="8"/>
    </row>
    <row r="190" spans="1:50">
      <c r="A190" s="7"/>
      <c r="B190" s="10"/>
      <c r="C190" s="45" t="s">
        <v>236</v>
      </c>
      <c r="D190" s="23" t="s">
        <v>13</v>
      </c>
      <c r="E190" s="49" t="s">
        <v>237</v>
      </c>
      <c r="F190" s="49" t="s">
        <v>237</v>
      </c>
      <c r="G190" s="49" t="s">
        <v>237</v>
      </c>
      <c r="H190" s="49" t="s">
        <v>237</v>
      </c>
      <c r="I190" s="25">
        <v>0.9</v>
      </c>
      <c r="J190" s="26">
        <v>0.95081967213114749</v>
      </c>
      <c r="K190" s="26">
        <v>0.9375</v>
      </c>
      <c r="L190" s="27">
        <v>0.94029850746268662</v>
      </c>
      <c r="M190" s="26">
        <v>0.96932515337423308</v>
      </c>
      <c r="N190" s="28">
        <v>0.9</v>
      </c>
      <c r="O190" s="26">
        <v>0.95855855855855854</v>
      </c>
      <c r="P190" s="26">
        <v>0.96474433808078452</v>
      </c>
      <c r="Q190" s="26">
        <v>0.96563490129173779</v>
      </c>
      <c r="R190" s="26">
        <v>0.9561612474089658</v>
      </c>
      <c r="S190" s="28">
        <v>0.9</v>
      </c>
      <c r="T190" s="26">
        <v>0.90398970398970402</v>
      </c>
      <c r="U190" s="26">
        <v>0.92155031519962638</v>
      </c>
      <c r="V190" s="26">
        <v>0.93224469900073115</v>
      </c>
      <c r="W190" s="26">
        <v>0.90700120657117222</v>
      </c>
      <c r="X190" s="28">
        <v>0.92</v>
      </c>
      <c r="Y190" s="28">
        <v>0.93345771144278611</v>
      </c>
      <c r="Z190" s="28">
        <v>0.94996642041638679</v>
      </c>
      <c r="AA190" s="28">
        <v>0.96681997371879103</v>
      </c>
      <c r="AB190" s="28">
        <v>0.94673083982542727</v>
      </c>
      <c r="AC190" s="28">
        <v>0.92</v>
      </c>
      <c r="AD190" s="26">
        <v>0.99777777777777776</v>
      </c>
      <c r="AE190" s="26">
        <v>0.99439292646107402</v>
      </c>
      <c r="AF190" s="26">
        <v>0.99332777314428689</v>
      </c>
      <c r="AG190" s="26">
        <v>0.99637414608512875</v>
      </c>
      <c r="AH190" s="28">
        <v>0.92</v>
      </c>
      <c r="AI190" s="26">
        <v>0.95567750105529758</v>
      </c>
      <c r="AJ190" s="26">
        <v>0.96556948078777027</v>
      </c>
      <c r="AK190" s="26">
        <v>0.97831257870435151</v>
      </c>
      <c r="AL190" s="26">
        <v>0.96420341606712523</v>
      </c>
      <c r="AM190" s="25">
        <v>0.99</v>
      </c>
      <c r="AN190" s="30">
        <v>1</v>
      </c>
      <c r="AO190" s="30">
        <v>1</v>
      </c>
      <c r="AP190" s="30">
        <v>1</v>
      </c>
      <c r="AQ190" s="30">
        <v>1</v>
      </c>
      <c r="AR190" s="50">
        <v>7.19793575775068E-2</v>
      </c>
      <c r="AS190" s="34">
        <v>9.3023255813953487E-2</v>
      </c>
      <c r="AT190" s="34">
        <v>6.25E-2</v>
      </c>
      <c r="AU190" s="34">
        <v>4.4444444444444446E-2</v>
      </c>
      <c r="AV190" s="34">
        <v>0.10263929618768329</v>
      </c>
      <c r="AW190" s="10"/>
      <c r="AX190" s="8"/>
    </row>
    <row r="191" spans="1:50">
      <c r="A191" s="7"/>
      <c r="B191" s="10"/>
      <c r="C191" s="45" t="s">
        <v>236</v>
      </c>
      <c r="D191" s="23" t="s">
        <v>13</v>
      </c>
      <c r="E191" s="49" t="s">
        <v>238</v>
      </c>
      <c r="F191" s="49" t="s">
        <v>238</v>
      </c>
      <c r="G191" s="49" t="s">
        <v>238</v>
      </c>
      <c r="H191" s="49" t="s">
        <v>238</v>
      </c>
      <c r="I191" s="25">
        <v>0.9</v>
      </c>
      <c r="J191" s="26">
        <v>0.98630136986301364</v>
      </c>
      <c r="K191" s="26">
        <v>0.97333333333333338</v>
      </c>
      <c r="L191" s="27">
        <v>0.97333333333333338</v>
      </c>
      <c r="M191" s="26">
        <v>0.98620689655172411</v>
      </c>
      <c r="N191" s="28">
        <v>0.9</v>
      </c>
      <c r="O191" s="26">
        <v>0.94924242424242422</v>
      </c>
      <c r="P191" s="26">
        <v>0.95684886036733796</v>
      </c>
      <c r="Q191" s="26">
        <v>0.95259165613147911</v>
      </c>
      <c r="R191" s="26">
        <v>0.95675146771037178</v>
      </c>
      <c r="S191" s="28">
        <v>0.9</v>
      </c>
      <c r="T191" s="26">
        <v>0.90782828282828287</v>
      </c>
      <c r="U191" s="26">
        <v>0.93228590396105337</v>
      </c>
      <c r="V191" s="26">
        <v>0.93678887484197215</v>
      </c>
      <c r="W191" s="26">
        <v>0.92985742242102321</v>
      </c>
      <c r="X191" s="28">
        <v>0.92</v>
      </c>
      <c r="Y191" s="28">
        <v>0.93325661680092065</v>
      </c>
      <c r="Z191" s="28">
        <v>0.96412283368805107</v>
      </c>
      <c r="AA191" s="28">
        <v>0.96970614965162072</v>
      </c>
      <c r="AB191" s="28">
        <v>0.95937789298278098</v>
      </c>
      <c r="AC191" s="28">
        <v>0.92</v>
      </c>
      <c r="AD191" s="26">
        <v>0.99813258636788049</v>
      </c>
      <c r="AE191" s="26">
        <v>0.99897383273473572</v>
      </c>
      <c r="AF191" s="26">
        <v>0.99850820487319747</v>
      </c>
      <c r="AG191" s="26">
        <v>0.99899541658818358</v>
      </c>
      <c r="AH191" s="28">
        <v>0.92</v>
      </c>
      <c r="AI191" s="26">
        <v>0.95375100833557402</v>
      </c>
      <c r="AJ191" s="26">
        <v>0.97848360655737709</v>
      </c>
      <c r="AK191" s="26">
        <v>0.98185884691848901</v>
      </c>
      <c r="AL191" s="26">
        <v>0.97477064220183485</v>
      </c>
      <c r="AM191" s="25">
        <v>0.99</v>
      </c>
      <c r="AN191" s="30">
        <v>1</v>
      </c>
      <c r="AO191" s="30">
        <v>1</v>
      </c>
      <c r="AP191" s="30">
        <v>1</v>
      </c>
      <c r="AQ191" s="30">
        <v>1</v>
      </c>
      <c r="AR191" s="50">
        <v>7.19793575775068E-2</v>
      </c>
      <c r="AS191" s="34">
        <v>6.4935064935064929E-2</v>
      </c>
      <c r="AT191" s="34">
        <v>5.7142857142857141E-2</v>
      </c>
      <c r="AU191" s="34">
        <v>1.5625E-2</v>
      </c>
      <c r="AV191" s="34">
        <v>5.3030303030303032E-2</v>
      </c>
      <c r="AW191" s="10"/>
      <c r="AX191" s="8"/>
    </row>
    <row r="192" spans="1:50">
      <c r="A192" s="7"/>
      <c r="B192" s="10"/>
      <c r="C192" s="45" t="s">
        <v>236</v>
      </c>
      <c r="D192" s="23" t="s">
        <v>13</v>
      </c>
      <c r="E192" s="49" t="s">
        <v>239</v>
      </c>
      <c r="F192" s="49" t="s">
        <v>239</v>
      </c>
      <c r="G192" s="49" t="s">
        <v>239</v>
      </c>
      <c r="H192" s="49" t="s">
        <v>239</v>
      </c>
      <c r="I192" s="25">
        <v>0.9</v>
      </c>
      <c r="J192" s="26">
        <v>0</v>
      </c>
      <c r="K192" s="26">
        <v>0</v>
      </c>
      <c r="L192" s="27">
        <v>0</v>
      </c>
      <c r="M192" s="26">
        <v>0</v>
      </c>
      <c r="N192" s="28">
        <v>0.9</v>
      </c>
      <c r="O192" s="26">
        <v>0</v>
      </c>
      <c r="P192" s="26">
        <v>0</v>
      </c>
      <c r="Q192" s="26">
        <v>0</v>
      </c>
      <c r="R192" s="26">
        <v>0</v>
      </c>
      <c r="S192" s="28">
        <v>0.9</v>
      </c>
      <c r="T192" s="26">
        <v>0.53333333333333333</v>
      </c>
      <c r="U192" s="26">
        <v>0.8</v>
      </c>
      <c r="V192" s="26">
        <v>0.875</v>
      </c>
      <c r="W192" s="26">
        <v>0.76136363636363635</v>
      </c>
      <c r="X192" s="28">
        <v>0.92</v>
      </c>
      <c r="Y192" s="28">
        <v>1</v>
      </c>
      <c r="Z192" s="28">
        <v>0</v>
      </c>
      <c r="AA192" s="28">
        <v>1</v>
      </c>
      <c r="AB192" s="28">
        <v>0.72222222222222221</v>
      </c>
      <c r="AC192" s="28">
        <v>0.92</v>
      </c>
      <c r="AD192" s="26">
        <v>0.99723320158102768</v>
      </c>
      <c r="AE192" s="26">
        <v>0.99849055784204066</v>
      </c>
      <c r="AF192" s="26">
        <v>0.99853170288839821</v>
      </c>
      <c r="AG192" s="26">
        <v>0.99421224844505829</v>
      </c>
      <c r="AH192" s="28">
        <v>0.92</v>
      </c>
      <c r="AI192" s="26">
        <v>0.7142857142857143</v>
      </c>
      <c r="AJ192" s="26">
        <v>0.63636363636363635</v>
      </c>
      <c r="AK192" s="26">
        <v>0.9285714285714286</v>
      </c>
      <c r="AL192" s="26">
        <v>0.84615384615384615</v>
      </c>
      <c r="AM192" s="25">
        <v>0.99</v>
      </c>
      <c r="AN192" s="30">
        <v>1</v>
      </c>
      <c r="AO192" s="30">
        <v>1</v>
      </c>
      <c r="AP192" s="30">
        <v>1</v>
      </c>
      <c r="AQ192" s="30">
        <v>1</v>
      </c>
      <c r="AR192" s="50">
        <v>7.19793575775068E-2</v>
      </c>
      <c r="AS192" s="34">
        <v>0</v>
      </c>
      <c r="AT192" s="34">
        <v>0</v>
      </c>
      <c r="AU192" s="34">
        <v>0</v>
      </c>
      <c r="AV192" s="34">
        <v>0</v>
      </c>
      <c r="AW192" s="10"/>
      <c r="AX192" s="8"/>
    </row>
    <row r="193" spans="1:50" s="1" customFormat="1">
      <c r="A193" s="7"/>
      <c r="C193" s="45" t="s">
        <v>236</v>
      </c>
      <c r="D193" s="23" t="s">
        <v>13</v>
      </c>
      <c r="E193" s="49" t="s">
        <v>240</v>
      </c>
      <c r="F193" s="49" t="s">
        <v>240</v>
      </c>
      <c r="G193" s="49" t="s">
        <v>240</v>
      </c>
      <c r="H193" s="49" t="s">
        <v>240</v>
      </c>
      <c r="I193" s="25">
        <v>0.9</v>
      </c>
      <c r="J193" s="26">
        <v>0.94736842105263153</v>
      </c>
      <c r="K193" s="26">
        <v>0.93220338983050843</v>
      </c>
      <c r="L193" s="27">
        <v>0.91269841269841268</v>
      </c>
      <c r="M193" s="26">
        <v>0.93831168831168832</v>
      </c>
      <c r="N193" s="28">
        <v>0.9</v>
      </c>
      <c r="O193" s="26">
        <v>0.99140321686078758</v>
      </c>
      <c r="P193" s="26">
        <v>0.9904256695562168</v>
      </c>
      <c r="Q193" s="26">
        <v>0.99335793357933577</v>
      </c>
      <c r="R193" s="26">
        <v>0.9895885619909649</v>
      </c>
      <c r="S193" s="28">
        <v>0.9</v>
      </c>
      <c r="T193" s="26">
        <v>0.92886855241264554</v>
      </c>
      <c r="U193" s="26">
        <v>0.93207400698667353</v>
      </c>
      <c r="V193" s="26">
        <v>0.94649446494464939</v>
      </c>
      <c r="W193" s="26">
        <v>0.92852863550251785</v>
      </c>
      <c r="X193" s="28">
        <v>0.92</v>
      </c>
      <c r="Y193" s="28">
        <v>0.9598821025053218</v>
      </c>
      <c r="Z193" s="28">
        <v>0.96595449018586066</v>
      </c>
      <c r="AA193" s="28">
        <v>0.97021783526208305</v>
      </c>
      <c r="AB193" s="28">
        <v>0.96546521721159018</v>
      </c>
      <c r="AC193" s="28">
        <v>0.92</v>
      </c>
      <c r="AD193" s="26">
        <v>0.99732620320855614</v>
      </c>
      <c r="AE193" s="26">
        <v>0.97824479881719295</v>
      </c>
      <c r="AF193" s="26">
        <v>0.96811971372804162</v>
      </c>
      <c r="AG193" s="26">
        <v>0.96574268953472753</v>
      </c>
      <c r="AH193" s="28">
        <v>0.92</v>
      </c>
      <c r="AI193" s="26">
        <v>0.9714092751013057</v>
      </c>
      <c r="AJ193" s="26">
        <v>0.97827537628827765</v>
      </c>
      <c r="AK193" s="26">
        <v>0.98286448664857917</v>
      </c>
      <c r="AL193" s="26">
        <v>0.97825021332219819</v>
      </c>
      <c r="AM193" s="25">
        <v>0.99</v>
      </c>
      <c r="AN193" s="30">
        <v>1</v>
      </c>
      <c r="AO193" s="30">
        <v>1</v>
      </c>
      <c r="AP193" s="30">
        <v>1</v>
      </c>
      <c r="AQ193" s="30">
        <v>1</v>
      </c>
      <c r="AR193" s="50">
        <v>7.19793575775068E-2</v>
      </c>
      <c r="AS193" s="34">
        <v>5.8823529411764705E-2</v>
      </c>
      <c r="AT193" s="34">
        <v>6.8181818181818177E-2</v>
      </c>
      <c r="AU193" s="34">
        <v>0.02</v>
      </c>
      <c r="AV193" s="34">
        <v>5.3908355795148251E-2</v>
      </c>
      <c r="AW193" s="4"/>
      <c r="AX193" s="8"/>
    </row>
    <row r="194" spans="1:50">
      <c r="A194" s="7"/>
      <c r="B194" s="10"/>
      <c r="C194" s="45" t="s">
        <v>236</v>
      </c>
      <c r="D194" s="23" t="s">
        <v>13</v>
      </c>
      <c r="E194" s="49" t="s">
        <v>241</v>
      </c>
      <c r="F194" s="49" t="s">
        <v>241</v>
      </c>
      <c r="G194" s="49" t="s">
        <v>241</v>
      </c>
      <c r="H194" s="49" t="s">
        <v>241</v>
      </c>
      <c r="I194" s="25">
        <v>0.9</v>
      </c>
      <c r="J194" s="26">
        <v>0.72</v>
      </c>
      <c r="K194" s="26">
        <v>0.90123456790123457</v>
      </c>
      <c r="L194" s="27">
        <v>0.90476190476190477</v>
      </c>
      <c r="M194" s="26">
        <v>0.8741721854304636</v>
      </c>
      <c r="N194" s="28">
        <v>0.9</v>
      </c>
      <c r="O194" s="26">
        <v>0.96006110868616323</v>
      </c>
      <c r="P194" s="26">
        <v>0.92835209825997955</v>
      </c>
      <c r="Q194" s="26">
        <v>0.95675468809797171</v>
      </c>
      <c r="R194" s="26">
        <v>0.94295613748776019</v>
      </c>
      <c r="S194" s="28">
        <v>0.9</v>
      </c>
      <c r="T194" s="26">
        <v>0.91772151898734178</v>
      </c>
      <c r="U194" s="26">
        <v>0.93715455475946774</v>
      </c>
      <c r="V194" s="26">
        <v>0.94718714121699199</v>
      </c>
      <c r="W194" s="26">
        <v>0.91177282884330513</v>
      </c>
      <c r="X194" s="28">
        <v>0.92</v>
      </c>
      <c r="Y194" s="28">
        <v>0.89544377139847253</v>
      </c>
      <c r="Z194" s="28">
        <v>0.93692077727952172</v>
      </c>
      <c r="AA194" s="28">
        <v>0.9503566333808845</v>
      </c>
      <c r="AB194" s="28">
        <v>0.92485004882131394</v>
      </c>
      <c r="AC194" s="28">
        <v>0.92</v>
      </c>
      <c r="AD194" s="26">
        <v>0.98620689655172411</v>
      </c>
      <c r="AE194" s="26">
        <v>0.98793859649122806</v>
      </c>
      <c r="AF194" s="26">
        <v>0.98932926829268297</v>
      </c>
      <c r="AG194" s="26">
        <v>0.98112883856579169</v>
      </c>
      <c r="AH194" s="28">
        <v>0.92</v>
      </c>
      <c r="AI194" s="26">
        <v>0.93151175277413201</v>
      </c>
      <c r="AJ194" s="26">
        <v>0.96014580801944105</v>
      </c>
      <c r="AK194" s="26">
        <v>0.969877448173176</v>
      </c>
      <c r="AL194" s="26">
        <v>0.95174497525944735</v>
      </c>
      <c r="AM194" s="25">
        <v>0.99</v>
      </c>
      <c r="AN194" s="30">
        <v>1</v>
      </c>
      <c r="AO194" s="30">
        <v>1</v>
      </c>
      <c r="AP194" s="30">
        <v>1</v>
      </c>
      <c r="AQ194" s="30">
        <v>1</v>
      </c>
      <c r="AR194" s="50">
        <v>7.19793575775068E-2</v>
      </c>
      <c r="AS194" s="34">
        <v>5.5555555555555552E-2</v>
      </c>
      <c r="AT194" s="34">
        <v>1.9230769230769232E-2</v>
      </c>
      <c r="AU194" s="34">
        <v>0.15</v>
      </c>
      <c r="AV194" s="34">
        <v>7.045454545454545E-2</v>
      </c>
      <c r="AW194" s="10"/>
      <c r="AX194" s="8"/>
    </row>
    <row r="195" spans="1:50">
      <c r="A195" s="7"/>
      <c r="B195" s="10"/>
      <c r="C195" s="45" t="s">
        <v>236</v>
      </c>
      <c r="D195" s="23" t="s">
        <v>13</v>
      </c>
      <c r="E195" s="49" t="s">
        <v>242</v>
      </c>
      <c r="F195" s="49" t="s">
        <v>242</v>
      </c>
      <c r="G195" s="49" t="s">
        <v>242</v>
      </c>
      <c r="H195" s="49" t="s">
        <v>242</v>
      </c>
      <c r="I195" s="25">
        <v>0.9</v>
      </c>
      <c r="J195" s="26">
        <v>0.92682926829268297</v>
      </c>
      <c r="K195" s="26">
        <v>0.97560975609756095</v>
      </c>
      <c r="L195" s="27">
        <v>0.95121951219512191</v>
      </c>
      <c r="M195" s="26">
        <v>0.93181818181818177</v>
      </c>
      <c r="N195" s="28">
        <v>0.9</v>
      </c>
      <c r="O195" s="26">
        <v>0.95231053604436233</v>
      </c>
      <c r="P195" s="26">
        <v>0.96505652620760529</v>
      </c>
      <c r="Q195" s="26">
        <v>0.96685637763642451</v>
      </c>
      <c r="R195" s="26">
        <v>0.95006242197253432</v>
      </c>
      <c r="S195" s="28">
        <v>0.9</v>
      </c>
      <c r="T195" s="26">
        <v>0.92643253234750467</v>
      </c>
      <c r="U195" s="26">
        <v>0.94655704008221997</v>
      </c>
      <c r="V195" s="26">
        <v>0.95078674255105455</v>
      </c>
      <c r="W195" s="26">
        <v>0.92462008696026521</v>
      </c>
      <c r="X195" s="28">
        <v>0.92</v>
      </c>
      <c r="Y195" s="28">
        <v>0.91878904372897641</v>
      </c>
      <c r="Z195" s="28">
        <v>0.96955380577427819</v>
      </c>
      <c r="AA195" s="28">
        <v>0.96263622210690192</v>
      </c>
      <c r="AB195" s="28">
        <v>0.94360664047649223</v>
      </c>
      <c r="AC195" s="28">
        <v>0.92</v>
      </c>
      <c r="AD195" s="26">
        <v>0.83816425120772942</v>
      </c>
      <c r="AE195" s="26">
        <v>0.79620253164556964</v>
      </c>
      <c r="AF195" s="26">
        <v>0.87759815242494221</v>
      </c>
      <c r="AG195" s="26">
        <v>0.86599466350429888</v>
      </c>
      <c r="AH195" s="28">
        <v>0.92</v>
      </c>
      <c r="AI195" s="26">
        <v>0.94526843534572802</v>
      </c>
      <c r="AJ195" s="26">
        <v>0.9786528497409327</v>
      </c>
      <c r="AK195" s="26">
        <v>0.97822547822547823</v>
      </c>
      <c r="AL195" s="26">
        <v>0.96562860438292963</v>
      </c>
      <c r="AM195" s="25">
        <v>0.99</v>
      </c>
      <c r="AN195" s="30">
        <v>1</v>
      </c>
      <c r="AO195" s="30">
        <v>1</v>
      </c>
      <c r="AP195" s="30">
        <v>1</v>
      </c>
      <c r="AQ195" s="30">
        <v>1</v>
      </c>
      <c r="AR195" s="50">
        <v>7.19793575775068E-2</v>
      </c>
      <c r="AS195" s="34">
        <v>0.16</v>
      </c>
      <c r="AT195" s="34">
        <v>9.6774193548387094E-2</v>
      </c>
      <c r="AU195" s="34">
        <v>4.7619047619047616E-2</v>
      </c>
      <c r="AV195" s="34">
        <v>7.0539419087136929E-2</v>
      </c>
      <c r="AW195" s="10"/>
      <c r="AX195" s="8"/>
    </row>
    <row r="196" spans="1:50">
      <c r="A196" s="7"/>
      <c r="B196" s="10"/>
      <c r="C196" s="45" t="s">
        <v>236</v>
      </c>
      <c r="D196" s="23" t="s">
        <v>13</v>
      </c>
      <c r="E196" s="49" t="s">
        <v>243</v>
      </c>
      <c r="F196" s="49" t="s">
        <v>243</v>
      </c>
      <c r="G196" s="49" t="s">
        <v>243</v>
      </c>
      <c r="H196" s="49" t="s">
        <v>243</v>
      </c>
      <c r="I196" s="25">
        <v>0.9</v>
      </c>
      <c r="J196" s="26">
        <v>0</v>
      </c>
      <c r="K196" s="26">
        <v>0</v>
      </c>
      <c r="L196" s="27">
        <v>0</v>
      </c>
      <c r="M196" s="26">
        <v>0</v>
      </c>
      <c r="N196" s="28">
        <v>0.9</v>
      </c>
      <c r="O196" s="26">
        <v>0</v>
      </c>
      <c r="P196" s="26">
        <v>0</v>
      </c>
      <c r="Q196" s="26">
        <v>0</v>
      </c>
      <c r="R196" s="26">
        <v>0</v>
      </c>
      <c r="S196" s="28">
        <v>0.9</v>
      </c>
      <c r="T196" s="26">
        <v>1</v>
      </c>
      <c r="U196" s="26">
        <v>1</v>
      </c>
      <c r="V196" s="26">
        <v>0.94117647058823528</v>
      </c>
      <c r="W196" s="26">
        <v>0.9907407407407407</v>
      </c>
      <c r="X196" s="28">
        <v>0.92</v>
      </c>
      <c r="Y196" s="28">
        <v>1</v>
      </c>
      <c r="Z196" s="28">
        <v>1</v>
      </c>
      <c r="AA196" s="28">
        <v>1</v>
      </c>
      <c r="AB196" s="28">
        <v>1</v>
      </c>
      <c r="AC196" s="28">
        <v>0.92</v>
      </c>
      <c r="AD196" s="26">
        <v>0.9966002790815679</v>
      </c>
      <c r="AE196" s="26">
        <v>0.9987867072468537</v>
      </c>
      <c r="AF196" s="26">
        <v>0.99908514816137095</v>
      </c>
      <c r="AG196" s="26">
        <v>0.96440689440405103</v>
      </c>
      <c r="AH196" s="28">
        <v>0.92</v>
      </c>
      <c r="AI196" s="26">
        <v>1</v>
      </c>
      <c r="AJ196" s="26">
        <v>1</v>
      </c>
      <c r="AK196" s="26">
        <v>0.84</v>
      </c>
      <c r="AL196" s="26">
        <v>0.97727272727272729</v>
      </c>
      <c r="AM196" s="25">
        <v>0.99</v>
      </c>
      <c r="AN196" s="30">
        <v>1</v>
      </c>
      <c r="AO196" s="30">
        <v>1</v>
      </c>
      <c r="AP196" s="30">
        <v>1</v>
      </c>
      <c r="AQ196" s="30">
        <v>1</v>
      </c>
      <c r="AR196" s="50">
        <v>7.19793575775068E-2</v>
      </c>
      <c r="AS196" s="34">
        <v>0</v>
      </c>
      <c r="AT196" s="34">
        <v>0</v>
      </c>
      <c r="AU196" s="34">
        <v>0</v>
      </c>
      <c r="AV196" s="34">
        <v>0</v>
      </c>
      <c r="AW196" s="10"/>
      <c r="AX196" s="8"/>
    </row>
    <row r="197" spans="1:50">
      <c r="A197" s="7"/>
      <c r="B197" s="10"/>
      <c r="C197" s="45" t="s">
        <v>236</v>
      </c>
      <c r="D197" s="23" t="s">
        <v>13</v>
      </c>
      <c r="E197" s="49" t="s">
        <v>244</v>
      </c>
      <c r="F197" s="49" t="s">
        <v>244</v>
      </c>
      <c r="G197" s="49" t="s">
        <v>244</v>
      </c>
      <c r="H197" s="49" t="s">
        <v>244</v>
      </c>
      <c r="I197" s="25">
        <v>0.9</v>
      </c>
      <c r="J197" s="26">
        <v>0.93150684931506844</v>
      </c>
      <c r="K197" s="26">
        <v>0.93827160493827155</v>
      </c>
      <c r="L197" s="27">
        <v>0.91666666666666663</v>
      </c>
      <c r="M197" s="26">
        <v>0.93086003372681281</v>
      </c>
      <c r="N197" s="28">
        <v>0.9</v>
      </c>
      <c r="O197" s="26">
        <v>0.95044530714775066</v>
      </c>
      <c r="P197" s="26">
        <v>0.95142180094786732</v>
      </c>
      <c r="Q197" s="26">
        <v>0.96480371301489076</v>
      </c>
      <c r="R197" s="26">
        <v>0.9278688524590164</v>
      </c>
      <c r="S197" s="28">
        <v>0.9</v>
      </c>
      <c r="T197" s="26">
        <v>0.89929207581639647</v>
      </c>
      <c r="U197" s="26">
        <v>0.93029225908372826</v>
      </c>
      <c r="V197" s="26">
        <v>0.92515954360858632</v>
      </c>
      <c r="W197" s="26">
        <v>0.90401701914653987</v>
      </c>
      <c r="X197" s="28">
        <v>0.92</v>
      </c>
      <c r="Y197" s="28">
        <v>0.89621212121212124</v>
      </c>
      <c r="Z197" s="28">
        <v>0.94120925048760096</v>
      </c>
      <c r="AA197" s="28">
        <v>0.95413333333333339</v>
      </c>
      <c r="AB197" s="28">
        <v>0.93025607568096558</v>
      </c>
      <c r="AC197" s="28">
        <v>0.92</v>
      </c>
      <c r="AD197" s="26">
        <v>0.98822477269339692</v>
      </c>
      <c r="AE197" s="26">
        <v>0.97286821705426352</v>
      </c>
      <c r="AF197" s="26">
        <v>0.98286669452569997</v>
      </c>
      <c r="AG197" s="26">
        <v>0.98361947927186733</v>
      </c>
      <c r="AH197" s="28">
        <v>0.92</v>
      </c>
      <c r="AI197" s="26">
        <v>0.92398992926507617</v>
      </c>
      <c r="AJ197" s="26">
        <v>0.95782784517619868</v>
      </c>
      <c r="AK197" s="26">
        <v>0.96996189195247706</v>
      </c>
      <c r="AL197" s="26">
        <v>0.95212540001699186</v>
      </c>
      <c r="AM197" s="25">
        <v>0.99</v>
      </c>
      <c r="AN197" s="30">
        <v>1</v>
      </c>
      <c r="AO197" s="30">
        <v>1</v>
      </c>
      <c r="AP197" s="30">
        <v>1</v>
      </c>
      <c r="AQ197" s="30">
        <v>1</v>
      </c>
      <c r="AR197" s="50">
        <v>7.19793575775068E-2</v>
      </c>
      <c r="AS197" s="34">
        <v>2.5316455696202531E-2</v>
      </c>
      <c r="AT197" s="34">
        <v>4.1666666666666664E-2</v>
      </c>
      <c r="AU197" s="34">
        <v>8.3333333333333329E-2</v>
      </c>
      <c r="AV197" s="34">
        <v>3.885135135135135E-2</v>
      </c>
      <c r="AW197" s="10"/>
      <c r="AX197" s="8"/>
    </row>
    <row r="198" spans="1:50" s="2" customFormat="1">
      <c r="A198" s="7"/>
      <c r="C198" s="45" t="s">
        <v>236</v>
      </c>
      <c r="D198" s="23" t="s">
        <v>13</v>
      </c>
      <c r="E198" s="49" t="s">
        <v>245</v>
      </c>
      <c r="F198" s="49" t="s">
        <v>245</v>
      </c>
      <c r="G198" s="49" t="s">
        <v>245</v>
      </c>
      <c r="H198" s="49" t="s">
        <v>245</v>
      </c>
      <c r="I198" s="25">
        <v>0.9</v>
      </c>
      <c r="J198" s="26">
        <v>0.97619047619047616</v>
      </c>
      <c r="K198" s="26">
        <v>0.95652173913043481</v>
      </c>
      <c r="L198" s="27">
        <v>0.93333333333333335</v>
      </c>
      <c r="M198" s="26">
        <v>0.96250000000000002</v>
      </c>
      <c r="N198" s="28">
        <v>0.9</v>
      </c>
      <c r="O198" s="26">
        <v>0.97586206896551719</v>
      </c>
      <c r="P198" s="26">
        <v>0.98331298331298334</v>
      </c>
      <c r="Q198" s="26">
        <v>0.97846515270164447</v>
      </c>
      <c r="R198" s="26">
        <v>0.97485674767832442</v>
      </c>
      <c r="S198" s="28">
        <v>0.9</v>
      </c>
      <c r="T198" s="26">
        <v>0.91551724137931034</v>
      </c>
      <c r="U198" s="26">
        <v>0.93203093203093201</v>
      </c>
      <c r="V198" s="26">
        <v>0.93265465935786995</v>
      </c>
      <c r="W198" s="26">
        <v>0.91706184548508196</v>
      </c>
      <c r="X198" s="28">
        <v>0.92</v>
      </c>
      <c r="Y198" s="28">
        <v>0.89781746031746035</v>
      </c>
      <c r="Z198" s="28">
        <v>0.93842770753161076</v>
      </c>
      <c r="AA198" s="28">
        <v>0.93259023354564752</v>
      </c>
      <c r="AB198" s="28">
        <v>0.92770852075568688</v>
      </c>
      <c r="AC198" s="28">
        <v>0.92</v>
      </c>
      <c r="AD198" s="26">
        <v>1</v>
      </c>
      <c r="AE198" s="26">
        <v>0.86206896551724133</v>
      </c>
      <c r="AF198" s="26">
        <v>0.95744680851063835</v>
      </c>
      <c r="AG198" s="26">
        <v>0.82638888888888884</v>
      </c>
      <c r="AH198" s="28">
        <v>0.92</v>
      </c>
      <c r="AI198" s="26">
        <v>0.92899953895804521</v>
      </c>
      <c r="AJ198" s="26">
        <v>0.95930776426566888</v>
      </c>
      <c r="AK198" s="26">
        <v>0.95763857593510593</v>
      </c>
      <c r="AL198" s="26">
        <v>0.9527200625558534</v>
      </c>
      <c r="AM198" s="25">
        <v>0.99</v>
      </c>
      <c r="AN198" s="30">
        <v>1</v>
      </c>
      <c r="AO198" s="30">
        <v>1</v>
      </c>
      <c r="AP198" s="30">
        <v>1</v>
      </c>
      <c r="AQ198" s="30">
        <v>1</v>
      </c>
      <c r="AR198" s="50">
        <v>7.19793575775068E-2</v>
      </c>
      <c r="AS198" s="34">
        <v>0.12</v>
      </c>
      <c r="AT198" s="34">
        <v>0</v>
      </c>
      <c r="AU198" s="34">
        <v>6.4516129032258063E-2</v>
      </c>
      <c r="AV198" s="34">
        <v>6.1728395061728392E-2</v>
      </c>
      <c r="AW198" s="4"/>
      <c r="AX198" s="8"/>
    </row>
    <row r="199" spans="1:50">
      <c r="A199" s="7"/>
      <c r="B199" s="10"/>
      <c r="C199" s="45" t="s">
        <v>236</v>
      </c>
      <c r="D199" s="23" t="s">
        <v>13</v>
      </c>
      <c r="E199" s="49" t="s">
        <v>246</v>
      </c>
      <c r="F199" s="49" t="s">
        <v>246</v>
      </c>
      <c r="G199" s="49" t="s">
        <v>246</v>
      </c>
      <c r="H199" s="49" t="s">
        <v>246</v>
      </c>
      <c r="I199" s="25">
        <v>0.9</v>
      </c>
      <c r="J199" s="26">
        <v>0.98630136986301364</v>
      </c>
      <c r="K199" s="26">
        <v>0.96202531645569622</v>
      </c>
      <c r="L199" s="27">
        <v>0.93902439024390238</v>
      </c>
      <c r="M199" s="26">
        <v>0.96470588235294119</v>
      </c>
      <c r="N199" s="28">
        <v>0.9</v>
      </c>
      <c r="O199" s="26">
        <v>0.93728222996515675</v>
      </c>
      <c r="P199" s="26">
        <v>0.96560111188325226</v>
      </c>
      <c r="Q199" s="26">
        <v>0.96904024767801855</v>
      </c>
      <c r="R199" s="26">
        <v>0.95638885375827321</v>
      </c>
      <c r="S199" s="28">
        <v>0.9</v>
      </c>
      <c r="T199" s="26">
        <v>0.92664588300018336</v>
      </c>
      <c r="U199" s="26">
        <v>0.94701181375955523</v>
      </c>
      <c r="V199" s="26">
        <v>0.94606485253381134</v>
      </c>
      <c r="W199" s="26">
        <v>0.91733063530205305</v>
      </c>
      <c r="X199" s="28">
        <v>0.92</v>
      </c>
      <c r="Y199" s="28">
        <v>0.9438394191757421</v>
      </c>
      <c r="Z199" s="28">
        <v>0.96101499423298731</v>
      </c>
      <c r="AA199" s="28">
        <v>0.95978981037240119</v>
      </c>
      <c r="AB199" s="28">
        <v>0.95040474606342873</v>
      </c>
      <c r="AC199" s="28">
        <v>0.92</v>
      </c>
      <c r="AD199" s="26">
        <v>0.99232736572890023</v>
      </c>
      <c r="AE199" s="26">
        <v>0.99498098859315587</v>
      </c>
      <c r="AF199" s="26">
        <v>0.99324882887847887</v>
      </c>
      <c r="AG199" s="26">
        <v>0.98835305499739523</v>
      </c>
      <c r="AH199" s="28">
        <v>0.92</v>
      </c>
      <c r="AI199" s="26">
        <v>0.96113248495610137</v>
      </c>
      <c r="AJ199" s="26">
        <v>0.97483404339641333</v>
      </c>
      <c r="AK199" s="26">
        <v>0.97802929427430096</v>
      </c>
      <c r="AL199" s="26">
        <v>0.96809376721021001</v>
      </c>
      <c r="AM199" s="25">
        <v>0.99</v>
      </c>
      <c r="AN199" s="30">
        <v>1</v>
      </c>
      <c r="AO199" s="30">
        <v>1</v>
      </c>
      <c r="AP199" s="30">
        <v>1</v>
      </c>
      <c r="AQ199" s="30">
        <v>1</v>
      </c>
      <c r="AR199" s="50">
        <v>7.19793575775068E-2</v>
      </c>
      <c r="AS199" s="34">
        <v>0</v>
      </c>
      <c r="AT199" s="34">
        <v>0</v>
      </c>
      <c r="AU199" s="34">
        <v>6.25E-2</v>
      </c>
      <c r="AV199" s="34">
        <v>3.3816425120772944E-2</v>
      </c>
      <c r="AW199" s="10"/>
      <c r="AX199" s="8"/>
    </row>
    <row r="200" spans="1:50">
      <c r="A200" s="7"/>
      <c r="B200" s="10"/>
      <c r="C200" s="45" t="s">
        <v>236</v>
      </c>
      <c r="D200" s="23" t="s">
        <v>13</v>
      </c>
      <c r="E200" s="49" t="s">
        <v>247</v>
      </c>
      <c r="F200" s="49" t="s">
        <v>247</v>
      </c>
      <c r="G200" s="49" t="s">
        <v>247</v>
      </c>
      <c r="H200" s="49" t="s">
        <v>247</v>
      </c>
      <c r="I200" s="25">
        <v>0.9</v>
      </c>
      <c r="J200" s="26">
        <v>1</v>
      </c>
      <c r="K200" s="26">
        <v>0.96470588235294119</v>
      </c>
      <c r="L200" s="27">
        <v>0.96039603960396036</v>
      </c>
      <c r="M200" s="26">
        <v>0.97017045454545459</v>
      </c>
      <c r="N200" s="28">
        <v>0.9</v>
      </c>
      <c r="O200" s="26">
        <v>0.97536534446764089</v>
      </c>
      <c r="P200" s="26">
        <v>0.97668091721725614</v>
      </c>
      <c r="Q200" s="26">
        <v>0.97956867196367758</v>
      </c>
      <c r="R200" s="26">
        <v>0.98209956656953257</v>
      </c>
      <c r="S200" s="28">
        <v>0.9</v>
      </c>
      <c r="T200" s="26">
        <v>0.95448851774530274</v>
      </c>
      <c r="U200" s="26">
        <v>0.95608239409249907</v>
      </c>
      <c r="V200" s="26">
        <v>0.96027241770715099</v>
      </c>
      <c r="W200" s="26">
        <v>0.96419913313906502</v>
      </c>
      <c r="X200" s="28">
        <v>0.92</v>
      </c>
      <c r="Y200" s="28">
        <v>0.95737866469573785</v>
      </c>
      <c r="Z200" s="28">
        <v>0.96598299149574784</v>
      </c>
      <c r="AA200" s="28">
        <v>0.97399646553900532</v>
      </c>
      <c r="AB200" s="28">
        <v>0.97016457798580702</v>
      </c>
      <c r="AC200" s="28">
        <v>0.92</v>
      </c>
      <c r="AD200" s="26">
        <v>0.99242685025817556</v>
      </c>
      <c r="AE200" s="26">
        <v>0.99361519894105743</v>
      </c>
      <c r="AF200" s="26">
        <v>0.99540468425733764</v>
      </c>
      <c r="AG200" s="26">
        <v>0.99348403802255458</v>
      </c>
      <c r="AH200" s="28">
        <v>0.92</v>
      </c>
      <c r="AI200" s="26">
        <v>0.96882060551287841</v>
      </c>
      <c r="AJ200" s="26">
        <v>0.97539370078740162</v>
      </c>
      <c r="AK200" s="26">
        <v>0.98096885813148793</v>
      </c>
      <c r="AL200" s="26">
        <v>0.98082851116759506</v>
      </c>
      <c r="AM200" s="25">
        <v>0.99</v>
      </c>
      <c r="AN200" s="30">
        <v>1</v>
      </c>
      <c r="AO200" s="30">
        <v>1</v>
      </c>
      <c r="AP200" s="30">
        <v>1</v>
      </c>
      <c r="AQ200" s="30">
        <v>1</v>
      </c>
      <c r="AR200" s="50">
        <v>7.19793575775068E-2</v>
      </c>
      <c r="AS200" s="34">
        <v>5.2631578947368418E-2</v>
      </c>
      <c r="AT200" s="34">
        <v>2.7027027027027029E-2</v>
      </c>
      <c r="AU200" s="34">
        <v>5.128205128205128E-2</v>
      </c>
      <c r="AV200" s="34">
        <v>5.027932960893855E-2</v>
      </c>
      <c r="AW200" s="10"/>
      <c r="AX200" s="8"/>
    </row>
    <row r="201" spans="1:50">
      <c r="A201" s="7"/>
      <c r="B201" s="10"/>
      <c r="C201" s="45" t="s">
        <v>236</v>
      </c>
      <c r="D201" s="23" t="s">
        <v>13</v>
      </c>
      <c r="E201" s="49" t="s">
        <v>248</v>
      </c>
      <c r="F201" s="49" t="s">
        <v>248</v>
      </c>
      <c r="G201" s="49" t="s">
        <v>248</v>
      </c>
      <c r="H201" s="49" t="s">
        <v>248</v>
      </c>
      <c r="I201" s="25">
        <v>0.9</v>
      </c>
      <c r="J201" s="26">
        <v>0</v>
      </c>
      <c r="K201" s="26">
        <v>0</v>
      </c>
      <c r="L201" s="27">
        <v>0</v>
      </c>
      <c r="M201" s="26">
        <v>0</v>
      </c>
      <c r="N201" s="28">
        <v>0.9</v>
      </c>
      <c r="O201" s="26">
        <v>0</v>
      </c>
      <c r="P201" s="26">
        <v>0</v>
      </c>
      <c r="Q201" s="26">
        <v>0</v>
      </c>
      <c r="R201" s="26">
        <v>0</v>
      </c>
      <c r="S201" s="28">
        <v>0.9</v>
      </c>
      <c r="T201" s="26">
        <v>0</v>
      </c>
      <c r="U201" s="26">
        <v>0</v>
      </c>
      <c r="V201" s="26">
        <v>0</v>
      </c>
      <c r="W201" s="26">
        <v>0</v>
      </c>
      <c r="X201" s="28">
        <v>0.92</v>
      </c>
      <c r="Y201" s="28">
        <v>0</v>
      </c>
      <c r="Z201" s="28">
        <v>0</v>
      </c>
      <c r="AA201" s="28">
        <v>0</v>
      </c>
      <c r="AB201" s="28">
        <v>0</v>
      </c>
      <c r="AC201" s="28">
        <v>0.92</v>
      </c>
      <c r="AD201" s="26">
        <v>0.99751243781094523</v>
      </c>
      <c r="AE201" s="26">
        <v>1</v>
      </c>
      <c r="AF201" s="26">
        <v>1</v>
      </c>
      <c r="AG201" s="26">
        <v>0.99877787962114273</v>
      </c>
      <c r="AH201" s="28">
        <v>0.92</v>
      </c>
      <c r="AI201" s="26">
        <v>0</v>
      </c>
      <c r="AJ201" s="26">
        <v>0</v>
      </c>
      <c r="AK201" s="26">
        <v>0</v>
      </c>
      <c r="AL201" s="26">
        <v>0</v>
      </c>
      <c r="AM201" s="25">
        <v>0.99</v>
      </c>
      <c r="AN201" s="30">
        <v>1</v>
      </c>
      <c r="AO201" s="30">
        <v>1</v>
      </c>
      <c r="AP201" s="30">
        <v>1</v>
      </c>
      <c r="AQ201" s="30">
        <v>1</v>
      </c>
      <c r="AR201" s="50">
        <v>7.19793575775068E-2</v>
      </c>
      <c r="AS201" s="34">
        <v>0</v>
      </c>
      <c r="AT201" s="34">
        <v>0</v>
      </c>
      <c r="AU201" s="34">
        <v>0</v>
      </c>
      <c r="AV201" s="34">
        <v>0</v>
      </c>
      <c r="AW201" s="10"/>
      <c r="AX201" s="8"/>
    </row>
    <row r="202" spans="1:50">
      <c r="A202" s="7"/>
      <c r="B202" s="10"/>
      <c r="C202" s="45" t="s">
        <v>236</v>
      </c>
      <c r="D202" s="23" t="s">
        <v>13</v>
      </c>
      <c r="E202" s="49" t="s">
        <v>249</v>
      </c>
      <c r="F202" s="49" t="s">
        <v>249</v>
      </c>
      <c r="G202" s="49" t="s">
        <v>249</v>
      </c>
      <c r="H202" s="49" t="s">
        <v>249</v>
      </c>
      <c r="I202" s="25">
        <v>0.9</v>
      </c>
      <c r="J202" s="26">
        <v>0.96923076923076923</v>
      </c>
      <c r="K202" s="26">
        <v>0.9642857142857143</v>
      </c>
      <c r="L202" s="27">
        <v>0.97037037037037033</v>
      </c>
      <c r="M202" s="26">
        <v>0.97857838364167482</v>
      </c>
      <c r="N202" s="28">
        <v>0.9</v>
      </c>
      <c r="O202" s="26">
        <v>0.96126169345166712</v>
      </c>
      <c r="P202" s="26">
        <v>0.95806560703415622</v>
      </c>
      <c r="Q202" s="26">
        <v>0.95699989002529418</v>
      </c>
      <c r="R202" s="26">
        <v>0.95368224721641326</v>
      </c>
      <c r="S202" s="28">
        <v>0.9</v>
      </c>
      <c r="T202" s="26">
        <v>0.8380906692252339</v>
      </c>
      <c r="U202" s="26">
        <v>0.86619321384285874</v>
      </c>
      <c r="V202" s="26">
        <v>0.86066204772902233</v>
      </c>
      <c r="W202" s="26">
        <v>0.84923416040241906</v>
      </c>
      <c r="X202" s="28">
        <v>0.92</v>
      </c>
      <c r="Y202" s="28">
        <v>0.91210547343188175</v>
      </c>
      <c r="Z202" s="28">
        <v>0.9286343612334802</v>
      </c>
      <c r="AA202" s="28">
        <v>0.94397058823529412</v>
      </c>
      <c r="AB202" s="28">
        <v>0.93015794231825999</v>
      </c>
      <c r="AC202" s="28">
        <v>0.92</v>
      </c>
      <c r="AD202" s="26">
        <v>0.99790655628508895</v>
      </c>
      <c r="AE202" s="26">
        <v>0.97702095808383238</v>
      </c>
      <c r="AF202" s="26">
        <v>0.99499903827659164</v>
      </c>
      <c r="AG202" s="26">
        <v>0.99015936041208352</v>
      </c>
      <c r="AH202" s="28">
        <v>0.92</v>
      </c>
      <c r="AI202" s="26">
        <v>0.93387595431888448</v>
      </c>
      <c r="AJ202" s="26">
        <v>0.95229896052547669</v>
      </c>
      <c r="AK202" s="26">
        <v>0.96061654608367408</v>
      </c>
      <c r="AL202" s="26">
        <v>0.95155217005086123</v>
      </c>
      <c r="AM202" s="25">
        <v>0.99</v>
      </c>
      <c r="AN202" s="30">
        <v>1</v>
      </c>
      <c r="AO202" s="30">
        <v>1</v>
      </c>
      <c r="AP202" s="30">
        <v>1</v>
      </c>
      <c r="AQ202" s="30">
        <v>1</v>
      </c>
      <c r="AR202" s="50">
        <v>7.19793575775068E-2</v>
      </c>
      <c r="AS202" s="34">
        <v>4.8387096774193547E-2</v>
      </c>
      <c r="AT202" s="34">
        <v>3.8461538461538464E-2</v>
      </c>
      <c r="AU202" s="34">
        <v>0</v>
      </c>
      <c r="AV202" s="34">
        <v>3.4965034965034968E-2</v>
      </c>
      <c r="AW202" s="10"/>
      <c r="AX202" s="8"/>
    </row>
    <row r="203" spans="1:50">
      <c r="A203" s="7"/>
      <c r="B203" s="10"/>
      <c r="C203" s="45" t="s">
        <v>236</v>
      </c>
      <c r="D203" s="23" t="s">
        <v>13</v>
      </c>
      <c r="E203" s="49" t="s">
        <v>250</v>
      </c>
      <c r="F203" s="49" t="s">
        <v>250</v>
      </c>
      <c r="G203" s="49" t="s">
        <v>250</v>
      </c>
      <c r="H203" s="49" t="s">
        <v>250</v>
      </c>
      <c r="I203" s="25">
        <v>0.9</v>
      </c>
      <c r="J203" s="26">
        <v>0</v>
      </c>
      <c r="K203" s="26">
        <v>0</v>
      </c>
      <c r="L203" s="27">
        <v>0</v>
      </c>
      <c r="M203" s="26">
        <v>0</v>
      </c>
      <c r="N203" s="28">
        <v>0.9</v>
      </c>
      <c r="O203" s="26">
        <v>0</v>
      </c>
      <c r="P203" s="26">
        <v>0</v>
      </c>
      <c r="Q203" s="26">
        <v>0</v>
      </c>
      <c r="R203" s="26">
        <v>0</v>
      </c>
      <c r="S203" s="28">
        <v>0.9</v>
      </c>
      <c r="T203" s="26">
        <v>0</v>
      </c>
      <c r="U203" s="26">
        <v>0</v>
      </c>
      <c r="V203" s="26">
        <v>0.875</v>
      </c>
      <c r="W203" s="26">
        <v>0.7</v>
      </c>
      <c r="X203" s="28">
        <v>0.92</v>
      </c>
      <c r="Y203" s="28">
        <v>0</v>
      </c>
      <c r="Z203" s="28">
        <v>0</v>
      </c>
      <c r="AA203" s="28">
        <v>0</v>
      </c>
      <c r="AB203" s="28">
        <v>0</v>
      </c>
      <c r="AC203" s="28">
        <v>0.92</v>
      </c>
      <c r="AD203" s="26">
        <v>0.99981017463933186</v>
      </c>
      <c r="AE203" s="26">
        <v>0.99964333835301578</v>
      </c>
      <c r="AF203" s="26">
        <v>0.9996602491506229</v>
      </c>
      <c r="AG203" s="26">
        <v>0.99961762142742805</v>
      </c>
      <c r="AH203" s="28">
        <v>0.92</v>
      </c>
      <c r="AI203" s="26">
        <v>0</v>
      </c>
      <c r="AJ203" s="26">
        <v>0</v>
      </c>
      <c r="AK203" s="26">
        <v>0.8</v>
      </c>
      <c r="AL203" s="26">
        <v>0.61538461538461542</v>
      </c>
      <c r="AM203" s="25">
        <v>0.99</v>
      </c>
      <c r="AN203" s="30">
        <v>1</v>
      </c>
      <c r="AO203" s="30">
        <v>1</v>
      </c>
      <c r="AP203" s="30">
        <v>1</v>
      </c>
      <c r="AQ203" s="30">
        <v>1</v>
      </c>
      <c r="AR203" s="50">
        <v>7.19793575775068E-2</v>
      </c>
      <c r="AS203" s="34">
        <v>0</v>
      </c>
      <c r="AT203" s="34">
        <v>0</v>
      </c>
      <c r="AU203" s="34">
        <v>0</v>
      </c>
      <c r="AV203" s="34">
        <v>0</v>
      </c>
      <c r="AW203" s="10"/>
      <c r="AX203" s="8"/>
    </row>
    <row r="204" spans="1:50">
      <c r="A204" s="7"/>
      <c r="B204" s="10"/>
      <c r="C204" s="45" t="s">
        <v>236</v>
      </c>
      <c r="D204" s="23" t="s">
        <v>13</v>
      </c>
      <c r="E204" s="49" t="s">
        <v>251</v>
      </c>
      <c r="F204" s="49" t="s">
        <v>251</v>
      </c>
      <c r="G204" s="49" t="s">
        <v>251</v>
      </c>
      <c r="H204" s="49" t="s">
        <v>251</v>
      </c>
      <c r="I204" s="25">
        <v>0.9</v>
      </c>
      <c r="J204" s="26">
        <v>0.88749999999999996</v>
      </c>
      <c r="K204" s="26">
        <v>0.87804878048780488</v>
      </c>
      <c r="L204" s="27">
        <v>0.92405063291139244</v>
      </c>
      <c r="M204" s="26">
        <v>0.91485809682804675</v>
      </c>
      <c r="N204" s="28">
        <v>0.9</v>
      </c>
      <c r="O204" s="26">
        <v>0.9401574803149606</v>
      </c>
      <c r="P204" s="26">
        <v>0.95345885339538816</v>
      </c>
      <c r="Q204" s="26">
        <v>0.95069981199080844</v>
      </c>
      <c r="R204" s="26">
        <v>0.94979543354889795</v>
      </c>
      <c r="S204" s="28">
        <v>0.9</v>
      </c>
      <c r="T204" s="26">
        <v>0.91991001124859395</v>
      </c>
      <c r="U204" s="26">
        <v>0.93166913475777446</v>
      </c>
      <c r="V204" s="26">
        <v>0.92375182786714016</v>
      </c>
      <c r="W204" s="26">
        <v>0.91669526197703577</v>
      </c>
      <c r="X204" s="28">
        <v>0.92</v>
      </c>
      <c r="Y204" s="28">
        <v>0.94440344403444032</v>
      </c>
      <c r="Z204" s="28">
        <v>0.95447450572320502</v>
      </c>
      <c r="AA204" s="28">
        <v>0.96049783549783552</v>
      </c>
      <c r="AB204" s="28">
        <v>0.9508930029059327</v>
      </c>
      <c r="AC204" s="28">
        <v>0.92</v>
      </c>
      <c r="AD204" s="26">
        <v>0.99749597567519233</v>
      </c>
      <c r="AE204" s="26">
        <v>0.99647822057460611</v>
      </c>
      <c r="AF204" s="26">
        <v>0.99819331526648603</v>
      </c>
      <c r="AG204" s="26">
        <v>0.9970374251798706</v>
      </c>
      <c r="AH204" s="28">
        <v>0.92</v>
      </c>
      <c r="AI204" s="26">
        <v>0.96229296370257256</v>
      </c>
      <c r="AJ204" s="26">
        <v>0.97083187492707967</v>
      </c>
      <c r="AK204" s="26">
        <v>0.97760226335022982</v>
      </c>
      <c r="AL204" s="26">
        <v>0.96945417396380618</v>
      </c>
      <c r="AM204" s="25">
        <v>0.99</v>
      </c>
      <c r="AN204" s="30">
        <v>1</v>
      </c>
      <c r="AO204" s="30">
        <v>1</v>
      </c>
      <c r="AP204" s="30">
        <v>1</v>
      </c>
      <c r="AQ204" s="30">
        <v>1</v>
      </c>
      <c r="AR204" s="50">
        <v>7.19793575775068E-2</v>
      </c>
      <c r="AS204" s="34">
        <v>8.6956521739130432E-2</v>
      </c>
      <c r="AT204" s="34">
        <v>0</v>
      </c>
      <c r="AU204" s="34">
        <v>0.125</v>
      </c>
      <c r="AV204" s="34">
        <v>7.5581395348837205E-2</v>
      </c>
      <c r="AW204" s="10"/>
      <c r="AX204" s="8"/>
    </row>
    <row r="205" spans="1:50">
      <c r="A205" s="7"/>
      <c r="B205" s="10"/>
      <c r="C205" s="45" t="s">
        <v>236</v>
      </c>
      <c r="D205" s="23" t="s">
        <v>13</v>
      </c>
      <c r="E205" s="49" t="s">
        <v>252</v>
      </c>
      <c r="F205" s="49" t="s">
        <v>252</v>
      </c>
      <c r="G205" s="49" t="s">
        <v>252</v>
      </c>
      <c r="H205" s="49" t="s">
        <v>252</v>
      </c>
      <c r="I205" s="25">
        <v>0.9</v>
      </c>
      <c r="J205" s="26">
        <v>0</v>
      </c>
      <c r="K205" s="26">
        <v>0</v>
      </c>
      <c r="L205" s="27">
        <v>0</v>
      </c>
      <c r="M205" s="26">
        <v>0</v>
      </c>
      <c r="N205" s="28">
        <v>0.9</v>
      </c>
      <c r="O205" s="26">
        <v>0</v>
      </c>
      <c r="P205" s="26">
        <v>0</v>
      </c>
      <c r="Q205" s="26">
        <v>0</v>
      </c>
      <c r="R205" s="26">
        <v>0</v>
      </c>
      <c r="S205" s="28">
        <v>0.9</v>
      </c>
      <c r="T205" s="26">
        <v>0.33333333333333331</v>
      </c>
      <c r="U205" s="26">
        <v>0</v>
      </c>
      <c r="V205" s="26">
        <v>1</v>
      </c>
      <c r="W205" s="26">
        <v>0.90163934426229508</v>
      </c>
      <c r="X205" s="28">
        <v>0.92</v>
      </c>
      <c r="Y205" s="28">
        <v>1</v>
      </c>
      <c r="Z205" s="28">
        <v>0</v>
      </c>
      <c r="AA205" s="28">
        <v>1</v>
      </c>
      <c r="AB205" s="28">
        <v>0.6</v>
      </c>
      <c r="AC205" s="28">
        <v>0.92</v>
      </c>
      <c r="AD205" s="26">
        <v>0.99429430757662873</v>
      </c>
      <c r="AE205" s="26">
        <v>0.83704631768529036</v>
      </c>
      <c r="AF205" s="26">
        <v>0.99209910635523335</v>
      </c>
      <c r="AG205" s="26">
        <v>0.96303614061085041</v>
      </c>
      <c r="AH205" s="28">
        <v>0.92</v>
      </c>
      <c r="AI205" s="26">
        <v>0.4</v>
      </c>
      <c r="AJ205" s="26">
        <v>0</v>
      </c>
      <c r="AK205" s="26">
        <v>1</v>
      </c>
      <c r="AL205" s="26">
        <v>0.87951807228915657</v>
      </c>
      <c r="AM205" s="25">
        <v>0.99</v>
      </c>
      <c r="AN205" s="30">
        <v>1</v>
      </c>
      <c r="AO205" s="30">
        <v>1</v>
      </c>
      <c r="AP205" s="30">
        <v>1</v>
      </c>
      <c r="AQ205" s="30">
        <v>1</v>
      </c>
      <c r="AR205" s="50">
        <v>7.19793575775068E-2</v>
      </c>
      <c r="AS205" s="34">
        <v>0</v>
      </c>
      <c r="AT205" s="34">
        <v>0</v>
      </c>
      <c r="AU205" s="34">
        <v>0</v>
      </c>
      <c r="AV205" s="34">
        <v>0</v>
      </c>
      <c r="AW205" s="10"/>
      <c r="AX205" s="8"/>
    </row>
    <row r="206" spans="1:50">
      <c r="A206" s="7"/>
      <c r="B206" s="10"/>
      <c r="C206" s="45" t="s">
        <v>236</v>
      </c>
      <c r="D206" s="23" t="s">
        <v>13</v>
      </c>
      <c r="E206" s="49" t="s">
        <v>253</v>
      </c>
      <c r="F206" s="49" t="s">
        <v>253</v>
      </c>
      <c r="G206" s="49" t="s">
        <v>253</v>
      </c>
      <c r="H206" s="49" t="s">
        <v>253</v>
      </c>
      <c r="I206" s="25">
        <v>0.9</v>
      </c>
      <c r="J206" s="26">
        <v>0.91379310344827591</v>
      </c>
      <c r="K206" s="26">
        <v>0.91379310344827591</v>
      </c>
      <c r="L206" s="27">
        <v>0.94545454545454544</v>
      </c>
      <c r="M206" s="26">
        <v>0.91743119266055051</v>
      </c>
      <c r="N206" s="28">
        <v>0.9</v>
      </c>
      <c r="O206" s="26">
        <v>0.99273607748184023</v>
      </c>
      <c r="P206" s="26">
        <v>0.99390774586597042</v>
      </c>
      <c r="Q206" s="26">
        <v>0.99369344666849468</v>
      </c>
      <c r="R206" s="26">
        <v>0.99109771484648812</v>
      </c>
      <c r="S206" s="28">
        <v>0.9</v>
      </c>
      <c r="T206" s="26">
        <v>0.92130750605326872</v>
      </c>
      <c r="U206" s="26">
        <v>0.9187699448796055</v>
      </c>
      <c r="V206" s="26">
        <v>0.91472443103921031</v>
      </c>
      <c r="W206" s="26">
        <v>0.91451703350623859</v>
      </c>
      <c r="X206" s="28">
        <v>0.92</v>
      </c>
      <c r="Y206" s="28">
        <v>0.9342233800065125</v>
      </c>
      <c r="Z206" s="28">
        <v>0.94736842105263153</v>
      </c>
      <c r="AA206" s="28">
        <v>0.95614035087719296</v>
      </c>
      <c r="AB206" s="28">
        <v>0.95015789024494324</v>
      </c>
      <c r="AC206" s="28">
        <v>0.92</v>
      </c>
      <c r="AD206" s="26">
        <v>0.998914223669924</v>
      </c>
      <c r="AE206" s="26">
        <v>0.999275887038378</v>
      </c>
      <c r="AF206" s="26">
        <v>0.99897610921501712</v>
      </c>
      <c r="AG206" s="26">
        <v>0.99885209713024281</v>
      </c>
      <c r="AH206" s="28">
        <v>0.92</v>
      </c>
      <c r="AI206" s="26">
        <v>0.95562176572055824</v>
      </c>
      <c r="AJ206" s="26">
        <v>0.96468673718470299</v>
      </c>
      <c r="AK206" s="26">
        <v>0.97152531937817455</v>
      </c>
      <c r="AL206" s="26">
        <v>0.96788408251231528</v>
      </c>
      <c r="AM206" s="25">
        <v>0.99</v>
      </c>
      <c r="AN206" s="30">
        <v>1</v>
      </c>
      <c r="AO206" s="30">
        <v>1</v>
      </c>
      <c r="AP206" s="30">
        <v>1</v>
      </c>
      <c r="AQ206" s="30">
        <v>1</v>
      </c>
      <c r="AR206" s="50">
        <v>7.19793575775068E-2</v>
      </c>
      <c r="AS206" s="34">
        <v>0.11538461538461539</v>
      </c>
      <c r="AT206" s="34">
        <v>0</v>
      </c>
      <c r="AU206" s="34">
        <v>6.6666666666666666E-2</v>
      </c>
      <c r="AV206" s="34">
        <v>8.5858585858585856E-2</v>
      </c>
      <c r="AW206" s="10"/>
      <c r="AX206" s="8"/>
    </row>
    <row r="207" spans="1:50">
      <c r="A207" s="7"/>
      <c r="B207" s="10"/>
      <c r="C207" s="45" t="s">
        <v>236</v>
      </c>
      <c r="D207" s="23" t="s">
        <v>13</v>
      </c>
      <c r="E207" s="49" t="s">
        <v>254</v>
      </c>
      <c r="F207" s="49" t="s">
        <v>254</v>
      </c>
      <c r="G207" s="49" t="s">
        <v>254</v>
      </c>
      <c r="H207" s="49" t="s">
        <v>254</v>
      </c>
      <c r="I207" s="25">
        <v>0.9</v>
      </c>
      <c r="J207" s="26">
        <v>0.93069306930693074</v>
      </c>
      <c r="K207" s="26">
        <v>0.91346153846153844</v>
      </c>
      <c r="L207" s="27">
        <v>0.90566037735849059</v>
      </c>
      <c r="M207" s="26">
        <v>0.92769607843137258</v>
      </c>
      <c r="N207" s="28">
        <v>0.9</v>
      </c>
      <c r="O207" s="26">
        <v>0.94537431527693239</v>
      </c>
      <c r="P207" s="26">
        <v>0.9462645437844458</v>
      </c>
      <c r="Q207" s="26">
        <v>0.96619474140421846</v>
      </c>
      <c r="R207" s="26">
        <v>0.95482078355098643</v>
      </c>
      <c r="S207" s="28">
        <v>0.9</v>
      </c>
      <c r="T207" s="26">
        <v>0.9091600730371272</v>
      </c>
      <c r="U207" s="26">
        <v>0.91748315982853645</v>
      </c>
      <c r="V207" s="26">
        <v>0.91548685351054604</v>
      </c>
      <c r="W207" s="26">
        <v>0.90543669537834581</v>
      </c>
      <c r="X207" s="28">
        <v>0.92</v>
      </c>
      <c r="Y207" s="28">
        <v>0.91095189355168882</v>
      </c>
      <c r="Z207" s="28">
        <v>0.92165807219357399</v>
      </c>
      <c r="AA207" s="28">
        <v>0.93714285714285717</v>
      </c>
      <c r="AB207" s="28">
        <v>0.92181175865053921</v>
      </c>
      <c r="AC207" s="28">
        <v>0.92</v>
      </c>
      <c r="AD207" s="26">
        <v>0.98458540042523035</v>
      </c>
      <c r="AE207" s="26">
        <v>0.93104138851802398</v>
      </c>
      <c r="AF207" s="26">
        <v>0.99179762889440304</v>
      </c>
      <c r="AG207" s="26">
        <v>0.94321783270801152</v>
      </c>
      <c r="AH207" s="28">
        <v>0.92</v>
      </c>
      <c r="AI207" s="26">
        <v>0.93977163074943715</v>
      </c>
      <c r="AJ207" s="26">
        <v>0.95178849144634525</v>
      </c>
      <c r="AK207" s="26">
        <v>0.96208017334777896</v>
      </c>
      <c r="AL207" s="26">
        <v>0.95050702390920083</v>
      </c>
      <c r="AM207" s="25">
        <v>0.99</v>
      </c>
      <c r="AN207" s="30">
        <v>1</v>
      </c>
      <c r="AO207" s="30">
        <v>1</v>
      </c>
      <c r="AP207" s="30">
        <v>1</v>
      </c>
      <c r="AQ207" s="30">
        <v>1</v>
      </c>
      <c r="AR207" s="50">
        <v>7.19793575775068E-2</v>
      </c>
      <c r="AS207" s="34">
        <v>4.7619047619047616E-2</v>
      </c>
      <c r="AT207" s="34">
        <v>7.1428571428571425E-2</v>
      </c>
      <c r="AU207" s="34">
        <v>8.6956521739130432E-2</v>
      </c>
      <c r="AV207" s="34">
        <v>5.1724137931034482E-2</v>
      </c>
      <c r="AW207" s="10"/>
      <c r="AX207" s="8"/>
    </row>
    <row r="208" spans="1:50">
      <c r="A208" s="7"/>
      <c r="B208" s="10"/>
      <c r="C208" s="45" t="s">
        <v>236</v>
      </c>
      <c r="D208" s="23" t="s">
        <v>13</v>
      </c>
      <c r="E208" s="49" t="s">
        <v>255</v>
      </c>
      <c r="F208" s="49" t="s">
        <v>255</v>
      </c>
      <c r="G208" s="49" t="s">
        <v>255</v>
      </c>
      <c r="H208" s="49" t="s">
        <v>255</v>
      </c>
      <c r="I208" s="25">
        <v>0.9</v>
      </c>
      <c r="J208" s="26">
        <v>0</v>
      </c>
      <c r="K208" s="26">
        <v>0</v>
      </c>
      <c r="L208" s="27">
        <v>0</v>
      </c>
      <c r="M208" s="26">
        <v>0</v>
      </c>
      <c r="N208" s="28">
        <v>0.9</v>
      </c>
      <c r="O208" s="26">
        <v>0</v>
      </c>
      <c r="P208" s="26">
        <v>0</v>
      </c>
      <c r="Q208" s="26">
        <v>0</v>
      </c>
      <c r="R208" s="26">
        <v>0</v>
      </c>
      <c r="S208" s="28">
        <v>0.9</v>
      </c>
      <c r="T208" s="26">
        <v>0.83333333333333337</v>
      </c>
      <c r="U208" s="26">
        <v>0.94117647058823528</v>
      </c>
      <c r="V208" s="26">
        <v>0.77777777777777779</v>
      </c>
      <c r="W208" s="26">
        <v>0.84259259259259256</v>
      </c>
      <c r="X208" s="28">
        <v>0.92</v>
      </c>
      <c r="Y208" s="28">
        <v>0.5</v>
      </c>
      <c r="Z208" s="28">
        <v>0</v>
      </c>
      <c r="AA208" s="28">
        <v>0.44444444444444442</v>
      </c>
      <c r="AB208" s="28">
        <v>0.42857142857142855</v>
      </c>
      <c r="AC208" s="28">
        <v>0.92</v>
      </c>
      <c r="AD208" s="26">
        <v>0.99425895150324828</v>
      </c>
      <c r="AE208" s="26">
        <v>0.94709531539888681</v>
      </c>
      <c r="AF208" s="26">
        <v>0.98477708191232094</v>
      </c>
      <c r="AG208" s="26">
        <v>0.88482810191423333</v>
      </c>
      <c r="AH208" s="28">
        <v>0.92</v>
      </c>
      <c r="AI208" s="26">
        <v>0.77777777777777779</v>
      </c>
      <c r="AJ208" s="26">
        <v>0.83333333333333337</v>
      </c>
      <c r="AK208" s="26">
        <v>0.66666666666666663</v>
      </c>
      <c r="AL208" s="26">
        <v>0.77777777777777779</v>
      </c>
      <c r="AM208" s="25">
        <v>0.99</v>
      </c>
      <c r="AN208" s="30">
        <v>1</v>
      </c>
      <c r="AO208" s="30">
        <v>1</v>
      </c>
      <c r="AP208" s="30">
        <v>1</v>
      </c>
      <c r="AQ208" s="30">
        <v>1</v>
      </c>
      <c r="AR208" s="50">
        <v>7.19793575775068E-2</v>
      </c>
      <c r="AS208" s="34">
        <v>0</v>
      </c>
      <c r="AT208" s="34">
        <v>0</v>
      </c>
      <c r="AU208" s="34">
        <v>0</v>
      </c>
      <c r="AV208" s="34">
        <v>0</v>
      </c>
      <c r="AW208" s="10"/>
      <c r="AX208" s="8"/>
    </row>
    <row r="209" spans="1:50">
      <c r="A209" s="7"/>
      <c r="C209" s="45" t="s">
        <v>236</v>
      </c>
      <c r="D209" s="23" t="s">
        <v>13</v>
      </c>
      <c r="E209" s="49" t="s">
        <v>256</v>
      </c>
      <c r="F209" s="49" t="s">
        <v>256</v>
      </c>
      <c r="G209" s="49" t="s">
        <v>256</v>
      </c>
      <c r="H209" s="49" t="s">
        <v>256</v>
      </c>
      <c r="I209" s="25">
        <v>0.9</v>
      </c>
      <c r="J209" s="26">
        <v>0.95081967213114749</v>
      </c>
      <c r="K209" s="26">
        <v>0.93513513513513513</v>
      </c>
      <c r="L209" s="27">
        <v>0.97916666666666663</v>
      </c>
      <c r="M209" s="26">
        <v>0.93515358361774747</v>
      </c>
      <c r="N209" s="28">
        <v>0.9</v>
      </c>
      <c r="O209" s="26">
        <v>0.95818064237982326</v>
      </c>
      <c r="P209" s="26">
        <v>0.95408110618099262</v>
      </c>
      <c r="Q209" s="26">
        <v>0.95495847581827065</v>
      </c>
      <c r="R209" s="26">
        <v>0.95290865718360707</v>
      </c>
      <c r="S209" s="28">
        <v>0.9</v>
      </c>
      <c r="T209" s="26">
        <v>0.91636128475964651</v>
      </c>
      <c r="U209" s="26">
        <v>0.91775874522753065</v>
      </c>
      <c r="V209" s="26">
        <v>0.92701514411333663</v>
      </c>
      <c r="W209" s="26">
        <v>0.92245263729190075</v>
      </c>
      <c r="X209" s="28">
        <v>0.92</v>
      </c>
      <c r="Y209" s="28">
        <v>0.92493744787322774</v>
      </c>
      <c r="Z209" s="28">
        <v>0.94682975536694958</v>
      </c>
      <c r="AA209" s="28">
        <v>0.95077786279010457</v>
      </c>
      <c r="AB209" s="28">
        <v>0.94145013911483433</v>
      </c>
      <c r="AC209" s="28">
        <v>0.92</v>
      </c>
      <c r="AD209" s="26">
        <v>0.99785177228786248</v>
      </c>
      <c r="AE209" s="26">
        <v>0.99801658853227548</v>
      </c>
      <c r="AF209" s="26">
        <v>0.99428897772701319</v>
      </c>
      <c r="AG209" s="26">
        <v>0.99630042344550929</v>
      </c>
      <c r="AH209" s="28">
        <v>0.92</v>
      </c>
      <c r="AI209" s="26">
        <v>0.94813055037049609</v>
      </c>
      <c r="AJ209" s="26">
        <v>0.96136466335291459</v>
      </c>
      <c r="AK209" s="26">
        <v>0.96681048788582813</v>
      </c>
      <c r="AL209" s="26">
        <v>0.96159203431203544</v>
      </c>
      <c r="AM209" s="25">
        <v>0.99</v>
      </c>
      <c r="AN209" s="30">
        <v>1</v>
      </c>
      <c r="AO209" s="30">
        <v>1</v>
      </c>
      <c r="AP209" s="30">
        <v>1</v>
      </c>
      <c r="AQ209" s="30">
        <v>1</v>
      </c>
      <c r="AR209" s="50">
        <v>7.19793575775068E-2</v>
      </c>
      <c r="AS209" s="34">
        <v>6.3291139240506333E-2</v>
      </c>
      <c r="AT209" s="34">
        <v>1.2345679012345678E-2</v>
      </c>
      <c r="AU209" s="34">
        <v>7.7669902912621352E-2</v>
      </c>
      <c r="AV209" s="34">
        <v>5.0649350649350652E-2</v>
      </c>
      <c r="AW209" s="10"/>
      <c r="AX209" s="8"/>
    </row>
    <row r="210" spans="1:50">
      <c r="A210" s="7"/>
      <c r="C210" s="45" t="s">
        <v>236</v>
      </c>
      <c r="D210" s="23" t="s">
        <v>13</v>
      </c>
      <c r="E210" s="49" t="s">
        <v>257</v>
      </c>
      <c r="F210" s="49" t="s">
        <v>257</v>
      </c>
      <c r="G210" s="49" t="s">
        <v>257</v>
      </c>
      <c r="H210" s="49" t="s">
        <v>257</v>
      </c>
      <c r="I210" s="25">
        <v>0.9</v>
      </c>
      <c r="J210" s="26">
        <v>0.93388429752066116</v>
      </c>
      <c r="K210" s="26">
        <v>0.9375</v>
      </c>
      <c r="L210" s="27">
        <v>0.94964028776978415</v>
      </c>
      <c r="M210" s="26">
        <v>0.93977055449330782</v>
      </c>
      <c r="N210" s="28">
        <v>0.9</v>
      </c>
      <c r="O210" s="26">
        <v>0.9360967184801382</v>
      </c>
      <c r="P210" s="26">
        <v>0.96662232434393514</v>
      </c>
      <c r="Q210" s="26">
        <v>0.96237131700390488</v>
      </c>
      <c r="R210" s="26">
        <v>0.95468481726759868</v>
      </c>
      <c r="S210" s="28">
        <v>0.9</v>
      </c>
      <c r="T210" s="26">
        <v>0.89956157831805506</v>
      </c>
      <c r="U210" s="26">
        <v>0.90833232555327126</v>
      </c>
      <c r="V210" s="26">
        <v>0.91160809371671991</v>
      </c>
      <c r="W210" s="26">
        <v>0.90309970566593079</v>
      </c>
      <c r="X210" s="28">
        <v>0.92</v>
      </c>
      <c r="Y210" s="28">
        <v>0.90178253119429586</v>
      </c>
      <c r="Z210" s="28">
        <v>0.92623546511627908</v>
      </c>
      <c r="AA210" s="28">
        <v>0.94893768969826819</v>
      </c>
      <c r="AB210" s="28">
        <v>0.93261060008760399</v>
      </c>
      <c r="AC210" s="28">
        <v>0.92</v>
      </c>
      <c r="AD210" s="26">
        <v>0.99769395486740242</v>
      </c>
      <c r="AE210" s="26">
        <v>0.99675535366645041</v>
      </c>
      <c r="AF210" s="26">
        <v>0.99392097264437695</v>
      </c>
      <c r="AG210" s="26">
        <v>0.99233653406492917</v>
      </c>
      <c r="AH210" s="28">
        <v>0.92</v>
      </c>
      <c r="AI210" s="26">
        <v>0.93303911124638561</v>
      </c>
      <c r="AJ210" s="26">
        <v>0.95157191606766867</v>
      </c>
      <c r="AK210" s="26">
        <v>0.96613063896399598</v>
      </c>
      <c r="AL210" s="26">
        <v>0.95640334346230493</v>
      </c>
      <c r="AM210" s="25">
        <v>0.99</v>
      </c>
      <c r="AN210" s="30">
        <v>1</v>
      </c>
      <c r="AO210" s="30">
        <v>1</v>
      </c>
      <c r="AP210" s="30">
        <v>1</v>
      </c>
      <c r="AQ210" s="30">
        <v>1</v>
      </c>
      <c r="AR210" s="50">
        <v>7.19793575775068E-2</v>
      </c>
      <c r="AS210" s="34">
        <v>2.3622047244094488E-2</v>
      </c>
      <c r="AT210" s="34">
        <v>1.6129032258064516E-2</v>
      </c>
      <c r="AU210" s="34">
        <v>3.3898305084745763E-2</v>
      </c>
      <c r="AV210" s="34">
        <v>3.5128805620608897E-2</v>
      </c>
      <c r="AW210" s="10"/>
      <c r="AX210" s="8"/>
    </row>
    <row r="211" spans="1:50">
      <c r="A211" s="7"/>
      <c r="C211" s="45" t="s">
        <v>236</v>
      </c>
      <c r="D211" s="23" t="s">
        <v>13</v>
      </c>
      <c r="E211" s="49" t="s">
        <v>258</v>
      </c>
      <c r="F211" s="49" t="s">
        <v>258</v>
      </c>
      <c r="G211" s="49" t="s">
        <v>258</v>
      </c>
      <c r="H211" s="49" t="s">
        <v>258</v>
      </c>
      <c r="I211" s="25">
        <v>0.9</v>
      </c>
      <c r="J211" s="26">
        <v>0.93129770992366412</v>
      </c>
      <c r="K211" s="26">
        <v>0.95744680851063835</v>
      </c>
      <c r="L211" s="27">
        <v>0.95364238410596025</v>
      </c>
      <c r="M211" s="26">
        <v>0.92678405931417984</v>
      </c>
      <c r="N211" s="28">
        <v>0.9</v>
      </c>
      <c r="O211" s="26">
        <v>0.92961363371075056</v>
      </c>
      <c r="P211" s="26">
        <v>0.95220181456074349</v>
      </c>
      <c r="Q211" s="26">
        <v>0.94402062963360911</v>
      </c>
      <c r="R211" s="26">
        <v>0.94027521228002353</v>
      </c>
      <c r="S211" s="28">
        <v>0.9</v>
      </c>
      <c r="T211" s="26">
        <v>0.91315513015057781</v>
      </c>
      <c r="U211" s="26">
        <v>0.92365567603452092</v>
      </c>
      <c r="V211" s="26">
        <v>0.93445793488771889</v>
      </c>
      <c r="W211" s="26">
        <v>0.92054355141257505</v>
      </c>
      <c r="X211" s="28">
        <v>0.92</v>
      </c>
      <c r="Y211" s="28">
        <v>0.92924137931034478</v>
      </c>
      <c r="Z211" s="28">
        <v>0.95404255319148934</v>
      </c>
      <c r="AA211" s="28">
        <v>0.96376073351768299</v>
      </c>
      <c r="AB211" s="28">
        <v>0.94896417982807812</v>
      </c>
      <c r="AC211" s="28">
        <v>0.92</v>
      </c>
      <c r="AD211" s="26">
        <v>0.99733402132782933</v>
      </c>
      <c r="AE211" s="26">
        <v>0.99162245182909803</v>
      </c>
      <c r="AF211" s="26">
        <v>0.99065852756196815</v>
      </c>
      <c r="AG211" s="26">
        <v>0.99138708612913873</v>
      </c>
      <c r="AH211" s="28">
        <v>0.92</v>
      </c>
      <c r="AI211" s="26">
        <v>0.95298875268545435</v>
      </c>
      <c r="AJ211" s="26">
        <v>0.97134866376631446</v>
      </c>
      <c r="AK211" s="26">
        <v>0.97768850432632881</v>
      </c>
      <c r="AL211" s="26">
        <v>0.96727643757743609</v>
      </c>
      <c r="AM211" s="25">
        <v>0.99</v>
      </c>
      <c r="AN211" s="30">
        <v>1</v>
      </c>
      <c r="AO211" s="30">
        <v>1</v>
      </c>
      <c r="AP211" s="30">
        <v>1</v>
      </c>
      <c r="AQ211" s="30">
        <v>1</v>
      </c>
      <c r="AR211" s="50">
        <v>7.19793575775068E-2</v>
      </c>
      <c r="AS211" s="34">
        <v>3.0303030303030304E-2</v>
      </c>
      <c r="AT211" s="34">
        <v>3.0769230769230771E-2</v>
      </c>
      <c r="AU211" s="34">
        <v>1.5873015873015872E-2</v>
      </c>
      <c r="AV211" s="34">
        <v>4.8681541582150101E-2</v>
      </c>
      <c r="AW211" s="10"/>
      <c r="AX211" s="8"/>
    </row>
    <row r="212" spans="1:50">
      <c r="A212" s="7"/>
      <c r="C212" s="45" t="s">
        <v>236</v>
      </c>
      <c r="D212" s="23" t="s">
        <v>13</v>
      </c>
      <c r="E212" s="49" t="s">
        <v>259</v>
      </c>
      <c r="F212" s="49" t="s">
        <v>259</v>
      </c>
      <c r="G212" s="49" t="s">
        <v>259</v>
      </c>
      <c r="H212" s="49" t="s">
        <v>259</v>
      </c>
      <c r="I212" s="25">
        <v>0.9</v>
      </c>
      <c r="J212" s="26">
        <v>0.94029850746268662</v>
      </c>
      <c r="K212" s="26">
        <v>0.93243243243243246</v>
      </c>
      <c r="L212" s="27">
        <v>0.91139240506329111</v>
      </c>
      <c r="M212" s="26">
        <v>0.93659420289855078</v>
      </c>
      <c r="N212" s="28">
        <v>0.9</v>
      </c>
      <c r="O212" s="26">
        <v>0.97494725738396626</v>
      </c>
      <c r="P212" s="26">
        <v>0.89022339658899829</v>
      </c>
      <c r="Q212" s="26">
        <v>0.97374377546401092</v>
      </c>
      <c r="R212" s="26">
        <v>0.95949025487256367</v>
      </c>
      <c r="S212" s="28">
        <v>0.9</v>
      </c>
      <c r="T212" s="26">
        <v>0.92642405063291144</v>
      </c>
      <c r="U212" s="26">
        <v>0.92625510449195292</v>
      </c>
      <c r="V212" s="26">
        <v>0.94545043005885021</v>
      </c>
      <c r="W212" s="26">
        <v>0.9290254872563718</v>
      </c>
      <c r="X212" s="28">
        <v>0.92</v>
      </c>
      <c r="Y212" s="28">
        <v>0.94058112961149198</v>
      </c>
      <c r="Z212" s="28">
        <v>0.96369518332135151</v>
      </c>
      <c r="AA212" s="28">
        <v>0.98184873949579832</v>
      </c>
      <c r="AB212" s="28">
        <v>0.96223717409587894</v>
      </c>
      <c r="AC212" s="28">
        <v>0.92</v>
      </c>
      <c r="AD212" s="26">
        <v>0.99475566150178785</v>
      </c>
      <c r="AE212" s="26">
        <v>0.99415774099318399</v>
      </c>
      <c r="AF212" s="26">
        <v>0.99893532073462865</v>
      </c>
      <c r="AG212" s="26">
        <v>0.99244938346780331</v>
      </c>
      <c r="AH212" s="28">
        <v>0.92</v>
      </c>
      <c r="AI212" s="26">
        <v>0.95917177019539224</v>
      </c>
      <c r="AJ212" s="26">
        <v>0.97509357903829541</v>
      </c>
      <c r="AK212" s="26">
        <v>0.98715000676315434</v>
      </c>
      <c r="AL212" s="26">
        <v>0.97618005845599176</v>
      </c>
      <c r="AM212" s="25">
        <v>0.99</v>
      </c>
      <c r="AN212" s="30">
        <v>1</v>
      </c>
      <c r="AO212" s="30">
        <v>1</v>
      </c>
      <c r="AP212" s="30">
        <v>1</v>
      </c>
      <c r="AQ212" s="30">
        <v>1</v>
      </c>
      <c r="AR212" s="50">
        <v>7.19793575775068E-2</v>
      </c>
      <c r="AS212" s="34">
        <v>0.02</v>
      </c>
      <c r="AT212" s="34">
        <v>1.9230769230769232E-2</v>
      </c>
      <c r="AU212" s="34">
        <v>6.9767441860465115E-2</v>
      </c>
      <c r="AV212" s="34">
        <v>3.6516853932584269E-2</v>
      </c>
      <c r="AW212" s="10"/>
      <c r="AX212" s="8"/>
    </row>
    <row r="213" spans="1:50">
      <c r="A213" s="7"/>
      <c r="C213" s="45" t="s">
        <v>236</v>
      </c>
      <c r="D213" s="23" t="s">
        <v>13</v>
      </c>
      <c r="E213" s="49" t="s">
        <v>260</v>
      </c>
      <c r="F213" s="49" t="s">
        <v>260</v>
      </c>
      <c r="G213" s="49" t="s">
        <v>260</v>
      </c>
      <c r="H213" s="49" t="s">
        <v>260</v>
      </c>
      <c r="I213" s="25">
        <v>0.9</v>
      </c>
      <c r="J213" s="26">
        <v>0.96078431372549022</v>
      </c>
      <c r="K213" s="26">
        <v>0.94545454545454544</v>
      </c>
      <c r="L213" s="27">
        <v>0.96581196581196582</v>
      </c>
      <c r="M213" s="26">
        <v>0.96060254924681343</v>
      </c>
      <c r="N213" s="28">
        <v>0.9</v>
      </c>
      <c r="O213" s="26">
        <v>0.9658560959360426</v>
      </c>
      <c r="P213" s="26">
        <v>0.96038083538083541</v>
      </c>
      <c r="Q213" s="26">
        <v>0.97769028871391073</v>
      </c>
      <c r="R213" s="26">
        <v>0.96801492762364294</v>
      </c>
      <c r="S213" s="28">
        <v>0.9</v>
      </c>
      <c r="T213" s="26">
        <v>0.91122584943371088</v>
      </c>
      <c r="U213" s="26">
        <v>0.92460073710073709</v>
      </c>
      <c r="V213" s="26">
        <v>0.93190434529017208</v>
      </c>
      <c r="W213" s="26">
        <v>0.92157343184559715</v>
      </c>
      <c r="X213" s="28">
        <v>0.92</v>
      </c>
      <c r="Y213" s="28">
        <v>0.92638169257340242</v>
      </c>
      <c r="Z213" s="28">
        <v>0.96117166212534055</v>
      </c>
      <c r="AA213" s="28">
        <v>0.95810293492131005</v>
      </c>
      <c r="AB213" s="28">
        <v>0.9512437276947433</v>
      </c>
      <c r="AC213" s="28">
        <v>0.92</v>
      </c>
      <c r="AD213" s="26">
        <v>0.99276018099547514</v>
      </c>
      <c r="AE213" s="26">
        <v>0.99145546705286025</v>
      </c>
      <c r="AF213" s="26">
        <v>0.99140313171630334</v>
      </c>
      <c r="AG213" s="26">
        <v>0.9935433929733819</v>
      </c>
      <c r="AH213" s="28">
        <v>0.92</v>
      </c>
      <c r="AI213" s="26">
        <v>0.94848655762361345</v>
      </c>
      <c r="AJ213" s="26">
        <v>0.97178712100393883</v>
      </c>
      <c r="AK213" s="26">
        <v>0.97578064181299196</v>
      </c>
      <c r="AL213" s="26">
        <v>0.96865901316299308</v>
      </c>
      <c r="AM213" s="25">
        <v>0.99</v>
      </c>
      <c r="AN213" s="30">
        <v>1</v>
      </c>
      <c r="AO213" s="30">
        <v>1</v>
      </c>
      <c r="AP213" s="30">
        <v>1</v>
      </c>
      <c r="AQ213" s="30">
        <v>1</v>
      </c>
      <c r="AR213" s="50">
        <v>7.19793575775068E-2</v>
      </c>
      <c r="AS213" s="34">
        <v>0.10294117647058823</v>
      </c>
      <c r="AT213" s="34">
        <v>6.8965517241379309E-2</v>
      </c>
      <c r="AU213" s="34">
        <v>0.13432835820895522</v>
      </c>
      <c r="AV213" s="34">
        <v>9.1286307053941904E-2</v>
      </c>
      <c r="AW213" s="10"/>
      <c r="AX213" s="8"/>
    </row>
    <row r="214" spans="1:50">
      <c r="A214" s="7"/>
      <c r="C214" s="45" t="s">
        <v>236</v>
      </c>
      <c r="D214" s="23" t="s">
        <v>13</v>
      </c>
      <c r="E214" s="49" t="s">
        <v>261</v>
      </c>
      <c r="F214" s="49" t="s">
        <v>261</v>
      </c>
      <c r="G214" s="49" t="s">
        <v>261</v>
      </c>
      <c r="H214" s="49" t="s">
        <v>261</v>
      </c>
      <c r="I214" s="25">
        <v>0.9</v>
      </c>
      <c r="J214" s="26">
        <v>0.94805194805194803</v>
      </c>
      <c r="K214" s="26">
        <v>0.97701149425287359</v>
      </c>
      <c r="L214" s="27">
        <v>0.97674418604651159</v>
      </c>
      <c r="M214" s="26">
        <v>0.95924764890282133</v>
      </c>
      <c r="N214" s="28">
        <v>0.9</v>
      </c>
      <c r="O214" s="26">
        <v>0.93307912297426121</v>
      </c>
      <c r="P214" s="26">
        <v>0.93100275988960446</v>
      </c>
      <c r="Q214" s="26">
        <v>0.94854881266490765</v>
      </c>
      <c r="R214" s="26">
        <v>0.88010222532970084</v>
      </c>
      <c r="S214" s="28">
        <v>0.9</v>
      </c>
      <c r="T214" s="26">
        <v>0.91020019065776936</v>
      </c>
      <c r="U214" s="26">
        <v>0.92879484820607172</v>
      </c>
      <c r="V214" s="26">
        <v>0.93874858650584247</v>
      </c>
      <c r="W214" s="26">
        <v>0.92699568435518476</v>
      </c>
      <c r="X214" s="28">
        <v>0.92</v>
      </c>
      <c r="Y214" s="28">
        <v>0.92771084337349397</v>
      </c>
      <c r="Z214" s="28">
        <v>0.97535211267605637</v>
      </c>
      <c r="AA214" s="28">
        <v>0.97519267822736033</v>
      </c>
      <c r="AB214" s="28">
        <v>0.96245946620104761</v>
      </c>
      <c r="AC214" s="28">
        <v>0.92</v>
      </c>
      <c r="AD214" s="26">
        <v>0.99525363393651733</v>
      </c>
      <c r="AE214" s="26">
        <v>0.99489336136978068</v>
      </c>
      <c r="AF214" s="26">
        <v>0.9975669099756691</v>
      </c>
      <c r="AG214" s="26">
        <v>0.99645442458265621</v>
      </c>
      <c r="AH214" s="28">
        <v>0.92</v>
      </c>
      <c r="AI214" s="26">
        <v>0.94449013157894735</v>
      </c>
      <c r="AJ214" s="26">
        <v>0.97545425565827226</v>
      </c>
      <c r="AK214" s="26">
        <v>0.98297917327413042</v>
      </c>
      <c r="AL214" s="26">
        <v>0.97355864000326264</v>
      </c>
      <c r="AM214" s="25">
        <v>0.99</v>
      </c>
      <c r="AN214" s="30">
        <v>1</v>
      </c>
      <c r="AO214" s="30">
        <v>1</v>
      </c>
      <c r="AP214" s="30">
        <v>1</v>
      </c>
      <c r="AQ214" s="30">
        <v>1</v>
      </c>
      <c r="AR214" s="50">
        <v>7.19793575775068E-2</v>
      </c>
      <c r="AS214" s="34">
        <v>0</v>
      </c>
      <c r="AT214" s="34">
        <v>0.15217391304347827</v>
      </c>
      <c r="AU214" s="34">
        <v>6.8965517241379309E-2</v>
      </c>
      <c r="AV214" s="34">
        <v>5.4054054054054057E-2</v>
      </c>
      <c r="AW214" s="10"/>
      <c r="AX214" s="8"/>
    </row>
    <row r="215" spans="1:50" s="2" customFormat="1">
      <c r="A215" s="7"/>
      <c r="B215" s="4"/>
      <c r="C215" s="45" t="s">
        <v>236</v>
      </c>
      <c r="D215" s="23" t="s">
        <v>13</v>
      </c>
      <c r="E215" s="49" t="s">
        <v>262</v>
      </c>
      <c r="F215" s="49" t="s">
        <v>262</v>
      </c>
      <c r="G215" s="49" t="s">
        <v>262</v>
      </c>
      <c r="H215" s="49" t="s">
        <v>262</v>
      </c>
      <c r="I215" s="25">
        <v>0.9</v>
      </c>
      <c r="J215" s="26">
        <v>0.93069306930693074</v>
      </c>
      <c r="K215" s="26">
        <v>0.96226415094339623</v>
      </c>
      <c r="L215" s="27">
        <v>0.96261682242990654</v>
      </c>
      <c r="M215" s="26">
        <v>0.95369211514392993</v>
      </c>
      <c r="N215" s="28">
        <v>0.9</v>
      </c>
      <c r="O215" s="26">
        <v>0.9630017974835231</v>
      </c>
      <c r="P215" s="26">
        <v>0.94280570558094445</v>
      </c>
      <c r="Q215" s="26">
        <v>0.95100222717149219</v>
      </c>
      <c r="R215" s="26">
        <v>0.92979776061105812</v>
      </c>
      <c r="S215" s="28">
        <v>0.9</v>
      </c>
      <c r="T215" s="26">
        <v>0.89694427801078491</v>
      </c>
      <c r="U215" s="26">
        <v>0.90956931172967737</v>
      </c>
      <c r="V215" s="26">
        <v>0.90921000917070616</v>
      </c>
      <c r="W215" s="26">
        <v>0.89018314382432084</v>
      </c>
      <c r="X215" s="28">
        <v>0.92</v>
      </c>
      <c r="Y215" s="28">
        <v>0.92810854597002834</v>
      </c>
      <c r="Z215" s="28">
        <v>0.94896495183439233</v>
      </c>
      <c r="AA215" s="28">
        <v>0.95754716981132071</v>
      </c>
      <c r="AB215" s="28">
        <v>0.94402246916595434</v>
      </c>
      <c r="AC215" s="28">
        <v>0.92</v>
      </c>
      <c r="AD215" s="26">
        <v>0.99546437792198728</v>
      </c>
      <c r="AE215" s="26">
        <v>0.97885253081398982</v>
      </c>
      <c r="AF215" s="26">
        <v>0.98769156510196698</v>
      </c>
      <c r="AG215" s="26">
        <v>0.97043548945522418</v>
      </c>
      <c r="AH215" s="28">
        <v>0.92</v>
      </c>
      <c r="AI215" s="26">
        <v>0.94449225473321863</v>
      </c>
      <c r="AJ215" s="26">
        <v>0.96239980166928352</v>
      </c>
      <c r="AK215" s="26">
        <v>0.97303671095039701</v>
      </c>
      <c r="AL215" s="26">
        <v>0.96008806192741991</v>
      </c>
      <c r="AM215" s="25">
        <v>0.99</v>
      </c>
      <c r="AN215" s="30">
        <v>1</v>
      </c>
      <c r="AO215" s="30">
        <v>1</v>
      </c>
      <c r="AP215" s="30">
        <v>1</v>
      </c>
      <c r="AQ215" s="30">
        <v>1</v>
      </c>
      <c r="AR215" s="50">
        <v>7.19793575775068E-2</v>
      </c>
      <c r="AS215" s="34">
        <v>5.0632911392405063E-2</v>
      </c>
      <c r="AT215" s="34">
        <v>5.3763440860215055E-2</v>
      </c>
      <c r="AU215" s="34">
        <v>3.8461538461538464E-2</v>
      </c>
      <c r="AV215" s="34">
        <v>4.9715909090909088E-2</v>
      </c>
      <c r="AW215" s="4"/>
      <c r="AX215" s="8"/>
    </row>
    <row r="216" spans="1:50" s="2" customFormat="1">
      <c r="A216" s="7"/>
      <c r="B216" s="4"/>
      <c r="C216" s="45" t="s">
        <v>236</v>
      </c>
      <c r="D216" s="23" t="s">
        <v>13</v>
      </c>
      <c r="E216" s="49" t="s">
        <v>263</v>
      </c>
      <c r="F216" s="49" t="s">
        <v>263</v>
      </c>
      <c r="G216" s="49" t="s">
        <v>263</v>
      </c>
      <c r="H216" s="49" t="s">
        <v>263</v>
      </c>
      <c r="I216" s="25">
        <v>0.9</v>
      </c>
      <c r="J216" s="26">
        <v>0.94285714285714284</v>
      </c>
      <c r="K216" s="26">
        <v>0.92753623188405798</v>
      </c>
      <c r="L216" s="27">
        <v>0.91666666666666663</v>
      </c>
      <c r="M216" s="26">
        <v>0.95255474452554745</v>
      </c>
      <c r="N216" s="28">
        <v>0.9</v>
      </c>
      <c r="O216" s="26">
        <v>0.95030173943911966</v>
      </c>
      <c r="P216" s="26">
        <v>0.94994892747701731</v>
      </c>
      <c r="Q216" s="26">
        <v>0.94897959183673475</v>
      </c>
      <c r="R216" s="26">
        <v>0.94026544134238654</v>
      </c>
      <c r="S216" s="28">
        <v>0.9</v>
      </c>
      <c r="T216" s="26">
        <v>0.90592829250976215</v>
      </c>
      <c r="U216" s="26">
        <v>0.88712972420837588</v>
      </c>
      <c r="V216" s="26">
        <v>0.90735341755749921</v>
      </c>
      <c r="W216" s="26">
        <v>0.89831586288949516</v>
      </c>
      <c r="X216" s="28">
        <v>0.92</v>
      </c>
      <c r="Y216" s="28">
        <v>0.9209936876399919</v>
      </c>
      <c r="Z216" s="28">
        <v>0.9322217410134257</v>
      </c>
      <c r="AA216" s="28">
        <v>0.9465713083718974</v>
      </c>
      <c r="AB216" s="28">
        <v>0.94036497658109597</v>
      </c>
      <c r="AC216" s="28">
        <v>0.92</v>
      </c>
      <c r="AD216" s="26">
        <v>0.99839375860486457</v>
      </c>
      <c r="AE216" s="26">
        <v>0.99817850637522765</v>
      </c>
      <c r="AF216" s="26">
        <v>0.99486803519061584</v>
      </c>
      <c r="AG216" s="26">
        <v>0.996386458729555</v>
      </c>
      <c r="AH216" s="28">
        <v>0.92</v>
      </c>
      <c r="AI216" s="26">
        <v>0.94332290778125294</v>
      </c>
      <c r="AJ216" s="26">
        <v>0.95215402211208544</v>
      </c>
      <c r="AK216" s="26">
        <v>0.9644033674963397</v>
      </c>
      <c r="AL216" s="26">
        <v>0.95854774807595977</v>
      </c>
      <c r="AM216" s="25">
        <v>0.99</v>
      </c>
      <c r="AN216" s="30">
        <v>1</v>
      </c>
      <c r="AO216" s="30">
        <v>1</v>
      </c>
      <c r="AP216" s="30">
        <v>1</v>
      </c>
      <c r="AQ216" s="30">
        <v>1</v>
      </c>
      <c r="AR216" s="50">
        <v>7.19793575775068E-2</v>
      </c>
      <c r="AS216" s="34">
        <v>4.7619047619047616E-2</v>
      </c>
      <c r="AT216" s="34">
        <v>0</v>
      </c>
      <c r="AU216" s="34">
        <v>4.3478260869565216E-2</v>
      </c>
      <c r="AV216" s="34">
        <v>3.3846153846153845E-2</v>
      </c>
      <c r="AW216" s="4"/>
      <c r="AX216" s="8"/>
    </row>
    <row r="217" spans="1:50" s="2" customFormat="1">
      <c r="A217" s="7"/>
      <c r="B217" s="4"/>
      <c r="C217" s="45" t="s">
        <v>236</v>
      </c>
      <c r="D217" s="23" t="s">
        <v>13</v>
      </c>
      <c r="E217" s="49" t="s">
        <v>264</v>
      </c>
      <c r="F217" s="49" t="s">
        <v>264</v>
      </c>
      <c r="G217" s="49" t="s">
        <v>264</v>
      </c>
      <c r="H217" s="49" t="s">
        <v>264</v>
      </c>
      <c r="I217" s="25">
        <v>0.9</v>
      </c>
      <c r="J217" s="26">
        <v>0.97297297297297303</v>
      </c>
      <c r="K217" s="26">
        <v>0.93495934959349591</v>
      </c>
      <c r="L217" s="27">
        <v>0.9576271186440678</v>
      </c>
      <c r="M217" s="26">
        <v>0.93340494092373794</v>
      </c>
      <c r="N217" s="28">
        <v>0.9</v>
      </c>
      <c r="O217" s="26">
        <v>0.9176443257056569</v>
      </c>
      <c r="P217" s="26">
        <v>0.93415875954640126</v>
      </c>
      <c r="Q217" s="26">
        <v>0.92403376277210125</v>
      </c>
      <c r="R217" s="26">
        <v>0.92293085478505443</v>
      </c>
      <c r="S217" s="28">
        <v>0.9</v>
      </c>
      <c r="T217" s="26">
        <v>0.88419096294575439</v>
      </c>
      <c r="U217" s="26">
        <v>0.89678315204813697</v>
      </c>
      <c r="V217" s="26">
        <v>0.87605508662816522</v>
      </c>
      <c r="W217" s="26">
        <v>0.87350266272611754</v>
      </c>
      <c r="X217" s="28">
        <v>0.92</v>
      </c>
      <c r="Y217" s="28">
        <v>0.90141805290428145</v>
      </c>
      <c r="Z217" s="28">
        <v>0.92545180722891562</v>
      </c>
      <c r="AA217" s="28">
        <v>0.93170805572380377</v>
      </c>
      <c r="AB217" s="28">
        <v>0.91384593070689124</v>
      </c>
      <c r="AC217" s="28">
        <v>0.92</v>
      </c>
      <c r="AD217" s="26">
        <v>0.99531638776406306</v>
      </c>
      <c r="AE217" s="26">
        <v>0.90080368430558067</v>
      </c>
      <c r="AF217" s="26">
        <v>0.99582533589251443</v>
      </c>
      <c r="AG217" s="26">
        <v>0.97922688099668742</v>
      </c>
      <c r="AH217" s="28">
        <v>0.92</v>
      </c>
      <c r="AI217" s="26">
        <v>0.92839676468744126</v>
      </c>
      <c r="AJ217" s="26">
        <v>0.95066413662239091</v>
      </c>
      <c r="AK217" s="26">
        <v>0.95111481291645306</v>
      </c>
      <c r="AL217" s="26">
        <v>0.94184727923208378</v>
      </c>
      <c r="AM217" s="25">
        <v>0.99</v>
      </c>
      <c r="AN217" s="30">
        <v>1</v>
      </c>
      <c r="AO217" s="30">
        <v>1</v>
      </c>
      <c r="AP217" s="30">
        <v>1</v>
      </c>
      <c r="AQ217" s="30">
        <v>1</v>
      </c>
      <c r="AR217" s="50">
        <v>7.19793575775068E-2</v>
      </c>
      <c r="AS217" s="34">
        <v>0</v>
      </c>
      <c r="AT217" s="34">
        <v>5.7971014492753624E-2</v>
      </c>
      <c r="AU217" s="34">
        <v>5.1948051948051951E-2</v>
      </c>
      <c r="AV217" s="34">
        <v>4.3396226415094337E-2</v>
      </c>
      <c r="AW217" s="4"/>
      <c r="AX217" s="8"/>
    </row>
    <row r="218" spans="1:50" s="2" customFormat="1">
      <c r="A218" s="7"/>
      <c r="B218" s="4"/>
      <c r="C218" s="45" t="s">
        <v>236</v>
      </c>
      <c r="D218" s="23" t="s">
        <v>13</v>
      </c>
      <c r="E218" s="49" t="s">
        <v>265</v>
      </c>
      <c r="F218" s="49" t="s">
        <v>265</v>
      </c>
      <c r="G218" s="49" t="s">
        <v>265</v>
      </c>
      <c r="H218" s="49" t="s">
        <v>265</v>
      </c>
      <c r="I218" s="25">
        <v>0.9</v>
      </c>
      <c r="J218" s="26">
        <v>0.97894736842105268</v>
      </c>
      <c r="K218" s="26">
        <v>0.97959183673469385</v>
      </c>
      <c r="L218" s="27">
        <v>0.95283018867924529</v>
      </c>
      <c r="M218" s="26">
        <v>0.95947712418300657</v>
      </c>
      <c r="N218" s="28">
        <v>0.9</v>
      </c>
      <c r="O218" s="26">
        <v>0.95826086956521739</v>
      </c>
      <c r="P218" s="26">
        <v>0.9636212163287976</v>
      </c>
      <c r="Q218" s="26">
        <v>0.96231654105513686</v>
      </c>
      <c r="R218" s="26">
        <v>0.9588493467610234</v>
      </c>
      <c r="S218" s="28">
        <v>0.9</v>
      </c>
      <c r="T218" s="26">
        <v>0.91057971014492756</v>
      </c>
      <c r="U218" s="26">
        <v>0.92724243265759509</v>
      </c>
      <c r="V218" s="26">
        <v>0.93944202036229008</v>
      </c>
      <c r="W218" s="26">
        <v>0.92156028851388128</v>
      </c>
      <c r="X218" s="28">
        <v>0.92</v>
      </c>
      <c r="Y218" s="28">
        <v>0.92217642209398187</v>
      </c>
      <c r="Z218" s="28">
        <v>0.95107526881720428</v>
      </c>
      <c r="AA218" s="28">
        <v>0.95652958152958156</v>
      </c>
      <c r="AB218" s="28">
        <v>0.94913319694196185</v>
      </c>
      <c r="AC218" s="28">
        <v>0.92</v>
      </c>
      <c r="AD218" s="26">
        <v>0.99147369440945643</v>
      </c>
      <c r="AE218" s="26">
        <v>0.98028569041851144</v>
      </c>
      <c r="AF218" s="26">
        <v>0.99376159163716071</v>
      </c>
      <c r="AG218" s="26">
        <v>0.99034227229932881</v>
      </c>
      <c r="AH218" s="28">
        <v>0.92</v>
      </c>
      <c r="AI218" s="26">
        <v>0.94439731626436341</v>
      </c>
      <c r="AJ218" s="26">
        <v>0.96588953215459239</v>
      </c>
      <c r="AK218" s="26">
        <v>0.97322245956667686</v>
      </c>
      <c r="AL218" s="26">
        <v>0.9659507744939656</v>
      </c>
      <c r="AM218" s="25">
        <v>0.99</v>
      </c>
      <c r="AN218" s="30">
        <v>1</v>
      </c>
      <c r="AO218" s="30">
        <v>1</v>
      </c>
      <c r="AP218" s="30">
        <v>1</v>
      </c>
      <c r="AQ218" s="30">
        <v>1</v>
      </c>
      <c r="AR218" s="50">
        <v>7.19793575775068E-2</v>
      </c>
      <c r="AS218" s="34">
        <v>4.3478260869565216E-2</v>
      </c>
      <c r="AT218" s="34">
        <v>0.16</v>
      </c>
      <c r="AU218" s="34">
        <v>0.06</v>
      </c>
      <c r="AV218" s="34">
        <v>6.9060773480662987E-2</v>
      </c>
      <c r="AW218" s="4"/>
      <c r="AX218" s="8"/>
    </row>
    <row r="219" spans="1:50" s="2" customFormat="1">
      <c r="A219" s="7"/>
      <c r="B219" s="4"/>
      <c r="C219" s="45" t="s">
        <v>236</v>
      </c>
      <c r="D219" s="23" t="s">
        <v>13</v>
      </c>
      <c r="E219" s="49" t="s">
        <v>266</v>
      </c>
      <c r="F219" s="49" t="s">
        <v>266</v>
      </c>
      <c r="G219" s="49" t="s">
        <v>266</v>
      </c>
      <c r="H219" s="49" t="s">
        <v>266</v>
      </c>
      <c r="I219" s="25">
        <v>0.9</v>
      </c>
      <c r="J219" s="26">
        <v>0.91558441558441561</v>
      </c>
      <c r="K219" s="26">
        <v>0.95731707317073167</v>
      </c>
      <c r="L219" s="27">
        <v>0.94117647058823528</v>
      </c>
      <c r="M219" s="26">
        <v>0.93253012048192774</v>
      </c>
      <c r="N219" s="28">
        <v>0.9</v>
      </c>
      <c r="O219" s="26">
        <v>0.94806517311608962</v>
      </c>
      <c r="P219" s="26">
        <v>0.91866527632950989</v>
      </c>
      <c r="Q219" s="26">
        <v>0.94222262345400376</v>
      </c>
      <c r="R219" s="26">
        <v>0.90744241809420612</v>
      </c>
      <c r="S219" s="28">
        <v>0.9</v>
      </c>
      <c r="T219" s="26">
        <v>0.90040733197556011</v>
      </c>
      <c r="U219" s="26">
        <v>0.91402028628305998</v>
      </c>
      <c r="V219" s="26">
        <v>0.91532003249977434</v>
      </c>
      <c r="W219" s="26">
        <v>0.88663454222673088</v>
      </c>
      <c r="X219" s="28">
        <v>0.92</v>
      </c>
      <c r="Y219" s="28">
        <v>0.92147856517935256</v>
      </c>
      <c r="Z219" s="28">
        <v>0.93520990050958508</v>
      </c>
      <c r="AA219" s="28">
        <v>0.94533139816158684</v>
      </c>
      <c r="AB219" s="28">
        <v>0.92516497132812725</v>
      </c>
      <c r="AC219" s="28">
        <v>0.92</v>
      </c>
      <c r="AD219" s="26">
        <v>0.99602148398647306</v>
      </c>
      <c r="AE219" s="26">
        <v>0.9675907052588667</v>
      </c>
      <c r="AF219" s="26">
        <v>0.88563960137232478</v>
      </c>
      <c r="AG219" s="26">
        <v>0.93378108223455158</v>
      </c>
      <c r="AH219" s="28">
        <v>0.92</v>
      </c>
      <c r="AI219" s="26">
        <v>0.94706316566487403</v>
      </c>
      <c r="AJ219" s="26">
        <v>0.95865261813537672</v>
      </c>
      <c r="AK219" s="26">
        <v>0.96862400496226608</v>
      </c>
      <c r="AL219" s="26">
        <v>0.95275051065818883</v>
      </c>
      <c r="AM219" s="25">
        <v>0.99</v>
      </c>
      <c r="AN219" s="30">
        <v>1</v>
      </c>
      <c r="AO219" s="30">
        <v>1</v>
      </c>
      <c r="AP219" s="30">
        <v>1</v>
      </c>
      <c r="AQ219" s="30">
        <v>1</v>
      </c>
      <c r="AR219" s="50">
        <v>7.19793575775068E-2</v>
      </c>
      <c r="AS219" s="34">
        <v>3.7735849056603772E-2</v>
      </c>
      <c r="AT219" s="34">
        <v>4.5454545454545456E-2</v>
      </c>
      <c r="AU219" s="34">
        <v>4.5454545454545456E-2</v>
      </c>
      <c r="AV219" s="34">
        <v>4.7717842323651449E-2</v>
      </c>
      <c r="AW219" s="4"/>
      <c r="AX219" s="8"/>
    </row>
    <row r="220" spans="1:50" s="2" customFormat="1">
      <c r="A220" s="7"/>
      <c r="B220" s="4"/>
      <c r="C220" s="45" t="s">
        <v>236</v>
      </c>
      <c r="D220" s="23" t="s">
        <v>13</v>
      </c>
      <c r="E220" s="49" t="s">
        <v>267</v>
      </c>
      <c r="F220" s="49" t="s">
        <v>267</v>
      </c>
      <c r="G220" s="49" t="s">
        <v>267</v>
      </c>
      <c r="H220" s="49" t="s">
        <v>267</v>
      </c>
      <c r="I220" s="25">
        <v>0.9</v>
      </c>
      <c r="J220" s="26">
        <v>0.89380530973451322</v>
      </c>
      <c r="K220" s="26">
        <v>0.9152542372881356</v>
      </c>
      <c r="L220" s="27">
        <v>0.91228070175438591</v>
      </c>
      <c r="M220" s="26">
        <v>0.93243243243243246</v>
      </c>
      <c r="N220" s="28">
        <v>0.9</v>
      </c>
      <c r="O220" s="26">
        <v>0.95580828594638501</v>
      </c>
      <c r="P220" s="26">
        <v>0.95999402895954622</v>
      </c>
      <c r="Q220" s="26">
        <v>0.96242817150434656</v>
      </c>
      <c r="R220" s="26">
        <v>0.95096663110811674</v>
      </c>
      <c r="S220" s="28">
        <v>0.9</v>
      </c>
      <c r="T220" s="26">
        <v>0.89406986190089355</v>
      </c>
      <c r="U220" s="26">
        <v>0.91461412151067323</v>
      </c>
      <c r="V220" s="26">
        <v>0.92279357595402978</v>
      </c>
      <c r="W220" s="26">
        <v>0.90356146950386462</v>
      </c>
      <c r="X220" s="28">
        <v>0.92</v>
      </c>
      <c r="Y220" s="28">
        <v>0.91722689075630248</v>
      </c>
      <c r="Z220" s="28">
        <v>0.94179304192685098</v>
      </c>
      <c r="AA220" s="28">
        <v>0.95511004576160385</v>
      </c>
      <c r="AB220" s="28">
        <v>0.93779978739402114</v>
      </c>
      <c r="AC220" s="28">
        <v>0.92</v>
      </c>
      <c r="AD220" s="26">
        <v>0.99619303549434557</v>
      </c>
      <c r="AE220" s="26">
        <v>0.97008274984086573</v>
      </c>
      <c r="AF220" s="26">
        <v>0.98573518653986836</v>
      </c>
      <c r="AG220" s="26">
        <v>0.9562344158724817</v>
      </c>
      <c r="AH220" s="28">
        <v>0.92</v>
      </c>
      <c r="AI220" s="26">
        <v>0.94156438908224949</v>
      </c>
      <c r="AJ220" s="26">
        <v>0.96191668156624355</v>
      </c>
      <c r="AK220" s="26">
        <v>0.9678298321174299</v>
      </c>
      <c r="AL220" s="26">
        <v>0.95625665659573544</v>
      </c>
      <c r="AM220" s="25">
        <v>0.99</v>
      </c>
      <c r="AN220" s="30">
        <v>1</v>
      </c>
      <c r="AO220" s="30">
        <v>1</v>
      </c>
      <c r="AP220" s="30">
        <v>1</v>
      </c>
      <c r="AQ220" s="30">
        <v>1</v>
      </c>
      <c r="AR220" s="50">
        <v>7.19793575775068E-2</v>
      </c>
      <c r="AS220" s="34">
        <v>1.6949152542372881E-2</v>
      </c>
      <c r="AT220" s="34">
        <v>4.6153846153846156E-2</v>
      </c>
      <c r="AU220" s="34">
        <v>2.8571428571428571E-2</v>
      </c>
      <c r="AV220" s="34">
        <v>4.1916167664670656E-2</v>
      </c>
      <c r="AW220" s="4"/>
      <c r="AX220" s="8"/>
    </row>
    <row r="221" spans="1:50" s="2" customFormat="1">
      <c r="A221" s="7"/>
      <c r="B221" s="4"/>
      <c r="C221" s="45" t="s">
        <v>236</v>
      </c>
      <c r="D221" s="23" t="s">
        <v>13</v>
      </c>
      <c r="E221" s="49" t="s">
        <v>268</v>
      </c>
      <c r="F221" s="49" t="s">
        <v>268</v>
      </c>
      <c r="G221" s="49" t="s">
        <v>268</v>
      </c>
      <c r="H221" s="49" t="s">
        <v>268</v>
      </c>
      <c r="I221" s="25">
        <v>0.9</v>
      </c>
      <c r="J221" s="26">
        <v>0.95774647887323938</v>
      </c>
      <c r="K221" s="26">
        <v>1</v>
      </c>
      <c r="L221" s="27">
        <v>1</v>
      </c>
      <c r="M221" s="26">
        <v>0.97526501766784457</v>
      </c>
      <c r="N221" s="28">
        <v>0.9</v>
      </c>
      <c r="O221" s="26">
        <v>0.97603401623502128</v>
      </c>
      <c r="P221" s="26">
        <v>0.97991663508904892</v>
      </c>
      <c r="Q221" s="26">
        <v>0.96868814108331835</v>
      </c>
      <c r="R221" s="26">
        <v>0.95636363636363642</v>
      </c>
      <c r="S221" s="28">
        <v>0.9</v>
      </c>
      <c r="T221" s="26">
        <v>0.93390027058368763</v>
      </c>
      <c r="U221" s="26">
        <v>0.94221295945433881</v>
      </c>
      <c r="V221" s="26">
        <v>0.94565412992621922</v>
      </c>
      <c r="W221" s="26">
        <v>0.92965122927387078</v>
      </c>
      <c r="X221" s="28">
        <v>0.92</v>
      </c>
      <c r="Y221" s="28">
        <v>0.9116923764811089</v>
      </c>
      <c r="Z221" s="28">
        <v>0.94129924341247062</v>
      </c>
      <c r="AA221" s="28">
        <v>0.94113050273508725</v>
      </c>
      <c r="AB221" s="28">
        <v>0.9369876274314064</v>
      </c>
      <c r="AC221" s="28">
        <v>0.92</v>
      </c>
      <c r="AD221" s="26">
        <v>0.99495904221802145</v>
      </c>
      <c r="AE221" s="26">
        <v>0.98722860791826306</v>
      </c>
      <c r="AF221" s="26">
        <v>0.98516828294352543</v>
      </c>
      <c r="AG221" s="26">
        <v>0.98777879621142683</v>
      </c>
      <c r="AH221" s="28">
        <v>0.92</v>
      </c>
      <c r="AI221" s="26">
        <v>0.94288971807628519</v>
      </c>
      <c r="AJ221" s="26">
        <v>0.96356053122599061</v>
      </c>
      <c r="AK221" s="26">
        <v>0.96338867603235423</v>
      </c>
      <c r="AL221" s="26">
        <v>0.95848147424627206</v>
      </c>
      <c r="AM221" s="25">
        <v>0.99</v>
      </c>
      <c r="AN221" s="30">
        <v>1</v>
      </c>
      <c r="AO221" s="30">
        <v>1</v>
      </c>
      <c r="AP221" s="30">
        <v>1</v>
      </c>
      <c r="AQ221" s="30">
        <v>1</v>
      </c>
      <c r="AR221" s="50">
        <v>7.19793575775068E-2</v>
      </c>
      <c r="AS221" s="34">
        <v>4.1666666666666664E-2</v>
      </c>
      <c r="AT221" s="34">
        <v>0</v>
      </c>
      <c r="AU221" s="34">
        <v>5.128205128205128E-2</v>
      </c>
      <c r="AV221" s="34">
        <v>4.7008547008547008E-2</v>
      </c>
      <c r="AW221" s="4"/>
      <c r="AX221" s="8"/>
    </row>
    <row r="222" spans="1:50" s="2" customFormat="1">
      <c r="A222" s="7"/>
      <c r="B222" s="4"/>
      <c r="C222" s="45" t="s">
        <v>236</v>
      </c>
      <c r="D222" s="23" t="s">
        <v>13</v>
      </c>
      <c r="E222" s="49" t="s">
        <v>269</v>
      </c>
      <c r="F222" s="49" t="s">
        <v>269</v>
      </c>
      <c r="G222" s="49" t="s">
        <v>269</v>
      </c>
      <c r="H222" s="49" t="s">
        <v>269</v>
      </c>
      <c r="I222" s="25">
        <v>0.9</v>
      </c>
      <c r="J222" s="26">
        <v>0.9550561797752809</v>
      </c>
      <c r="K222" s="26">
        <v>0.92</v>
      </c>
      <c r="L222" s="27">
        <v>0.9509803921568627</v>
      </c>
      <c r="M222" s="26">
        <v>0.96603260869565222</v>
      </c>
      <c r="N222" s="28">
        <v>0.9</v>
      </c>
      <c r="O222" s="26">
        <v>0.91803058760397105</v>
      </c>
      <c r="P222" s="26">
        <v>0.90028992814824149</v>
      </c>
      <c r="Q222" s="26">
        <v>0.91592290777389729</v>
      </c>
      <c r="R222" s="26">
        <v>0.84970479465386362</v>
      </c>
      <c r="S222" s="28">
        <v>0.9</v>
      </c>
      <c r="T222" s="26">
        <v>0.80158304266165814</v>
      </c>
      <c r="U222" s="26">
        <v>0.85377536871297111</v>
      </c>
      <c r="V222" s="26">
        <v>0.87013322985383523</v>
      </c>
      <c r="W222" s="26">
        <v>0.83916174657756437</v>
      </c>
      <c r="X222" s="28">
        <v>0.92</v>
      </c>
      <c r="Y222" s="28">
        <v>0.86920415224913494</v>
      </c>
      <c r="Z222" s="28">
        <v>0.92771515476829491</v>
      </c>
      <c r="AA222" s="28">
        <v>0.96166544387380781</v>
      </c>
      <c r="AB222" s="28">
        <v>0.92855530983436385</v>
      </c>
      <c r="AC222" s="28">
        <v>0.92</v>
      </c>
      <c r="AD222" s="26">
        <v>0.99726962457337887</v>
      </c>
      <c r="AE222" s="26">
        <v>0.98626373626373631</v>
      </c>
      <c r="AF222" s="26">
        <v>0.96231319038336582</v>
      </c>
      <c r="AG222" s="26">
        <v>0.98362720403022674</v>
      </c>
      <c r="AH222" s="28">
        <v>0.92</v>
      </c>
      <c r="AI222" s="26">
        <v>0.89984137774756401</v>
      </c>
      <c r="AJ222" s="26">
        <v>0.94469091984619935</v>
      </c>
      <c r="AK222" s="26">
        <v>0.96996131381324435</v>
      </c>
      <c r="AL222" s="26">
        <v>0.94713452720170588</v>
      </c>
      <c r="AM222" s="25">
        <v>0.99</v>
      </c>
      <c r="AN222" s="30">
        <v>1</v>
      </c>
      <c r="AO222" s="30">
        <v>1</v>
      </c>
      <c r="AP222" s="30">
        <v>1</v>
      </c>
      <c r="AQ222" s="30">
        <v>1</v>
      </c>
      <c r="AR222" s="50">
        <v>7.19793575775068E-2</v>
      </c>
      <c r="AS222" s="34">
        <v>0</v>
      </c>
      <c r="AT222" s="34">
        <v>4.7619047619047616E-2</v>
      </c>
      <c r="AU222" s="34">
        <v>4.5454545454545456E-2</v>
      </c>
      <c r="AV222" s="34">
        <v>4.843304843304843E-2</v>
      </c>
      <c r="AW222" s="4"/>
      <c r="AX222" s="8"/>
    </row>
    <row r="223" spans="1:50">
      <c r="A223" s="7"/>
      <c r="C223" s="45" t="s">
        <v>236</v>
      </c>
      <c r="D223" s="23" t="s">
        <v>13</v>
      </c>
      <c r="E223" s="49" t="s">
        <v>270</v>
      </c>
      <c r="F223" s="49" t="s">
        <v>270</v>
      </c>
      <c r="G223" s="49" t="s">
        <v>270</v>
      </c>
      <c r="H223" s="49" t="s">
        <v>270</v>
      </c>
      <c r="I223" s="25">
        <v>0.9</v>
      </c>
      <c r="J223" s="26">
        <v>0.9263157894736842</v>
      </c>
      <c r="K223" s="26">
        <v>0.89130434782608692</v>
      </c>
      <c r="L223" s="27">
        <v>0.91397849462365588</v>
      </c>
      <c r="M223" s="26">
        <v>0.91463414634146345</v>
      </c>
      <c r="N223" s="28">
        <v>0.9</v>
      </c>
      <c r="O223" s="26">
        <v>0.96597494858852118</v>
      </c>
      <c r="P223" s="26">
        <v>0.9621510211729436</v>
      </c>
      <c r="Q223" s="26">
        <v>0.94473353669477844</v>
      </c>
      <c r="R223" s="26">
        <v>0.96256226474632045</v>
      </c>
      <c r="S223" s="28">
        <v>0.9</v>
      </c>
      <c r="T223" s="26">
        <v>0.94391475042063933</v>
      </c>
      <c r="U223" s="26">
        <v>0.94116544875398167</v>
      </c>
      <c r="V223" s="26">
        <v>0.94042705903463131</v>
      </c>
      <c r="W223" s="26">
        <v>0.94268262447314444</v>
      </c>
      <c r="X223" s="28">
        <v>0.92</v>
      </c>
      <c r="Y223" s="28">
        <v>0.9284782608695652</v>
      </c>
      <c r="Z223" s="28">
        <v>0.952416918429003</v>
      </c>
      <c r="AA223" s="28">
        <v>0.95329032258064517</v>
      </c>
      <c r="AB223" s="28">
        <v>0.94594753731562986</v>
      </c>
      <c r="AC223" s="28">
        <v>0.92</v>
      </c>
      <c r="AD223" s="26">
        <v>0.99523305084745761</v>
      </c>
      <c r="AE223" s="26">
        <v>0.99523582658408771</v>
      </c>
      <c r="AF223" s="26">
        <v>0.99600399600399603</v>
      </c>
      <c r="AG223" s="26">
        <v>0.99595355383532724</v>
      </c>
      <c r="AH223" s="28">
        <v>0.92</v>
      </c>
      <c r="AI223" s="26">
        <v>0.95478750125590273</v>
      </c>
      <c r="AJ223" s="26">
        <v>0.9692770437211301</v>
      </c>
      <c r="AK223" s="26">
        <v>0.97216636681130275</v>
      </c>
      <c r="AL223" s="26">
        <v>0.96742695955173774</v>
      </c>
      <c r="AM223" s="25">
        <v>0.99</v>
      </c>
      <c r="AN223" s="30">
        <v>1</v>
      </c>
      <c r="AO223" s="30">
        <v>1</v>
      </c>
      <c r="AP223" s="30">
        <v>1</v>
      </c>
      <c r="AQ223" s="30">
        <v>1</v>
      </c>
      <c r="AR223" s="50">
        <v>7.19793575775068E-2</v>
      </c>
      <c r="AS223" s="34">
        <v>0.1</v>
      </c>
      <c r="AT223" s="34">
        <v>7.6923076923076927E-2</v>
      </c>
      <c r="AU223" s="34">
        <v>0.12903225806451613</v>
      </c>
      <c r="AV223" s="34">
        <v>5.4852320675105488E-2</v>
      </c>
      <c r="AW223" s="10"/>
      <c r="AX223" s="8"/>
    </row>
    <row r="224" spans="1:50">
      <c r="A224" s="7"/>
      <c r="C224" s="45" t="s">
        <v>236</v>
      </c>
      <c r="D224" s="23" t="s">
        <v>13</v>
      </c>
      <c r="E224" s="49" t="s">
        <v>271</v>
      </c>
      <c r="F224" s="49" t="s">
        <v>271</v>
      </c>
      <c r="G224" s="49" t="s">
        <v>271</v>
      </c>
      <c r="H224" s="49" t="s">
        <v>271</v>
      </c>
      <c r="I224" s="25">
        <v>0.9</v>
      </c>
      <c r="J224" s="26">
        <v>0.92553191489361697</v>
      </c>
      <c r="K224" s="26">
        <v>0.93877551020408168</v>
      </c>
      <c r="L224" s="27">
        <v>0.93</v>
      </c>
      <c r="M224" s="26">
        <v>0.93270524899057872</v>
      </c>
      <c r="N224" s="28">
        <v>0.9</v>
      </c>
      <c r="O224" s="26">
        <v>0.95413247362250875</v>
      </c>
      <c r="P224" s="26">
        <v>0.93199939822476308</v>
      </c>
      <c r="Q224" s="26">
        <v>0.95443611150417429</v>
      </c>
      <c r="R224" s="26">
        <v>0.94903518521892827</v>
      </c>
      <c r="S224" s="28">
        <v>0.9</v>
      </c>
      <c r="T224" s="26">
        <v>0.91104923798358739</v>
      </c>
      <c r="U224" s="26">
        <v>0.91530013539942834</v>
      </c>
      <c r="V224" s="26">
        <v>0.93009763690391967</v>
      </c>
      <c r="W224" s="26">
        <v>0.90340919443887679</v>
      </c>
      <c r="X224" s="28">
        <v>0.92</v>
      </c>
      <c r="Y224" s="28">
        <v>0.92766254139794313</v>
      </c>
      <c r="Z224" s="28">
        <v>0.93367548361626529</v>
      </c>
      <c r="AA224" s="28">
        <v>0.95393550971359908</v>
      </c>
      <c r="AB224" s="28">
        <v>0.93794093028817405</v>
      </c>
      <c r="AC224" s="28">
        <v>0.92</v>
      </c>
      <c r="AD224" s="26">
        <v>0.97476340694006314</v>
      </c>
      <c r="AE224" s="26">
        <v>0.99223085460599336</v>
      </c>
      <c r="AF224" s="26">
        <v>0.99026425591098743</v>
      </c>
      <c r="AG224" s="26">
        <v>0.98606713109563016</v>
      </c>
      <c r="AH224" s="28">
        <v>0.92</v>
      </c>
      <c r="AI224" s="26">
        <v>0.94921595160391625</v>
      </c>
      <c r="AJ224" s="26">
        <v>0.9604746457230664</v>
      </c>
      <c r="AK224" s="26">
        <v>0.97072968490878941</v>
      </c>
      <c r="AL224" s="26">
        <v>0.96165618795499674</v>
      </c>
      <c r="AM224" s="25">
        <v>0.99</v>
      </c>
      <c r="AN224" s="30">
        <v>1</v>
      </c>
      <c r="AO224" s="30">
        <v>1</v>
      </c>
      <c r="AP224" s="30">
        <v>1</v>
      </c>
      <c r="AQ224" s="30">
        <v>1</v>
      </c>
      <c r="AR224" s="50">
        <v>7.19793575775068E-2</v>
      </c>
      <c r="AS224" s="34">
        <v>6.25E-2</v>
      </c>
      <c r="AT224" s="34">
        <v>2.8571428571428571E-2</v>
      </c>
      <c r="AU224" s="34">
        <v>3.0303030303030304E-2</v>
      </c>
      <c r="AV224" s="34">
        <v>3.484320557491289E-2</v>
      </c>
      <c r="AW224" s="10"/>
      <c r="AX224" s="8"/>
    </row>
    <row r="225" spans="1:50">
      <c r="A225" s="7"/>
      <c r="C225" s="45" t="s">
        <v>236</v>
      </c>
      <c r="D225" s="23" t="s">
        <v>13</v>
      </c>
      <c r="E225" s="49" t="s">
        <v>272</v>
      </c>
      <c r="F225" s="49" t="s">
        <v>272</v>
      </c>
      <c r="G225" s="49" t="s">
        <v>272</v>
      </c>
      <c r="H225" s="49" t="s">
        <v>272</v>
      </c>
      <c r="I225" s="25">
        <v>0.9</v>
      </c>
      <c r="J225" s="26">
        <v>0.95588235294117652</v>
      </c>
      <c r="K225" s="26">
        <v>0.95918367346938771</v>
      </c>
      <c r="L225" s="27">
        <v>0.95394736842105265</v>
      </c>
      <c r="M225" s="26">
        <v>0.96642468239564427</v>
      </c>
      <c r="N225" s="28">
        <v>0.9</v>
      </c>
      <c r="O225" s="26">
        <v>0.94213881871767113</v>
      </c>
      <c r="P225" s="26">
        <v>0.95007923930269411</v>
      </c>
      <c r="Q225" s="26">
        <v>0.94795457051494103</v>
      </c>
      <c r="R225" s="26">
        <v>0.91102522602969083</v>
      </c>
      <c r="S225" s="28">
        <v>0.9</v>
      </c>
      <c r="T225" s="26">
        <v>0.90304342595934084</v>
      </c>
      <c r="U225" s="26">
        <v>0.91430835408648403</v>
      </c>
      <c r="V225" s="26">
        <v>0.91333112801852467</v>
      </c>
      <c r="W225" s="26">
        <v>0.89823082933363096</v>
      </c>
      <c r="X225" s="28">
        <v>0.92</v>
      </c>
      <c r="Y225" s="28">
        <v>0.92385057471264365</v>
      </c>
      <c r="Z225" s="28">
        <v>0.94489711365833451</v>
      </c>
      <c r="AA225" s="28">
        <v>0.9457943925233645</v>
      </c>
      <c r="AB225" s="28">
        <v>0.9350890462765592</v>
      </c>
      <c r="AC225" s="28">
        <v>0.92</v>
      </c>
      <c r="AD225" s="26">
        <v>0.99796334012219956</v>
      </c>
      <c r="AE225" s="26">
        <v>0.99793388429752061</v>
      </c>
      <c r="AF225" s="26">
        <v>0.98939929328621912</v>
      </c>
      <c r="AG225" s="26">
        <v>0.99558960074280412</v>
      </c>
      <c r="AH225" s="28">
        <v>0.92</v>
      </c>
      <c r="AI225" s="26">
        <v>0.9448375180013775</v>
      </c>
      <c r="AJ225" s="26">
        <v>0.9596964796616495</v>
      </c>
      <c r="AK225" s="26">
        <v>0.96030953569645527</v>
      </c>
      <c r="AL225" s="26">
        <v>0.95456435689312613</v>
      </c>
      <c r="AM225" s="25">
        <v>0.99</v>
      </c>
      <c r="AN225" s="30">
        <v>1</v>
      </c>
      <c r="AO225" s="30">
        <v>1</v>
      </c>
      <c r="AP225" s="30">
        <v>1</v>
      </c>
      <c r="AQ225" s="30">
        <v>1</v>
      </c>
      <c r="AR225" s="50">
        <v>7.19793575775068E-2</v>
      </c>
      <c r="AS225" s="34">
        <v>4.5454545454545456E-2</v>
      </c>
      <c r="AT225" s="34">
        <v>2.0833333333333332E-2</v>
      </c>
      <c r="AU225" s="34">
        <v>2.0833333333333332E-2</v>
      </c>
      <c r="AV225" s="34">
        <v>3.3707865168539325E-2</v>
      </c>
      <c r="AW225" s="10"/>
      <c r="AX225" s="8"/>
    </row>
    <row r="226" spans="1:50">
      <c r="A226" s="7"/>
      <c r="C226" s="45" t="s">
        <v>236</v>
      </c>
      <c r="D226" s="23" t="s">
        <v>13</v>
      </c>
      <c r="E226" s="49" t="s">
        <v>273</v>
      </c>
      <c r="F226" s="49" t="s">
        <v>273</v>
      </c>
      <c r="G226" s="49" t="s">
        <v>273</v>
      </c>
      <c r="H226" s="49" t="s">
        <v>273</v>
      </c>
      <c r="I226" s="25">
        <v>0.9</v>
      </c>
      <c r="J226" s="26">
        <v>1</v>
      </c>
      <c r="K226" s="26">
        <v>1</v>
      </c>
      <c r="L226" s="27">
        <v>1</v>
      </c>
      <c r="M226" s="26">
        <v>0.98630136986301364</v>
      </c>
      <c r="N226" s="28">
        <v>0.9</v>
      </c>
      <c r="O226" s="26">
        <v>0.9889064976228209</v>
      </c>
      <c r="P226" s="26">
        <v>0.98342541436464093</v>
      </c>
      <c r="Q226" s="26">
        <v>0.93323100537221793</v>
      </c>
      <c r="R226" s="26">
        <v>0.98064763364629237</v>
      </c>
      <c r="S226" s="28">
        <v>0.9</v>
      </c>
      <c r="T226" s="26">
        <v>0.94532488114104596</v>
      </c>
      <c r="U226" s="26">
        <v>0.93685872138910808</v>
      </c>
      <c r="V226" s="26">
        <v>0.91097467382962394</v>
      </c>
      <c r="W226" s="26">
        <v>0.93590726192757234</v>
      </c>
      <c r="X226" s="28">
        <v>0.92</v>
      </c>
      <c r="Y226" s="28">
        <v>0.94434470377019752</v>
      </c>
      <c r="Z226" s="28">
        <v>0.96464646464646464</v>
      </c>
      <c r="AA226" s="28">
        <v>0.96376811594202894</v>
      </c>
      <c r="AB226" s="28">
        <v>0.9526844814905614</v>
      </c>
      <c r="AC226" s="28">
        <v>0.92</v>
      </c>
      <c r="AD226" s="26">
        <v>1</v>
      </c>
      <c r="AE226" s="26">
        <v>1</v>
      </c>
      <c r="AF226" s="26">
        <v>1</v>
      </c>
      <c r="AG226" s="26">
        <v>0.98605577689243029</v>
      </c>
      <c r="AH226" s="28">
        <v>0.92</v>
      </c>
      <c r="AI226" s="26">
        <v>0.96634413125788809</v>
      </c>
      <c r="AJ226" s="26">
        <v>0.96987151085511736</v>
      </c>
      <c r="AK226" s="26">
        <v>0.97928602908770379</v>
      </c>
      <c r="AL226" s="26">
        <v>0.97123191912674089</v>
      </c>
      <c r="AM226" s="25">
        <v>0.99</v>
      </c>
      <c r="AN226" s="30">
        <v>1</v>
      </c>
      <c r="AO226" s="30">
        <v>1</v>
      </c>
      <c r="AP226" s="30">
        <v>1</v>
      </c>
      <c r="AQ226" s="30">
        <v>1</v>
      </c>
      <c r="AR226" s="50">
        <v>7.19793575775068E-2</v>
      </c>
      <c r="AS226" s="34">
        <v>0</v>
      </c>
      <c r="AT226" s="34">
        <v>0.14285714285714285</v>
      </c>
      <c r="AU226" s="34">
        <v>0</v>
      </c>
      <c r="AV226" s="34">
        <v>4.2553191489361701E-2</v>
      </c>
      <c r="AW226" s="10"/>
      <c r="AX226" s="8"/>
    </row>
    <row r="227" spans="1:50">
      <c r="A227" s="7"/>
      <c r="C227" s="45" t="s">
        <v>236</v>
      </c>
      <c r="D227" s="23" t="s">
        <v>13</v>
      </c>
      <c r="E227" s="49" t="s">
        <v>274</v>
      </c>
      <c r="F227" s="49" t="s">
        <v>274</v>
      </c>
      <c r="G227" s="49" t="s">
        <v>274</v>
      </c>
      <c r="H227" s="49" t="s">
        <v>274</v>
      </c>
      <c r="I227" s="25">
        <v>0.9</v>
      </c>
      <c r="J227" s="26">
        <v>0.93023255813953487</v>
      </c>
      <c r="K227" s="26">
        <v>0.97647058823529409</v>
      </c>
      <c r="L227" s="27">
        <v>0.94791666666666663</v>
      </c>
      <c r="M227" s="26">
        <v>0.95947901591895801</v>
      </c>
      <c r="N227" s="28">
        <v>0.9</v>
      </c>
      <c r="O227" s="26">
        <v>0.90500748627516225</v>
      </c>
      <c r="P227" s="26">
        <v>0.90600190536678316</v>
      </c>
      <c r="Q227" s="26">
        <v>0.88892256402485226</v>
      </c>
      <c r="R227" s="26">
        <v>0.87353606928451921</v>
      </c>
      <c r="S227" s="28">
        <v>0.9</v>
      </c>
      <c r="T227" s="26">
        <v>0.85010813508567629</v>
      </c>
      <c r="U227" s="26">
        <v>0.86376627500793901</v>
      </c>
      <c r="V227" s="26">
        <v>0.86210031823003486</v>
      </c>
      <c r="W227" s="26">
        <v>0.83909064068497197</v>
      </c>
      <c r="X227" s="28">
        <v>0.92</v>
      </c>
      <c r="Y227" s="28">
        <v>0.89806678383128291</v>
      </c>
      <c r="Z227" s="28">
        <v>0.94685519258898099</v>
      </c>
      <c r="AA227" s="28">
        <v>0.96526973836536234</v>
      </c>
      <c r="AB227" s="28">
        <v>0.95143353605560377</v>
      </c>
      <c r="AC227" s="28">
        <v>0.92</v>
      </c>
      <c r="AD227" s="26">
        <v>0.99811764705882355</v>
      </c>
      <c r="AE227" s="26">
        <v>0.99766238103189175</v>
      </c>
      <c r="AF227" s="26">
        <v>0.99866510929417651</v>
      </c>
      <c r="AG227" s="26">
        <v>0.99451478310912889</v>
      </c>
      <c r="AH227" s="28">
        <v>0.92</v>
      </c>
      <c r="AI227" s="26">
        <v>0.92401589704769116</v>
      </c>
      <c r="AJ227" s="26">
        <v>0.96278846153846154</v>
      </c>
      <c r="AK227" s="26">
        <v>0.97682725773951273</v>
      </c>
      <c r="AL227" s="26">
        <v>0.96678227450612797</v>
      </c>
      <c r="AM227" s="25">
        <v>0.99</v>
      </c>
      <c r="AN227" s="30">
        <v>1</v>
      </c>
      <c r="AO227" s="30">
        <v>1</v>
      </c>
      <c r="AP227" s="30">
        <v>1</v>
      </c>
      <c r="AQ227" s="30">
        <v>1</v>
      </c>
      <c r="AR227" s="50">
        <v>7.19793575775068E-2</v>
      </c>
      <c r="AS227" s="34">
        <v>3.7037037037037035E-2</v>
      </c>
      <c r="AT227" s="34">
        <v>3.125E-2</v>
      </c>
      <c r="AU227" s="34">
        <v>0</v>
      </c>
      <c r="AV227" s="34">
        <v>4.1509433962264149E-2</v>
      </c>
      <c r="AW227" s="10"/>
      <c r="AX227" s="8"/>
    </row>
    <row r="228" spans="1:50">
      <c r="A228" s="7"/>
      <c r="C228" s="45" t="s">
        <v>236</v>
      </c>
      <c r="D228" s="23" t="s">
        <v>13</v>
      </c>
      <c r="E228" s="49" t="s">
        <v>275</v>
      </c>
      <c r="F228" s="49" t="s">
        <v>275</v>
      </c>
      <c r="G228" s="49" t="s">
        <v>275</v>
      </c>
      <c r="H228" s="49" t="s">
        <v>275</v>
      </c>
      <c r="I228" s="25">
        <v>0.9</v>
      </c>
      <c r="J228" s="26">
        <v>0</v>
      </c>
      <c r="K228" s="26">
        <v>0</v>
      </c>
      <c r="L228" s="27">
        <v>0</v>
      </c>
      <c r="M228" s="26">
        <v>0</v>
      </c>
      <c r="N228" s="28">
        <v>0.9</v>
      </c>
      <c r="O228" s="26">
        <v>0</v>
      </c>
      <c r="P228" s="26">
        <v>0</v>
      </c>
      <c r="Q228" s="26">
        <v>0</v>
      </c>
      <c r="R228" s="26">
        <v>0</v>
      </c>
      <c r="S228" s="28">
        <v>0.9</v>
      </c>
      <c r="T228" s="26">
        <v>0</v>
      </c>
      <c r="U228" s="26">
        <v>0</v>
      </c>
      <c r="V228" s="26">
        <v>0</v>
      </c>
      <c r="W228" s="26">
        <v>0</v>
      </c>
      <c r="X228" s="28">
        <v>0.92</v>
      </c>
      <c r="Y228" s="28">
        <v>0</v>
      </c>
      <c r="Z228" s="28">
        <v>0</v>
      </c>
      <c r="AA228" s="28">
        <v>0</v>
      </c>
      <c r="AB228" s="28">
        <v>0</v>
      </c>
      <c r="AC228" s="28">
        <v>0.92</v>
      </c>
      <c r="AD228" s="26">
        <v>1</v>
      </c>
      <c r="AE228" s="26">
        <v>0.99289520426287747</v>
      </c>
      <c r="AF228" s="26">
        <v>0.98724082934609247</v>
      </c>
      <c r="AG228" s="26">
        <v>0.99125833908442607</v>
      </c>
      <c r="AH228" s="28">
        <v>0.92</v>
      </c>
      <c r="AI228" s="26">
        <v>0</v>
      </c>
      <c r="AJ228" s="26">
        <v>0</v>
      </c>
      <c r="AK228" s="26">
        <v>0</v>
      </c>
      <c r="AL228" s="26">
        <v>0</v>
      </c>
      <c r="AM228" s="25">
        <v>0.99</v>
      </c>
      <c r="AN228" s="30">
        <v>0</v>
      </c>
      <c r="AO228" s="30">
        <v>0</v>
      </c>
      <c r="AP228" s="30">
        <v>0</v>
      </c>
      <c r="AQ228" s="30">
        <v>0</v>
      </c>
      <c r="AR228" s="50">
        <v>7.19793575775068E-2</v>
      </c>
      <c r="AS228" s="34">
        <v>0</v>
      </c>
      <c r="AT228" s="34">
        <v>0</v>
      </c>
      <c r="AU228" s="34">
        <v>0</v>
      </c>
      <c r="AV228" s="34">
        <v>0</v>
      </c>
      <c r="AW228" s="10"/>
      <c r="AX228" s="8"/>
    </row>
    <row r="229" spans="1:50">
      <c r="A229" s="7"/>
      <c r="C229" s="45" t="s">
        <v>236</v>
      </c>
      <c r="D229" s="23" t="s">
        <v>13</v>
      </c>
      <c r="E229" s="49" t="s">
        <v>276</v>
      </c>
      <c r="F229" s="49" t="s">
        <v>276</v>
      </c>
      <c r="G229" s="49" t="s">
        <v>276</v>
      </c>
      <c r="H229" s="49" t="s">
        <v>276</v>
      </c>
      <c r="I229" s="25">
        <v>0.9</v>
      </c>
      <c r="J229" s="26">
        <v>0.94776119402985071</v>
      </c>
      <c r="K229" s="26">
        <v>0.95652173913043481</v>
      </c>
      <c r="L229" s="27">
        <v>0.99264705882352944</v>
      </c>
      <c r="M229" s="26">
        <v>0.96222851746931071</v>
      </c>
      <c r="N229" s="28">
        <v>0.9</v>
      </c>
      <c r="O229" s="26">
        <v>0.95801173201605438</v>
      </c>
      <c r="P229" s="26">
        <v>0.95418782989742057</v>
      </c>
      <c r="Q229" s="26">
        <v>0.94149088479526577</v>
      </c>
      <c r="R229" s="26">
        <v>0.92168052344172779</v>
      </c>
      <c r="S229" s="28">
        <v>0.9</v>
      </c>
      <c r="T229" s="26">
        <v>0.92466810744056804</v>
      </c>
      <c r="U229" s="26">
        <v>0.92978786973409022</v>
      </c>
      <c r="V229" s="26">
        <v>0.93309153383602172</v>
      </c>
      <c r="W229" s="26">
        <v>0.90661435529099232</v>
      </c>
      <c r="X229" s="28">
        <v>0.92</v>
      </c>
      <c r="Y229" s="28">
        <v>0.92991014120667526</v>
      </c>
      <c r="Z229" s="28">
        <v>0.94989043097151205</v>
      </c>
      <c r="AA229" s="28">
        <v>0.96032772746873651</v>
      </c>
      <c r="AB229" s="28">
        <v>0.94608704467121718</v>
      </c>
      <c r="AC229" s="28">
        <v>0.92</v>
      </c>
      <c r="AD229" s="26">
        <v>0.98963679431504148</v>
      </c>
      <c r="AE229" s="26">
        <v>0.99412396990326046</v>
      </c>
      <c r="AF229" s="26">
        <v>0.99693644913080648</v>
      </c>
      <c r="AG229" s="26">
        <v>0.99083143026304665</v>
      </c>
      <c r="AH229" s="28">
        <v>0.92</v>
      </c>
      <c r="AI229" s="26">
        <v>0.95699845811204387</v>
      </c>
      <c r="AJ229" s="26">
        <v>0.97009711037423019</v>
      </c>
      <c r="AK229" s="26">
        <v>0.97493978667278358</v>
      </c>
      <c r="AL229" s="26">
        <v>0.96675870706955691</v>
      </c>
      <c r="AM229" s="25">
        <v>0.99</v>
      </c>
      <c r="AN229" s="30">
        <v>1</v>
      </c>
      <c r="AO229" s="30">
        <v>1</v>
      </c>
      <c r="AP229" s="30">
        <v>1</v>
      </c>
      <c r="AQ229" s="30">
        <v>1</v>
      </c>
      <c r="AR229" s="50">
        <v>7.19793575775068E-2</v>
      </c>
      <c r="AS229" s="34">
        <v>2.3809523809523808E-2</v>
      </c>
      <c r="AT229" s="34">
        <v>0.12</v>
      </c>
      <c r="AU229" s="34">
        <v>6.9767441860465115E-2</v>
      </c>
      <c r="AV229" s="34">
        <v>6.0317460317460318E-2</v>
      </c>
      <c r="AW229" s="10"/>
      <c r="AX229" s="8"/>
    </row>
    <row r="230" spans="1:50">
      <c r="A230" s="7"/>
      <c r="C230" s="45" t="s">
        <v>236</v>
      </c>
      <c r="D230" s="23" t="s">
        <v>13</v>
      </c>
      <c r="E230" s="49" t="s">
        <v>277</v>
      </c>
      <c r="F230" s="49" t="s">
        <v>277</v>
      </c>
      <c r="G230" s="49" t="s">
        <v>277</v>
      </c>
      <c r="H230" s="49" t="s">
        <v>277</v>
      </c>
      <c r="I230" s="25">
        <v>0.9</v>
      </c>
      <c r="J230" s="26">
        <v>0.91743119266055051</v>
      </c>
      <c r="K230" s="26">
        <v>0.93965517241379315</v>
      </c>
      <c r="L230" s="27">
        <v>0.94117647058823528</v>
      </c>
      <c r="M230" s="26">
        <v>0.93424036281179135</v>
      </c>
      <c r="N230" s="28">
        <v>0.9</v>
      </c>
      <c r="O230" s="26">
        <v>0.96786989289964298</v>
      </c>
      <c r="P230" s="26">
        <v>0.95826065287814599</v>
      </c>
      <c r="Q230" s="26">
        <v>0.96598062953995156</v>
      </c>
      <c r="R230" s="26">
        <v>0.95543076375674885</v>
      </c>
      <c r="S230" s="28">
        <v>0.9</v>
      </c>
      <c r="T230" s="26">
        <v>0.91564194102869234</v>
      </c>
      <c r="U230" s="26">
        <v>0.92412160478445049</v>
      </c>
      <c r="V230" s="26">
        <v>0.93535108958837776</v>
      </c>
      <c r="W230" s="26">
        <v>0.92009715196237685</v>
      </c>
      <c r="X230" s="28">
        <v>0.92</v>
      </c>
      <c r="Y230" s="28">
        <v>0.91249803983064137</v>
      </c>
      <c r="Z230" s="28">
        <v>0.93953411531471998</v>
      </c>
      <c r="AA230" s="28">
        <v>0.9506392620165075</v>
      </c>
      <c r="AB230" s="28">
        <v>0.93902196798156756</v>
      </c>
      <c r="AC230" s="28">
        <v>0.92</v>
      </c>
      <c r="AD230" s="26">
        <v>0.99338440111420612</v>
      </c>
      <c r="AE230" s="26">
        <v>0.9814385150812065</v>
      </c>
      <c r="AF230" s="26">
        <v>0.97345132743362828</v>
      </c>
      <c r="AG230" s="26">
        <v>0.98773528233880659</v>
      </c>
      <c r="AH230" s="28">
        <v>0.92</v>
      </c>
      <c r="AI230" s="26">
        <v>0.94096973174580401</v>
      </c>
      <c r="AJ230" s="26">
        <v>0.96214219759926134</v>
      </c>
      <c r="AK230" s="26">
        <v>0.97036216328509106</v>
      </c>
      <c r="AL230" s="26">
        <v>0.96198756683910791</v>
      </c>
      <c r="AM230" s="25">
        <v>0.99</v>
      </c>
      <c r="AN230" s="30">
        <v>1</v>
      </c>
      <c r="AO230" s="30">
        <v>1</v>
      </c>
      <c r="AP230" s="30">
        <v>1</v>
      </c>
      <c r="AQ230" s="30">
        <v>1</v>
      </c>
      <c r="AR230" s="50">
        <v>7.19793575775068E-2</v>
      </c>
      <c r="AS230" s="34">
        <v>7.4999999999999997E-2</v>
      </c>
      <c r="AT230" s="34">
        <v>2.3255813953488372E-2</v>
      </c>
      <c r="AU230" s="34">
        <v>5.4054054054054057E-2</v>
      </c>
      <c r="AV230" s="34">
        <v>4.7477744807121663E-2</v>
      </c>
      <c r="AW230" s="10"/>
      <c r="AX230" s="8"/>
    </row>
    <row r="231" spans="1:50" s="2" customFormat="1">
      <c r="A231" s="7"/>
      <c r="B231" s="4"/>
      <c r="C231" s="45" t="s">
        <v>236</v>
      </c>
      <c r="D231" s="23" t="s">
        <v>13</v>
      </c>
      <c r="E231" s="49" t="s">
        <v>278</v>
      </c>
      <c r="F231" s="49" t="s">
        <v>278</v>
      </c>
      <c r="G231" s="49" t="s">
        <v>278</v>
      </c>
      <c r="H231" s="49" t="s">
        <v>278</v>
      </c>
      <c r="I231" s="25">
        <v>0.9</v>
      </c>
      <c r="J231" s="26">
        <v>0.98969072164948457</v>
      </c>
      <c r="K231" s="26">
        <v>1</v>
      </c>
      <c r="L231" s="27">
        <v>0.99029126213592233</v>
      </c>
      <c r="M231" s="26">
        <v>0.98965071151358341</v>
      </c>
      <c r="N231" s="28">
        <v>0.9</v>
      </c>
      <c r="O231" s="26">
        <v>0.93202996528412207</v>
      </c>
      <c r="P231" s="26">
        <v>0.93986905582356994</v>
      </c>
      <c r="Q231" s="26">
        <v>0.94227668494034178</v>
      </c>
      <c r="R231" s="26">
        <v>0.94131973355537057</v>
      </c>
      <c r="S231" s="28">
        <v>0.9</v>
      </c>
      <c r="T231" s="26">
        <v>0.8934770692490408</v>
      </c>
      <c r="U231" s="26">
        <v>0.89937973811164718</v>
      </c>
      <c r="V231" s="26">
        <v>0.91567236375362782</v>
      </c>
      <c r="W231" s="26">
        <v>0.9024979184013322</v>
      </c>
      <c r="X231" s="28">
        <v>0.92</v>
      </c>
      <c r="Y231" s="28">
        <v>0.91894127377998347</v>
      </c>
      <c r="Z231" s="28">
        <v>0.93809730668983493</v>
      </c>
      <c r="AA231" s="28">
        <v>0.9501517121803208</v>
      </c>
      <c r="AB231" s="28">
        <v>0.93802142274390088</v>
      </c>
      <c r="AC231" s="28">
        <v>0.92</v>
      </c>
      <c r="AD231" s="26">
        <v>0.99477697691423794</v>
      </c>
      <c r="AE231" s="26">
        <v>0.99080267558528423</v>
      </c>
      <c r="AF231" s="26">
        <v>0.99294556102755227</v>
      </c>
      <c r="AG231" s="26">
        <v>0.98870722381350473</v>
      </c>
      <c r="AH231" s="28">
        <v>0.92</v>
      </c>
      <c r="AI231" s="26">
        <v>0.94268813033359189</v>
      </c>
      <c r="AJ231" s="26">
        <v>0.95427034297242774</v>
      </c>
      <c r="AK231" s="26">
        <v>0.96727373578626241</v>
      </c>
      <c r="AL231" s="26">
        <v>0.95790917119881003</v>
      </c>
      <c r="AM231" s="25">
        <v>0.99</v>
      </c>
      <c r="AN231" s="30">
        <v>1</v>
      </c>
      <c r="AO231" s="30">
        <v>1</v>
      </c>
      <c r="AP231" s="30">
        <v>1</v>
      </c>
      <c r="AQ231" s="30">
        <v>1</v>
      </c>
      <c r="AR231" s="50">
        <v>7.19793575775068E-2</v>
      </c>
      <c r="AS231" s="34">
        <v>6.5217391304347824E-2</v>
      </c>
      <c r="AT231" s="34">
        <v>4.0816326530612242E-2</v>
      </c>
      <c r="AU231" s="34">
        <v>4.6511627906976744E-2</v>
      </c>
      <c r="AV231" s="34">
        <v>5.2924791086350974E-2</v>
      </c>
      <c r="AW231" s="4"/>
      <c r="AX231" s="8"/>
    </row>
    <row r="232" spans="1:50">
      <c r="A232" s="7"/>
      <c r="C232" s="45" t="s">
        <v>236</v>
      </c>
      <c r="D232" s="23" t="s">
        <v>13</v>
      </c>
      <c r="E232" s="49" t="s">
        <v>279</v>
      </c>
      <c r="F232" s="49" t="s">
        <v>279</v>
      </c>
      <c r="G232" s="49" t="s">
        <v>279</v>
      </c>
      <c r="H232" s="49" t="s">
        <v>279</v>
      </c>
      <c r="I232" s="25">
        <v>0.9</v>
      </c>
      <c r="J232" s="26">
        <v>0.96376811594202894</v>
      </c>
      <c r="K232" s="26">
        <v>0.97902097902097907</v>
      </c>
      <c r="L232" s="27">
        <v>0.95270270270270274</v>
      </c>
      <c r="M232" s="26">
        <v>0.94864864864864862</v>
      </c>
      <c r="N232" s="28">
        <v>0.9</v>
      </c>
      <c r="O232" s="26">
        <v>0.9497393894266567</v>
      </c>
      <c r="P232" s="26">
        <v>0.95310596833130334</v>
      </c>
      <c r="Q232" s="26">
        <v>0.92091307355314733</v>
      </c>
      <c r="R232" s="26">
        <v>0.88255316672970063</v>
      </c>
      <c r="S232" s="28">
        <v>0.9</v>
      </c>
      <c r="T232" s="26">
        <v>0.88011913626209981</v>
      </c>
      <c r="U232" s="26">
        <v>0.90937880633373935</v>
      </c>
      <c r="V232" s="26">
        <v>0.89808623472446392</v>
      </c>
      <c r="W232" s="26">
        <v>0.87580368312338175</v>
      </c>
      <c r="X232" s="28">
        <v>0.92</v>
      </c>
      <c r="Y232" s="28">
        <v>0.86817437881267667</v>
      </c>
      <c r="Z232" s="28">
        <v>0.92415442432524775</v>
      </c>
      <c r="AA232" s="28">
        <v>0.93042016806722694</v>
      </c>
      <c r="AB232" s="28">
        <v>0.90460056333428585</v>
      </c>
      <c r="AC232" s="28">
        <v>0.92</v>
      </c>
      <c r="AD232" s="26">
        <v>0.99566643241977049</v>
      </c>
      <c r="AE232" s="26">
        <v>0.34749343382436909</v>
      </c>
      <c r="AF232" s="26">
        <v>0.99339379688724672</v>
      </c>
      <c r="AG232" s="26">
        <v>0.91731269670422499</v>
      </c>
      <c r="AH232" s="28">
        <v>0.92</v>
      </c>
      <c r="AI232" s="26">
        <v>0.9128552097428958</v>
      </c>
      <c r="AJ232" s="26">
        <v>0.95322385725456737</v>
      </c>
      <c r="AK232" s="26">
        <v>0.95262186367676216</v>
      </c>
      <c r="AL232" s="26">
        <v>0.94103110643104015</v>
      </c>
      <c r="AM232" s="25">
        <v>0.99</v>
      </c>
      <c r="AN232" s="30">
        <v>1</v>
      </c>
      <c r="AO232" s="30">
        <v>1</v>
      </c>
      <c r="AP232" s="30">
        <v>1</v>
      </c>
      <c r="AQ232" s="30">
        <v>1</v>
      </c>
      <c r="AR232" s="50">
        <v>7.19793575775068E-2</v>
      </c>
      <c r="AS232" s="34">
        <v>2.1276595744680851E-2</v>
      </c>
      <c r="AT232" s="34">
        <v>4.1666666666666664E-2</v>
      </c>
      <c r="AU232" s="34">
        <v>8.3333333333333329E-2</v>
      </c>
      <c r="AV232" s="34">
        <v>6.2645011600928072E-2</v>
      </c>
      <c r="AW232" s="10"/>
      <c r="AX232" s="8"/>
    </row>
    <row r="233" spans="1:50">
      <c r="A233" s="7"/>
      <c r="C233" s="45" t="s">
        <v>236</v>
      </c>
      <c r="D233" s="23" t="s">
        <v>13</v>
      </c>
      <c r="E233" s="49" t="s">
        <v>280</v>
      </c>
      <c r="F233" s="49" t="s">
        <v>280</v>
      </c>
      <c r="G233" s="49" t="s">
        <v>280</v>
      </c>
      <c r="H233" s="49" t="s">
        <v>280</v>
      </c>
      <c r="I233" s="25">
        <v>0.9</v>
      </c>
      <c r="J233" s="26">
        <v>1</v>
      </c>
      <c r="K233" s="26">
        <v>1</v>
      </c>
      <c r="L233" s="27">
        <v>1</v>
      </c>
      <c r="M233" s="26">
        <v>0.97792494481236203</v>
      </c>
      <c r="N233" s="28">
        <v>0.9</v>
      </c>
      <c r="O233" s="26">
        <v>0.9462477278628928</v>
      </c>
      <c r="P233" s="26">
        <v>0.94607474291447202</v>
      </c>
      <c r="Q233" s="26">
        <v>0.9541015625</v>
      </c>
      <c r="R233" s="26">
        <v>0.94721830337974611</v>
      </c>
      <c r="S233" s="28">
        <v>0.9</v>
      </c>
      <c r="T233" s="26">
        <v>0.91274993508179691</v>
      </c>
      <c r="U233" s="26">
        <v>0.91848507649862055</v>
      </c>
      <c r="V233" s="26">
        <v>0.926513671875</v>
      </c>
      <c r="W233" s="26">
        <v>0.91084462982273207</v>
      </c>
      <c r="X233" s="28">
        <v>0.92</v>
      </c>
      <c r="Y233" s="28">
        <v>0.8868778280542986</v>
      </c>
      <c r="Z233" s="28">
        <v>0.94454887218045114</v>
      </c>
      <c r="AA233" s="28">
        <v>0.93937375083277819</v>
      </c>
      <c r="AB233" s="28">
        <v>0.92873962555491218</v>
      </c>
      <c r="AC233" s="28">
        <v>0.92</v>
      </c>
      <c r="AD233" s="26">
        <v>0.99586278227891745</v>
      </c>
      <c r="AE233" s="26">
        <v>0.99622463426144403</v>
      </c>
      <c r="AF233" s="26">
        <v>0.99613899613899615</v>
      </c>
      <c r="AG233" s="26">
        <v>0.99639563448914659</v>
      </c>
      <c r="AH233" s="28">
        <v>0.92</v>
      </c>
      <c r="AI233" s="26">
        <v>0.92640692640692646</v>
      </c>
      <c r="AJ233" s="26">
        <v>0.96392255188744946</v>
      </c>
      <c r="AK233" s="26">
        <v>0.96407438715131022</v>
      </c>
      <c r="AL233" s="26">
        <v>0.95494002255562016</v>
      </c>
      <c r="AM233" s="25">
        <v>0.99</v>
      </c>
      <c r="AN233" s="30">
        <v>1</v>
      </c>
      <c r="AO233" s="30">
        <v>1</v>
      </c>
      <c r="AP233" s="30">
        <v>1</v>
      </c>
      <c r="AQ233" s="30">
        <v>1</v>
      </c>
      <c r="AR233" s="50">
        <v>7.19793575775068E-2</v>
      </c>
      <c r="AS233" s="34">
        <v>0.17391304347826086</v>
      </c>
      <c r="AT233" s="34">
        <v>5.2631578947368418E-2</v>
      </c>
      <c r="AU233" s="34">
        <v>5.8823529411764705E-2</v>
      </c>
      <c r="AV233" s="34">
        <v>7.1895424836601302E-2</v>
      </c>
      <c r="AW233" s="10"/>
      <c r="AX233" s="8"/>
    </row>
    <row r="234" spans="1:50" s="2" customFormat="1">
      <c r="A234" s="7"/>
      <c r="B234" s="4"/>
      <c r="C234" s="45" t="s">
        <v>236</v>
      </c>
      <c r="D234" s="23" t="s">
        <v>13</v>
      </c>
      <c r="E234" s="49" t="s">
        <v>281</v>
      </c>
      <c r="F234" s="49" t="s">
        <v>281</v>
      </c>
      <c r="G234" s="49" t="s">
        <v>281</v>
      </c>
      <c r="H234" s="49" t="s">
        <v>281</v>
      </c>
      <c r="I234" s="25">
        <v>0.9</v>
      </c>
      <c r="J234" s="26">
        <v>0.95833333333333337</v>
      </c>
      <c r="K234" s="26">
        <v>0.92079207920792083</v>
      </c>
      <c r="L234" s="27">
        <v>0.94230769230769229</v>
      </c>
      <c r="M234" s="26">
        <v>0.93385214007782102</v>
      </c>
      <c r="N234" s="28">
        <v>0.9</v>
      </c>
      <c r="O234" s="26">
        <v>0.95209374461485441</v>
      </c>
      <c r="P234" s="26">
        <v>0.95152574698029246</v>
      </c>
      <c r="Q234" s="26">
        <v>0.90980566681501263</v>
      </c>
      <c r="R234" s="26">
        <v>0.92699032188122132</v>
      </c>
      <c r="S234" s="28">
        <v>0.9</v>
      </c>
      <c r="T234" s="26">
        <v>0.91452696880923656</v>
      </c>
      <c r="U234" s="26">
        <v>0.9249841068022886</v>
      </c>
      <c r="V234" s="26">
        <v>0.90313009939178168</v>
      </c>
      <c r="W234" s="26">
        <v>0.90986143141544951</v>
      </c>
      <c r="X234" s="28">
        <v>0.92</v>
      </c>
      <c r="Y234" s="28">
        <v>0.89446435682994818</v>
      </c>
      <c r="Z234" s="28">
        <v>0.92772073921971254</v>
      </c>
      <c r="AA234" s="28">
        <v>0.9412748171368861</v>
      </c>
      <c r="AB234" s="28">
        <v>0.92246262182987193</v>
      </c>
      <c r="AC234" s="28">
        <v>0.92</v>
      </c>
      <c r="AD234" s="26">
        <v>0.99295656548717093</v>
      </c>
      <c r="AE234" s="26">
        <v>0.9697201406942958</v>
      </c>
      <c r="AF234" s="26">
        <v>0.98037466547725249</v>
      </c>
      <c r="AG234" s="26">
        <v>0.97871549784264744</v>
      </c>
      <c r="AH234" s="28">
        <v>0.92</v>
      </c>
      <c r="AI234" s="26">
        <v>0.92603878116343485</v>
      </c>
      <c r="AJ234" s="26">
        <v>0.95260705966672643</v>
      </c>
      <c r="AK234" s="26">
        <v>0.96338712476140898</v>
      </c>
      <c r="AL234" s="26">
        <v>0.95088893583428769</v>
      </c>
      <c r="AM234" s="25">
        <v>0.99</v>
      </c>
      <c r="AN234" s="30">
        <v>1</v>
      </c>
      <c r="AO234" s="30">
        <v>1</v>
      </c>
      <c r="AP234" s="30">
        <v>1</v>
      </c>
      <c r="AQ234" s="30">
        <v>1</v>
      </c>
      <c r="AR234" s="50">
        <v>7.19793575775068E-2</v>
      </c>
      <c r="AS234" s="34">
        <v>0</v>
      </c>
      <c r="AT234" s="34">
        <v>0.10526315789473684</v>
      </c>
      <c r="AU234" s="34">
        <v>0</v>
      </c>
      <c r="AV234" s="34">
        <v>4.2682926829268296E-2</v>
      </c>
      <c r="AW234" s="4"/>
      <c r="AX234" s="8"/>
    </row>
    <row r="235" spans="1:50" s="2" customFormat="1">
      <c r="A235" s="7"/>
      <c r="B235" s="4"/>
      <c r="C235" s="45" t="s">
        <v>236</v>
      </c>
      <c r="D235" s="23" t="s">
        <v>13</v>
      </c>
      <c r="E235" s="49" t="s">
        <v>282</v>
      </c>
      <c r="F235" s="49" t="s">
        <v>282</v>
      </c>
      <c r="G235" s="49" t="s">
        <v>282</v>
      </c>
      <c r="H235" s="49" t="s">
        <v>282</v>
      </c>
      <c r="I235" s="25">
        <v>0.9</v>
      </c>
      <c r="J235" s="26">
        <v>0.92727272727272725</v>
      </c>
      <c r="K235" s="26">
        <v>0.98245614035087714</v>
      </c>
      <c r="L235" s="27">
        <v>1</v>
      </c>
      <c r="M235" s="26">
        <v>0.98886414253897548</v>
      </c>
      <c r="N235" s="28">
        <v>0.9</v>
      </c>
      <c r="O235" s="26">
        <v>0.87675070028011204</v>
      </c>
      <c r="P235" s="26">
        <v>0.92992462823385613</v>
      </c>
      <c r="Q235" s="26">
        <v>0.96247730482146454</v>
      </c>
      <c r="R235" s="26">
        <v>0.91382186698538381</v>
      </c>
      <c r="S235" s="28">
        <v>0.9</v>
      </c>
      <c r="T235" s="26">
        <v>0.82137470372764487</v>
      </c>
      <c r="U235" s="26">
        <v>0.85923813403951921</v>
      </c>
      <c r="V235" s="26">
        <v>0.90861408109743802</v>
      </c>
      <c r="W235" s="26">
        <v>0.85752346804113444</v>
      </c>
      <c r="X235" s="28">
        <v>0.92</v>
      </c>
      <c r="Y235" s="28">
        <v>0.89958911145351828</v>
      </c>
      <c r="Z235" s="28">
        <v>0.92274554853532453</v>
      </c>
      <c r="AA235" s="28">
        <v>0.90427807486631018</v>
      </c>
      <c r="AB235" s="28">
        <v>0.90441895326859156</v>
      </c>
      <c r="AC235" s="28">
        <v>0.92</v>
      </c>
      <c r="AD235" s="26">
        <v>1</v>
      </c>
      <c r="AE235" s="26">
        <v>0.86206896551724133</v>
      </c>
      <c r="AF235" s="26">
        <v>0.91477272727272729</v>
      </c>
      <c r="AG235" s="26">
        <v>0.95208655332302938</v>
      </c>
      <c r="AH235" s="28">
        <v>0.92</v>
      </c>
      <c r="AI235" s="26">
        <v>0.92660657848530958</v>
      </c>
      <c r="AJ235" s="26">
        <v>0.94840324118207819</v>
      </c>
      <c r="AK235" s="26">
        <v>0.94584339427388753</v>
      </c>
      <c r="AL235" s="26">
        <v>0.93923314658274648</v>
      </c>
      <c r="AM235" s="25">
        <v>0.99</v>
      </c>
      <c r="AN235" s="30">
        <v>1</v>
      </c>
      <c r="AO235" s="30">
        <v>1</v>
      </c>
      <c r="AP235" s="30">
        <v>1</v>
      </c>
      <c r="AQ235" s="30">
        <v>1</v>
      </c>
      <c r="AR235" s="50">
        <v>7.19793575775068E-2</v>
      </c>
      <c r="AS235" s="34">
        <v>0</v>
      </c>
      <c r="AT235" s="34">
        <v>6.6666666666666666E-2</v>
      </c>
      <c r="AU235" s="34">
        <v>0</v>
      </c>
      <c r="AV235" s="34">
        <v>3.4146341463414637E-2</v>
      </c>
      <c r="AW235" s="4"/>
      <c r="AX235" s="8"/>
    </row>
    <row r="236" spans="1:50" s="2" customFormat="1">
      <c r="A236" s="7"/>
      <c r="B236" s="4"/>
      <c r="C236" s="45" t="s">
        <v>236</v>
      </c>
      <c r="D236" s="23" t="s">
        <v>13</v>
      </c>
      <c r="E236" s="49" t="s">
        <v>283</v>
      </c>
      <c r="F236" s="49" t="s">
        <v>283</v>
      </c>
      <c r="G236" s="49" t="s">
        <v>283</v>
      </c>
      <c r="H236" s="49" t="s">
        <v>283</v>
      </c>
      <c r="I236" s="25">
        <v>0.9</v>
      </c>
      <c r="J236" s="26">
        <v>0.9375</v>
      </c>
      <c r="K236" s="26">
        <v>1</v>
      </c>
      <c r="L236" s="27">
        <v>0.98</v>
      </c>
      <c r="M236" s="26">
        <v>0.95419847328244278</v>
      </c>
      <c r="N236" s="28">
        <v>0.9</v>
      </c>
      <c r="O236" s="26">
        <v>0.98158844765342956</v>
      </c>
      <c r="P236" s="26">
        <v>0.98506375227686704</v>
      </c>
      <c r="Q236" s="26">
        <v>0.98159614723082211</v>
      </c>
      <c r="R236" s="26">
        <v>0.9795875173435552</v>
      </c>
      <c r="S236" s="28">
        <v>0.9</v>
      </c>
      <c r="T236" s="26">
        <v>0.95090252707581224</v>
      </c>
      <c r="U236" s="26">
        <v>0.95610200364298725</v>
      </c>
      <c r="V236" s="26">
        <v>0.95287237702098382</v>
      </c>
      <c r="W236" s="26">
        <v>0.952943113138772</v>
      </c>
      <c r="X236" s="28">
        <v>0.92</v>
      </c>
      <c r="Y236" s="28">
        <v>0</v>
      </c>
      <c r="Z236" s="28">
        <v>1</v>
      </c>
      <c r="AA236" s="28">
        <v>1</v>
      </c>
      <c r="AB236" s="28">
        <v>0.32142857142857145</v>
      </c>
      <c r="AC236" s="28">
        <v>0.92</v>
      </c>
      <c r="AD236" s="26">
        <v>0.9885057471264368</v>
      </c>
      <c r="AE236" s="26">
        <v>0.99603174603174605</v>
      </c>
      <c r="AF236" s="26">
        <v>0.98561151079136688</v>
      </c>
      <c r="AG236" s="26">
        <v>0.97997572815533984</v>
      </c>
      <c r="AH236" s="28">
        <v>0.92</v>
      </c>
      <c r="AI236" s="26">
        <v>0.97337171644476428</v>
      </c>
      <c r="AJ236" s="26">
        <v>0.98415589145875071</v>
      </c>
      <c r="AK236" s="26">
        <v>0.98676521141285667</v>
      </c>
      <c r="AL236" s="26">
        <v>0.98566426170947807</v>
      </c>
      <c r="AM236" s="25">
        <v>0.99</v>
      </c>
      <c r="AN236" s="30">
        <v>1</v>
      </c>
      <c r="AO236" s="30">
        <v>1</v>
      </c>
      <c r="AP236" s="30">
        <v>1</v>
      </c>
      <c r="AQ236" s="30">
        <v>1</v>
      </c>
      <c r="AR236" s="50">
        <v>7.19793575775068E-2</v>
      </c>
      <c r="AS236" s="34">
        <v>0.19047619047619047</v>
      </c>
      <c r="AT236" s="34">
        <v>0</v>
      </c>
      <c r="AU236" s="34">
        <v>0.18181818181818182</v>
      </c>
      <c r="AV236" s="34">
        <v>5.9139784946236562E-2</v>
      </c>
      <c r="AW236" s="4"/>
      <c r="AX236" s="8"/>
    </row>
    <row r="237" spans="1:50" s="3" customFormat="1">
      <c r="A237" s="7"/>
      <c r="C237" s="51"/>
      <c r="D237" s="52"/>
      <c r="E237" s="52"/>
      <c r="F237" s="52"/>
      <c r="G237" s="52"/>
      <c r="H237" s="52"/>
      <c r="I237" s="53"/>
      <c r="J237" s="40"/>
      <c r="K237" s="40"/>
      <c r="L237" s="27"/>
      <c r="M237" s="40"/>
      <c r="N237" s="43"/>
      <c r="O237" s="40"/>
      <c r="P237" s="40"/>
      <c r="Q237" s="26"/>
      <c r="R237" s="40"/>
      <c r="S237" s="43"/>
      <c r="T237" s="40"/>
      <c r="U237" s="40"/>
      <c r="V237" s="26"/>
      <c r="W237" s="40"/>
      <c r="X237" s="43"/>
      <c r="Y237" s="43"/>
      <c r="Z237" s="43"/>
      <c r="AA237" s="28"/>
      <c r="AB237" s="43"/>
      <c r="AC237" s="43"/>
      <c r="AD237" s="40"/>
      <c r="AE237" s="40"/>
      <c r="AF237" s="26"/>
      <c r="AG237" s="40"/>
      <c r="AH237" s="43"/>
      <c r="AI237" s="40"/>
      <c r="AJ237" s="40"/>
      <c r="AK237" s="26"/>
      <c r="AL237" s="40"/>
      <c r="AM237" s="39"/>
      <c r="AN237" s="39"/>
      <c r="AO237" s="39"/>
      <c r="AP237" s="30"/>
      <c r="AQ237" s="39"/>
      <c r="AR237" s="40"/>
      <c r="AS237" s="39"/>
      <c r="AT237" s="39"/>
      <c r="AU237" s="34"/>
      <c r="AV237" s="39"/>
      <c r="AW237" s="4"/>
      <c r="AX237" s="8"/>
    </row>
    <row r="238" spans="1:50">
      <c r="A238" s="7"/>
      <c r="B238" s="10"/>
      <c r="C238" s="54" t="s">
        <v>284</v>
      </c>
      <c r="D238" s="23" t="s">
        <v>15</v>
      </c>
      <c r="E238" s="55" t="s">
        <v>285</v>
      </c>
      <c r="F238" s="55" t="s">
        <v>285</v>
      </c>
      <c r="G238" s="55" t="s">
        <v>285</v>
      </c>
      <c r="H238" s="55" t="s">
        <v>285</v>
      </c>
      <c r="I238" s="25">
        <v>0.9</v>
      </c>
      <c r="J238" s="26">
        <v>0.9882352941176471</v>
      </c>
      <c r="K238" s="26">
        <v>0.96703296703296704</v>
      </c>
      <c r="L238" s="27">
        <v>0.96842105263157896</v>
      </c>
      <c r="M238" s="26">
        <v>0.96848137535816614</v>
      </c>
      <c r="N238" s="28">
        <v>0.9</v>
      </c>
      <c r="O238" s="26">
        <v>0.91338073691014865</v>
      </c>
      <c r="P238" s="26">
        <v>0.91312499999999996</v>
      </c>
      <c r="Q238" s="26">
        <v>0.90600775193798455</v>
      </c>
      <c r="R238" s="26">
        <v>0.9123403351302547</v>
      </c>
      <c r="S238" s="28">
        <v>0.9</v>
      </c>
      <c r="T238" s="26">
        <v>0.86791639732816206</v>
      </c>
      <c r="U238" s="26">
        <v>0.87375000000000003</v>
      </c>
      <c r="V238" s="26">
        <v>0.8906976744186047</v>
      </c>
      <c r="W238" s="26">
        <v>0.87500331943596144</v>
      </c>
      <c r="X238" s="28">
        <v>0.92</v>
      </c>
      <c r="Y238" s="28">
        <v>0.93537657400807794</v>
      </c>
      <c r="Z238" s="28">
        <v>0.92950913242009137</v>
      </c>
      <c r="AA238" s="28">
        <v>0.94004035745171521</v>
      </c>
      <c r="AB238" s="28">
        <v>0.94417030429556525</v>
      </c>
      <c r="AC238" s="28">
        <v>0.92</v>
      </c>
      <c r="AD238" s="26">
        <v>0.98548721492743607</v>
      </c>
      <c r="AE238" s="26">
        <v>0.96837038734815495</v>
      </c>
      <c r="AF238" s="26">
        <v>0.96710970939400764</v>
      </c>
      <c r="AG238" s="26">
        <v>0.96258806613946801</v>
      </c>
      <c r="AH238" s="28">
        <v>0.92</v>
      </c>
      <c r="AI238" s="26">
        <v>0.95548022598870053</v>
      </c>
      <c r="AJ238" s="26">
        <v>0.95569467854562962</v>
      </c>
      <c r="AK238" s="26">
        <v>0.96918443002780352</v>
      </c>
      <c r="AL238" s="26">
        <v>0.96369908489939671</v>
      </c>
      <c r="AM238" s="25">
        <v>0.99</v>
      </c>
      <c r="AN238" s="30">
        <v>1</v>
      </c>
      <c r="AO238" s="30">
        <v>1</v>
      </c>
      <c r="AP238" s="30">
        <v>1</v>
      </c>
      <c r="AQ238" s="30">
        <v>1</v>
      </c>
      <c r="AR238" s="50">
        <v>9.2228725701943806E-2</v>
      </c>
      <c r="AS238" s="34">
        <v>0.10526315789473684</v>
      </c>
      <c r="AT238" s="34">
        <v>0</v>
      </c>
      <c r="AU238" s="34">
        <v>0</v>
      </c>
      <c r="AV238" s="34">
        <v>9.2307692307692313E-2</v>
      </c>
      <c r="AW238" s="10"/>
      <c r="AX238" s="8"/>
    </row>
    <row r="239" spans="1:50">
      <c r="A239" s="7"/>
      <c r="B239" s="10"/>
      <c r="C239" s="54" t="s">
        <v>284</v>
      </c>
      <c r="D239" s="23" t="s">
        <v>15</v>
      </c>
      <c r="E239" s="55" t="s">
        <v>286</v>
      </c>
      <c r="F239" s="55" t="s">
        <v>286</v>
      </c>
      <c r="G239" s="55" t="s">
        <v>286</v>
      </c>
      <c r="H239" s="55" t="s">
        <v>286</v>
      </c>
      <c r="I239" s="25">
        <v>0.9</v>
      </c>
      <c r="J239" s="26">
        <v>0.75</v>
      </c>
      <c r="K239" s="26">
        <v>0.81967213114754101</v>
      </c>
      <c r="L239" s="27">
        <v>0.84848484848484851</v>
      </c>
      <c r="M239" s="26">
        <v>0.83160083160083165</v>
      </c>
      <c r="N239" s="28">
        <v>0.9</v>
      </c>
      <c r="O239" s="26">
        <v>0.91959951456310685</v>
      </c>
      <c r="P239" s="26">
        <v>0.97484462858833976</v>
      </c>
      <c r="Q239" s="26">
        <v>0.95117294053464263</v>
      </c>
      <c r="R239" s="26">
        <v>0.93164818158369878</v>
      </c>
      <c r="S239" s="28">
        <v>0.9</v>
      </c>
      <c r="T239" s="26">
        <v>0.9375</v>
      </c>
      <c r="U239" s="26">
        <v>0.92838117786327312</v>
      </c>
      <c r="V239" s="26">
        <v>0.93398799781778508</v>
      </c>
      <c r="W239" s="26">
        <v>0.92991635653487603</v>
      </c>
      <c r="X239" s="28">
        <v>0.92</v>
      </c>
      <c r="Y239" s="28">
        <v>0.96211397644062402</v>
      </c>
      <c r="Z239" s="28">
        <v>0.97647951441578151</v>
      </c>
      <c r="AA239" s="28">
        <v>0.97675419715884637</v>
      </c>
      <c r="AB239" s="28">
        <v>0.97622038765254848</v>
      </c>
      <c r="AC239" s="28">
        <v>0.92</v>
      </c>
      <c r="AD239" s="26">
        <v>0.99583622484385848</v>
      </c>
      <c r="AE239" s="26">
        <v>0.98986315255955393</v>
      </c>
      <c r="AF239" s="26">
        <v>0.98628728145354816</v>
      </c>
      <c r="AG239" s="26">
        <v>0.99019564151700168</v>
      </c>
      <c r="AH239" s="28">
        <v>0.92</v>
      </c>
      <c r="AI239" s="26">
        <v>0.97296877427372996</v>
      </c>
      <c r="AJ239" s="26">
        <v>0.98637647449742483</v>
      </c>
      <c r="AK239" s="26">
        <v>0.98747704124227753</v>
      </c>
      <c r="AL239" s="26">
        <v>0.98571919817141007</v>
      </c>
      <c r="AM239" s="25">
        <v>0.99</v>
      </c>
      <c r="AN239" s="30">
        <v>1</v>
      </c>
      <c r="AO239" s="30">
        <v>1</v>
      </c>
      <c r="AP239" s="30">
        <v>1</v>
      </c>
      <c r="AQ239" s="30">
        <v>1</v>
      </c>
      <c r="AR239" s="50">
        <v>9.2228725701943806E-2</v>
      </c>
      <c r="AS239" s="34">
        <v>0</v>
      </c>
      <c r="AT239" s="34">
        <v>0</v>
      </c>
      <c r="AU239" s="34">
        <v>0</v>
      </c>
      <c r="AV239" s="34">
        <v>8.8235294117647065E-2</v>
      </c>
      <c r="AW239" s="10"/>
      <c r="AX239" s="8"/>
    </row>
    <row r="240" spans="1:50">
      <c r="A240" s="7"/>
      <c r="B240" s="10"/>
      <c r="C240" s="54" t="s">
        <v>284</v>
      </c>
      <c r="D240" s="23" t="s">
        <v>15</v>
      </c>
      <c r="E240" s="55" t="s">
        <v>287</v>
      </c>
      <c r="F240" s="55" t="s">
        <v>287</v>
      </c>
      <c r="G240" s="55" t="s">
        <v>287</v>
      </c>
      <c r="H240" s="55" t="s">
        <v>287</v>
      </c>
      <c r="I240" s="25">
        <v>0.9</v>
      </c>
      <c r="J240" s="26">
        <v>0.94871794871794868</v>
      </c>
      <c r="K240" s="26">
        <v>0.94805194805194803</v>
      </c>
      <c r="L240" s="27">
        <v>0.97590361445783136</v>
      </c>
      <c r="M240" s="26">
        <v>0.97809076682316121</v>
      </c>
      <c r="N240" s="28">
        <v>0.9</v>
      </c>
      <c r="O240" s="26">
        <v>0.94590619382252006</v>
      </c>
      <c r="P240" s="26">
        <v>0.96502835538752363</v>
      </c>
      <c r="Q240" s="26">
        <v>0.9783335756870728</v>
      </c>
      <c r="R240" s="26">
        <v>0.96680956990734335</v>
      </c>
      <c r="S240" s="28">
        <v>0.9</v>
      </c>
      <c r="T240" s="26">
        <v>0.96045105409380616</v>
      </c>
      <c r="U240" s="26">
        <v>0.96140516698172651</v>
      </c>
      <c r="V240" s="26">
        <v>0.96524647375309003</v>
      </c>
      <c r="W240" s="26">
        <v>0.96054685184819333</v>
      </c>
      <c r="X240" s="28">
        <v>0.92</v>
      </c>
      <c r="Y240" s="28">
        <v>0.95159857904085254</v>
      </c>
      <c r="Z240" s="28">
        <v>0.94910941475826971</v>
      </c>
      <c r="AA240" s="28">
        <v>0.95994378074490516</v>
      </c>
      <c r="AB240" s="28">
        <v>0.95732141700667051</v>
      </c>
      <c r="AC240" s="28">
        <v>0.92</v>
      </c>
      <c r="AD240" s="26">
        <v>0.98765432098765427</v>
      </c>
      <c r="AE240" s="26">
        <v>0.93964110929853184</v>
      </c>
      <c r="AF240" s="26">
        <v>0.99375260308204916</v>
      </c>
      <c r="AG240" s="26">
        <v>0.92682926829268297</v>
      </c>
      <c r="AH240" s="28">
        <v>0.92</v>
      </c>
      <c r="AI240" s="26">
        <v>0.97457323624209147</v>
      </c>
      <c r="AJ240" s="26">
        <v>0.98359207370945345</v>
      </c>
      <c r="AK240" s="26">
        <v>0.98542168674698793</v>
      </c>
      <c r="AL240" s="26">
        <v>0.98217042530649312</v>
      </c>
      <c r="AM240" s="25">
        <v>0.99</v>
      </c>
      <c r="AN240" s="30">
        <v>1</v>
      </c>
      <c r="AO240" s="30">
        <v>1</v>
      </c>
      <c r="AP240" s="30">
        <v>1</v>
      </c>
      <c r="AQ240" s="30">
        <v>1</v>
      </c>
      <c r="AR240" s="50">
        <v>9.2228725701943806E-2</v>
      </c>
      <c r="AS240" s="34">
        <v>0.1</v>
      </c>
      <c r="AT240" s="34">
        <v>0</v>
      </c>
      <c r="AU240" s="34">
        <v>8.3333333333333329E-2</v>
      </c>
      <c r="AV240" s="34">
        <v>0.1111111111111111</v>
      </c>
      <c r="AW240" s="10"/>
      <c r="AX240" s="8"/>
    </row>
    <row r="241" spans="1:50">
      <c r="A241" s="7"/>
      <c r="B241" s="10"/>
      <c r="C241" s="54" t="s">
        <v>284</v>
      </c>
      <c r="D241" s="23" t="s">
        <v>15</v>
      </c>
      <c r="E241" s="55" t="s">
        <v>288</v>
      </c>
      <c r="F241" s="55" t="s">
        <v>288</v>
      </c>
      <c r="G241" s="55" t="s">
        <v>288</v>
      </c>
      <c r="H241" s="55" t="s">
        <v>288</v>
      </c>
      <c r="I241" s="25">
        <v>0.9</v>
      </c>
      <c r="J241" s="26">
        <v>1</v>
      </c>
      <c r="K241" s="26">
        <v>1</v>
      </c>
      <c r="L241" s="27">
        <v>0.9928057553956835</v>
      </c>
      <c r="M241" s="26">
        <v>0.99804113614103818</v>
      </c>
      <c r="N241" s="28">
        <v>0.9</v>
      </c>
      <c r="O241" s="26">
        <v>0.95247995247995243</v>
      </c>
      <c r="P241" s="26">
        <v>0.96815375982042651</v>
      </c>
      <c r="Q241" s="26">
        <v>0.73810146443514646</v>
      </c>
      <c r="R241" s="26">
        <v>0.91859301868591237</v>
      </c>
      <c r="S241" s="28">
        <v>0.9</v>
      </c>
      <c r="T241" s="26">
        <v>0.9355509355509356</v>
      </c>
      <c r="U241" s="26">
        <v>0.94219977553310885</v>
      </c>
      <c r="V241" s="26">
        <v>0.93946129707112969</v>
      </c>
      <c r="W241" s="26">
        <v>0.9367430061809997</v>
      </c>
      <c r="X241" s="28">
        <v>0.92</v>
      </c>
      <c r="Y241" s="28">
        <v>0.95687110528041985</v>
      </c>
      <c r="Z241" s="28">
        <v>0.96246498599439778</v>
      </c>
      <c r="AA241" s="28">
        <v>0.96745932415519398</v>
      </c>
      <c r="AB241" s="28">
        <v>0.96681027950377796</v>
      </c>
      <c r="AC241" s="28">
        <v>0.92</v>
      </c>
      <c r="AD241" s="26">
        <v>0.95735214324470974</v>
      </c>
      <c r="AE241" s="26">
        <v>0.98151304575848952</v>
      </c>
      <c r="AF241" s="26">
        <v>0.98535404992358633</v>
      </c>
      <c r="AG241" s="26">
        <v>0.96337337653029043</v>
      </c>
      <c r="AH241" s="28">
        <v>0.92</v>
      </c>
      <c r="AI241" s="26">
        <v>0.96976309226932667</v>
      </c>
      <c r="AJ241" s="26">
        <v>0.97677026594040373</v>
      </c>
      <c r="AK241" s="26">
        <v>0.98184155551984575</v>
      </c>
      <c r="AL241" s="26">
        <v>0.97921417037725689</v>
      </c>
      <c r="AM241" s="25">
        <v>0.99</v>
      </c>
      <c r="AN241" s="30">
        <v>1</v>
      </c>
      <c r="AO241" s="30">
        <v>1</v>
      </c>
      <c r="AP241" s="30">
        <v>1</v>
      </c>
      <c r="AQ241" s="30">
        <v>1</v>
      </c>
      <c r="AR241" s="50">
        <v>9.2228725701943806E-2</v>
      </c>
      <c r="AS241" s="34">
        <v>4.1666666666666664E-2</v>
      </c>
      <c r="AT241" s="34">
        <v>0.13043478260869565</v>
      </c>
      <c r="AU241" s="34">
        <v>0</v>
      </c>
      <c r="AV241" s="34">
        <v>5.7894736842105263E-2</v>
      </c>
      <c r="AW241" s="10"/>
      <c r="AX241" s="8"/>
    </row>
    <row r="242" spans="1:50">
      <c r="A242" s="7"/>
      <c r="B242" s="10"/>
      <c r="C242" s="54" t="s">
        <v>284</v>
      </c>
      <c r="D242" s="23" t="s">
        <v>15</v>
      </c>
      <c r="E242" s="55" t="s">
        <v>289</v>
      </c>
      <c r="F242" s="55" t="s">
        <v>289</v>
      </c>
      <c r="G242" s="55" t="s">
        <v>289</v>
      </c>
      <c r="H242" s="55" t="s">
        <v>289</v>
      </c>
      <c r="I242" s="25">
        <v>0.9</v>
      </c>
      <c r="J242" s="26">
        <v>0.989247311827957</v>
      </c>
      <c r="K242" s="26">
        <v>0.96330275229357798</v>
      </c>
      <c r="L242" s="27">
        <v>0.98113207547169812</v>
      </c>
      <c r="M242" s="26">
        <v>0.98048780487804876</v>
      </c>
      <c r="N242" s="28">
        <v>0.9</v>
      </c>
      <c r="O242" s="26">
        <v>0.97436814496900337</v>
      </c>
      <c r="P242" s="26">
        <v>0.97652468538238146</v>
      </c>
      <c r="Q242" s="26">
        <v>0.9797849462365591</v>
      </c>
      <c r="R242" s="26">
        <v>0.97609825780893333</v>
      </c>
      <c r="S242" s="28">
        <v>0.9</v>
      </c>
      <c r="T242" s="26">
        <v>0.95350500715307585</v>
      </c>
      <c r="U242" s="26">
        <v>0.96490803484995158</v>
      </c>
      <c r="V242" s="26">
        <v>0.96258064516129027</v>
      </c>
      <c r="W242" s="26">
        <v>0.95985449832849801</v>
      </c>
      <c r="X242" s="28">
        <v>0.92</v>
      </c>
      <c r="Y242" s="28">
        <v>0.97123287671232872</v>
      </c>
      <c r="Z242" s="28">
        <v>0.97409090909090912</v>
      </c>
      <c r="AA242" s="28">
        <v>0.9694581280788177</v>
      </c>
      <c r="AB242" s="28">
        <v>0.97638961907948196</v>
      </c>
      <c r="AC242" s="28">
        <v>0.92</v>
      </c>
      <c r="AD242" s="26">
        <v>0.98941755537325682</v>
      </c>
      <c r="AE242" s="26">
        <v>0.95178247734138977</v>
      </c>
      <c r="AF242" s="26">
        <v>0.97027655724993533</v>
      </c>
      <c r="AG242" s="26">
        <v>0.95109635859857378</v>
      </c>
      <c r="AH242" s="28">
        <v>0.92</v>
      </c>
      <c r="AI242" s="26">
        <v>0.98099027409372241</v>
      </c>
      <c r="AJ242" s="26">
        <v>0.98728975535168195</v>
      </c>
      <c r="AK242" s="26">
        <v>0.98561341571050309</v>
      </c>
      <c r="AL242" s="26">
        <v>0.98690772365503032</v>
      </c>
      <c r="AM242" s="25">
        <v>0.99</v>
      </c>
      <c r="AN242" s="30">
        <v>1</v>
      </c>
      <c r="AO242" s="30">
        <v>1</v>
      </c>
      <c r="AP242" s="30">
        <v>1</v>
      </c>
      <c r="AQ242" s="30">
        <v>1</v>
      </c>
      <c r="AR242" s="50">
        <v>9.2228725701943806E-2</v>
      </c>
      <c r="AS242" s="34">
        <v>0.1111111111111111</v>
      </c>
      <c r="AT242" s="34">
        <v>6.6666666666666666E-2</v>
      </c>
      <c r="AU242" s="34">
        <v>0</v>
      </c>
      <c r="AV242" s="34">
        <v>0.13636363636363635</v>
      </c>
      <c r="AW242" s="10"/>
      <c r="AX242" s="8"/>
    </row>
    <row r="243" spans="1:50">
      <c r="A243" s="7"/>
      <c r="B243" s="10"/>
      <c r="C243" s="54" t="s">
        <v>284</v>
      </c>
      <c r="D243" s="23" t="s">
        <v>15</v>
      </c>
      <c r="E243" s="55" t="s">
        <v>290</v>
      </c>
      <c r="F243" s="55" t="s">
        <v>290</v>
      </c>
      <c r="G243" s="55" t="s">
        <v>290</v>
      </c>
      <c r="H243" s="55" t="s">
        <v>290</v>
      </c>
      <c r="I243" s="25">
        <v>0.9</v>
      </c>
      <c r="J243" s="26">
        <v>0.60396039603960394</v>
      </c>
      <c r="K243" s="26">
        <v>0.7978723404255319</v>
      </c>
      <c r="L243" s="27">
        <v>0.76288659793814428</v>
      </c>
      <c r="M243" s="26">
        <v>0.73221216041397152</v>
      </c>
      <c r="N243" s="28">
        <v>0.9</v>
      </c>
      <c r="O243" s="26">
        <v>0.94744795164539963</v>
      </c>
      <c r="P243" s="26">
        <v>0.90548828432143413</v>
      </c>
      <c r="Q243" s="26">
        <v>0.94801444043321303</v>
      </c>
      <c r="R243" s="26">
        <v>0.91127917538801784</v>
      </c>
      <c r="S243" s="28">
        <v>0.9</v>
      </c>
      <c r="T243" s="26">
        <v>0.9273002014775017</v>
      </c>
      <c r="U243" s="26">
        <v>0.91964145305865708</v>
      </c>
      <c r="V243" s="26">
        <v>0.93415162454873646</v>
      </c>
      <c r="W243" s="26">
        <v>0.92587180601082109</v>
      </c>
      <c r="X243" s="28">
        <v>0.92</v>
      </c>
      <c r="Y243" s="28">
        <v>0.9463297676134268</v>
      </c>
      <c r="Z243" s="28">
        <v>0.96105308964316793</v>
      </c>
      <c r="AA243" s="28">
        <v>0.96339245111414284</v>
      </c>
      <c r="AB243" s="28">
        <v>0.95591771306438689</v>
      </c>
      <c r="AC243" s="28">
        <v>0.92</v>
      </c>
      <c r="AD243" s="26">
        <v>0.99021629911682263</v>
      </c>
      <c r="AE243" s="26">
        <v>0.99530247479376721</v>
      </c>
      <c r="AF243" s="26">
        <v>0.99798068001964746</v>
      </c>
      <c r="AG243" s="26">
        <v>0.91343321899491536</v>
      </c>
      <c r="AH243" s="28">
        <v>0.92</v>
      </c>
      <c r="AI243" s="26">
        <v>0.96010194217418054</v>
      </c>
      <c r="AJ243" s="26">
        <v>0.9723540145985401</v>
      </c>
      <c r="AK243" s="26">
        <v>0.97880607559166377</v>
      </c>
      <c r="AL243" s="26">
        <v>0.97103784678367666</v>
      </c>
      <c r="AM243" s="25">
        <v>0.99</v>
      </c>
      <c r="AN243" s="30">
        <v>1</v>
      </c>
      <c r="AO243" s="30">
        <v>1</v>
      </c>
      <c r="AP243" s="30">
        <v>1</v>
      </c>
      <c r="AQ243" s="30">
        <v>1</v>
      </c>
      <c r="AR243" s="50">
        <v>9.2228725701943806E-2</v>
      </c>
      <c r="AS243" s="34">
        <v>6.6666666666666666E-2</v>
      </c>
      <c r="AT243" s="34">
        <v>0.25925925925925924</v>
      </c>
      <c r="AU243" s="34">
        <v>0.04</v>
      </c>
      <c r="AV243" s="34">
        <v>9.0452261306532666E-2</v>
      </c>
      <c r="AW243" s="10"/>
      <c r="AX243" s="8"/>
    </row>
    <row r="244" spans="1:50">
      <c r="A244" s="7"/>
      <c r="B244" s="10"/>
      <c r="C244" s="54" t="s">
        <v>284</v>
      </c>
      <c r="D244" s="23" t="s">
        <v>15</v>
      </c>
      <c r="E244" s="55" t="s">
        <v>291</v>
      </c>
      <c r="F244" s="55" t="s">
        <v>291</v>
      </c>
      <c r="G244" s="55" t="s">
        <v>291</v>
      </c>
      <c r="H244" s="55" t="s">
        <v>291</v>
      </c>
      <c r="I244" s="25">
        <v>0.9</v>
      </c>
      <c r="J244" s="26">
        <v>0.93877551020408168</v>
      </c>
      <c r="K244" s="26">
        <v>0.94444444444444442</v>
      </c>
      <c r="L244" s="27">
        <v>0.96261682242990654</v>
      </c>
      <c r="M244" s="26">
        <v>0.93424317617866004</v>
      </c>
      <c r="N244" s="28">
        <v>0.9</v>
      </c>
      <c r="O244" s="26">
        <v>0.92112382934443293</v>
      </c>
      <c r="P244" s="26">
        <v>0.96980516168519837</v>
      </c>
      <c r="Q244" s="26">
        <v>0.96196176868121264</v>
      </c>
      <c r="R244" s="26">
        <v>0.93923673532282093</v>
      </c>
      <c r="S244" s="28">
        <v>0.9</v>
      </c>
      <c r="T244" s="26">
        <v>0.93236212278876174</v>
      </c>
      <c r="U244" s="26">
        <v>0.95460573293889628</v>
      </c>
      <c r="V244" s="26">
        <v>0.94854218961189418</v>
      </c>
      <c r="W244" s="26">
        <v>0.92512455698803231</v>
      </c>
      <c r="X244" s="28">
        <v>0.92</v>
      </c>
      <c r="Y244" s="28">
        <v>0.97352112676056335</v>
      </c>
      <c r="Z244" s="28">
        <v>0.97822822822822819</v>
      </c>
      <c r="AA244" s="28">
        <v>0.97622313671696392</v>
      </c>
      <c r="AB244" s="28">
        <v>0.97350121384191257</v>
      </c>
      <c r="AC244" s="28">
        <v>0.92</v>
      </c>
      <c r="AD244" s="26">
        <v>0.93235294117647061</v>
      </c>
      <c r="AE244" s="26">
        <v>0.97413793103448276</v>
      </c>
      <c r="AF244" s="26">
        <v>0.94846153846153847</v>
      </c>
      <c r="AG244" s="26">
        <v>0.9673623636519797</v>
      </c>
      <c r="AH244" s="28">
        <v>0.92</v>
      </c>
      <c r="AI244" s="26">
        <v>0.9813829787234043</v>
      </c>
      <c r="AJ244" s="26">
        <v>0.98644638703985887</v>
      </c>
      <c r="AK244" s="26">
        <v>0.98653064477564356</v>
      </c>
      <c r="AL244" s="26">
        <v>0.98418601009903317</v>
      </c>
      <c r="AM244" s="25">
        <v>0.99</v>
      </c>
      <c r="AN244" s="30">
        <v>1</v>
      </c>
      <c r="AO244" s="30">
        <v>1</v>
      </c>
      <c r="AP244" s="30">
        <v>1</v>
      </c>
      <c r="AQ244" s="30">
        <v>1</v>
      </c>
      <c r="AR244" s="50">
        <v>9.2228725701943806E-2</v>
      </c>
      <c r="AS244" s="34">
        <v>0.15384615384615385</v>
      </c>
      <c r="AT244" s="34">
        <v>8.6956521739130432E-2</v>
      </c>
      <c r="AU244" s="34">
        <v>0</v>
      </c>
      <c r="AV244" s="34">
        <v>0.13970588235294118</v>
      </c>
      <c r="AW244" s="10"/>
      <c r="AX244" s="8"/>
    </row>
    <row r="245" spans="1:50">
      <c r="A245" s="7"/>
      <c r="B245" s="10"/>
      <c r="C245" s="54" t="s">
        <v>284</v>
      </c>
      <c r="D245" s="23" t="s">
        <v>15</v>
      </c>
      <c r="E245" s="55" t="s">
        <v>292</v>
      </c>
      <c r="F245" s="55" t="s">
        <v>292</v>
      </c>
      <c r="G245" s="55" t="s">
        <v>292</v>
      </c>
      <c r="H245" s="55" t="s">
        <v>292</v>
      </c>
      <c r="I245" s="25">
        <v>0.9</v>
      </c>
      <c r="J245" s="26">
        <v>0.9213483146067416</v>
      </c>
      <c r="K245" s="26">
        <v>0.92708333333333337</v>
      </c>
      <c r="L245" s="27">
        <v>0.93814432989690721</v>
      </c>
      <c r="M245" s="26">
        <v>0.90758620689655167</v>
      </c>
      <c r="N245" s="28">
        <v>0.9</v>
      </c>
      <c r="O245" s="26">
        <v>0.95246763754045305</v>
      </c>
      <c r="P245" s="26">
        <v>0.99071329776723971</v>
      </c>
      <c r="Q245" s="26">
        <v>0.95347172512526845</v>
      </c>
      <c r="R245" s="26">
        <v>0.95477471017090954</v>
      </c>
      <c r="S245" s="28">
        <v>0.9</v>
      </c>
      <c r="T245" s="26">
        <v>0.91707119741100329</v>
      </c>
      <c r="U245" s="26">
        <v>0.93934005137324639</v>
      </c>
      <c r="V245" s="26">
        <v>0.92931281317108094</v>
      </c>
      <c r="W245" s="26">
        <v>0.91640970479263772</v>
      </c>
      <c r="X245" s="28">
        <v>0.92</v>
      </c>
      <c r="Y245" s="28">
        <v>0.95904590459045902</v>
      </c>
      <c r="Z245" s="28">
        <v>0.9756756756756757</v>
      </c>
      <c r="AA245" s="28">
        <v>0.97728487439871725</v>
      </c>
      <c r="AB245" s="28">
        <v>0.97248622884379365</v>
      </c>
      <c r="AC245" s="28">
        <v>0.92</v>
      </c>
      <c r="AD245" s="26">
        <v>0.99674880219028061</v>
      </c>
      <c r="AE245" s="26">
        <v>0.97194424588992134</v>
      </c>
      <c r="AF245" s="26">
        <v>0.97793126684636122</v>
      </c>
      <c r="AG245" s="26">
        <v>0.97772314270443617</v>
      </c>
      <c r="AH245" s="28">
        <v>0.92</v>
      </c>
      <c r="AI245" s="26">
        <v>0.96964532964106931</v>
      </c>
      <c r="AJ245" s="26">
        <v>0.98467097339318954</v>
      </c>
      <c r="AK245" s="26">
        <v>0.98542336548767417</v>
      </c>
      <c r="AL245" s="26">
        <v>0.98242853055172596</v>
      </c>
      <c r="AM245" s="25">
        <v>0.99</v>
      </c>
      <c r="AN245" s="30">
        <v>1</v>
      </c>
      <c r="AO245" s="30">
        <v>1</v>
      </c>
      <c r="AP245" s="30">
        <v>1</v>
      </c>
      <c r="AQ245" s="30">
        <v>1</v>
      </c>
      <c r="AR245" s="50">
        <v>9.2228725701943806E-2</v>
      </c>
      <c r="AS245" s="34">
        <v>8.3333333333333329E-2</v>
      </c>
      <c r="AT245" s="34">
        <v>0</v>
      </c>
      <c r="AU245" s="34">
        <v>7.1428571428571425E-2</v>
      </c>
      <c r="AV245" s="34">
        <v>0.10884353741496598</v>
      </c>
      <c r="AW245" s="10"/>
      <c r="AX245" s="8"/>
    </row>
    <row r="246" spans="1:50">
      <c r="A246" s="7"/>
      <c r="B246" s="10"/>
      <c r="C246" s="54" t="s">
        <v>284</v>
      </c>
      <c r="D246" s="23" t="s">
        <v>15</v>
      </c>
      <c r="E246" s="55" t="s">
        <v>293</v>
      </c>
      <c r="F246" s="55" t="s">
        <v>293</v>
      </c>
      <c r="G246" s="55" t="s">
        <v>293</v>
      </c>
      <c r="H246" s="55" t="s">
        <v>293</v>
      </c>
      <c r="I246" s="25">
        <v>0.9</v>
      </c>
      <c r="J246" s="26">
        <v>0</v>
      </c>
      <c r="K246" s="26">
        <v>0</v>
      </c>
      <c r="L246" s="27">
        <v>0</v>
      </c>
      <c r="M246" s="26">
        <v>0</v>
      </c>
      <c r="N246" s="28">
        <v>0.9</v>
      </c>
      <c r="O246" s="26">
        <v>0</v>
      </c>
      <c r="P246" s="26">
        <v>0</v>
      </c>
      <c r="Q246" s="26">
        <v>0</v>
      </c>
      <c r="R246" s="26">
        <v>0</v>
      </c>
      <c r="S246" s="28">
        <v>0.9</v>
      </c>
      <c r="T246" s="26">
        <v>0</v>
      </c>
      <c r="U246" s="26">
        <v>0</v>
      </c>
      <c r="V246" s="26">
        <v>0</v>
      </c>
      <c r="W246" s="26">
        <v>0</v>
      </c>
      <c r="X246" s="28">
        <v>0.92</v>
      </c>
      <c r="Y246" s="28">
        <v>0</v>
      </c>
      <c r="Z246" s="28">
        <v>0</v>
      </c>
      <c r="AA246" s="28">
        <v>0</v>
      </c>
      <c r="AB246" s="28">
        <v>0</v>
      </c>
      <c r="AC246" s="28">
        <v>0.92</v>
      </c>
      <c r="AD246" s="26">
        <v>0.99698795180722888</v>
      </c>
      <c r="AE246" s="26">
        <v>0.98969072164948457</v>
      </c>
      <c r="AF246" s="26">
        <v>0.99043062200956933</v>
      </c>
      <c r="AG246" s="26">
        <v>0.98363450392090013</v>
      </c>
      <c r="AH246" s="28">
        <v>0.92</v>
      </c>
      <c r="AI246" s="26">
        <v>0</v>
      </c>
      <c r="AJ246" s="26">
        <v>0</v>
      </c>
      <c r="AK246" s="26">
        <v>0</v>
      </c>
      <c r="AL246" s="26">
        <v>0</v>
      </c>
      <c r="AM246" s="25">
        <v>0.99</v>
      </c>
      <c r="AN246" s="30">
        <v>1</v>
      </c>
      <c r="AO246" s="30">
        <v>1</v>
      </c>
      <c r="AP246" s="30">
        <v>1</v>
      </c>
      <c r="AQ246" s="30">
        <v>1</v>
      </c>
      <c r="AR246" s="50">
        <v>9.2228725701943806E-2</v>
      </c>
      <c r="AS246" s="34">
        <v>0</v>
      </c>
      <c r="AT246" s="34">
        <v>0</v>
      </c>
      <c r="AU246" s="34">
        <v>0</v>
      </c>
      <c r="AV246" s="34">
        <v>0</v>
      </c>
      <c r="AW246" s="10"/>
      <c r="AX246" s="8"/>
    </row>
    <row r="247" spans="1:50">
      <c r="A247" s="7"/>
      <c r="B247" s="10"/>
      <c r="C247" s="54" t="s">
        <v>284</v>
      </c>
      <c r="D247" s="23" t="s">
        <v>15</v>
      </c>
      <c r="E247" s="55" t="s">
        <v>294</v>
      </c>
      <c r="F247" s="55" t="s">
        <v>294</v>
      </c>
      <c r="G247" s="55" t="s">
        <v>294</v>
      </c>
      <c r="H247" s="55" t="s">
        <v>294</v>
      </c>
      <c r="I247" s="25">
        <v>0.9</v>
      </c>
      <c r="J247" s="26">
        <v>0.9285714285714286</v>
      </c>
      <c r="K247" s="26">
        <v>0.7857142857142857</v>
      </c>
      <c r="L247" s="27">
        <v>0.7857142857142857</v>
      </c>
      <c r="M247" s="26">
        <v>0.81415929203539827</v>
      </c>
      <c r="N247" s="28">
        <v>0.9</v>
      </c>
      <c r="O247" s="26">
        <v>0.95539906103286387</v>
      </c>
      <c r="P247" s="26">
        <v>0.98103186646433993</v>
      </c>
      <c r="Q247" s="26">
        <v>0.98188153310104531</v>
      </c>
      <c r="R247" s="26">
        <v>0.93997813773228656</v>
      </c>
      <c r="S247" s="28">
        <v>0.9</v>
      </c>
      <c r="T247" s="26">
        <v>0.92488262910798125</v>
      </c>
      <c r="U247" s="26">
        <v>0.91578148710166918</v>
      </c>
      <c r="V247" s="26">
        <v>0.94564459930313594</v>
      </c>
      <c r="W247" s="26">
        <v>0.92457517638875086</v>
      </c>
      <c r="X247" s="28">
        <v>0.92</v>
      </c>
      <c r="Y247" s="28">
        <v>0.93001841620626147</v>
      </c>
      <c r="Z247" s="28">
        <v>0.95348837209302328</v>
      </c>
      <c r="AA247" s="28">
        <v>0.96902106567534074</v>
      </c>
      <c r="AB247" s="28">
        <v>0.94844185457309349</v>
      </c>
      <c r="AC247" s="28">
        <v>0.92</v>
      </c>
      <c r="AD247" s="26">
        <v>0.99921100090171322</v>
      </c>
      <c r="AE247" s="26">
        <v>0.9979861548143486</v>
      </c>
      <c r="AF247" s="26">
        <v>0.99918721213763206</v>
      </c>
      <c r="AG247" s="26">
        <v>0.98763183853099623</v>
      </c>
      <c r="AH247" s="28">
        <v>0.92</v>
      </c>
      <c r="AI247" s="26">
        <v>0.94040574809805577</v>
      </c>
      <c r="AJ247" s="26">
        <v>0.96600441501103751</v>
      </c>
      <c r="AK247" s="26">
        <v>0.98215878679750224</v>
      </c>
      <c r="AL247" s="26">
        <v>0.96537133949448839</v>
      </c>
      <c r="AM247" s="25">
        <v>0.99</v>
      </c>
      <c r="AN247" s="30">
        <v>1</v>
      </c>
      <c r="AO247" s="30">
        <v>1</v>
      </c>
      <c r="AP247" s="30">
        <v>1</v>
      </c>
      <c r="AQ247" s="30">
        <v>1</v>
      </c>
      <c r="AR247" s="50">
        <v>9.2228725701943806E-2</v>
      </c>
      <c r="AS247" s="34">
        <v>0</v>
      </c>
      <c r="AT247" s="34">
        <v>0</v>
      </c>
      <c r="AU247" s="34">
        <v>0</v>
      </c>
      <c r="AV247" s="34">
        <v>4.0816326530612242E-2</v>
      </c>
      <c r="AW247" s="10"/>
      <c r="AX247" s="8"/>
    </row>
    <row r="248" spans="1:50">
      <c r="A248" s="7"/>
      <c r="B248" s="10"/>
      <c r="C248" s="54" t="s">
        <v>284</v>
      </c>
      <c r="D248" s="23" t="s">
        <v>15</v>
      </c>
      <c r="E248" s="55" t="s">
        <v>295</v>
      </c>
      <c r="F248" s="55" t="s">
        <v>295</v>
      </c>
      <c r="G248" s="55" t="s">
        <v>295</v>
      </c>
      <c r="H248" s="55" t="s">
        <v>295</v>
      </c>
      <c r="I248" s="25">
        <v>0.9</v>
      </c>
      <c r="J248" s="26">
        <v>0</v>
      </c>
      <c r="K248" s="26">
        <v>0</v>
      </c>
      <c r="L248" s="27">
        <v>0</v>
      </c>
      <c r="M248" s="26">
        <v>0</v>
      </c>
      <c r="N248" s="28">
        <v>0.9</v>
      </c>
      <c r="O248" s="26">
        <v>0</v>
      </c>
      <c r="P248" s="26">
        <v>0</v>
      </c>
      <c r="Q248" s="26">
        <v>1</v>
      </c>
      <c r="R248" s="26">
        <v>0.25</v>
      </c>
      <c r="S248" s="28">
        <v>0.9</v>
      </c>
      <c r="T248" s="26">
        <v>0</v>
      </c>
      <c r="U248" s="26">
        <v>0</v>
      </c>
      <c r="V248" s="26">
        <v>0</v>
      </c>
      <c r="W248" s="26">
        <v>0.125</v>
      </c>
      <c r="X248" s="28">
        <v>0.92</v>
      </c>
      <c r="Y248" s="28">
        <v>0</v>
      </c>
      <c r="Z248" s="28">
        <v>0</v>
      </c>
      <c r="AA248" s="28">
        <v>0</v>
      </c>
      <c r="AB248" s="28">
        <v>0</v>
      </c>
      <c r="AC248" s="28">
        <v>0.92</v>
      </c>
      <c r="AD248" s="26">
        <v>0.97518895826487018</v>
      </c>
      <c r="AE248" s="26">
        <v>0.99808536098923017</v>
      </c>
      <c r="AF248" s="26">
        <v>0.9954810615397256</v>
      </c>
      <c r="AG248" s="26">
        <v>0.94690524193548387</v>
      </c>
      <c r="AH248" s="28">
        <v>0.92</v>
      </c>
      <c r="AI248" s="26">
        <v>0</v>
      </c>
      <c r="AJ248" s="26">
        <v>0</v>
      </c>
      <c r="AK248" s="26">
        <v>0</v>
      </c>
      <c r="AL248" s="26">
        <v>0.2</v>
      </c>
      <c r="AM248" s="25">
        <v>0.99</v>
      </c>
      <c r="AN248" s="30">
        <v>1</v>
      </c>
      <c r="AO248" s="30">
        <v>1</v>
      </c>
      <c r="AP248" s="30">
        <v>1</v>
      </c>
      <c r="AQ248" s="30">
        <v>1</v>
      </c>
      <c r="AR248" s="50">
        <v>9.2228725701943806E-2</v>
      </c>
      <c r="AS248" s="34">
        <v>0</v>
      </c>
      <c r="AT248" s="34">
        <v>0</v>
      </c>
      <c r="AU248" s="34">
        <v>0</v>
      </c>
      <c r="AV248" s="34">
        <v>0</v>
      </c>
      <c r="AW248" s="10"/>
      <c r="AX248" s="8"/>
    </row>
    <row r="249" spans="1:50">
      <c r="A249" s="7"/>
      <c r="B249" s="10"/>
      <c r="C249" s="54" t="s">
        <v>284</v>
      </c>
      <c r="D249" s="23" t="s">
        <v>15</v>
      </c>
      <c r="E249" s="55" t="s">
        <v>296</v>
      </c>
      <c r="F249" s="55" t="s">
        <v>296</v>
      </c>
      <c r="G249" s="55" t="s">
        <v>296</v>
      </c>
      <c r="H249" s="55" t="s">
        <v>296</v>
      </c>
      <c r="I249" s="25">
        <v>0.9</v>
      </c>
      <c r="J249" s="26">
        <v>0</v>
      </c>
      <c r="K249" s="26">
        <v>0</v>
      </c>
      <c r="L249" s="27">
        <v>0</v>
      </c>
      <c r="M249" s="26">
        <v>0</v>
      </c>
      <c r="N249" s="28">
        <v>0.9</v>
      </c>
      <c r="O249" s="26">
        <v>0</v>
      </c>
      <c r="P249" s="26">
        <v>1</v>
      </c>
      <c r="Q249" s="26">
        <v>0</v>
      </c>
      <c r="R249" s="26">
        <v>1</v>
      </c>
      <c r="S249" s="28">
        <v>0.9</v>
      </c>
      <c r="T249" s="26">
        <v>0</v>
      </c>
      <c r="U249" s="26">
        <v>1</v>
      </c>
      <c r="V249" s="26">
        <v>0</v>
      </c>
      <c r="W249" s="26">
        <v>1</v>
      </c>
      <c r="X249" s="28">
        <v>0.92</v>
      </c>
      <c r="Y249" s="28">
        <v>0</v>
      </c>
      <c r="Z249" s="28">
        <v>0</v>
      </c>
      <c r="AA249" s="28">
        <v>0</v>
      </c>
      <c r="AB249" s="28">
        <v>0</v>
      </c>
      <c r="AC249" s="28">
        <v>0.92</v>
      </c>
      <c r="AD249" s="26">
        <v>1</v>
      </c>
      <c r="AE249" s="26">
        <v>1</v>
      </c>
      <c r="AF249" s="26">
        <v>1</v>
      </c>
      <c r="AG249" s="26">
        <v>0.99910891767770238</v>
      </c>
      <c r="AH249" s="28">
        <v>0.92</v>
      </c>
      <c r="AI249" s="26">
        <v>0</v>
      </c>
      <c r="AJ249" s="26">
        <v>1</v>
      </c>
      <c r="AK249" s="26">
        <v>0</v>
      </c>
      <c r="AL249" s="26">
        <v>0.5</v>
      </c>
      <c r="AM249" s="25">
        <v>0.99</v>
      </c>
      <c r="AN249" s="30">
        <v>1</v>
      </c>
      <c r="AO249" s="30">
        <v>1</v>
      </c>
      <c r="AP249" s="30">
        <v>1</v>
      </c>
      <c r="AQ249" s="30">
        <v>1</v>
      </c>
      <c r="AR249" s="50">
        <v>9.2228725701943806E-2</v>
      </c>
      <c r="AS249" s="34">
        <v>0</v>
      </c>
      <c r="AT249" s="34">
        <v>0</v>
      </c>
      <c r="AU249" s="34">
        <v>0</v>
      </c>
      <c r="AV249" s="34">
        <v>1</v>
      </c>
      <c r="AW249" s="10"/>
      <c r="AX249" s="8"/>
    </row>
    <row r="250" spans="1:50">
      <c r="A250" s="7"/>
      <c r="B250" s="10"/>
      <c r="C250" s="54" t="s">
        <v>284</v>
      </c>
      <c r="D250" s="23" t="s">
        <v>15</v>
      </c>
      <c r="E250" s="55" t="s">
        <v>297</v>
      </c>
      <c r="F250" s="55" t="s">
        <v>297</v>
      </c>
      <c r="G250" s="55" t="s">
        <v>297</v>
      </c>
      <c r="H250" s="55" t="s">
        <v>297</v>
      </c>
      <c r="I250" s="25">
        <v>0.9</v>
      </c>
      <c r="J250" s="26">
        <v>0</v>
      </c>
      <c r="K250" s="26">
        <v>0</v>
      </c>
      <c r="L250" s="27">
        <v>0</v>
      </c>
      <c r="M250" s="26">
        <v>0</v>
      </c>
      <c r="N250" s="28">
        <v>0.9</v>
      </c>
      <c r="O250" s="26">
        <v>0.44827586206896552</v>
      </c>
      <c r="P250" s="26">
        <v>0.91304347826086951</v>
      </c>
      <c r="Q250" s="26">
        <v>0.63636363636363635</v>
      </c>
      <c r="R250" s="26">
        <v>0.69724770642201839</v>
      </c>
      <c r="S250" s="28">
        <v>0.9</v>
      </c>
      <c r="T250" s="26">
        <v>0.68965517241379315</v>
      </c>
      <c r="U250" s="26">
        <v>0.56521739130434778</v>
      </c>
      <c r="V250" s="26">
        <v>0.45454545454545453</v>
      </c>
      <c r="W250" s="26">
        <v>0.66972477064220182</v>
      </c>
      <c r="X250" s="28">
        <v>0.92</v>
      </c>
      <c r="Y250" s="28">
        <v>0.5</v>
      </c>
      <c r="Z250" s="28">
        <v>1</v>
      </c>
      <c r="AA250" s="28">
        <v>0.33333333333333331</v>
      </c>
      <c r="AB250" s="28">
        <v>0.58333333333333337</v>
      </c>
      <c r="AC250" s="28">
        <v>0.92</v>
      </c>
      <c r="AD250" s="26">
        <v>0.63877565121260282</v>
      </c>
      <c r="AE250" s="26">
        <v>0.92043917574986078</v>
      </c>
      <c r="AF250" s="26">
        <v>0.99847527771727296</v>
      </c>
      <c r="AG250" s="26">
        <v>0.79126760292234977</v>
      </c>
      <c r="AH250" s="28">
        <v>0.92</v>
      </c>
      <c r="AI250" s="26">
        <v>0.78787878787878785</v>
      </c>
      <c r="AJ250" s="26">
        <v>0.65384615384615385</v>
      </c>
      <c r="AK250" s="26">
        <v>0.46666666666666667</v>
      </c>
      <c r="AL250" s="26">
        <v>0.71755725190839692</v>
      </c>
      <c r="AM250" s="25">
        <v>0.99</v>
      </c>
      <c r="AN250" s="30">
        <v>1</v>
      </c>
      <c r="AO250" s="30">
        <v>1</v>
      </c>
      <c r="AP250" s="30">
        <v>1</v>
      </c>
      <c r="AQ250" s="30">
        <v>1</v>
      </c>
      <c r="AR250" s="50">
        <v>9.2228725701943806E-2</v>
      </c>
      <c r="AS250" s="34">
        <v>0</v>
      </c>
      <c r="AT250" s="34">
        <v>0</v>
      </c>
      <c r="AU250" s="34">
        <v>0</v>
      </c>
      <c r="AV250" s="34">
        <v>0</v>
      </c>
      <c r="AW250" s="10"/>
      <c r="AX250" s="8"/>
    </row>
    <row r="251" spans="1:50">
      <c r="A251" s="7"/>
      <c r="B251" s="10"/>
      <c r="C251" s="54" t="s">
        <v>284</v>
      </c>
      <c r="D251" s="23" t="s">
        <v>15</v>
      </c>
      <c r="E251" s="55" t="s">
        <v>298</v>
      </c>
      <c r="F251" s="55" t="s">
        <v>298</v>
      </c>
      <c r="G251" s="55" t="s">
        <v>298</v>
      </c>
      <c r="H251" s="55" t="s">
        <v>298</v>
      </c>
      <c r="I251" s="25">
        <v>0.9</v>
      </c>
      <c r="J251" s="26">
        <v>0</v>
      </c>
      <c r="K251" s="26">
        <v>0</v>
      </c>
      <c r="L251" s="27">
        <v>0</v>
      </c>
      <c r="M251" s="26">
        <v>0</v>
      </c>
      <c r="N251" s="28">
        <v>0.9</v>
      </c>
      <c r="O251" s="26">
        <v>0</v>
      </c>
      <c r="P251" s="26">
        <v>1</v>
      </c>
      <c r="Q251" s="26">
        <v>0</v>
      </c>
      <c r="R251" s="26">
        <v>1</v>
      </c>
      <c r="S251" s="28">
        <v>0.9</v>
      </c>
      <c r="T251" s="26">
        <v>0</v>
      </c>
      <c r="U251" s="26">
        <v>1</v>
      </c>
      <c r="V251" s="26">
        <v>0</v>
      </c>
      <c r="W251" s="26">
        <v>0.5</v>
      </c>
      <c r="X251" s="28">
        <v>0.92</v>
      </c>
      <c r="Y251" s="28">
        <v>0</v>
      </c>
      <c r="Z251" s="28">
        <v>0</v>
      </c>
      <c r="AA251" s="28">
        <v>1</v>
      </c>
      <c r="AB251" s="28">
        <v>1</v>
      </c>
      <c r="AC251" s="28">
        <v>0.92</v>
      </c>
      <c r="AD251" s="26">
        <v>1</v>
      </c>
      <c r="AE251" s="26">
        <v>0.99334043686734153</v>
      </c>
      <c r="AF251" s="26">
        <v>0.99419616947185141</v>
      </c>
      <c r="AG251" s="26">
        <v>0.94905862544007347</v>
      </c>
      <c r="AH251" s="28">
        <v>0.92</v>
      </c>
      <c r="AI251" s="26">
        <v>0</v>
      </c>
      <c r="AJ251" s="26">
        <v>1</v>
      </c>
      <c r="AK251" s="26">
        <v>1</v>
      </c>
      <c r="AL251" s="26">
        <v>0.75</v>
      </c>
      <c r="AM251" s="25">
        <v>0.99</v>
      </c>
      <c r="AN251" s="30">
        <v>1</v>
      </c>
      <c r="AO251" s="30">
        <v>0</v>
      </c>
      <c r="AP251" s="30">
        <v>1</v>
      </c>
      <c r="AQ251" s="30">
        <v>1</v>
      </c>
      <c r="AR251" s="50">
        <v>9.2228725701943806E-2</v>
      </c>
      <c r="AS251" s="34">
        <v>0</v>
      </c>
      <c r="AT251" s="34">
        <v>0</v>
      </c>
      <c r="AU251" s="34">
        <v>0</v>
      </c>
      <c r="AV251" s="34">
        <v>0</v>
      </c>
      <c r="AW251" s="10"/>
      <c r="AX251" s="8"/>
    </row>
    <row r="252" spans="1:50">
      <c r="A252" s="7"/>
      <c r="B252" s="10"/>
      <c r="C252" s="54" t="s">
        <v>284</v>
      </c>
      <c r="D252" s="23" t="s">
        <v>15</v>
      </c>
      <c r="E252" s="55" t="s">
        <v>299</v>
      </c>
      <c r="F252" s="55" t="s">
        <v>299</v>
      </c>
      <c r="G252" s="55" t="s">
        <v>299</v>
      </c>
      <c r="H252" s="55" t="s">
        <v>299</v>
      </c>
      <c r="I252" s="25">
        <v>0.9</v>
      </c>
      <c r="J252" s="26">
        <v>0.96341463414634143</v>
      </c>
      <c r="K252" s="26">
        <v>0.96250000000000002</v>
      </c>
      <c r="L252" s="27">
        <v>0.9375</v>
      </c>
      <c r="M252" s="26">
        <v>0.92868462757527737</v>
      </c>
      <c r="N252" s="28">
        <v>0.9</v>
      </c>
      <c r="O252" s="26">
        <v>0.92797783933518008</v>
      </c>
      <c r="P252" s="26">
        <v>0.91139742319127848</v>
      </c>
      <c r="Q252" s="26">
        <v>0.8737529475784509</v>
      </c>
      <c r="R252" s="26">
        <v>0.88213897799893914</v>
      </c>
      <c r="S252" s="28">
        <v>0.9</v>
      </c>
      <c r="T252" s="26">
        <v>0.93692733858938848</v>
      </c>
      <c r="U252" s="26">
        <v>0.93538156590683841</v>
      </c>
      <c r="V252" s="26">
        <v>0.92091420279339742</v>
      </c>
      <c r="W252" s="26">
        <v>0.92854075627068122</v>
      </c>
      <c r="X252" s="28">
        <v>0.92</v>
      </c>
      <c r="Y252" s="28">
        <v>0.962439239946973</v>
      </c>
      <c r="Z252" s="28">
        <v>0.98595020951441947</v>
      </c>
      <c r="AA252" s="28">
        <v>0.99139553643452538</v>
      </c>
      <c r="AB252" s="28">
        <v>0.98146002317497105</v>
      </c>
      <c r="AC252" s="28">
        <v>0.92</v>
      </c>
      <c r="AD252" s="26">
        <v>0.9795501022494888</v>
      </c>
      <c r="AE252" s="26">
        <v>0.97363717605004463</v>
      </c>
      <c r="AF252" s="26">
        <v>0.98976608187134507</v>
      </c>
      <c r="AG252" s="26">
        <v>0.9833836858006042</v>
      </c>
      <c r="AH252" s="28">
        <v>0.92</v>
      </c>
      <c r="AI252" s="26">
        <v>0.97570235383447224</v>
      </c>
      <c r="AJ252" s="26">
        <v>0.99055360281195082</v>
      </c>
      <c r="AK252" s="26">
        <v>0.9936091854419411</v>
      </c>
      <c r="AL252" s="26">
        <v>0.98869355208656584</v>
      </c>
      <c r="AM252" s="25">
        <v>0.99</v>
      </c>
      <c r="AN252" s="30">
        <v>1</v>
      </c>
      <c r="AO252" s="30">
        <v>1</v>
      </c>
      <c r="AP252" s="30">
        <v>1</v>
      </c>
      <c r="AQ252" s="30">
        <v>1</v>
      </c>
      <c r="AR252" s="50">
        <v>9.2228725701943806E-2</v>
      </c>
      <c r="AS252" s="34">
        <v>0.2608695652173913</v>
      </c>
      <c r="AT252" s="34">
        <v>0</v>
      </c>
      <c r="AU252" s="34">
        <v>0.1111111111111111</v>
      </c>
      <c r="AV252" s="34">
        <v>8.7628865979381437E-2</v>
      </c>
      <c r="AW252" s="10"/>
      <c r="AX252" s="8"/>
    </row>
    <row r="253" spans="1:50">
      <c r="A253" s="7"/>
      <c r="B253" s="10"/>
      <c r="C253" s="54" t="s">
        <v>284</v>
      </c>
      <c r="D253" s="23" t="s">
        <v>15</v>
      </c>
      <c r="E253" s="55" t="s">
        <v>300</v>
      </c>
      <c r="F253" s="55" t="s">
        <v>300</v>
      </c>
      <c r="G253" s="55" t="s">
        <v>300</v>
      </c>
      <c r="H253" s="55" t="s">
        <v>300</v>
      </c>
      <c r="I253" s="25">
        <v>0.9</v>
      </c>
      <c r="J253" s="26">
        <v>0.98347107438016534</v>
      </c>
      <c r="K253" s="26">
        <v>0.953125</v>
      </c>
      <c r="L253" s="27">
        <v>0.97674418604651159</v>
      </c>
      <c r="M253" s="26">
        <v>0.97019527235354575</v>
      </c>
      <c r="N253" s="28">
        <v>0.9</v>
      </c>
      <c r="O253" s="26">
        <v>0.94838939313045023</v>
      </c>
      <c r="P253" s="26">
        <v>0.95503421309872927</v>
      </c>
      <c r="Q253" s="26">
        <v>0.96069934249850564</v>
      </c>
      <c r="R253" s="26">
        <v>0.95536212707010981</v>
      </c>
      <c r="S253" s="28">
        <v>0.9</v>
      </c>
      <c r="T253" s="26">
        <v>0.9181348994483004</v>
      </c>
      <c r="U253" s="26">
        <v>0.92945584881068755</v>
      </c>
      <c r="V253" s="26">
        <v>0.91796174536760311</v>
      </c>
      <c r="W253" s="26">
        <v>0.92410114334153448</v>
      </c>
      <c r="X253" s="28">
        <v>0.92</v>
      </c>
      <c r="Y253" s="28">
        <v>0.92659637955042773</v>
      </c>
      <c r="Z253" s="28">
        <v>0.95881622516556286</v>
      </c>
      <c r="AA253" s="28">
        <v>0.96671258034894403</v>
      </c>
      <c r="AB253" s="28">
        <v>0.95456924265457177</v>
      </c>
      <c r="AC253" s="28">
        <v>0.92</v>
      </c>
      <c r="AD253" s="26">
        <v>0.9569118955799466</v>
      </c>
      <c r="AE253" s="26">
        <v>0.9872320302648171</v>
      </c>
      <c r="AF253" s="26">
        <v>0.92581108240022969</v>
      </c>
      <c r="AG253" s="26">
        <v>0.92600638756415699</v>
      </c>
      <c r="AH253" s="28">
        <v>0.92</v>
      </c>
      <c r="AI253" s="26">
        <v>0.94816414686825057</v>
      </c>
      <c r="AJ253" s="26">
        <v>0.97212099125364426</v>
      </c>
      <c r="AK253" s="26">
        <v>0.97845958910308628</v>
      </c>
      <c r="AL253" s="26">
        <v>0.96972093548751559</v>
      </c>
      <c r="AM253" s="25">
        <v>0.99</v>
      </c>
      <c r="AN253" s="30">
        <v>1</v>
      </c>
      <c r="AO253" s="30">
        <v>1</v>
      </c>
      <c r="AP253" s="30">
        <v>1</v>
      </c>
      <c r="AQ253" s="30">
        <v>1</v>
      </c>
      <c r="AR253" s="50">
        <v>9.2228725701943806E-2</v>
      </c>
      <c r="AS253" s="34">
        <v>4.4444444444444446E-2</v>
      </c>
      <c r="AT253" s="34">
        <v>7.4999999999999997E-2</v>
      </c>
      <c r="AU253" s="34">
        <v>5.3571428571428568E-2</v>
      </c>
      <c r="AV253" s="34">
        <v>4.3269230769230768E-2</v>
      </c>
      <c r="AW253" s="10"/>
      <c r="AX253" s="8"/>
    </row>
    <row r="254" spans="1:50">
      <c r="A254" s="7"/>
      <c r="B254" s="10"/>
      <c r="C254" s="54" t="s">
        <v>284</v>
      </c>
      <c r="D254" s="23" t="s">
        <v>15</v>
      </c>
      <c r="E254" s="55" t="s">
        <v>301</v>
      </c>
      <c r="F254" s="55" t="s">
        <v>301</v>
      </c>
      <c r="G254" s="55" t="s">
        <v>301</v>
      </c>
      <c r="H254" s="55" t="s">
        <v>301</v>
      </c>
      <c r="I254" s="25">
        <v>0.9</v>
      </c>
      <c r="J254" s="26">
        <v>0.97</v>
      </c>
      <c r="K254" s="26">
        <v>0.94545454545454544</v>
      </c>
      <c r="L254" s="27">
        <v>0.9285714285714286</v>
      </c>
      <c r="M254" s="26">
        <v>0.94247246022031828</v>
      </c>
      <c r="N254" s="28">
        <v>0.9</v>
      </c>
      <c r="O254" s="26">
        <v>0.95873983739837398</v>
      </c>
      <c r="P254" s="26">
        <v>0.96364297400472643</v>
      </c>
      <c r="Q254" s="26">
        <v>0.96673120929413836</v>
      </c>
      <c r="R254" s="26">
        <v>0.94846902444813674</v>
      </c>
      <c r="S254" s="28">
        <v>0.9</v>
      </c>
      <c r="T254" s="26">
        <v>0.94898373983739837</v>
      </c>
      <c r="U254" s="26">
        <v>0.9521905108162152</v>
      </c>
      <c r="V254" s="26">
        <v>0.94824854779088186</v>
      </c>
      <c r="W254" s="26">
        <v>0.94562069784001901</v>
      </c>
      <c r="X254" s="28">
        <v>0.92</v>
      </c>
      <c r="Y254" s="28">
        <v>0.97452692867540025</v>
      </c>
      <c r="Z254" s="28">
        <v>0.98724760892667374</v>
      </c>
      <c r="AA254" s="28">
        <v>0.98817204301075268</v>
      </c>
      <c r="AB254" s="28">
        <v>0.9842705122986567</v>
      </c>
      <c r="AC254" s="28">
        <v>0.92</v>
      </c>
      <c r="AD254" s="26">
        <v>0.9692903995229577</v>
      </c>
      <c r="AE254" s="26">
        <v>0.98095787651471433</v>
      </c>
      <c r="AF254" s="26">
        <v>0.99166287706533274</v>
      </c>
      <c r="AG254" s="26">
        <v>0.98527715948403016</v>
      </c>
      <c r="AH254" s="28">
        <v>0.92</v>
      </c>
      <c r="AI254" s="26">
        <v>0.98274908769213754</v>
      </c>
      <c r="AJ254" s="26">
        <v>0.99179708580679982</v>
      </c>
      <c r="AK254" s="26">
        <v>0.9934056583705595</v>
      </c>
      <c r="AL254" s="26">
        <v>0.99022669366956295</v>
      </c>
      <c r="AM254" s="25">
        <v>0.99</v>
      </c>
      <c r="AN254" s="30">
        <v>1</v>
      </c>
      <c r="AO254" s="30">
        <v>1</v>
      </c>
      <c r="AP254" s="30">
        <v>1</v>
      </c>
      <c r="AQ254" s="30">
        <v>1</v>
      </c>
      <c r="AR254" s="50">
        <v>9.2228725701943806E-2</v>
      </c>
      <c r="AS254" s="34">
        <v>0.12121212121212122</v>
      </c>
      <c r="AT254" s="34">
        <v>0.1111111111111111</v>
      </c>
      <c r="AU254" s="34">
        <v>0.12903225806451613</v>
      </c>
      <c r="AV254" s="34">
        <v>9.1603053435114504E-2</v>
      </c>
      <c r="AW254" s="10"/>
      <c r="AX254" s="8"/>
    </row>
    <row r="255" spans="1:50">
      <c r="A255" s="7"/>
      <c r="B255" s="10"/>
      <c r="C255" s="54" t="s">
        <v>284</v>
      </c>
      <c r="D255" s="23" t="s">
        <v>15</v>
      </c>
      <c r="E255" s="55" t="s">
        <v>14</v>
      </c>
      <c r="F255" s="55" t="s">
        <v>14</v>
      </c>
      <c r="G255" s="55" t="s">
        <v>14</v>
      </c>
      <c r="H255" s="55" t="s">
        <v>14</v>
      </c>
      <c r="I255" s="25">
        <v>0.9</v>
      </c>
      <c r="J255" s="26">
        <v>0</v>
      </c>
      <c r="K255" s="26">
        <v>0</v>
      </c>
      <c r="L255" s="27">
        <v>0</v>
      </c>
      <c r="M255" s="26">
        <v>0</v>
      </c>
      <c r="N255" s="28">
        <v>0.9</v>
      </c>
      <c r="O255" s="26">
        <v>0</v>
      </c>
      <c r="P255" s="26">
        <v>0</v>
      </c>
      <c r="Q255" s="26">
        <v>0</v>
      </c>
      <c r="R255" s="26">
        <v>0</v>
      </c>
      <c r="S255" s="28">
        <v>0.9</v>
      </c>
      <c r="T255" s="26">
        <v>0</v>
      </c>
      <c r="U255" s="26">
        <v>0</v>
      </c>
      <c r="V255" s="26">
        <v>0</v>
      </c>
      <c r="W255" s="26">
        <v>0</v>
      </c>
      <c r="X255" s="28">
        <v>0.92</v>
      </c>
      <c r="Y255" s="28">
        <v>0</v>
      </c>
      <c r="Z255" s="28">
        <v>0</v>
      </c>
      <c r="AA255" s="28">
        <v>0</v>
      </c>
      <c r="AB255" s="28">
        <v>0</v>
      </c>
      <c r="AC255" s="28">
        <v>0.92</v>
      </c>
      <c r="AD255" s="26">
        <v>1</v>
      </c>
      <c r="AE255" s="26">
        <v>1</v>
      </c>
      <c r="AF255" s="26">
        <v>0.99738562091503269</v>
      </c>
      <c r="AG255" s="26">
        <v>0.9996696944673823</v>
      </c>
      <c r="AH255" s="28">
        <v>0.92</v>
      </c>
      <c r="AI255" s="26">
        <v>0</v>
      </c>
      <c r="AJ255" s="26">
        <v>0</v>
      </c>
      <c r="AK255" s="26">
        <v>1</v>
      </c>
      <c r="AL255" s="26">
        <v>1</v>
      </c>
      <c r="AM255" s="25">
        <v>0.99</v>
      </c>
      <c r="AN255" s="30">
        <v>1</v>
      </c>
      <c r="AO255" s="30">
        <v>1</v>
      </c>
      <c r="AP255" s="30">
        <v>1</v>
      </c>
      <c r="AQ255" s="30">
        <v>1</v>
      </c>
      <c r="AR255" s="50">
        <v>9.2228725701943806E-2</v>
      </c>
      <c r="AS255" s="34">
        <v>0</v>
      </c>
      <c r="AT255" s="34">
        <v>0</v>
      </c>
      <c r="AU255" s="34">
        <v>0</v>
      </c>
      <c r="AV255" s="34">
        <v>0</v>
      </c>
      <c r="AW255" s="10"/>
      <c r="AX255" s="8"/>
    </row>
    <row r="256" spans="1:50">
      <c r="A256" s="7"/>
      <c r="B256" s="10"/>
      <c r="C256" s="54" t="s">
        <v>284</v>
      </c>
      <c r="D256" s="23" t="s">
        <v>15</v>
      </c>
      <c r="E256" s="55" t="s">
        <v>302</v>
      </c>
      <c r="F256" s="55" t="s">
        <v>302</v>
      </c>
      <c r="G256" s="55" t="s">
        <v>302</v>
      </c>
      <c r="H256" s="55" t="s">
        <v>302</v>
      </c>
      <c r="I256" s="25">
        <v>0.9</v>
      </c>
      <c r="J256" s="26">
        <v>0</v>
      </c>
      <c r="K256" s="26">
        <v>0</v>
      </c>
      <c r="L256" s="27">
        <v>0</v>
      </c>
      <c r="M256" s="26">
        <v>0</v>
      </c>
      <c r="N256" s="28">
        <v>0.9</v>
      </c>
      <c r="O256" s="26">
        <v>0</v>
      </c>
      <c r="P256" s="26">
        <v>0</v>
      </c>
      <c r="Q256" s="26">
        <v>0</v>
      </c>
      <c r="R256" s="26">
        <v>0</v>
      </c>
      <c r="S256" s="28">
        <v>0.9</v>
      </c>
      <c r="T256" s="26">
        <v>0</v>
      </c>
      <c r="U256" s="26">
        <v>0</v>
      </c>
      <c r="V256" s="26">
        <v>0</v>
      </c>
      <c r="W256" s="26">
        <v>1</v>
      </c>
      <c r="X256" s="28">
        <v>0.92</v>
      </c>
      <c r="Y256" s="28">
        <v>0</v>
      </c>
      <c r="Z256" s="28">
        <v>0</v>
      </c>
      <c r="AA256" s="28">
        <v>0</v>
      </c>
      <c r="AB256" s="28">
        <v>0</v>
      </c>
      <c r="AC256" s="28">
        <v>0.92</v>
      </c>
      <c r="AD256" s="26">
        <v>0.99616858237547889</v>
      </c>
      <c r="AE256" s="26">
        <v>0.99470899470899465</v>
      </c>
      <c r="AF256" s="26">
        <v>0.98473282442748089</v>
      </c>
      <c r="AG256" s="26">
        <v>0.98048220436280142</v>
      </c>
      <c r="AH256" s="28">
        <v>0.92</v>
      </c>
      <c r="AI256" s="26">
        <v>0</v>
      </c>
      <c r="AJ256" s="26">
        <v>0</v>
      </c>
      <c r="AK256" s="26">
        <v>0</v>
      </c>
      <c r="AL256" s="26">
        <v>1</v>
      </c>
      <c r="AM256" s="25">
        <v>0.99</v>
      </c>
      <c r="AN256" s="30">
        <v>1</v>
      </c>
      <c r="AO256" s="30">
        <v>0</v>
      </c>
      <c r="AP256" s="30">
        <v>0</v>
      </c>
      <c r="AQ256" s="30">
        <v>1</v>
      </c>
      <c r="AR256" s="50">
        <v>9.2228725701943806E-2</v>
      </c>
      <c r="AS256" s="34">
        <v>0</v>
      </c>
      <c r="AT256" s="34">
        <v>0</v>
      </c>
      <c r="AU256" s="34">
        <v>0</v>
      </c>
      <c r="AV256" s="34">
        <v>0</v>
      </c>
      <c r="AW256" s="10"/>
      <c r="AX256" s="8"/>
    </row>
    <row r="257" spans="1:50">
      <c r="A257" s="7"/>
      <c r="B257" s="10"/>
      <c r="C257" s="54" t="s">
        <v>284</v>
      </c>
      <c r="D257" s="23" t="s">
        <v>15</v>
      </c>
      <c r="E257" s="55" t="s">
        <v>303</v>
      </c>
      <c r="F257" s="55" t="s">
        <v>303</v>
      </c>
      <c r="G257" s="55" t="s">
        <v>303</v>
      </c>
      <c r="H257" s="55" t="s">
        <v>303</v>
      </c>
      <c r="I257" s="25">
        <v>0.9</v>
      </c>
      <c r="J257" s="26">
        <v>0.80645161290322576</v>
      </c>
      <c r="K257" s="26">
        <v>0.7567567567567568</v>
      </c>
      <c r="L257" s="27">
        <v>0.82051282051282048</v>
      </c>
      <c r="M257" s="26">
        <v>0.77695167286245348</v>
      </c>
      <c r="N257" s="28">
        <v>0.9</v>
      </c>
      <c r="O257" s="26">
        <v>0.91253333333333331</v>
      </c>
      <c r="P257" s="26">
        <v>0.9378585086042065</v>
      </c>
      <c r="Q257" s="26">
        <v>0.93489813994685567</v>
      </c>
      <c r="R257" s="26">
        <v>0.9232702821592409</v>
      </c>
      <c r="S257" s="28">
        <v>0.9</v>
      </c>
      <c r="T257" s="26">
        <v>0.90346666666666664</v>
      </c>
      <c r="U257" s="26">
        <v>0.93451242829827919</v>
      </c>
      <c r="V257" s="26">
        <v>0.94154118689105404</v>
      </c>
      <c r="W257" s="26">
        <v>0.91503801922956074</v>
      </c>
      <c r="X257" s="28">
        <v>0.92</v>
      </c>
      <c r="Y257" s="28">
        <v>0.91369047619047616</v>
      </c>
      <c r="Z257" s="28">
        <v>0.93430195830701201</v>
      </c>
      <c r="AA257" s="28">
        <v>0.93871665465032439</v>
      </c>
      <c r="AB257" s="28">
        <v>0.93625466998754669</v>
      </c>
      <c r="AC257" s="28">
        <v>0.92</v>
      </c>
      <c r="AD257" s="26">
        <v>0.9991847964538646</v>
      </c>
      <c r="AE257" s="26">
        <v>0.96362561788093704</v>
      </c>
      <c r="AF257" s="26">
        <v>0.99955684671820377</v>
      </c>
      <c r="AG257" s="26">
        <v>0.99441721220375567</v>
      </c>
      <c r="AH257" s="28">
        <v>0.92</v>
      </c>
      <c r="AI257" s="26">
        <v>0.93052039381153306</v>
      </c>
      <c r="AJ257" s="26">
        <v>0.96110960021756864</v>
      </c>
      <c r="AK257" s="26">
        <v>0.96570644718792864</v>
      </c>
      <c r="AL257" s="26">
        <v>0.95548683021752723</v>
      </c>
      <c r="AM257" s="25">
        <v>0.99</v>
      </c>
      <c r="AN257" s="30">
        <v>1</v>
      </c>
      <c r="AO257" s="30">
        <v>1</v>
      </c>
      <c r="AP257" s="30">
        <v>1</v>
      </c>
      <c r="AQ257" s="30">
        <v>1</v>
      </c>
      <c r="AR257" s="50">
        <v>9.2228725701943806E-2</v>
      </c>
      <c r="AS257" s="34">
        <v>0.5</v>
      </c>
      <c r="AT257" s="34">
        <v>0.08</v>
      </c>
      <c r="AU257" s="34">
        <v>0.1</v>
      </c>
      <c r="AV257" s="34">
        <v>7.0866141732283464E-2</v>
      </c>
      <c r="AW257" s="10"/>
      <c r="AX257" s="8"/>
    </row>
    <row r="258" spans="1:50">
      <c r="A258" s="7"/>
      <c r="B258" s="10"/>
      <c r="C258" s="54" t="s">
        <v>284</v>
      </c>
      <c r="D258" s="23" t="s">
        <v>15</v>
      </c>
      <c r="E258" s="55" t="s">
        <v>304</v>
      </c>
      <c r="F258" s="55" t="s">
        <v>304</v>
      </c>
      <c r="G258" s="55" t="s">
        <v>304</v>
      </c>
      <c r="H258" s="55" t="s">
        <v>304</v>
      </c>
      <c r="I258" s="25">
        <v>0.9</v>
      </c>
      <c r="J258" s="26">
        <v>1</v>
      </c>
      <c r="K258" s="26">
        <v>1</v>
      </c>
      <c r="L258" s="27">
        <v>1</v>
      </c>
      <c r="M258" s="26">
        <v>0.97804878048780486</v>
      </c>
      <c r="N258" s="28">
        <v>0.9</v>
      </c>
      <c r="O258" s="26">
        <v>0.92488619119878601</v>
      </c>
      <c r="P258" s="26">
        <v>0.94146712276700872</v>
      </c>
      <c r="Q258" s="26">
        <v>0.95911949685534592</v>
      </c>
      <c r="R258" s="26">
        <v>0.94844688678805944</v>
      </c>
      <c r="S258" s="28">
        <v>0.9</v>
      </c>
      <c r="T258" s="26">
        <v>0.88998482549317148</v>
      </c>
      <c r="U258" s="26">
        <v>0.91448118586088945</v>
      </c>
      <c r="V258" s="26">
        <v>0.92382948986722568</v>
      </c>
      <c r="W258" s="26">
        <v>0.91878172588832485</v>
      </c>
      <c r="X258" s="28">
        <v>0.92</v>
      </c>
      <c r="Y258" s="28">
        <v>0.90827645051194539</v>
      </c>
      <c r="Z258" s="28">
        <v>0.95034079844206432</v>
      </c>
      <c r="AA258" s="28">
        <v>0.95604395604395609</v>
      </c>
      <c r="AB258" s="28">
        <v>0.94800490414623273</v>
      </c>
      <c r="AC258" s="28">
        <v>0.92</v>
      </c>
      <c r="AD258" s="26">
        <v>0.99593567768156921</v>
      </c>
      <c r="AE258" s="26">
        <v>0.98611549384663932</v>
      </c>
      <c r="AF258" s="26">
        <v>0.98855023383325269</v>
      </c>
      <c r="AG258" s="26">
        <v>0.98918918918918919</v>
      </c>
      <c r="AH258" s="28">
        <v>0.92</v>
      </c>
      <c r="AI258" s="26">
        <v>0.92352468887996786</v>
      </c>
      <c r="AJ258" s="26">
        <v>0.9656350053361793</v>
      </c>
      <c r="AK258" s="26">
        <v>0.97570680628272255</v>
      </c>
      <c r="AL258" s="26">
        <v>0.96459189367422515</v>
      </c>
      <c r="AM258" s="25">
        <v>0.99</v>
      </c>
      <c r="AN258" s="30">
        <v>1</v>
      </c>
      <c r="AO258" s="30">
        <v>1</v>
      </c>
      <c r="AP258" s="30">
        <v>1</v>
      </c>
      <c r="AQ258" s="30">
        <v>1</v>
      </c>
      <c r="AR258" s="50">
        <v>9.2228725701943806E-2</v>
      </c>
      <c r="AS258" s="34">
        <v>0</v>
      </c>
      <c r="AT258" s="34">
        <v>0.27272727272727271</v>
      </c>
      <c r="AU258" s="34">
        <v>0.21428571428571427</v>
      </c>
      <c r="AV258" s="34">
        <v>0.10185185185185185</v>
      </c>
      <c r="AW258" s="10"/>
      <c r="AX258" s="8"/>
    </row>
    <row r="259" spans="1:50">
      <c r="A259" s="7"/>
      <c r="B259" s="10"/>
      <c r="C259" s="54" t="s">
        <v>284</v>
      </c>
      <c r="D259" s="23" t="s">
        <v>15</v>
      </c>
      <c r="E259" s="55" t="s">
        <v>305</v>
      </c>
      <c r="F259" s="55" t="s">
        <v>305</v>
      </c>
      <c r="G259" s="55" t="s">
        <v>305</v>
      </c>
      <c r="H259" s="55" t="s">
        <v>305</v>
      </c>
      <c r="I259" s="25">
        <v>0.9</v>
      </c>
      <c r="J259" s="26">
        <v>0</v>
      </c>
      <c r="K259" s="26">
        <v>0</v>
      </c>
      <c r="L259" s="27">
        <v>0</v>
      </c>
      <c r="M259" s="26">
        <v>0</v>
      </c>
      <c r="N259" s="28">
        <v>0.9</v>
      </c>
      <c r="O259" s="26">
        <v>0.92500000000000004</v>
      </c>
      <c r="P259" s="26">
        <v>0.96598639455782309</v>
      </c>
      <c r="Q259" s="26">
        <v>1</v>
      </c>
      <c r="R259" s="26">
        <v>0.96682027649769586</v>
      </c>
      <c r="S259" s="28">
        <v>0.9</v>
      </c>
      <c r="T259" s="26">
        <v>0.93</v>
      </c>
      <c r="U259" s="26">
        <v>0.99319727891156462</v>
      </c>
      <c r="V259" s="26">
        <v>1</v>
      </c>
      <c r="W259" s="26">
        <v>0.94562211981566824</v>
      </c>
      <c r="X259" s="28">
        <v>0.92</v>
      </c>
      <c r="Y259" s="28">
        <v>1</v>
      </c>
      <c r="Z259" s="28">
        <v>1</v>
      </c>
      <c r="AA259" s="28">
        <v>0.98113207547169812</v>
      </c>
      <c r="AB259" s="28">
        <v>0.94789081885856075</v>
      </c>
      <c r="AC259" s="28">
        <v>0.92</v>
      </c>
      <c r="AD259" s="26">
        <v>0.99986805647183008</v>
      </c>
      <c r="AE259" s="26">
        <v>0.99790324996255808</v>
      </c>
      <c r="AF259" s="26">
        <v>0.99967637540453069</v>
      </c>
      <c r="AG259" s="26">
        <v>0.99918610458556079</v>
      </c>
      <c r="AH259" s="28">
        <v>0.92</v>
      </c>
      <c r="AI259" s="26">
        <v>0.94092827004219415</v>
      </c>
      <c r="AJ259" s="26">
        <v>0.99470899470899465</v>
      </c>
      <c r="AK259" s="26">
        <v>0.9913419913419913</v>
      </c>
      <c r="AL259" s="26">
        <v>0.97048960429242115</v>
      </c>
      <c r="AM259" s="25">
        <v>0.99</v>
      </c>
      <c r="AN259" s="30">
        <v>1</v>
      </c>
      <c r="AO259" s="30">
        <v>1</v>
      </c>
      <c r="AP259" s="30">
        <v>1</v>
      </c>
      <c r="AQ259" s="30">
        <v>1</v>
      </c>
      <c r="AR259" s="50">
        <v>9.2228725701943806E-2</v>
      </c>
      <c r="AS259" s="34">
        <v>0</v>
      </c>
      <c r="AT259" s="34">
        <v>0</v>
      </c>
      <c r="AU259" s="34">
        <v>0</v>
      </c>
      <c r="AV259" s="34">
        <v>0</v>
      </c>
      <c r="AW259" s="10"/>
      <c r="AX259" s="8"/>
    </row>
    <row r="260" spans="1:50">
      <c r="A260" s="7"/>
      <c r="B260" s="10"/>
      <c r="C260" s="54" t="s">
        <v>284</v>
      </c>
      <c r="D260" s="23" t="s">
        <v>15</v>
      </c>
      <c r="E260" s="55" t="s">
        <v>306</v>
      </c>
      <c r="F260" s="55" t="s">
        <v>306</v>
      </c>
      <c r="G260" s="55" t="s">
        <v>306</v>
      </c>
      <c r="H260" s="55" t="s">
        <v>306</v>
      </c>
      <c r="I260" s="25">
        <v>0.9</v>
      </c>
      <c r="J260" s="26">
        <v>0</v>
      </c>
      <c r="K260" s="26">
        <v>0</v>
      </c>
      <c r="L260" s="27">
        <v>0</v>
      </c>
      <c r="M260" s="26">
        <v>0</v>
      </c>
      <c r="N260" s="28">
        <v>0.9</v>
      </c>
      <c r="O260" s="26">
        <v>0</v>
      </c>
      <c r="P260" s="26">
        <v>0</v>
      </c>
      <c r="Q260" s="26">
        <v>0</v>
      </c>
      <c r="R260" s="26">
        <v>0</v>
      </c>
      <c r="S260" s="28">
        <v>0.9</v>
      </c>
      <c r="T260" s="26">
        <v>0</v>
      </c>
      <c r="U260" s="26">
        <v>0</v>
      </c>
      <c r="V260" s="26">
        <v>0</v>
      </c>
      <c r="W260" s="26">
        <v>0</v>
      </c>
      <c r="X260" s="28">
        <v>0.92</v>
      </c>
      <c r="Y260" s="28">
        <v>0</v>
      </c>
      <c r="Z260" s="28">
        <v>0</v>
      </c>
      <c r="AA260" s="28">
        <v>0</v>
      </c>
      <c r="AB260" s="28">
        <v>0</v>
      </c>
      <c r="AC260" s="28">
        <v>0.92</v>
      </c>
      <c r="AD260" s="26">
        <v>1</v>
      </c>
      <c r="AE260" s="26">
        <v>1</v>
      </c>
      <c r="AF260" s="26">
        <v>1</v>
      </c>
      <c r="AG260" s="26">
        <v>1</v>
      </c>
      <c r="AH260" s="28">
        <v>0.92</v>
      </c>
      <c r="AI260" s="26">
        <v>0</v>
      </c>
      <c r="AJ260" s="26">
        <v>0</v>
      </c>
      <c r="AK260" s="26">
        <v>0</v>
      </c>
      <c r="AL260" s="26">
        <v>0</v>
      </c>
      <c r="AM260" s="25">
        <v>0.99</v>
      </c>
      <c r="AN260" s="30">
        <v>1</v>
      </c>
      <c r="AO260" s="30">
        <v>1</v>
      </c>
      <c r="AP260" s="30">
        <v>1</v>
      </c>
      <c r="AQ260" s="30">
        <v>1</v>
      </c>
      <c r="AR260" s="50">
        <v>9.2228725701943806E-2</v>
      </c>
      <c r="AS260" s="34">
        <v>0</v>
      </c>
      <c r="AT260" s="34">
        <v>0</v>
      </c>
      <c r="AU260" s="34">
        <v>0</v>
      </c>
      <c r="AV260" s="34">
        <v>0</v>
      </c>
      <c r="AW260" s="10"/>
      <c r="AX260" s="8"/>
    </row>
    <row r="261" spans="1:50">
      <c r="A261" s="7"/>
      <c r="B261" s="10"/>
      <c r="C261" s="54" t="s">
        <v>284</v>
      </c>
      <c r="D261" s="23" t="s">
        <v>15</v>
      </c>
      <c r="E261" s="55" t="s">
        <v>307</v>
      </c>
      <c r="F261" s="55" t="s">
        <v>307</v>
      </c>
      <c r="G261" s="55" t="s">
        <v>307</v>
      </c>
      <c r="H261" s="55" t="s">
        <v>307</v>
      </c>
      <c r="I261" s="25">
        <v>0.9</v>
      </c>
      <c r="J261" s="26">
        <v>0</v>
      </c>
      <c r="K261" s="26">
        <v>0</v>
      </c>
      <c r="L261" s="27">
        <v>0</v>
      </c>
      <c r="M261" s="26">
        <v>0</v>
      </c>
      <c r="N261" s="28">
        <v>0.9</v>
      </c>
      <c r="O261" s="26">
        <v>0.875</v>
      </c>
      <c r="P261" s="26">
        <v>0.5</v>
      </c>
      <c r="Q261" s="26">
        <v>0.375</v>
      </c>
      <c r="R261" s="26">
        <v>0.59615384615384615</v>
      </c>
      <c r="S261" s="28">
        <v>0.9</v>
      </c>
      <c r="T261" s="26">
        <v>0.875</v>
      </c>
      <c r="U261" s="26">
        <v>0.7</v>
      </c>
      <c r="V261" s="26">
        <v>0.625</v>
      </c>
      <c r="W261" s="26">
        <v>0.82692307692307687</v>
      </c>
      <c r="X261" s="28">
        <v>0.92</v>
      </c>
      <c r="Y261" s="28">
        <v>1</v>
      </c>
      <c r="Z261" s="28">
        <v>0.5</v>
      </c>
      <c r="AA261" s="28">
        <v>0</v>
      </c>
      <c r="AB261" s="28">
        <v>0.44444444444444442</v>
      </c>
      <c r="AC261" s="28">
        <v>0.92</v>
      </c>
      <c r="AD261" s="26">
        <v>0.99929757663940599</v>
      </c>
      <c r="AE261" s="26">
        <v>0.55820790216368765</v>
      </c>
      <c r="AF261" s="26">
        <v>0.99423148492742841</v>
      </c>
      <c r="AG261" s="26">
        <v>0.89122029999755303</v>
      </c>
      <c r="AH261" s="28">
        <v>0.92</v>
      </c>
      <c r="AI261" s="26">
        <v>0.83333333333333337</v>
      </c>
      <c r="AJ261" s="26">
        <v>0.66666666666666663</v>
      </c>
      <c r="AK261" s="26">
        <v>0.63636363636363635</v>
      </c>
      <c r="AL261" s="26">
        <v>0.75903614457831325</v>
      </c>
      <c r="AM261" s="25">
        <v>0.99</v>
      </c>
      <c r="AN261" s="30">
        <v>1</v>
      </c>
      <c r="AO261" s="30">
        <v>1</v>
      </c>
      <c r="AP261" s="30">
        <v>1</v>
      </c>
      <c r="AQ261" s="30">
        <v>1</v>
      </c>
      <c r="AR261" s="50">
        <v>9.2228725701943806E-2</v>
      </c>
      <c r="AS261" s="34">
        <v>0</v>
      </c>
      <c r="AT261" s="34">
        <v>0</v>
      </c>
      <c r="AU261" s="34">
        <v>0</v>
      </c>
      <c r="AV261" s="34">
        <v>0</v>
      </c>
      <c r="AW261" s="10"/>
      <c r="AX261" s="8"/>
    </row>
    <row r="262" spans="1:50">
      <c r="A262" s="7"/>
      <c r="B262" s="10"/>
      <c r="C262" s="54" t="s">
        <v>284</v>
      </c>
      <c r="D262" s="23" t="s">
        <v>15</v>
      </c>
      <c r="E262" s="55" t="s">
        <v>308</v>
      </c>
      <c r="F262" s="55" t="s">
        <v>308</v>
      </c>
      <c r="G262" s="55" t="s">
        <v>308</v>
      </c>
      <c r="H262" s="55" t="s">
        <v>308</v>
      </c>
      <c r="I262" s="25">
        <v>0.9</v>
      </c>
      <c r="J262" s="26">
        <v>0</v>
      </c>
      <c r="K262" s="26">
        <v>0</v>
      </c>
      <c r="L262" s="27">
        <v>0</v>
      </c>
      <c r="M262" s="26">
        <v>0</v>
      </c>
      <c r="N262" s="28">
        <v>0.9</v>
      </c>
      <c r="O262" s="26">
        <v>0</v>
      </c>
      <c r="P262" s="26">
        <v>0</v>
      </c>
      <c r="Q262" s="26">
        <v>0</v>
      </c>
      <c r="R262" s="26">
        <v>0</v>
      </c>
      <c r="S262" s="28">
        <v>0.9</v>
      </c>
      <c r="T262" s="26">
        <v>0</v>
      </c>
      <c r="U262" s="26">
        <v>0</v>
      </c>
      <c r="V262" s="26">
        <v>0</v>
      </c>
      <c r="W262" s="26">
        <v>0.66666666666666663</v>
      </c>
      <c r="X262" s="28">
        <v>0.92</v>
      </c>
      <c r="Y262" s="28">
        <v>0</v>
      </c>
      <c r="Z262" s="28">
        <v>0</v>
      </c>
      <c r="AA262" s="28">
        <v>0</v>
      </c>
      <c r="AB262" s="28">
        <v>0</v>
      </c>
      <c r="AC262" s="28">
        <v>0.92</v>
      </c>
      <c r="AD262" s="26">
        <v>0.98619824341279805</v>
      </c>
      <c r="AE262" s="26">
        <v>0.97532467532467537</v>
      </c>
      <c r="AF262" s="26">
        <v>0.99047619047619051</v>
      </c>
      <c r="AG262" s="26">
        <v>0.97107100752697928</v>
      </c>
      <c r="AH262" s="28">
        <v>0.92</v>
      </c>
      <c r="AI262" s="26">
        <v>0</v>
      </c>
      <c r="AJ262" s="26">
        <v>0</v>
      </c>
      <c r="AK262" s="26">
        <v>0</v>
      </c>
      <c r="AL262" s="26">
        <v>0.66666666666666663</v>
      </c>
      <c r="AM262" s="25">
        <v>0.99</v>
      </c>
      <c r="AN262" s="30">
        <v>1</v>
      </c>
      <c r="AO262" s="30">
        <v>1</v>
      </c>
      <c r="AP262" s="30">
        <v>1</v>
      </c>
      <c r="AQ262" s="30">
        <v>1</v>
      </c>
      <c r="AR262" s="50">
        <v>9.2228725701943806E-2</v>
      </c>
      <c r="AS262" s="34">
        <v>0</v>
      </c>
      <c r="AT262" s="34">
        <v>0</v>
      </c>
      <c r="AU262" s="34">
        <v>0</v>
      </c>
      <c r="AV262" s="34">
        <v>0</v>
      </c>
      <c r="AW262" s="10"/>
      <c r="AX262" s="8"/>
    </row>
    <row r="263" spans="1:50">
      <c r="A263" s="7"/>
      <c r="B263" s="10"/>
      <c r="C263" s="54" t="s">
        <v>284</v>
      </c>
      <c r="D263" s="23" t="s">
        <v>15</v>
      </c>
      <c r="E263" s="55" t="s">
        <v>309</v>
      </c>
      <c r="F263" s="55" t="s">
        <v>309</v>
      </c>
      <c r="G263" s="55" t="s">
        <v>309</v>
      </c>
      <c r="H263" s="55" t="s">
        <v>309</v>
      </c>
      <c r="I263" s="25">
        <v>0.9</v>
      </c>
      <c r="J263" s="26">
        <v>0</v>
      </c>
      <c r="K263" s="26">
        <v>0</v>
      </c>
      <c r="L263" s="27">
        <v>0</v>
      </c>
      <c r="M263" s="26">
        <v>0</v>
      </c>
      <c r="N263" s="28">
        <v>0.9</v>
      </c>
      <c r="O263" s="26">
        <v>0</v>
      </c>
      <c r="P263" s="26">
        <v>0</v>
      </c>
      <c r="Q263" s="26">
        <v>0</v>
      </c>
      <c r="R263" s="26">
        <v>0</v>
      </c>
      <c r="S263" s="28">
        <v>0.9</v>
      </c>
      <c r="T263" s="26">
        <v>0.66666666666666663</v>
      </c>
      <c r="U263" s="26">
        <v>0</v>
      </c>
      <c r="V263" s="26">
        <v>1</v>
      </c>
      <c r="W263" s="26">
        <v>0.5</v>
      </c>
      <c r="X263" s="28">
        <v>0.92</v>
      </c>
      <c r="Y263" s="28">
        <v>0</v>
      </c>
      <c r="Z263" s="28">
        <v>0</v>
      </c>
      <c r="AA263" s="28">
        <v>0</v>
      </c>
      <c r="AB263" s="28">
        <v>0</v>
      </c>
      <c r="AC263" s="28">
        <v>0.92</v>
      </c>
      <c r="AD263" s="26">
        <v>1</v>
      </c>
      <c r="AE263" s="26">
        <v>0.9699352451433858</v>
      </c>
      <c r="AF263" s="26">
        <v>0.99888765294771964</v>
      </c>
      <c r="AG263" s="26">
        <v>0.96160590120321665</v>
      </c>
      <c r="AH263" s="28">
        <v>0.92</v>
      </c>
      <c r="AI263" s="26">
        <v>1</v>
      </c>
      <c r="AJ263" s="26">
        <v>0</v>
      </c>
      <c r="AK263" s="26">
        <v>1</v>
      </c>
      <c r="AL263" s="26">
        <v>0.66666666666666663</v>
      </c>
      <c r="AM263" s="25">
        <v>0.99</v>
      </c>
      <c r="AN263" s="30">
        <v>1</v>
      </c>
      <c r="AO263" s="30">
        <v>1</v>
      </c>
      <c r="AP263" s="30">
        <v>1</v>
      </c>
      <c r="AQ263" s="30">
        <v>1</v>
      </c>
      <c r="AR263" s="50">
        <v>9.2228725701943806E-2</v>
      </c>
      <c r="AS263" s="34">
        <v>0</v>
      </c>
      <c r="AT263" s="34">
        <v>0</v>
      </c>
      <c r="AU263" s="34">
        <v>0</v>
      </c>
      <c r="AV263" s="34">
        <v>0</v>
      </c>
      <c r="AW263" s="10"/>
      <c r="AX263" s="8"/>
    </row>
    <row r="264" spans="1:50">
      <c r="A264" s="7"/>
      <c r="B264" s="10"/>
      <c r="C264" s="54" t="s">
        <v>284</v>
      </c>
      <c r="D264" s="23" t="s">
        <v>15</v>
      </c>
      <c r="E264" s="55" t="s">
        <v>310</v>
      </c>
      <c r="F264" s="55" t="s">
        <v>310</v>
      </c>
      <c r="G264" s="55" t="s">
        <v>310</v>
      </c>
      <c r="H264" s="55" t="s">
        <v>310</v>
      </c>
      <c r="I264" s="25">
        <v>0.9</v>
      </c>
      <c r="J264" s="26">
        <v>0</v>
      </c>
      <c r="K264" s="26">
        <v>0</v>
      </c>
      <c r="L264" s="27">
        <v>0</v>
      </c>
      <c r="M264" s="26">
        <v>0</v>
      </c>
      <c r="N264" s="28">
        <v>0.9</v>
      </c>
      <c r="O264" s="26">
        <v>0</v>
      </c>
      <c r="P264" s="26">
        <v>0</v>
      </c>
      <c r="Q264" s="26">
        <v>0</v>
      </c>
      <c r="R264" s="26">
        <v>0</v>
      </c>
      <c r="S264" s="28">
        <v>0.9</v>
      </c>
      <c r="T264" s="26">
        <v>0.75</v>
      </c>
      <c r="U264" s="26">
        <v>0</v>
      </c>
      <c r="V264" s="26">
        <v>0</v>
      </c>
      <c r="W264" s="26">
        <v>0.66666666666666663</v>
      </c>
      <c r="X264" s="28">
        <v>0.92</v>
      </c>
      <c r="Y264" s="28">
        <v>0</v>
      </c>
      <c r="Z264" s="28">
        <v>0</v>
      </c>
      <c r="AA264" s="28">
        <v>0</v>
      </c>
      <c r="AB264" s="28">
        <v>0.5</v>
      </c>
      <c r="AC264" s="28">
        <v>0.92</v>
      </c>
      <c r="AD264" s="26">
        <v>0.99223670719203161</v>
      </c>
      <c r="AE264" s="26">
        <v>0.99410222804718218</v>
      </c>
      <c r="AF264" s="26">
        <v>0.96053305996924654</v>
      </c>
      <c r="AG264" s="26">
        <v>0.97636075334929773</v>
      </c>
      <c r="AH264" s="28">
        <v>0.92</v>
      </c>
      <c r="AI264" s="26">
        <v>0.6</v>
      </c>
      <c r="AJ264" s="26">
        <v>0</v>
      </c>
      <c r="AK264" s="26">
        <v>0</v>
      </c>
      <c r="AL264" s="26">
        <v>0.66666666666666663</v>
      </c>
      <c r="AM264" s="25">
        <v>0.99</v>
      </c>
      <c r="AN264" s="30">
        <v>1</v>
      </c>
      <c r="AO264" s="30">
        <v>1</v>
      </c>
      <c r="AP264" s="30">
        <v>1</v>
      </c>
      <c r="AQ264" s="30">
        <v>1</v>
      </c>
      <c r="AR264" s="50">
        <v>9.2228725701943806E-2</v>
      </c>
      <c r="AS264" s="34">
        <v>0</v>
      </c>
      <c r="AT264" s="34">
        <v>0</v>
      </c>
      <c r="AU264" s="34">
        <v>0</v>
      </c>
      <c r="AV264" s="34">
        <v>0</v>
      </c>
      <c r="AW264" s="10"/>
      <c r="AX264" s="8"/>
    </row>
    <row r="265" spans="1:50">
      <c r="A265" s="7"/>
      <c r="B265" s="10"/>
      <c r="C265" s="54" t="s">
        <v>284</v>
      </c>
      <c r="D265" s="23" t="s">
        <v>15</v>
      </c>
      <c r="E265" s="55" t="s">
        <v>311</v>
      </c>
      <c r="F265" s="55" t="s">
        <v>311</v>
      </c>
      <c r="G265" s="55" t="s">
        <v>311</v>
      </c>
      <c r="H265" s="55" t="s">
        <v>311</v>
      </c>
      <c r="I265" s="25">
        <v>0.9</v>
      </c>
      <c r="J265" s="26">
        <v>0</v>
      </c>
      <c r="K265" s="26">
        <v>0</v>
      </c>
      <c r="L265" s="27">
        <v>0</v>
      </c>
      <c r="M265" s="26">
        <v>0</v>
      </c>
      <c r="N265" s="28">
        <v>0.9</v>
      </c>
      <c r="O265" s="26">
        <v>0.75</v>
      </c>
      <c r="P265" s="26">
        <v>0.5</v>
      </c>
      <c r="Q265" s="26">
        <v>0.75</v>
      </c>
      <c r="R265" s="26">
        <v>0.5</v>
      </c>
      <c r="S265" s="28">
        <v>0.9</v>
      </c>
      <c r="T265" s="26">
        <v>0.125</v>
      </c>
      <c r="U265" s="26">
        <v>1</v>
      </c>
      <c r="V265" s="26">
        <v>0</v>
      </c>
      <c r="W265" s="26">
        <v>0.20833333333333334</v>
      </c>
      <c r="X265" s="28">
        <v>0.92</v>
      </c>
      <c r="Y265" s="28">
        <v>0</v>
      </c>
      <c r="Z265" s="28">
        <v>0</v>
      </c>
      <c r="AA265" s="28">
        <v>0</v>
      </c>
      <c r="AB265" s="28">
        <v>0</v>
      </c>
      <c r="AC265" s="28">
        <v>0.92</v>
      </c>
      <c r="AD265" s="26">
        <v>0.98993730164873439</v>
      </c>
      <c r="AE265" s="26">
        <v>0.99936960221900017</v>
      </c>
      <c r="AF265" s="26">
        <v>0.99927671629196557</v>
      </c>
      <c r="AG265" s="26">
        <v>0.97898250893360916</v>
      </c>
      <c r="AH265" s="28">
        <v>0.92</v>
      </c>
      <c r="AI265" s="26">
        <v>0.1111111111111111</v>
      </c>
      <c r="AJ265" s="26">
        <v>0.66666666666666663</v>
      </c>
      <c r="AK265" s="26">
        <v>0.5</v>
      </c>
      <c r="AL265" s="26">
        <v>0.25925925925925924</v>
      </c>
      <c r="AM265" s="25">
        <v>0.99</v>
      </c>
      <c r="AN265" s="30">
        <v>1</v>
      </c>
      <c r="AO265" s="30">
        <v>1</v>
      </c>
      <c r="AP265" s="30">
        <v>1</v>
      </c>
      <c r="AQ265" s="30">
        <v>1</v>
      </c>
      <c r="AR265" s="50">
        <v>9.2228725701943806E-2</v>
      </c>
      <c r="AS265" s="34">
        <v>0</v>
      </c>
      <c r="AT265" s="34">
        <v>0</v>
      </c>
      <c r="AU265" s="34">
        <v>0</v>
      </c>
      <c r="AV265" s="34">
        <v>0</v>
      </c>
      <c r="AW265" s="10"/>
      <c r="AX265" s="8"/>
    </row>
    <row r="266" spans="1:50">
      <c r="A266" s="7"/>
      <c r="B266" s="10"/>
      <c r="C266" s="54" t="s">
        <v>284</v>
      </c>
      <c r="D266" s="23" t="s">
        <v>15</v>
      </c>
      <c r="E266" s="55" t="s">
        <v>312</v>
      </c>
      <c r="F266" s="55" t="s">
        <v>312</v>
      </c>
      <c r="G266" s="55" t="s">
        <v>312</v>
      </c>
      <c r="H266" s="55" t="s">
        <v>312</v>
      </c>
      <c r="I266" s="25">
        <v>0.9</v>
      </c>
      <c r="J266" s="26">
        <v>0</v>
      </c>
      <c r="K266" s="26">
        <v>0</v>
      </c>
      <c r="L266" s="27">
        <v>0</v>
      </c>
      <c r="M266" s="26">
        <v>0</v>
      </c>
      <c r="N266" s="28">
        <v>0.9</v>
      </c>
      <c r="O266" s="26">
        <v>0</v>
      </c>
      <c r="P266" s="26">
        <v>0</v>
      </c>
      <c r="Q266" s="26">
        <v>0</v>
      </c>
      <c r="R266" s="26">
        <v>0</v>
      </c>
      <c r="S266" s="28">
        <v>0.9</v>
      </c>
      <c r="T266" s="26">
        <v>0</v>
      </c>
      <c r="U266" s="26">
        <v>0</v>
      </c>
      <c r="V266" s="26">
        <v>0</v>
      </c>
      <c r="W266" s="26">
        <v>0</v>
      </c>
      <c r="X266" s="28">
        <v>0.92</v>
      </c>
      <c r="Y266" s="28">
        <v>0</v>
      </c>
      <c r="Z266" s="28">
        <v>0</v>
      </c>
      <c r="AA266" s="28">
        <v>0</v>
      </c>
      <c r="AB266" s="28">
        <v>0</v>
      </c>
      <c r="AC266" s="28">
        <v>0.92</v>
      </c>
      <c r="AD266" s="26">
        <v>0.97228144989339016</v>
      </c>
      <c r="AE266" s="26">
        <v>1</v>
      </c>
      <c r="AF266" s="26">
        <v>1</v>
      </c>
      <c r="AG266" s="26">
        <v>0.97152336190212885</v>
      </c>
      <c r="AH266" s="28">
        <v>0.92</v>
      </c>
      <c r="AI266" s="26">
        <v>0</v>
      </c>
      <c r="AJ266" s="26">
        <v>0</v>
      </c>
      <c r="AK266" s="26">
        <v>0</v>
      </c>
      <c r="AL266" s="26">
        <v>0</v>
      </c>
      <c r="AM266" s="25">
        <v>0.99</v>
      </c>
      <c r="AN266" s="30">
        <v>0</v>
      </c>
      <c r="AO266" s="30">
        <v>0</v>
      </c>
      <c r="AP266" s="30">
        <v>0</v>
      </c>
      <c r="AQ266" s="30">
        <v>1</v>
      </c>
      <c r="AR266" s="50">
        <v>9.2228725701943806E-2</v>
      </c>
      <c r="AS266" s="34">
        <v>0</v>
      </c>
      <c r="AT266" s="34">
        <v>0</v>
      </c>
      <c r="AU266" s="34">
        <v>0</v>
      </c>
      <c r="AV266" s="34">
        <v>0</v>
      </c>
      <c r="AW266" s="10"/>
      <c r="AX266" s="8"/>
    </row>
    <row r="267" spans="1:50">
      <c r="A267" s="7"/>
      <c r="B267" s="10"/>
      <c r="C267" s="54" t="s">
        <v>284</v>
      </c>
      <c r="D267" s="23" t="s">
        <v>15</v>
      </c>
      <c r="E267" s="55" t="s">
        <v>313</v>
      </c>
      <c r="F267" s="55" t="s">
        <v>313</v>
      </c>
      <c r="G267" s="55" t="s">
        <v>313</v>
      </c>
      <c r="H267" s="55" t="s">
        <v>313</v>
      </c>
      <c r="I267" s="25">
        <v>0.9</v>
      </c>
      <c r="J267" s="26">
        <v>0.95145631067961167</v>
      </c>
      <c r="K267" s="26">
        <v>0.96460176991150437</v>
      </c>
      <c r="L267" s="27">
        <v>0.99130434782608701</v>
      </c>
      <c r="M267" s="26">
        <v>0.96511627906976749</v>
      </c>
      <c r="N267" s="28">
        <v>0.9</v>
      </c>
      <c r="O267" s="26">
        <v>0.940735183795949</v>
      </c>
      <c r="P267" s="26">
        <v>0.98083347986636182</v>
      </c>
      <c r="Q267" s="26">
        <v>0.97017139090309823</v>
      </c>
      <c r="R267" s="26">
        <v>0.96273305844388668</v>
      </c>
      <c r="S267" s="28">
        <v>0.9</v>
      </c>
      <c r="T267" s="26">
        <v>0.93023255813953487</v>
      </c>
      <c r="U267" s="26">
        <v>0.94109372252505719</v>
      </c>
      <c r="V267" s="26">
        <v>0.94561634805537242</v>
      </c>
      <c r="W267" s="26">
        <v>0.93494532090354965</v>
      </c>
      <c r="X267" s="28">
        <v>0.92</v>
      </c>
      <c r="Y267" s="28">
        <v>0.96250250651694402</v>
      </c>
      <c r="Z267" s="28">
        <v>0.96925227113906354</v>
      </c>
      <c r="AA267" s="28">
        <v>0.97207413048997204</v>
      </c>
      <c r="AB267" s="28">
        <v>0.9720866058161749</v>
      </c>
      <c r="AC267" s="28">
        <v>0.92</v>
      </c>
      <c r="AD267" s="26">
        <v>0.99582477754962351</v>
      </c>
      <c r="AE267" s="26">
        <v>0.98207455186379655</v>
      </c>
      <c r="AF267" s="26">
        <v>0.98823873182847544</v>
      </c>
      <c r="AG267" s="26">
        <v>0.97046349447317237</v>
      </c>
      <c r="AH267" s="28">
        <v>0.92</v>
      </c>
      <c r="AI267" s="26">
        <v>0.97480376005426883</v>
      </c>
      <c r="AJ267" s="26">
        <v>0.98106781528598619</v>
      </c>
      <c r="AK267" s="26">
        <v>0.98371302957633888</v>
      </c>
      <c r="AL267" s="26">
        <v>0.98186456119040388</v>
      </c>
      <c r="AM267" s="25">
        <v>0.99</v>
      </c>
      <c r="AN267" s="30">
        <v>1</v>
      </c>
      <c r="AO267" s="30">
        <v>1</v>
      </c>
      <c r="AP267" s="30">
        <v>1</v>
      </c>
      <c r="AQ267" s="30">
        <v>1</v>
      </c>
      <c r="AR267" s="50">
        <v>9.2228725701943806E-2</v>
      </c>
      <c r="AS267" s="34">
        <v>0.16216216216216217</v>
      </c>
      <c r="AT267" s="34">
        <v>6.4516129032258063E-2</v>
      </c>
      <c r="AU267" s="34">
        <v>4.1666666666666664E-2</v>
      </c>
      <c r="AV267" s="34">
        <v>0.1</v>
      </c>
      <c r="AW267" s="10"/>
      <c r="AX267" s="8"/>
    </row>
    <row r="268" spans="1:50">
      <c r="A268" s="7"/>
      <c r="B268" s="10"/>
      <c r="C268" s="54" t="s">
        <v>284</v>
      </c>
      <c r="D268" s="23" t="s">
        <v>15</v>
      </c>
      <c r="E268" s="55" t="s">
        <v>314</v>
      </c>
      <c r="F268" s="55" t="s">
        <v>314</v>
      </c>
      <c r="G268" s="55" t="s">
        <v>314</v>
      </c>
      <c r="H268" s="55" t="s">
        <v>314</v>
      </c>
      <c r="I268" s="25">
        <v>0.9</v>
      </c>
      <c r="J268" s="26">
        <v>0.91089108910891092</v>
      </c>
      <c r="K268" s="26">
        <v>0.93693693693693691</v>
      </c>
      <c r="L268" s="27">
        <v>0.95614035087719296</v>
      </c>
      <c r="M268" s="26">
        <v>0.92662721893491129</v>
      </c>
      <c r="N268" s="28">
        <v>0.9</v>
      </c>
      <c r="O268" s="26">
        <v>0.97038950715421302</v>
      </c>
      <c r="P268" s="26">
        <v>0.98796498905908092</v>
      </c>
      <c r="Q268" s="26">
        <v>0.99008523221429812</v>
      </c>
      <c r="R268" s="26">
        <v>0.98537882144439526</v>
      </c>
      <c r="S268" s="28">
        <v>0.9</v>
      </c>
      <c r="T268" s="26">
        <v>0.94077901430842603</v>
      </c>
      <c r="U268" s="26">
        <v>0.96900072939460247</v>
      </c>
      <c r="V268" s="26">
        <v>0.96242824839102448</v>
      </c>
      <c r="W268" s="26">
        <v>0.95807196324883992</v>
      </c>
      <c r="X268" s="28">
        <v>0.92</v>
      </c>
      <c r="Y268" s="28">
        <v>0.94372206420154414</v>
      </c>
      <c r="Z268" s="28">
        <v>0.96431992337164751</v>
      </c>
      <c r="AA268" s="28">
        <v>0.97039134912461378</v>
      </c>
      <c r="AB268" s="28">
        <v>0.96579616981384764</v>
      </c>
      <c r="AC268" s="28">
        <v>0.92</v>
      </c>
      <c r="AD268" s="26">
        <v>0.96539162112932608</v>
      </c>
      <c r="AE268" s="26">
        <v>0.9738503155996393</v>
      </c>
      <c r="AF268" s="26">
        <v>0.92256783587028457</v>
      </c>
      <c r="AG268" s="26">
        <v>0.96639824613179304</v>
      </c>
      <c r="AH268" s="28">
        <v>0.92</v>
      </c>
      <c r="AI268" s="26">
        <v>0.9611250627825213</v>
      </c>
      <c r="AJ268" s="26">
        <v>0.98013039428748838</v>
      </c>
      <c r="AK268" s="26">
        <v>0.98318629994810591</v>
      </c>
      <c r="AL268" s="26">
        <v>0.97851231428856311</v>
      </c>
      <c r="AM268" s="25">
        <v>0.99</v>
      </c>
      <c r="AN268" s="30">
        <v>1</v>
      </c>
      <c r="AO268" s="30">
        <v>1</v>
      </c>
      <c r="AP268" s="30">
        <v>1</v>
      </c>
      <c r="AQ268" s="30">
        <v>0.99902056807051909</v>
      </c>
      <c r="AR268" s="50">
        <v>9.2228725701943806E-2</v>
      </c>
      <c r="AS268" s="34">
        <v>9.0909090909090912E-2</v>
      </c>
      <c r="AT268" s="34">
        <v>0</v>
      </c>
      <c r="AU268" s="34">
        <v>6.0606060606060608E-2</v>
      </c>
      <c r="AV268" s="34">
        <v>4.8192771084337352E-2</v>
      </c>
      <c r="AW268" s="10"/>
      <c r="AX268" s="8"/>
    </row>
    <row r="269" spans="1:50">
      <c r="A269" s="7"/>
      <c r="B269" s="10"/>
      <c r="C269" s="54" t="s">
        <v>284</v>
      </c>
      <c r="D269" s="23" t="s">
        <v>15</v>
      </c>
      <c r="E269" s="55" t="s">
        <v>315</v>
      </c>
      <c r="F269" s="55" t="s">
        <v>315</v>
      </c>
      <c r="G269" s="55" t="s">
        <v>315</v>
      </c>
      <c r="H269" s="55" t="s">
        <v>315</v>
      </c>
      <c r="I269" s="25">
        <v>0.9</v>
      </c>
      <c r="J269" s="26">
        <v>0</v>
      </c>
      <c r="K269" s="26">
        <v>0</v>
      </c>
      <c r="L269" s="27">
        <v>0</v>
      </c>
      <c r="M269" s="26">
        <v>0</v>
      </c>
      <c r="N269" s="28">
        <v>0.9</v>
      </c>
      <c r="O269" s="26">
        <v>0.33333333333333331</v>
      </c>
      <c r="P269" s="26">
        <v>0.33333333333333331</v>
      </c>
      <c r="Q269" s="26">
        <v>0</v>
      </c>
      <c r="R269" s="26">
        <v>0.14285714285714285</v>
      </c>
      <c r="S269" s="28">
        <v>0.9</v>
      </c>
      <c r="T269" s="26">
        <v>0.66666666666666663</v>
      </c>
      <c r="U269" s="26">
        <v>0</v>
      </c>
      <c r="V269" s="26">
        <v>0</v>
      </c>
      <c r="W269" s="26">
        <v>0.5</v>
      </c>
      <c r="X269" s="28">
        <v>0.92</v>
      </c>
      <c r="Y269" s="28">
        <v>0.5</v>
      </c>
      <c r="Z269" s="28">
        <v>1</v>
      </c>
      <c r="AA269" s="28">
        <v>0</v>
      </c>
      <c r="AB269" s="28">
        <v>0.66666666666666663</v>
      </c>
      <c r="AC269" s="28">
        <v>0.92</v>
      </c>
      <c r="AD269" s="26">
        <v>0.99572616364907918</v>
      </c>
      <c r="AE269" s="26">
        <v>0.99581336259167297</v>
      </c>
      <c r="AF269" s="26">
        <v>0.99777406789092937</v>
      </c>
      <c r="AG269" s="26">
        <v>0.99523576515396972</v>
      </c>
      <c r="AH269" s="28">
        <v>0.92</v>
      </c>
      <c r="AI269" s="26">
        <v>0.6</v>
      </c>
      <c r="AJ269" s="26">
        <v>0.25</v>
      </c>
      <c r="AK269" s="26">
        <v>0</v>
      </c>
      <c r="AL269" s="26">
        <v>0.6</v>
      </c>
      <c r="AM269" s="25">
        <v>0.99</v>
      </c>
      <c r="AN269" s="30">
        <v>1</v>
      </c>
      <c r="AO269" s="30">
        <v>1</v>
      </c>
      <c r="AP269" s="30">
        <v>1</v>
      </c>
      <c r="AQ269" s="30">
        <v>1</v>
      </c>
      <c r="AR269" s="50">
        <v>9.2228725701943806E-2</v>
      </c>
      <c r="AS269" s="34">
        <v>0</v>
      </c>
      <c r="AT269" s="34">
        <v>0</v>
      </c>
      <c r="AU269" s="34">
        <v>0</v>
      </c>
      <c r="AV269" s="34">
        <v>0</v>
      </c>
      <c r="AW269" s="10"/>
      <c r="AX269" s="8"/>
    </row>
    <row r="270" spans="1:50">
      <c r="A270" s="7"/>
      <c r="B270" s="10"/>
      <c r="C270" s="54" t="s">
        <v>284</v>
      </c>
      <c r="D270" s="23" t="s">
        <v>15</v>
      </c>
      <c r="E270" s="55" t="s">
        <v>316</v>
      </c>
      <c r="F270" s="55" t="s">
        <v>316</v>
      </c>
      <c r="G270" s="55" t="s">
        <v>316</v>
      </c>
      <c r="H270" s="55" t="s">
        <v>316</v>
      </c>
      <c r="I270" s="25">
        <v>0.9</v>
      </c>
      <c r="J270" s="26">
        <v>0.9145299145299145</v>
      </c>
      <c r="K270" s="26">
        <v>0.90756302521008403</v>
      </c>
      <c r="L270" s="27">
        <v>0.84375</v>
      </c>
      <c r="M270" s="26">
        <v>0.87776606954689151</v>
      </c>
      <c r="N270" s="28">
        <v>0.9</v>
      </c>
      <c r="O270" s="26">
        <v>0.96434265835628352</v>
      </c>
      <c r="P270" s="26">
        <v>0.93728082007013758</v>
      </c>
      <c r="Q270" s="26">
        <v>0.90493691044958957</v>
      </c>
      <c r="R270" s="26">
        <v>0.88208153954341972</v>
      </c>
      <c r="S270" s="28">
        <v>0.9</v>
      </c>
      <c r="T270" s="26">
        <v>0.93578779533265688</v>
      </c>
      <c r="U270" s="26">
        <v>0.93202050175343942</v>
      </c>
      <c r="V270" s="26">
        <v>0.93678794560823231</v>
      </c>
      <c r="W270" s="26">
        <v>0.9210332229902406</v>
      </c>
      <c r="X270" s="28">
        <v>0.92</v>
      </c>
      <c r="Y270" s="28">
        <v>0.96689303904923596</v>
      </c>
      <c r="Z270" s="28">
        <v>0.98412994772218076</v>
      </c>
      <c r="AA270" s="28">
        <v>0.98472021474292792</v>
      </c>
      <c r="AB270" s="28">
        <v>0.97196281654022865</v>
      </c>
      <c r="AC270" s="28">
        <v>0.92</v>
      </c>
      <c r="AD270" s="26">
        <v>0.99746652189648932</v>
      </c>
      <c r="AE270" s="26">
        <v>0.97215544871794868</v>
      </c>
      <c r="AF270" s="26">
        <v>0.96479543292102754</v>
      </c>
      <c r="AG270" s="26">
        <v>0.97017288599794593</v>
      </c>
      <c r="AH270" s="28">
        <v>0.92</v>
      </c>
      <c r="AI270" s="26">
        <v>0.97756936303243458</v>
      </c>
      <c r="AJ270" s="26">
        <v>0.98950912080169107</v>
      </c>
      <c r="AK270" s="26">
        <v>0.98877441180993386</v>
      </c>
      <c r="AL270" s="26">
        <v>0.98255393630379362</v>
      </c>
      <c r="AM270" s="25">
        <v>0.99</v>
      </c>
      <c r="AN270" s="30">
        <v>1</v>
      </c>
      <c r="AO270" s="30">
        <v>1</v>
      </c>
      <c r="AP270" s="30">
        <v>1</v>
      </c>
      <c r="AQ270" s="30">
        <v>1</v>
      </c>
      <c r="AR270" s="50">
        <v>9.2228725701943806E-2</v>
      </c>
      <c r="AS270" s="34">
        <v>5.2631578947368418E-2</v>
      </c>
      <c r="AT270" s="34">
        <v>6.4516129032258063E-2</v>
      </c>
      <c r="AU270" s="34">
        <v>0.14285714285714285</v>
      </c>
      <c r="AV270" s="34">
        <v>8.5858585858585856E-2</v>
      </c>
      <c r="AW270" s="10"/>
      <c r="AX270" s="8"/>
    </row>
    <row r="271" spans="1:50">
      <c r="A271" s="7"/>
      <c r="B271" s="10"/>
      <c r="C271" s="54" t="s">
        <v>284</v>
      </c>
      <c r="D271" s="23" t="s">
        <v>15</v>
      </c>
      <c r="E271" s="55" t="s">
        <v>317</v>
      </c>
      <c r="F271" s="55" t="s">
        <v>317</v>
      </c>
      <c r="G271" s="55" t="s">
        <v>317</v>
      </c>
      <c r="H271" s="55" t="s">
        <v>317</v>
      </c>
      <c r="I271" s="25">
        <v>0.9</v>
      </c>
      <c r="J271" s="26">
        <v>0.95833333333333337</v>
      </c>
      <c r="K271" s="26">
        <v>0.96799999999999997</v>
      </c>
      <c r="L271" s="27">
        <v>0.98473282442748089</v>
      </c>
      <c r="M271" s="26">
        <v>0.95967741935483875</v>
      </c>
      <c r="N271" s="28">
        <v>0.9</v>
      </c>
      <c r="O271" s="26">
        <v>0.96909283944791791</v>
      </c>
      <c r="P271" s="26">
        <v>0.97187973177590314</v>
      </c>
      <c r="Q271" s="26">
        <v>0.9737029140014215</v>
      </c>
      <c r="R271" s="26">
        <v>0.97368045649072754</v>
      </c>
      <c r="S271" s="28">
        <v>0.9</v>
      </c>
      <c r="T271" s="26">
        <v>0.93464669104636078</v>
      </c>
      <c r="U271" s="26">
        <v>0.94559809647415094</v>
      </c>
      <c r="V271" s="26">
        <v>0.9400954411615392</v>
      </c>
      <c r="W271" s="26">
        <v>0.94004279600570617</v>
      </c>
      <c r="X271" s="28">
        <v>0.92</v>
      </c>
      <c r="Y271" s="28">
        <v>0.98313154672833625</v>
      </c>
      <c r="Z271" s="28">
        <v>0.98869119420989149</v>
      </c>
      <c r="AA271" s="28">
        <v>0.99113712374581941</v>
      </c>
      <c r="AB271" s="28">
        <v>0.98759427645027142</v>
      </c>
      <c r="AC271" s="28">
        <v>0.92</v>
      </c>
      <c r="AD271" s="26">
        <v>0.99838527369610852</v>
      </c>
      <c r="AE271" s="26">
        <v>0.99858356940509918</v>
      </c>
      <c r="AF271" s="26">
        <v>0.99515617170536164</v>
      </c>
      <c r="AG271" s="26">
        <v>0.99707672505944722</v>
      </c>
      <c r="AH271" s="28">
        <v>0.92</v>
      </c>
      <c r="AI271" s="26">
        <v>0.98477574226152875</v>
      </c>
      <c r="AJ271" s="26">
        <v>0.99282115869017629</v>
      </c>
      <c r="AK271" s="26">
        <v>0.99298799747315225</v>
      </c>
      <c r="AL271" s="26">
        <v>0.99154172381718142</v>
      </c>
      <c r="AM271" s="25">
        <v>0.99</v>
      </c>
      <c r="AN271" s="30">
        <v>1</v>
      </c>
      <c r="AO271" s="30">
        <v>1</v>
      </c>
      <c r="AP271" s="30">
        <v>1</v>
      </c>
      <c r="AQ271" s="30">
        <v>1</v>
      </c>
      <c r="AR271" s="50">
        <v>9.2228725701943806E-2</v>
      </c>
      <c r="AS271" s="34">
        <v>0.10256410256410256</v>
      </c>
      <c r="AT271" s="34">
        <v>7.6923076923076927E-2</v>
      </c>
      <c r="AU271" s="34">
        <v>0.10344827586206896</v>
      </c>
      <c r="AV271" s="34">
        <v>0.10714285714285714</v>
      </c>
      <c r="AW271" s="10"/>
      <c r="AX271" s="8"/>
    </row>
    <row r="272" spans="1:50">
      <c r="A272" s="7"/>
      <c r="B272" s="10"/>
      <c r="C272" s="54" t="s">
        <v>284</v>
      </c>
      <c r="D272" s="23" t="s">
        <v>15</v>
      </c>
      <c r="E272" s="55" t="s">
        <v>318</v>
      </c>
      <c r="F272" s="55" t="s">
        <v>318</v>
      </c>
      <c r="G272" s="55" t="s">
        <v>318</v>
      </c>
      <c r="H272" s="55" t="s">
        <v>318</v>
      </c>
      <c r="I272" s="25">
        <v>0.9</v>
      </c>
      <c r="J272" s="26">
        <v>0.94857142857142862</v>
      </c>
      <c r="K272" s="26">
        <v>0.96373056994818651</v>
      </c>
      <c r="L272" s="27">
        <v>0.97014925373134331</v>
      </c>
      <c r="M272" s="26">
        <v>0.97432432432432436</v>
      </c>
      <c r="N272" s="28">
        <v>0.9</v>
      </c>
      <c r="O272" s="26">
        <v>0.96198903290129611</v>
      </c>
      <c r="P272" s="26">
        <v>0.9796133567662566</v>
      </c>
      <c r="Q272" s="26">
        <v>0.96815844184265232</v>
      </c>
      <c r="R272" s="26">
        <v>0.97279632573750219</v>
      </c>
      <c r="S272" s="28">
        <v>0.9</v>
      </c>
      <c r="T272" s="26">
        <v>0.94254735792622135</v>
      </c>
      <c r="U272" s="26">
        <v>0.96074985354422959</v>
      </c>
      <c r="V272" s="26">
        <v>0.94868147499726452</v>
      </c>
      <c r="W272" s="26">
        <v>0.95115703939233354</v>
      </c>
      <c r="X272" s="28">
        <v>0.92</v>
      </c>
      <c r="Y272" s="28">
        <v>0.9863852110916812</v>
      </c>
      <c r="Z272" s="28">
        <v>0.99031690140845074</v>
      </c>
      <c r="AA272" s="28">
        <v>0.99314610498161149</v>
      </c>
      <c r="AB272" s="28">
        <v>0.99177137394154602</v>
      </c>
      <c r="AC272" s="28">
        <v>0.92</v>
      </c>
      <c r="AD272" s="26">
        <v>0.99891067538126366</v>
      </c>
      <c r="AE272" s="26">
        <v>0.97273853779429986</v>
      </c>
      <c r="AF272" s="26">
        <v>0.99959790912746282</v>
      </c>
      <c r="AG272" s="26">
        <v>0.9844591402928673</v>
      </c>
      <c r="AH272" s="28">
        <v>0.92</v>
      </c>
      <c r="AI272" s="26">
        <v>0.98827345309381243</v>
      </c>
      <c r="AJ272" s="26">
        <v>0.99439775910364148</v>
      </c>
      <c r="AK272" s="26">
        <v>0.99669334038754054</v>
      </c>
      <c r="AL272" s="26">
        <v>0.99480747344461307</v>
      </c>
      <c r="AM272" s="25">
        <v>0.99</v>
      </c>
      <c r="AN272" s="30">
        <v>1</v>
      </c>
      <c r="AO272" s="30">
        <v>1</v>
      </c>
      <c r="AP272" s="30">
        <v>1</v>
      </c>
      <c r="AQ272" s="30">
        <v>1</v>
      </c>
      <c r="AR272" s="50">
        <v>9.2228725701943806E-2</v>
      </c>
      <c r="AS272" s="34">
        <v>0.15151515151515152</v>
      </c>
      <c r="AT272" s="34">
        <v>0</v>
      </c>
      <c r="AU272" s="34">
        <v>0.10714285714285714</v>
      </c>
      <c r="AV272" s="34">
        <v>0.10505836575875487</v>
      </c>
      <c r="AW272" s="10"/>
      <c r="AX272" s="8"/>
    </row>
    <row r="273" spans="1:50">
      <c r="A273" s="7"/>
      <c r="B273" s="10"/>
      <c r="C273" s="54" t="s">
        <v>284</v>
      </c>
      <c r="D273" s="23" t="s">
        <v>15</v>
      </c>
      <c r="E273" s="55" t="s">
        <v>319</v>
      </c>
      <c r="F273" s="55" t="s">
        <v>319</v>
      </c>
      <c r="G273" s="55" t="s">
        <v>319</v>
      </c>
      <c r="H273" s="55" t="s">
        <v>319</v>
      </c>
      <c r="I273" s="25">
        <v>0.9</v>
      </c>
      <c r="J273" s="26">
        <v>0.96907216494845361</v>
      </c>
      <c r="K273" s="26">
        <v>0.98165137614678899</v>
      </c>
      <c r="L273" s="27">
        <v>0.98095238095238091</v>
      </c>
      <c r="M273" s="26">
        <v>0.97313797313797312</v>
      </c>
      <c r="N273" s="28">
        <v>0.9</v>
      </c>
      <c r="O273" s="26">
        <v>0.95832767748065695</v>
      </c>
      <c r="P273" s="26">
        <v>0.98011928429423456</v>
      </c>
      <c r="Q273" s="26">
        <v>0.98052434456928839</v>
      </c>
      <c r="R273" s="26">
        <v>0.97346589303230313</v>
      </c>
      <c r="S273" s="28">
        <v>0.9</v>
      </c>
      <c r="T273" s="26">
        <v>0.94923306637708704</v>
      </c>
      <c r="U273" s="26">
        <v>0.97985420808482437</v>
      </c>
      <c r="V273" s="26">
        <v>0.97528089887640446</v>
      </c>
      <c r="W273" s="26">
        <v>0.96631697950090611</v>
      </c>
      <c r="X273" s="28">
        <v>0.92</v>
      </c>
      <c r="Y273" s="28">
        <v>0.98852647107031633</v>
      </c>
      <c r="Z273" s="28">
        <v>0.99748246718216149</v>
      </c>
      <c r="AA273" s="28">
        <v>0.9972133757961783</v>
      </c>
      <c r="AB273" s="28">
        <v>0.99466273467353383</v>
      </c>
      <c r="AC273" s="28">
        <v>0.92</v>
      </c>
      <c r="AD273" s="26">
        <v>0.99621126013487915</v>
      </c>
      <c r="AE273" s="26">
        <v>0.99289795918367352</v>
      </c>
      <c r="AF273" s="26">
        <v>0.99131108052305572</v>
      </c>
      <c r="AG273" s="26">
        <v>0.98364235558093183</v>
      </c>
      <c r="AH273" s="28">
        <v>0.92</v>
      </c>
      <c r="AI273" s="26">
        <v>0.98700623700623702</v>
      </c>
      <c r="AJ273" s="26">
        <v>0.99816905706438819</v>
      </c>
      <c r="AK273" s="26">
        <v>0.99815880322209438</v>
      </c>
      <c r="AL273" s="26">
        <v>0.9960209385415032</v>
      </c>
      <c r="AM273" s="25">
        <v>0.99</v>
      </c>
      <c r="AN273" s="30">
        <v>1</v>
      </c>
      <c r="AO273" s="30">
        <v>1</v>
      </c>
      <c r="AP273" s="30">
        <v>1</v>
      </c>
      <c r="AQ273" s="30">
        <v>1</v>
      </c>
      <c r="AR273" s="50">
        <v>9.2228725701943806E-2</v>
      </c>
      <c r="AS273" s="34">
        <v>0</v>
      </c>
      <c r="AT273" s="34">
        <v>0</v>
      </c>
      <c r="AU273" s="34">
        <v>7.1428571428571425E-2</v>
      </c>
      <c r="AV273" s="34">
        <v>7.1748878923766815E-2</v>
      </c>
      <c r="AW273" s="10"/>
      <c r="AX273" s="8"/>
    </row>
    <row r="274" spans="1:50">
      <c r="A274" s="7"/>
      <c r="B274" s="10"/>
      <c r="C274" s="54" t="s">
        <v>284</v>
      </c>
      <c r="D274" s="23" t="s">
        <v>15</v>
      </c>
      <c r="E274" s="55" t="s">
        <v>320</v>
      </c>
      <c r="F274" s="55" t="s">
        <v>320</v>
      </c>
      <c r="G274" s="55" t="s">
        <v>320</v>
      </c>
      <c r="H274" s="55" t="s">
        <v>320</v>
      </c>
      <c r="I274" s="25">
        <v>0.9</v>
      </c>
      <c r="J274" s="26">
        <v>0.9887640449438202</v>
      </c>
      <c r="K274" s="26">
        <v>1</v>
      </c>
      <c r="L274" s="27">
        <v>0.98</v>
      </c>
      <c r="M274" s="26">
        <v>0.98753462603878117</v>
      </c>
      <c r="N274" s="28">
        <v>0.9</v>
      </c>
      <c r="O274" s="26">
        <v>0.9776642059435926</v>
      </c>
      <c r="P274" s="26">
        <v>0.985968699406368</v>
      </c>
      <c r="Q274" s="26">
        <v>0.98193463622926591</v>
      </c>
      <c r="R274" s="26">
        <v>0.97751409614818507</v>
      </c>
      <c r="S274" s="28">
        <v>0.9</v>
      </c>
      <c r="T274" s="26">
        <v>0.94927124739731217</v>
      </c>
      <c r="U274" s="26">
        <v>0.97031840259039392</v>
      </c>
      <c r="V274" s="26">
        <v>0.9709311873870915</v>
      </c>
      <c r="W274" s="26">
        <v>0.96132333959828808</v>
      </c>
      <c r="X274" s="28">
        <v>0.92</v>
      </c>
      <c r="Y274" s="28">
        <v>0.97968446077371951</v>
      </c>
      <c r="Z274" s="28">
        <v>0.98526570048309181</v>
      </c>
      <c r="AA274" s="28">
        <v>0.99341021416803954</v>
      </c>
      <c r="AB274" s="28">
        <v>0.98996439884506493</v>
      </c>
      <c r="AC274" s="28">
        <v>0.92</v>
      </c>
      <c r="AD274" s="26">
        <v>0.99840036563071299</v>
      </c>
      <c r="AE274" s="26">
        <v>0.99323867478025696</v>
      </c>
      <c r="AF274" s="26">
        <v>0.99662352279122113</v>
      </c>
      <c r="AG274" s="26">
        <v>0.99209926809170668</v>
      </c>
      <c r="AH274" s="28">
        <v>0.92</v>
      </c>
      <c r="AI274" s="26">
        <v>0.98305255724805807</v>
      </c>
      <c r="AJ274" s="26">
        <v>0.99051644160395835</v>
      </c>
      <c r="AK274" s="26">
        <v>0.99486336552290944</v>
      </c>
      <c r="AL274" s="26">
        <v>0.99284971887248452</v>
      </c>
      <c r="AM274" s="25">
        <v>0.99</v>
      </c>
      <c r="AN274" s="30">
        <v>1</v>
      </c>
      <c r="AO274" s="30">
        <v>1</v>
      </c>
      <c r="AP274" s="30">
        <v>1</v>
      </c>
      <c r="AQ274" s="30">
        <v>1</v>
      </c>
      <c r="AR274" s="50">
        <v>9.2228725701943806E-2</v>
      </c>
      <c r="AS274" s="34">
        <v>0</v>
      </c>
      <c r="AT274" s="34">
        <v>0</v>
      </c>
      <c r="AU274" s="34">
        <v>3.8461538461538464E-2</v>
      </c>
      <c r="AV274" s="34">
        <v>8.8235294117647065E-2</v>
      </c>
      <c r="AW274" s="10"/>
      <c r="AX274" s="8"/>
    </row>
    <row r="275" spans="1:50">
      <c r="A275" s="7"/>
      <c r="B275" s="10"/>
      <c r="C275" s="54" t="s">
        <v>284</v>
      </c>
      <c r="D275" s="23" t="s">
        <v>15</v>
      </c>
      <c r="E275" s="55" t="s">
        <v>321</v>
      </c>
      <c r="F275" s="55" t="s">
        <v>321</v>
      </c>
      <c r="G275" s="55" t="s">
        <v>321</v>
      </c>
      <c r="H275" s="55" t="s">
        <v>321</v>
      </c>
      <c r="I275" s="25">
        <v>0.9</v>
      </c>
      <c r="J275" s="26">
        <v>0.92</v>
      </c>
      <c r="K275" s="26">
        <v>0.97560975609756095</v>
      </c>
      <c r="L275" s="27">
        <v>0.93902439024390238</v>
      </c>
      <c r="M275" s="26">
        <v>0.93977812995245646</v>
      </c>
      <c r="N275" s="28">
        <v>0.9</v>
      </c>
      <c r="O275" s="26">
        <v>0.97357098955132149</v>
      </c>
      <c r="P275" s="26">
        <v>0.97553956834532374</v>
      </c>
      <c r="Q275" s="26">
        <v>0.97711978465679672</v>
      </c>
      <c r="R275" s="26">
        <v>0.97883042628645867</v>
      </c>
      <c r="S275" s="28">
        <v>0.9</v>
      </c>
      <c r="T275" s="26">
        <v>0.9511370620774432</v>
      </c>
      <c r="U275" s="26">
        <v>0.96748201438848924</v>
      </c>
      <c r="V275" s="26">
        <v>0.955585464333782</v>
      </c>
      <c r="W275" s="26">
        <v>0.95729897951798504</v>
      </c>
      <c r="X275" s="28">
        <v>0.92</v>
      </c>
      <c r="Y275" s="28">
        <v>0.9845890410958904</v>
      </c>
      <c r="Z275" s="28">
        <v>0.99038118988243673</v>
      </c>
      <c r="AA275" s="28">
        <v>0.98867313915857602</v>
      </c>
      <c r="AB275" s="28">
        <v>0.98899735936624789</v>
      </c>
      <c r="AC275" s="28">
        <v>0.92</v>
      </c>
      <c r="AD275" s="26">
        <v>1</v>
      </c>
      <c r="AE275" s="26">
        <v>0.97746967071057189</v>
      </c>
      <c r="AF275" s="26">
        <v>0.99104859335038364</v>
      </c>
      <c r="AG275" s="26">
        <v>0.98473703567488047</v>
      </c>
      <c r="AH275" s="28">
        <v>0.92</v>
      </c>
      <c r="AI275" s="26">
        <v>0.98638650488310153</v>
      </c>
      <c r="AJ275" s="26">
        <v>0.99379376193507318</v>
      </c>
      <c r="AK275" s="26">
        <v>0.99434297721027964</v>
      </c>
      <c r="AL275" s="26">
        <v>0.9925337690217908</v>
      </c>
      <c r="AM275" s="25">
        <v>0.99</v>
      </c>
      <c r="AN275" s="30">
        <v>1</v>
      </c>
      <c r="AO275" s="30">
        <v>1</v>
      </c>
      <c r="AP275" s="30">
        <v>1</v>
      </c>
      <c r="AQ275" s="30">
        <v>1</v>
      </c>
      <c r="AR275" s="50">
        <v>9.2228725701943806E-2</v>
      </c>
      <c r="AS275" s="34">
        <v>0</v>
      </c>
      <c r="AT275" s="34">
        <v>0</v>
      </c>
      <c r="AU275" s="34">
        <v>0.18181818181818182</v>
      </c>
      <c r="AV275" s="34">
        <v>8.6419753086419748E-2</v>
      </c>
      <c r="AW275" s="10"/>
      <c r="AX275" s="8"/>
    </row>
    <row r="276" spans="1:50">
      <c r="A276" s="7"/>
      <c r="B276" s="10"/>
      <c r="C276" s="54" t="s">
        <v>284</v>
      </c>
      <c r="D276" s="23" t="s">
        <v>15</v>
      </c>
      <c r="E276" s="55" t="s">
        <v>322</v>
      </c>
      <c r="F276" s="55" t="s">
        <v>322</v>
      </c>
      <c r="G276" s="55" t="s">
        <v>322</v>
      </c>
      <c r="H276" s="55" t="s">
        <v>322</v>
      </c>
      <c r="I276" s="25">
        <v>0.9</v>
      </c>
      <c r="J276" s="26">
        <v>0.88721804511278191</v>
      </c>
      <c r="K276" s="26">
        <v>0.91891891891891897</v>
      </c>
      <c r="L276" s="27">
        <v>0.93377483443708609</v>
      </c>
      <c r="M276" s="26">
        <v>0.91365638766519819</v>
      </c>
      <c r="N276" s="28">
        <v>0.9</v>
      </c>
      <c r="O276" s="26">
        <v>0.75279958137101</v>
      </c>
      <c r="P276" s="26">
        <v>0.86623148869836319</v>
      </c>
      <c r="Q276" s="26">
        <v>0.87318435754189949</v>
      </c>
      <c r="R276" s="26">
        <v>0.83364301549265096</v>
      </c>
      <c r="S276" s="28">
        <v>0.9</v>
      </c>
      <c r="T276" s="26">
        <v>0.91815803244374672</v>
      </c>
      <c r="U276" s="26">
        <v>0.91367887763055344</v>
      </c>
      <c r="V276" s="26">
        <v>0.90549348230912474</v>
      </c>
      <c r="W276" s="26">
        <v>0.91523251790817173</v>
      </c>
      <c r="X276" s="28">
        <v>0.92</v>
      </c>
      <c r="Y276" s="28">
        <v>0.96503244412400868</v>
      </c>
      <c r="Z276" s="28">
        <v>0.97929338682541733</v>
      </c>
      <c r="AA276" s="28">
        <v>0.98210259301014657</v>
      </c>
      <c r="AB276" s="28">
        <v>0.97996232491720592</v>
      </c>
      <c r="AC276" s="28">
        <v>0.92</v>
      </c>
      <c r="AD276" s="26">
        <v>0.98224151539068671</v>
      </c>
      <c r="AE276" s="26">
        <v>0.96667397500548125</v>
      </c>
      <c r="AF276" s="26">
        <v>0.76924572317262829</v>
      </c>
      <c r="AG276" s="26">
        <v>0.94753720499073002</v>
      </c>
      <c r="AH276" s="28">
        <v>0.92</v>
      </c>
      <c r="AI276" s="26">
        <v>0.9718695822381298</v>
      </c>
      <c r="AJ276" s="26">
        <v>0.98416314736608135</v>
      </c>
      <c r="AK276" s="26">
        <v>0.98680974737312765</v>
      </c>
      <c r="AL276" s="26">
        <v>0.98523098298020151</v>
      </c>
      <c r="AM276" s="25">
        <v>0.99</v>
      </c>
      <c r="AN276" s="30">
        <v>1</v>
      </c>
      <c r="AO276" s="30">
        <v>1</v>
      </c>
      <c r="AP276" s="30">
        <v>1</v>
      </c>
      <c r="AQ276" s="30">
        <v>1</v>
      </c>
      <c r="AR276" s="50">
        <v>9.2228725701943806E-2</v>
      </c>
      <c r="AS276" s="34">
        <v>0.10169491525423729</v>
      </c>
      <c r="AT276" s="34">
        <v>7.6923076923076927E-2</v>
      </c>
      <c r="AU276" s="34">
        <v>8.3333333333333329E-2</v>
      </c>
      <c r="AV276" s="34">
        <v>8.2959641255605385E-2</v>
      </c>
      <c r="AW276" s="10"/>
      <c r="AX276" s="8"/>
    </row>
    <row r="277" spans="1:50">
      <c r="A277" s="7"/>
      <c r="B277" s="10"/>
      <c r="C277" s="54" t="s">
        <v>284</v>
      </c>
      <c r="D277" s="23" t="s">
        <v>15</v>
      </c>
      <c r="E277" s="55" t="s">
        <v>323</v>
      </c>
      <c r="F277" s="55" t="s">
        <v>323</v>
      </c>
      <c r="G277" s="55" t="s">
        <v>323</v>
      </c>
      <c r="H277" s="55" t="s">
        <v>323</v>
      </c>
      <c r="I277" s="25">
        <v>0.9</v>
      </c>
      <c r="J277" s="26">
        <v>0</v>
      </c>
      <c r="K277" s="26">
        <v>0</v>
      </c>
      <c r="L277" s="27">
        <v>0</v>
      </c>
      <c r="M277" s="26">
        <v>0</v>
      </c>
      <c r="N277" s="28">
        <v>0.9</v>
      </c>
      <c r="O277" s="26">
        <v>0</v>
      </c>
      <c r="P277" s="26">
        <v>0</v>
      </c>
      <c r="Q277" s="26">
        <v>0</v>
      </c>
      <c r="R277" s="26">
        <v>0</v>
      </c>
      <c r="S277" s="28">
        <v>0.9</v>
      </c>
      <c r="T277" s="26">
        <v>0</v>
      </c>
      <c r="U277" s="26">
        <v>0</v>
      </c>
      <c r="V277" s="26">
        <v>0</v>
      </c>
      <c r="W277" s="26">
        <v>0</v>
      </c>
      <c r="X277" s="28">
        <v>0.92</v>
      </c>
      <c r="Y277" s="28">
        <v>0</v>
      </c>
      <c r="Z277" s="28">
        <v>0</v>
      </c>
      <c r="AA277" s="28">
        <v>0</v>
      </c>
      <c r="AB277" s="28">
        <v>0</v>
      </c>
      <c r="AC277" s="28">
        <v>0.92</v>
      </c>
      <c r="AD277" s="26">
        <v>1</v>
      </c>
      <c r="AE277" s="26">
        <v>0.8832951945080092</v>
      </c>
      <c r="AF277" s="26">
        <v>0.91224018475750579</v>
      </c>
      <c r="AG277" s="26">
        <v>0.87091988130563802</v>
      </c>
      <c r="AH277" s="28">
        <v>0.92</v>
      </c>
      <c r="AI277" s="26">
        <v>0</v>
      </c>
      <c r="AJ277" s="26">
        <v>0</v>
      </c>
      <c r="AK277" s="26">
        <v>0</v>
      </c>
      <c r="AL277" s="26">
        <v>0</v>
      </c>
      <c r="AM277" s="25">
        <v>0.99</v>
      </c>
      <c r="AN277" s="30">
        <v>1</v>
      </c>
      <c r="AO277" s="30">
        <v>1</v>
      </c>
      <c r="AP277" s="30">
        <v>1</v>
      </c>
      <c r="AQ277" s="30">
        <v>1</v>
      </c>
      <c r="AR277" s="50">
        <v>9.2228725701943806E-2</v>
      </c>
      <c r="AS277" s="34">
        <v>0</v>
      </c>
      <c r="AT277" s="34">
        <v>0</v>
      </c>
      <c r="AU277" s="34">
        <v>0</v>
      </c>
      <c r="AV277" s="34">
        <v>0</v>
      </c>
      <c r="AW277" s="10"/>
      <c r="AX277" s="8"/>
    </row>
    <row r="278" spans="1:50">
      <c r="A278" s="7"/>
      <c r="B278" s="10"/>
      <c r="C278" s="54" t="s">
        <v>284</v>
      </c>
      <c r="D278" s="23" t="s">
        <v>15</v>
      </c>
      <c r="E278" s="55" t="s">
        <v>324</v>
      </c>
      <c r="F278" s="55" t="s">
        <v>324</v>
      </c>
      <c r="G278" s="55" t="s">
        <v>324</v>
      </c>
      <c r="H278" s="55" t="s">
        <v>324</v>
      </c>
      <c r="I278" s="25">
        <v>0.9</v>
      </c>
      <c r="J278" s="26">
        <v>0</v>
      </c>
      <c r="K278" s="26">
        <v>0</v>
      </c>
      <c r="L278" s="27">
        <v>0</v>
      </c>
      <c r="M278" s="26">
        <v>0</v>
      </c>
      <c r="N278" s="28">
        <v>0.9</v>
      </c>
      <c r="O278" s="26">
        <v>0</v>
      </c>
      <c r="P278" s="26">
        <v>0</v>
      </c>
      <c r="Q278" s="26">
        <v>0</v>
      </c>
      <c r="R278" s="26">
        <v>0</v>
      </c>
      <c r="S278" s="28">
        <v>0.9</v>
      </c>
      <c r="T278" s="26">
        <v>0</v>
      </c>
      <c r="U278" s="26">
        <v>0</v>
      </c>
      <c r="V278" s="26">
        <v>0</v>
      </c>
      <c r="W278" s="26">
        <v>0</v>
      </c>
      <c r="X278" s="28">
        <v>0.92</v>
      </c>
      <c r="Y278" s="28">
        <v>0</v>
      </c>
      <c r="Z278" s="28">
        <v>0</v>
      </c>
      <c r="AA278" s="28">
        <v>0</v>
      </c>
      <c r="AB278" s="28">
        <v>0</v>
      </c>
      <c r="AC278" s="28">
        <v>0.92</v>
      </c>
      <c r="AD278" s="26">
        <v>1</v>
      </c>
      <c r="AE278" s="26">
        <v>0.72985074626865676</v>
      </c>
      <c r="AF278" s="26">
        <v>0.64406779661016944</v>
      </c>
      <c r="AG278" s="26">
        <v>0.72944297082228116</v>
      </c>
      <c r="AH278" s="28">
        <v>0.92</v>
      </c>
      <c r="AI278" s="26">
        <v>0</v>
      </c>
      <c r="AJ278" s="26">
        <v>0</v>
      </c>
      <c r="AK278" s="26">
        <v>0</v>
      </c>
      <c r="AL278" s="26">
        <v>0</v>
      </c>
      <c r="AM278" s="25">
        <v>0.99</v>
      </c>
      <c r="AN278" s="30">
        <v>0</v>
      </c>
      <c r="AO278" s="30">
        <v>0</v>
      </c>
      <c r="AP278" s="30">
        <v>0</v>
      </c>
      <c r="AQ278" s="30">
        <v>1</v>
      </c>
      <c r="AR278" s="50">
        <v>9.2228725701943806E-2</v>
      </c>
      <c r="AS278" s="34">
        <v>0</v>
      </c>
      <c r="AT278" s="34">
        <v>0</v>
      </c>
      <c r="AU278" s="34">
        <v>0</v>
      </c>
      <c r="AV278" s="34">
        <v>0</v>
      </c>
      <c r="AW278" s="10"/>
      <c r="AX278" s="8"/>
    </row>
    <row r="279" spans="1:50">
      <c r="A279" s="7"/>
      <c r="B279" s="10"/>
      <c r="C279" s="54" t="s">
        <v>284</v>
      </c>
      <c r="D279" s="23" t="s">
        <v>15</v>
      </c>
      <c r="E279" s="55" t="s">
        <v>325</v>
      </c>
      <c r="F279" s="55" t="s">
        <v>325</v>
      </c>
      <c r="G279" s="55" t="s">
        <v>325</v>
      </c>
      <c r="H279" s="55" t="s">
        <v>325</v>
      </c>
      <c r="I279" s="25">
        <v>0.9</v>
      </c>
      <c r="J279" s="26">
        <v>0</v>
      </c>
      <c r="K279" s="26">
        <v>0</v>
      </c>
      <c r="L279" s="27">
        <v>0</v>
      </c>
      <c r="M279" s="26">
        <v>0</v>
      </c>
      <c r="N279" s="28">
        <v>0.9</v>
      </c>
      <c r="O279" s="26">
        <v>0</v>
      </c>
      <c r="P279" s="26">
        <v>0</v>
      </c>
      <c r="Q279" s="26">
        <v>0</v>
      </c>
      <c r="R279" s="26">
        <v>0</v>
      </c>
      <c r="S279" s="28">
        <v>0.9</v>
      </c>
      <c r="T279" s="26">
        <v>0</v>
      </c>
      <c r="U279" s="26">
        <v>0</v>
      </c>
      <c r="V279" s="26">
        <v>0</v>
      </c>
      <c r="W279" s="26">
        <v>0</v>
      </c>
      <c r="X279" s="28">
        <v>0.92</v>
      </c>
      <c r="Y279" s="28">
        <v>0</v>
      </c>
      <c r="Z279" s="28">
        <v>0</v>
      </c>
      <c r="AA279" s="28">
        <v>0</v>
      </c>
      <c r="AB279" s="28">
        <v>0</v>
      </c>
      <c r="AC279" s="28">
        <v>0.92</v>
      </c>
      <c r="AD279" s="26">
        <v>0.98380566801619429</v>
      </c>
      <c r="AE279" s="26">
        <v>0.86193293885601574</v>
      </c>
      <c r="AF279" s="26">
        <v>0.92021276595744683</v>
      </c>
      <c r="AG279" s="26">
        <v>0.89020707506471097</v>
      </c>
      <c r="AH279" s="28">
        <v>0.92</v>
      </c>
      <c r="AI279" s="26">
        <v>0</v>
      </c>
      <c r="AJ279" s="26">
        <v>0</v>
      </c>
      <c r="AK279" s="26">
        <v>0</v>
      </c>
      <c r="AL279" s="26">
        <v>0</v>
      </c>
      <c r="AM279" s="25">
        <v>0.99</v>
      </c>
      <c r="AN279" s="30">
        <v>0</v>
      </c>
      <c r="AO279" s="30">
        <v>0</v>
      </c>
      <c r="AP279" s="30">
        <v>0</v>
      </c>
      <c r="AQ279" s="30">
        <v>1</v>
      </c>
      <c r="AR279" s="50">
        <v>9.2228725701943806E-2</v>
      </c>
      <c r="AS279" s="34">
        <v>0</v>
      </c>
      <c r="AT279" s="34">
        <v>0</v>
      </c>
      <c r="AU279" s="34">
        <v>0</v>
      </c>
      <c r="AV279" s="34">
        <v>0</v>
      </c>
      <c r="AW279" s="10"/>
      <c r="AX279" s="8"/>
    </row>
    <row r="280" spans="1:50">
      <c r="A280" s="7"/>
      <c r="B280" s="10"/>
      <c r="C280" s="54" t="s">
        <v>284</v>
      </c>
      <c r="D280" s="23" t="s">
        <v>15</v>
      </c>
      <c r="E280" s="55" t="s">
        <v>326</v>
      </c>
      <c r="F280" s="55" t="s">
        <v>326</v>
      </c>
      <c r="G280" s="55" t="s">
        <v>326</v>
      </c>
      <c r="H280" s="55" t="s">
        <v>326</v>
      </c>
      <c r="I280" s="25">
        <v>0.9</v>
      </c>
      <c r="J280" s="26">
        <v>0</v>
      </c>
      <c r="K280" s="26">
        <v>0</v>
      </c>
      <c r="L280" s="27">
        <v>0</v>
      </c>
      <c r="M280" s="26">
        <v>0</v>
      </c>
      <c r="N280" s="28">
        <v>0.9</v>
      </c>
      <c r="O280" s="26">
        <v>0</v>
      </c>
      <c r="P280" s="26">
        <v>0</v>
      </c>
      <c r="Q280" s="26">
        <v>0</v>
      </c>
      <c r="R280" s="26">
        <v>0</v>
      </c>
      <c r="S280" s="28">
        <v>0.9</v>
      </c>
      <c r="T280" s="26">
        <v>0</v>
      </c>
      <c r="U280" s="26">
        <v>0</v>
      </c>
      <c r="V280" s="26">
        <v>0</v>
      </c>
      <c r="W280" s="26">
        <v>0</v>
      </c>
      <c r="X280" s="28">
        <v>0.92</v>
      </c>
      <c r="Y280" s="28">
        <v>0</v>
      </c>
      <c r="Z280" s="28">
        <v>0</v>
      </c>
      <c r="AA280" s="28">
        <v>0</v>
      </c>
      <c r="AB280" s="28">
        <v>0</v>
      </c>
      <c r="AC280" s="28">
        <v>0.92</v>
      </c>
      <c r="AD280" s="26">
        <v>1</v>
      </c>
      <c r="AE280" s="26">
        <v>0.88321167883211682</v>
      </c>
      <c r="AF280" s="26">
        <v>0.95375722543352603</v>
      </c>
      <c r="AG280" s="26">
        <v>0.81795302013422821</v>
      </c>
      <c r="AH280" s="28">
        <v>0.92</v>
      </c>
      <c r="AI280" s="26">
        <v>0</v>
      </c>
      <c r="AJ280" s="26">
        <v>0</v>
      </c>
      <c r="AK280" s="26">
        <v>0</v>
      </c>
      <c r="AL280" s="26">
        <v>0</v>
      </c>
      <c r="AM280" s="25">
        <v>0.99</v>
      </c>
      <c r="AN280" s="30">
        <v>0</v>
      </c>
      <c r="AO280" s="30">
        <v>0</v>
      </c>
      <c r="AP280" s="30">
        <v>1</v>
      </c>
      <c r="AQ280" s="30">
        <v>1</v>
      </c>
      <c r="AR280" s="50">
        <v>9.2228725701943806E-2</v>
      </c>
      <c r="AS280" s="34">
        <v>0</v>
      </c>
      <c r="AT280" s="34">
        <v>0</v>
      </c>
      <c r="AU280" s="34">
        <v>0</v>
      </c>
      <c r="AV280" s="34">
        <v>0</v>
      </c>
      <c r="AW280" s="10"/>
      <c r="AX280" s="8"/>
    </row>
    <row r="281" spans="1:50">
      <c r="A281" s="7"/>
      <c r="B281" s="10"/>
      <c r="C281" s="54" t="s">
        <v>284</v>
      </c>
      <c r="D281" s="23" t="s">
        <v>15</v>
      </c>
      <c r="E281" s="55" t="s">
        <v>327</v>
      </c>
      <c r="F281" s="55" t="s">
        <v>327</v>
      </c>
      <c r="G281" s="55" t="s">
        <v>327</v>
      </c>
      <c r="H281" s="55" t="s">
        <v>327</v>
      </c>
      <c r="I281" s="25">
        <v>0.9</v>
      </c>
      <c r="J281" s="26">
        <v>1</v>
      </c>
      <c r="K281" s="26">
        <v>0.8666666666666667</v>
      </c>
      <c r="L281" s="27">
        <v>0.88235294117647056</v>
      </c>
      <c r="M281" s="26">
        <v>0.90225563909774431</v>
      </c>
      <c r="N281" s="28">
        <v>0.9</v>
      </c>
      <c r="O281" s="26">
        <v>0.98561643835616441</v>
      </c>
      <c r="P281" s="26">
        <v>0.9878917378917379</v>
      </c>
      <c r="Q281" s="26">
        <v>0.98691955526487896</v>
      </c>
      <c r="R281" s="26">
        <v>0.98240781874722349</v>
      </c>
      <c r="S281" s="28">
        <v>0.9</v>
      </c>
      <c r="T281" s="26">
        <v>0.9342465753424658</v>
      </c>
      <c r="U281" s="26">
        <v>0.89387464387464388</v>
      </c>
      <c r="V281" s="26">
        <v>0.94440810987573576</v>
      </c>
      <c r="W281" s="26">
        <v>0.92385606397156816</v>
      </c>
      <c r="X281" s="28">
        <v>0.92</v>
      </c>
      <c r="Y281" s="28">
        <v>0.97996357012750457</v>
      </c>
      <c r="Z281" s="28">
        <v>0.98481781376518218</v>
      </c>
      <c r="AA281" s="28">
        <v>0.97880539499036612</v>
      </c>
      <c r="AB281" s="28">
        <v>0.98407424381301556</v>
      </c>
      <c r="AC281" s="28">
        <v>0.92</v>
      </c>
      <c r="AD281" s="26">
        <v>0.9993717277486911</v>
      </c>
      <c r="AE281" s="26">
        <v>0.87016136554425894</v>
      </c>
      <c r="AF281" s="26">
        <v>0.99840099493648393</v>
      </c>
      <c r="AG281" s="26">
        <v>0.93109067508095988</v>
      </c>
      <c r="AH281" s="28">
        <v>0.92</v>
      </c>
      <c r="AI281" s="26">
        <v>0.98123534010946056</v>
      </c>
      <c r="AJ281" s="26">
        <v>0.99038461538461542</v>
      </c>
      <c r="AK281" s="26">
        <v>0.9883132060771328</v>
      </c>
      <c r="AL281" s="26">
        <v>0.98954372623574149</v>
      </c>
      <c r="AM281" s="25">
        <v>0.99</v>
      </c>
      <c r="AN281" s="30">
        <v>1</v>
      </c>
      <c r="AO281" s="30">
        <v>1</v>
      </c>
      <c r="AP281" s="30">
        <v>1</v>
      </c>
      <c r="AQ281" s="30">
        <v>1</v>
      </c>
      <c r="AR281" s="50">
        <v>9.2228725701943806E-2</v>
      </c>
      <c r="AS281" s="34">
        <v>0</v>
      </c>
      <c r="AT281" s="34">
        <v>0</v>
      </c>
      <c r="AU281" s="34">
        <v>0.5</v>
      </c>
      <c r="AV281" s="34">
        <v>0.10810810810810811</v>
      </c>
      <c r="AW281" s="10"/>
      <c r="AX281" s="8"/>
    </row>
    <row r="282" spans="1:50">
      <c r="A282" s="7"/>
      <c r="B282" s="10"/>
      <c r="C282" s="54" t="s">
        <v>284</v>
      </c>
      <c r="D282" s="23" t="s">
        <v>15</v>
      </c>
      <c r="E282" s="55" t="s">
        <v>328</v>
      </c>
      <c r="F282" s="55" t="s">
        <v>328</v>
      </c>
      <c r="G282" s="55" t="s">
        <v>328</v>
      </c>
      <c r="H282" s="55" t="s">
        <v>328</v>
      </c>
      <c r="I282" s="25">
        <v>0.9</v>
      </c>
      <c r="J282" s="26">
        <v>0</v>
      </c>
      <c r="K282" s="26">
        <v>0</v>
      </c>
      <c r="L282" s="27">
        <v>0</v>
      </c>
      <c r="M282" s="26">
        <v>0</v>
      </c>
      <c r="N282" s="28">
        <v>0.9</v>
      </c>
      <c r="O282" s="26">
        <v>0</v>
      </c>
      <c r="P282" s="26">
        <v>0</v>
      </c>
      <c r="Q282" s="26">
        <v>0</v>
      </c>
      <c r="R282" s="26">
        <v>0</v>
      </c>
      <c r="S282" s="28">
        <v>0.9</v>
      </c>
      <c r="T282" s="26">
        <v>0</v>
      </c>
      <c r="U282" s="26">
        <v>0</v>
      </c>
      <c r="V282" s="26">
        <v>0</v>
      </c>
      <c r="W282" s="26">
        <v>0</v>
      </c>
      <c r="X282" s="28">
        <v>0.92</v>
      </c>
      <c r="Y282" s="28">
        <v>0</v>
      </c>
      <c r="Z282" s="28">
        <v>0</v>
      </c>
      <c r="AA282" s="28">
        <v>0</v>
      </c>
      <c r="AB282" s="28">
        <v>0</v>
      </c>
      <c r="AC282" s="28">
        <v>0.92</v>
      </c>
      <c r="AD282" s="26">
        <v>0.99718508092892333</v>
      </c>
      <c r="AE282" s="26">
        <v>0.99932591843613072</v>
      </c>
      <c r="AF282" s="26">
        <v>0.99855803893294881</v>
      </c>
      <c r="AG282" s="26">
        <v>0.99781659388646293</v>
      </c>
      <c r="AH282" s="28">
        <v>0.92</v>
      </c>
      <c r="AI282" s="26">
        <v>0</v>
      </c>
      <c r="AJ282" s="26">
        <v>0</v>
      </c>
      <c r="AK282" s="26">
        <v>0</v>
      </c>
      <c r="AL282" s="26">
        <v>0</v>
      </c>
      <c r="AM282" s="25">
        <v>0.99</v>
      </c>
      <c r="AN282" s="30">
        <v>1</v>
      </c>
      <c r="AO282" s="30">
        <v>1</v>
      </c>
      <c r="AP282" s="30">
        <v>0</v>
      </c>
      <c r="AQ282" s="30">
        <v>1</v>
      </c>
      <c r="AR282" s="50">
        <v>9.2228725701943806E-2</v>
      </c>
      <c r="AS282" s="34">
        <v>0</v>
      </c>
      <c r="AT282" s="34">
        <v>0</v>
      </c>
      <c r="AU282" s="34">
        <v>0</v>
      </c>
      <c r="AV282" s="34">
        <v>0</v>
      </c>
      <c r="AW282" s="10"/>
      <c r="AX282" s="8"/>
    </row>
    <row r="283" spans="1:50" s="2" customFormat="1">
      <c r="A283" s="7"/>
      <c r="B283" s="4"/>
      <c r="C283" s="54" t="s">
        <v>284</v>
      </c>
      <c r="D283" s="23" t="s">
        <v>15</v>
      </c>
      <c r="E283" s="55" t="s">
        <v>329</v>
      </c>
      <c r="F283" s="55" t="s">
        <v>329</v>
      </c>
      <c r="G283" s="55" t="s">
        <v>329</v>
      </c>
      <c r="H283" s="55" t="s">
        <v>329</v>
      </c>
      <c r="I283" s="25">
        <v>0.9</v>
      </c>
      <c r="J283" s="26">
        <v>0.98013245033112584</v>
      </c>
      <c r="K283" s="26">
        <v>0.96385542168674698</v>
      </c>
      <c r="L283" s="27">
        <v>0.99397590361445787</v>
      </c>
      <c r="M283" s="26">
        <v>0.97914995990376907</v>
      </c>
      <c r="N283" s="28">
        <v>0.9</v>
      </c>
      <c r="O283" s="26">
        <v>0.96263111888111885</v>
      </c>
      <c r="P283" s="26">
        <v>0.95601330329363798</v>
      </c>
      <c r="Q283" s="26">
        <v>0.96171171171171166</v>
      </c>
      <c r="R283" s="26">
        <v>0.93941865125986534</v>
      </c>
      <c r="S283" s="28">
        <v>0.9</v>
      </c>
      <c r="T283" s="26">
        <v>0.90242569930069927</v>
      </c>
      <c r="U283" s="26">
        <v>0.91578156850123382</v>
      </c>
      <c r="V283" s="26">
        <v>0.92915642915642915</v>
      </c>
      <c r="W283" s="26">
        <v>0.91282533276202849</v>
      </c>
      <c r="X283" s="28">
        <v>0.92</v>
      </c>
      <c r="Y283" s="28">
        <v>0.98283542976939209</v>
      </c>
      <c r="Z283" s="28">
        <v>0.98714499252615839</v>
      </c>
      <c r="AA283" s="28">
        <v>0.98470052083333337</v>
      </c>
      <c r="AB283" s="28">
        <v>0.97904524244962143</v>
      </c>
      <c r="AC283" s="28">
        <v>0.92</v>
      </c>
      <c r="AD283" s="26">
        <v>0.99812579653647204</v>
      </c>
      <c r="AE283" s="26">
        <v>0.98786014891550666</v>
      </c>
      <c r="AF283" s="26">
        <v>0.99591900800502275</v>
      </c>
      <c r="AG283" s="26">
        <v>0.98545129420792288</v>
      </c>
      <c r="AH283" s="28">
        <v>0.92</v>
      </c>
      <c r="AI283" s="26">
        <v>0.98635849168999823</v>
      </c>
      <c r="AJ283" s="26">
        <v>0.9903227820440782</v>
      </c>
      <c r="AK283" s="26">
        <v>0.99082568807339455</v>
      </c>
      <c r="AL283" s="26">
        <v>0.98695841514565774</v>
      </c>
      <c r="AM283" s="25">
        <v>0.99</v>
      </c>
      <c r="AN283" s="30">
        <v>1</v>
      </c>
      <c r="AO283" s="30">
        <v>1</v>
      </c>
      <c r="AP283" s="30">
        <v>1</v>
      </c>
      <c r="AQ283" s="30">
        <v>1</v>
      </c>
      <c r="AR283" s="50">
        <v>9.2228725701943806E-2</v>
      </c>
      <c r="AS283" s="34">
        <v>0.02</v>
      </c>
      <c r="AT283" s="34">
        <v>0</v>
      </c>
      <c r="AU283" s="34">
        <v>5.0847457627118647E-2</v>
      </c>
      <c r="AV283" s="34">
        <v>5.647840531561462E-2</v>
      </c>
      <c r="AW283" s="4"/>
      <c r="AX283" s="8"/>
    </row>
    <row r="284" spans="1:50" s="2" customFormat="1">
      <c r="A284" s="7"/>
      <c r="B284" s="4"/>
      <c r="C284" s="54" t="s">
        <v>284</v>
      </c>
      <c r="D284" s="23" t="s">
        <v>15</v>
      </c>
      <c r="E284" s="55" t="s">
        <v>330</v>
      </c>
      <c r="F284" s="55" t="s">
        <v>330</v>
      </c>
      <c r="G284" s="55" t="s">
        <v>330</v>
      </c>
      <c r="H284" s="55" t="s">
        <v>330</v>
      </c>
      <c r="I284" s="25">
        <v>0.9</v>
      </c>
      <c r="J284" s="26">
        <v>0.95161290322580649</v>
      </c>
      <c r="K284" s="26">
        <v>0.91935483870967738</v>
      </c>
      <c r="L284" s="27">
        <v>0.93333333333333335</v>
      </c>
      <c r="M284" s="26">
        <v>0.90540540540540537</v>
      </c>
      <c r="N284" s="28">
        <v>0.9</v>
      </c>
      <c r="O284" s="26">
        <v>0.9600591715976331</v>
      </c>
      <c r="P284" s="26">
        <v>0.95422149122807021</v>
      </c>
      <c r="Q284" s="26">
        <v>0.97545126353790612</v>
      </c>
      <c r="R284" s="26">
        <v>0.96693240901213173</v>
      </c>
      <c r="S284" s="28">
        <v>0.9</v>
      </c>
      <c r="T284" s="26">
        <v>0.91923076923076918</v>
      </c>
      <c r="U284" s="26">
        <v>0.9057017543859649</v>
      </c>
      <c r="V284" s="26">
        <v>0.93646209386281587</v>
      </c>
      <c r="W284" s="26">
        <v>0.92741767764298089</v>
      </c>
      <c r="X284" s="28">
        <v>0.92</v>
      </c>
      <c r="Y284" s="28">
        <v>0.96358296622613804</v>
      </c>
      <c r="Z284" s="28">
        <v>0.98745980707395498</v>
      </c>
      <c r="AA284" s="28">
        <v>0.98682805268778928</v>
      </c>
      <c r="AB284" s="28">
        <v>0.98780725332086794</v>
      </c>
      <c r="AC284" s="28">
        <v>0.92</v>
      </c>
      <c r="AD284" s="26">
        <v>0.99580674567000915</v>
      </c>
      <c r="AE284" s="26">
        <v>0.99531341534856477</v>
      </c>
      <c r="AF284" s="26">
        <v>0.94782766769678239</v>
      </c>
      <c r="AG284" s="26">
        <v>0.98926180630126348</v>
      </c>
      <c r="AH284" s="28">
        <v>0.92</v>
      </c>
      <c r="AI284" s="26">
        <v>0.96772767462422637</v>
      </c>
      <c r="AJ284" s="26">
        <v>0.98934753661784292</v>
      </c>
      <c r="AK284" s="26">
        <v>0.99124066628374496</v>
      </c>
      <c r="AL284" s="26">
        <v>0.99002438890213262</v>
      </c>
      <c r="AM284" s="25">
        <v>0.99</v>
      </c>
      <c r="AN284" s="30">
        <v>1</v>
      </c>
      <c r="AO284" s="30">
        <v>1</v>
      </c>
      <c r="AP284" s="30">
        <v>1</v>
      </c>
      <c r="AQ284" s="30">
        <v>1</v>
      </c>
      <c r="AR284" s="50">
        <v>9.2228725701943806E-2</v>
      </c>
      <c r="AS284" s="34">
        <v>0.16666666666666666</v>
      </c>
      <c r="AT284" s="34">
        <v>0</v>
      </c>
      <c r="AU284" s="34">
        <v>0</v>
      </c>
      <c r="AV284" s="34">
        <v>4.807692307692308E-2</v>
      </c>
      <c r="AW284" s="4"/>
      <c r="AX284" s="8"/>
    </row>
    <row r="285" spans="1:50" s="2" customFormat="1">
      <c r="A285" s="7"/>
      <c r="B285" s="4"/>
      <c r="C285" s="54" t="s">
        <v>284</v>
      </c>
      <c r="D285" s="23" t="s">
        <v>15</v>
      </c>
      <c r="E285" s="55" t="s">
        <v>331</v>
      </c>
      <c r="F285" s="55" t="s">
        <v>331</v>
      </c>
      <c r="G285" s="55" t="s">
        <v>331</v>
      </c>
      <c r="H285" s="55" t="s">
        <v>331</v>
      </c>
      <c r="I285" s="25">
        <v>0.9</v>
      </c>
      <c r="J285" s="26">
        <v>0.91509433962264153</v>
      </c>
      <c r="K285" s="26">
        <v>0.89473684210526316</v>
      </c>
      <c r="L285" s="27">
        <v>0.94957983193277307</v>
      </c>
      <c r="M285" s="26">
        <v>0.90929203539823011</v>
      </c>
      <c r="N285" s="28">
        <v>0.9</v>
      </c>
      <c r="O285" s="26">
        <v>0.91924032658856936</v>
      </c>
      <c r="P285" s="26">
        <v>0.93198016733808486</v>
      </c>
      <c r="Q285" s="26">
        <v>0.94625830684773182</v>
      </c>
      <c r="R285" s="26">
        <v>0.92603878675357698</v>
      </c>
      <c r="S285" s="28">
        <v>0.9</v>
      </c>
      <c r="T285" s="26">
        <v>0.91941782037628683</v>
      </c>
      <c r="U285" s="26">
        <v>0.91973969631236441</v>
      </c>
      <c r="V285" s="26">
        <v>0.93296735047674084</v>
      </c>
      <c r="W285" s="26">
        <v>0.92240631243315241</v>
      </c>
      <c r="X285" s="28">
        <v>0.92</v>
      </c>
      <c r="Y285" s="28">
        <v>0.97100411669948095</v>
      </c>
      <c r="Z285" s="28">
        <v>0.98804066175004979</v>
      </c>
      <c r="AA285" s="28">
        <v>0.99455219001961215</v>
      </c>
      <c r="AB285" s="28">
        <v>0.98781753997369692</v>
      </c>
      <c r="AC285" s="28">
        <v>0.92</v>
      </c>
      <c r="AD285" s="26">
        <v>0.99563794983642306</v>
      </c>
      <c r="AE285" s="26">
        <v>0.83903830480847597</v>
      </c>
      <c r="AF285" s="26">
        <v>0.80906550760633344</v>
      </c>
      <c r="AG285" s="26">
        <v>0.85579893935900397</v>
      </c>
      <c r="AH285" s="28">
        <v>0.92</v>
      </c>
      <c r="AI285" s="26">
        <v>0.98048302290348455</v>
      </c>
      <c r="AJ285" s="26">
        <v>0.99145895067108247</v>
      </c>
      <c r="AK285" s="26">
        <v>0.99626444270697589</v>
      </c>
      <c r="AL285" s="26">
        <v>0.99223930078360456</v>
      </c>
      <c r="AM285" s="25">
        <v>0.99</v>
      </c>
      <c r="AN285" s="30">
        <v>1</v>
      </c>
      <c r="AO285" s="30">
        <v>1</v>
      </c>
      <c r="AP285" s="30">
        <v>1</v>
      </c>
      <c r="AQ285" s="30">
        <v>1</v>
      </c>
      <c r="AR285" s="50">
        <v>9.2228725701943806E-2</v>
      </c>
      <c r="AS285" s="34">
        <v>0</v>
      </c>
      <c r="AT285" s="34">
        <v>8.3333333333333329E-2</v>
      </c>
      <c r="AU285" s="34">
        <v>0.10526315789473684</v>
      </c>
      <c r="AV285" s="34">
        <v>6.5476190476190479E-2</v>
      </c>
      <c r="AW285" s="4"/>
      <c r="AX285" s="8"/>
    </row>
    <row r="286" spans="1:50" s="2" customFormat="1">
      <c r="A286" s="7"/>
      <c r="B286" s="4"/>
      <c r="C286" s="54" t="s">
        <v>284</v>
      </c>
      <c r="D286" s="23" t="s">
        <v>15</v>
      </c>
      <c r="E286" s="55" t="s">
        <v>332</v>
      </c>
      <c r="F286" s="55" t="s">
        <v>332</v>
      </c>
      <c r="G286" s="55" t="s">
        <v>332</v>
      </c>
      <c r="H286" s="55" t="s">
        <v>332</v>
      </c>
      <c r="I286" s="25">
        <v>0.9</v>
      </c>
      <c r="J286" s="26">
        <v>0.8910891089108911</v>
      </c>
      <c r="K286" s="26">
        <v>0.90825688073394495</v>
      </c>
      <c r="L286" s="27">
        <v>0.90825688073394495</v>
      </c>
      <c r="M286" s="26">
        <v>0.88613861386138615</v>
      </c>
      <c r="N286" s="28">
        <v>0.9</v>
      </c>
      <c r="O286" s="26">
        <v>0.91272189349112431</v>
      </c>
      <c r="P286" s="26">
        <v>0.95443987850634271</v>
      </c>
      <c r="Q286" s="26">
        <v>0.9474032418127688</v>
      </c>
      <c r="R286" s="26">
        <v>0.91552598940128538</v>
      </c>
      <c r="S286" s="28">
        <v>0.9</v>
      </c>
      <c r="T286" s="26">
        <v>0.92788461538461542</v>
      </c>
      <c r="U286" s="26">
        <v>0.93567982847954256</v>
      </c>
      <c r="V286" s="26">
        <v>0.93962950711214022</v>
      </c>
      <c r="W286" s="26">
        <v>0.93079264855113319</v>
      </c>
      <c r="X286" s="28">
        <v>0.92</v>
      </c>
      <c r="Y286" s="28">
        <v>0.95187487467415277</v>
      </c>
      <c r="Z286" s="28">
        <v>0.97682041676422382</v>
      </c>
      <c r="AA286" s="28">
        <v>0.97180500658761526</v>
      </c>
      <c r="AB286" s="28">
        <v>0.97078455263018493</v>
      </c>
      <c r="AC286" s="28">
        <v>0.92</v>
      </c>
      <c r="AD286" s="26">
        <v>0.97909642616318271</v>
      </c>
      <c r="AE286" s="26">
        <v>0.98622589531680438</v>
      </c>
      <c r="AF286" s="26">
        <v>0.99273607748184023</v>
      </c>
      <c r="AG286" s="26">
        <v>0.98796407740024073</v>
      </c>
      <c r="AH286" s="28">
        <v>0.92</v>
      </c>
      <c r="AI286" s="26">
        <v>0.97046941131204312</v>
      </c>
      <c r="AJ286" s="26">
        <v>0.98460291734197736</v>
      </c>
      <c r="AK286" s="26">
        <v>0.98363987399654507</v>
      </c>
      <c r="AL286" s="26">
        <v>0.98166210045662106</v>
      </c>
      <c r="AM286" s="25">
        <v>0.99</v>
      </c>
      <c r="AN286" s="30">
        <v>1</v>
      </c>
      <c r="AO286" s="30">
        <v>1</v>
      </c>
      <c r="AP286" s="30">
        <v>1</v>
      </c>
      <c r="AQ286" s="30">
        <v>1</v>
      </c>
      <c r="AR286" s="50">
        <v>9.2228725701943806E-2</v>
      </c>
      <c r="AS286" s="34">
        <v>0.15</v>
      </c>
      <c r="AT286" s="34">
        <v>3.3333333333333333E-2</v>
      </c>
      <c r="AU286" s="34">
        <v>0</v>
      </c>
      <c r="AV286" s="34">
        <v>6.1728395061728392E-2</v>
      </c>
      <c r="AW286" s="4"/>
      <c r="AX286" s="8"/>
    </row>
    <row r="287" spans="1:50" s="2" customFormat="1">
      <c r="A287" s="7"/>
      <c r="B287" s="4"/>
      <c r="C287" s="54" t="s">
        <v>284</v>
      </c>
      <c r="D287" s="23" t="s">
        <v>15</v>
      </c>
      <c r="E287" s="55" t="s">
        <v>333</v>
      </c>
      <c r="F287" s="55" t="s">
        <v>333</v>
      </c>
      <c r="G287" s="55" t="s">
        <v>333</v>
      </c>
      <c r="H287" s="55" t="s">
        <v>333</v>
      </c>
      <c r="I287" s="25">
        <v>0.9</v>
      </c>
      <c r="J287" s="26">
        <v>0.91578947368421049</v>
      </c>
      <c r="K287" s="26">
        <v>0.9642857142857143</v>
      </c>
      <c r="L287" s="27">
        <v>0.9464285714285714</v>
      </c>
      <c r="M287" s="26">
        <v>0.9304556354916067</v>
      </c>
      <c r="N287" s="28">
        <v>0.9</v>
      </c>
      <c r="O287" s="26">
        <v>0.96759776536312847</v>
      </c>
      <c r="P287" s="26">
        <v>0.9702621854654232</v>
      </c>
      <c r="Q287" s="26">
        <v>0.93320610687022898</v>
      </c>
      <c r="R287" s="26">
        <v>0.92708218665375042</v>
      </c>
      <c r="S287" s="28">
        <v>0.9</v>
      </c>
      <c r="T287" s="26">
        <v>0.92923649906890127</v>
      </c>
      <c r="U287" s="26">
        <v>0.95706493049445718</v>
      </c>
      <c r="V287" s="26">
        <v>0.93447837150127222</v>
      </c>
      <c r="W287" s="26">
        <v>0.92963607142070848</v>
      </c>
      <c r="X287" s="28">
        <v>0.92</v>
      </c>
      <c r="Y287" s="28">
        <v>0.96560534591194969</v>
      </c>
      <c r="Z287" s="28">
        <v>0.97533994007835911</v>
      </c>
      <c r="AA287" s="28">
        <v>0.98094282848545633</v>
      </c>
      <c r="AB287" s="28">
        <v>0.9730215827338129</v>
      </c>
      <c r="AC287" s="28">
        <v>0.92</v>
      </c>
      <c r="AD287" s="26">
        <v>0.99128312412831243</v>
      </c>
      <c r="AE287" s="26">
        <v>0.99207135777998012</v>
      </c>
      <c r="AF287" s="26">
        <v>0.99717912552891397</v>
      </c>
      <c r="AG287" s="26">
        <v>0.99051614079883277</v>
      </c>
      <c r="AH287" s="28">
        <v>0.92</v>
      </c>
      <c r="AI287" s="26">
        <v>0.97543021032504784</v>
      </c>
      <c r="AJ287" s="26">
        <v>0.98593095190580726</v>
      </c>
      <c r="AK287" s="26">
        <v>0.98793304787855196</v>
      </c>
      <c r="AL287" s="26">
        <v>0.98286901887291123</v>
      </c>
      <c r="AM287" s="25">
        <v>0.99</v>
      </c>
      <c r="AN287" s="30">
        <v>1</v>
      </c>
      <c r="AO287" s="30">
        <v>1</v>
      </c>
      <c r="AP287" s="30">
        <v>1</v>
      </c>
      <c r="AQ287" s="30">
        <v>1</v>
      </c>
      <c r="AR287" s="50">
        <v>9.2228725701943806E-2</v>
      </c>
      <c r="AS287" s="34">
        <v>0</v>
      </c>
      <c r="AT287" s="34">
        <v>2.9411764705882353E-2</v>
      </c>
      <c r="AU287" s="34">
        <v>0.1111111111111111</v>
      </c>
      <c r="AV287" s="34">
        <v>6.9518716577540107E-2</v>
      </c>
      <c r="AW287" s="4"/>
      <c r="AX287" s="8"/>
    </row>
    <row r="288" spans="1:50" s="2" customFormat="1">
      <c r="A288" s="7"/>
      <c r="B288" s="4"/>
      <c r="C288" s="54" t="s">
        <v>284</v>
      </c>
      <c r="D288" s="23" t="s">
        <v>15</v>
      </c>
      <c r="E288" s="55" t="s">
        <v>334</v>
      </c>
      <c r="F288" s="55" t="s">
        <v>334</v>
      </c>
      <c r="G288" s="55" t="s">
        <v>334</v>
      </c>
      <c r="H288" s="55" t="s">
        <v>334</v>
      </c>
      <c r="I288" s="25">
        <v>0.9</v>
      </c>
      <c r="J288" s="26">
        <v>0.96938775510204078</v>
      </c>
      <c r="K288" s="26">
        <v>0.98019801980198018</v>
      </c>
      <c r="L288" s="27">
        <v>0.96153846153846156</v>
      </c>
      <c r="M288" s="26">
        <v>0.97047970479704793</v>
      </c>
      <c r="N288" s="28">
        <v>0.9</v>
      </c>
      <c r="O288" s="26">
        <v>0.95219832899602797</v>
      </c>
      <c r="P288" s="26">
        <v>0.93694619237190191</v>
      </c>
      <c r="Q288" s="26">
        <v>0.91095495910609381</v>
      </c>
      <c r="R288" s="26">
        <v>0.89275137386566994</v>
      </c>
      <c r="S288" s="28">
        <v>0.9</v>
      </c>
      <c r="T288" s="26">
        <v>0.93699493220106833</v>
      </c>
      <c r="U288" s="26">
        <v>0.9469628868627199</v>
      </c>
      <c r="V288" s="26">
        <v>0.94390047229581842</v>
      </c>
      <c r="W288" s="26">
        <v>0.94228972332641781</v>
      </c>
      <c r="X288" s="28">
        <v>0.92</v>
      </c>
      <c r="Y288" s="28">
        <v>0.96432471787404439</v>
      </c>
      <c r="Z288" s="28">
        <v>0.9704902427415516</v>
      </c>
      <c r="AA288" s="28">
        <v>0.97735849056603774</v>
      </c>
      <c r="AB288" s="28">
        <v>0.97398415537950422</v>
      </c>
      <c r="AC288" s="28">
        <v>0.92</v>
      </c>
      <c r="AD288" s="26">
        <v>0.99695712309820195</v>
      </c>
      <c r="AE288" s="26">
        <v>0.99061823430358431</v>
      </c>
      <c r="AF288" s="26">
        <v>0.99042451324609004</v>
      </c>
      <c r="AG288" s="26">
        <v>0.99077337756583039</v>
      </c>
      <c r="AH288" s="28">
        <v>0.92</v>
      </c>
      <c r="AI288" s="26">
        <v>0.97492038216560506</v>
      </c>
      <c r="AJ288" s="26">
        <v>0.98180347755762232</v>
      </c>
      <c r="AK288" s="26">
        <v>0.98832574031890663</v>
      </c>
      <c r="AL288" s="26">
        <v>0.98442902391257037</v>
      </c>
      <c r="AM288" s="25">
        <v>0.99</v>
      </c>
      <c r="AN288" s="30">
        <v>1</v>
      </c>
      <c r="AO288" s="30">
        <v>1</v>
      </c>
      <c r="AP288" s="30">
        <v>1</v>
      </c>
      <c r="AQ288" s="30">
        <v>1</v>
      </c>
      <c r="AR288" s="50">
        <v>9.2228725701943806E-2</v>
      </c>
      <c r="AS288" s="34">
        <v>7.1428571428571425E-2</v>
      </c>
      <c r="AT288" s="34">
        <v>0.14285714285714285</v>
      </c>
      <c r="AU288" s="34">
        <v>5.5555555555555552E-2</v>
      </c>
      <c r="AV288" s="34">
        <v>5.3892215568862277E-2</v>
      </c>
      <c r="AW288" s="4"/>
      <c r="AX288" s="8"/>
    </row>
    <row r="289" spans="1:50" s="2" customFormat="1">
      <c r="A289" s="7"/>
      <c r="B289" s="4"/>
      <c r="C289" s="54" t="s">
        <v>284</v>
      </c>
      <c r="D289" s="23" t="s">
        <v>15</v>
      </c>
      <c r="E289" s="55" t="s">
        <v>335</v>
      </c>
      <c r="F289" s="55" t="s">
        <v>335</v>
      </c>
      <c r="G289" s="55" t="s">
        <v>335</v>
      </c>
      <c r="H289" s="55" t="s">
        <v>335</v>
      </c>
      <c r="I289" s="25">
        <v>0.9</v>
      </c>
      <c r="J289" s="26">
        <v>0.91919191919191923</v>
      </c>
      <c r="K289" s="26">
        <v>0.9509803921568627</v>
      </c>
      <c r="L289" s="27">
        <v>0.93203883495145634</v>
      </c>
      <c r="M289" s="26">
        <v>0.93652849740932642</v>
      </c>
      <c r="N289" s="28">
        <v>0.9</v>
      </c>
      <c r="O289" s="26">
        <v>0.92964740936930967</v>
      </c>
      <c r="P289" s="26">
        <v>0.92998939233217159</v>
      </c>
      <c r="Q289" s="26">
        <v>0.91083521444695259</v>
      </c>
      <c r="R289" s="26">
        <v>0.91121560501305066</v>
      </c>
      <c r="S289" s="28">
        <v>0.9</v>
      </c>
      <c r="T289" s="26">
        <v>0.92567455719251779</v>
      </c>
      <c r="U289" s="26">
        <v>0.94771935141688135</v>
      </c>
      <c r="V289" s="26">
        <v>0.94864559819413097</v>
      </c>
      <c r="W289" s="26">
        <v>0.93701807168901552</v>
      </c>
      <c r="X289" s="28">
        <v>0.92</v>
      </c>
      <c r="Y289" s="28">
        <v>0.9733587059942912</v>
      </c>
      <c r="Z289" s="28">
        <v>0.98313554028732042</v>
      </c>
      <c r="AA289" s="28">
        <v>0.98602620087336246</v>
      </c>
      <c r="AB289" s="28">
        <v>0.98141183797638154</v>
      </c>
      <c r="AC289" s="28">
        <v>0.92</v>
      </c>
      <c r="AD289" s="26">
        <v>0.99434782608695649</v>
      </c>
      <c r="AE289" s="26">
        <v>0.99750623441396513</v>
      </c>
      <c r="AF289" s="26">
        <v>0.99753815854258987</v>
      </c>
      <c r="AG289" s="26">
        <v>0.99318992225404801</v>
      </c>
      <c r="AH289" s="28">
        <v>0.92</v>
      </c>
      <c r="AI289" s="26">
        <v>0.98114710568242169</v>
      </c>
      <c r="AJ289" s="26">
        <v>0.98903989478298993</v>
      </c>
      <c r="AK289" s="26">
        <v>0.99125814192663697</v>
      </c>
      <c r="AL289" s="26">
        <v>0.98812372210379784</v>
      </c>
      <c r="AM289" s="25">
        <v>0.99</v>
      </c>
      <c r="AN289" s="30">
        <v>1</v>
      </c>
      <c r="AO289" s="30">
        <v>1</v>
      </c>
      <c r="AP289" s="30">
        <v>1</v>
      </c>
      <c r="AQ289" s="30">
        <v>1</v>
      </c>
      <c r="AR289" s="50">
        <v>9.2228725701943806E-2</v>
      </c>
      <c r="AS289" s="34">
        <v>0.16666666666666666</v>
      </c>
      <c r="AT289" s="34">
        <v>3.5714285714285712E-2</v>
      </c>
      <c r="AU289" s="34">
        <v>4.3478260869565216E-2</v>
      </c>
      <c r="AV289" s="34">
        <v>7.8947368421052627E-2</v>
      </c>
      <c r="AW289" s="4"/>
      <c r="AX289" s="8"/>
    </row>
    <row r="290" spans="1:50" s="2" customFormat="1">
      <c r="A290" s="7"/>
      <c r="B290" s="4"/>
      <c r="C290" s="54" t="s">
        <v>284</v>
      </c>
      <c r="D290" s="23" t="s">
        <v>15</v>
      </c>
      <c r="E290" s="55" t="s">
        <v>336</v>
      </c>
      <c r="F290" s="55" t="s">
        <v>336</v>
      </c>
      <c r="G290" s="55" t="s">
        <v>336</v>
      </c>
      <c r="H290" s="55" t="s">
        <v>336</v>
      </c>
      <c r="I290" s="25">
        <v>0.9</v>
      </c>
      <c r="J290" s="26">
        <v>0</v>
      </c>
      <c r="K290" s="26">
        <v>0</v>
      </c>
      <c r="L290" s="27">
        <v>0</v>
      </c>
      <c r="M290" s="26">
        <v>0</v>
      </c>
      <c r="N290" s="28">
        <v>0.9</v>
      </c>
      <c r="O290" s="26">
        <v>0</v>
      </c>
      <c r="P290" s="26">
        <v>0</v>
      </c>
      <c r="Q290" s="26">
        <v>0</v>
      </c>
      <c r="R290" s="26">
        <v>0</v>
      </c>
      <c r="S290" s="28">
        <v>0.9</v>
      </c>
      <c r="T290" s="26">
        <v>0</v>
      </c>
      <c r="U290" s="26">
        <v>0</v>
      </c>
      <c r="V290" s="26">
        <v>0</v>
      </c>
      <c r="W290" s="26">
        <v>0</v>
      </c>
      <c r="X290" s="28">
        <v>0.92</v>
      </c>
      <c r="Y290" s="28">
        <v>0</v>
      </c>
      <c r="Z290" s="28">
        <v>0</v>
      </c>
      <c r="AA290" s="28">
        <v>0</v>
      </c>
      <c r="AB290" s="28">
        <v>0</v>
      </c>
      <c r="AC290" s="28">
        <v>0.92</v>
      </c>
      <c r="AD290" s="26">
        <v>0.99868593955321949</v>
      </c>
      <c r="AE290" s="26">
        <v>0.9944598337950139</v>
      </c>
      <c r="AF290" s="26">
        <v>1</v>
      </c>
      <c r="AG290" s="26">
        <v>0.99358600583090384</v>
      </c>
      <c r="AH290" s="28">
        <v>0.92</v>
      </c>
      <c r="AI290" s="26">
        <v>0</v>
      </c>
      <c r="AJ290" s="26">
        <v>0</v>
      </c>
      <c r="AK290" s="26">
        <v>0</v>
      </c>
      <c r="AL290" s="26">
        <v>0</v>
      </c>
      <c r="AM290" s="25">
        <v>0.99</v>
      </c>
      <c r="AN290" s="30">
        <v>0</v>
      </c>
      <c r="AO290" s="30">
        <v>0</v>
      </c>
      <c r="AP290" s="30">
        <v>1</v>
      </c>
      <c r="AQ290" s="30">
        <v>1</v>
      </c>
      <c r="AR290" s="50">
        <v>9.2228725701943806E-2</v>
      </c>
      <c r="AS290" s="34">
        <v>0</v>
      </c>
      <c r="AT290" s="34">
        <v>0</v>
      </c>
      <c r="AU290" s="34">
        <v>0</v>
      </c>
      <c r="AV290" s="34">
        <v>0</v>
      </c>
      <c r="AW290" s="4"/>
      <c r="AX290" s="8"/>
    </row>
    <row r="291" spans="1:50" s="2" customFormat="1">
      <c r="A291" s="7"/>
      <c r="B291" s="4"/>
      <c r="C291" s="54" t="s">
        <v>284</v>
      </c>
      <c r="D291" s="23" t="s">
        <v>15</v>
      </c>
      <c r="E291" s="55" t="s">
        <v>337</v>
      </c>
      <c r="F291" s="55" t="s">
        <v>337</v>
      </c>
      <c r="G291" s="55" t="s">
        <v>337</v>
      </c>
      <c r="H291" s="55" t="s">
        <v>337</v>
      </c>
      <c r="I291" s="25">
        <v>0.9</v>
      </c>
      <c r="J291" s="26">
        <v>0</v>
      </c>
      <c r="K291" s="26">
        <v>0</v>
      </c>
      <c r="L291" s="27">
        <v>0</v>
      </c>
      <c r="M291" s="26">
        <v>0</v>
      </c>
      <c r="N291" s="28">
        <v>0.9</v>
      </c>
      <c r="O291" s="26">
        <v>0</v>
      </c>
      <c r="P291" s="26">
        <v>0</v>
      </c>
      <c r="Q291" s="26">
        <v>0.5</v>
      </c>
      <c r="R291" s="26">
        <v>0.66666666666666663</v>
      </c>
      <c r="S291" s="28">
        <v>0.9</v>
      </c>
      <c r="T291" s="26">
        <v>0</v>
      </c>
      <c r="U291" s="26">
        <v>0</v>
      </c>
      <c r="V291" s="26">
        <v>1</v>
      </c>
      <c r="W291" s="26">
        <v>1</v>
      </c>
      <c r="X291" s="28">
        <v>0.92</v>
      </c>
      <c r="Y291" s="28">
        <v>0</v>
      </c>
      <c r="Z291" s="28">
        <v>0</v>
      </c>
      <c r="AA291" s="28">
        <v>0</v>
      </c>
      <c r="AB291" s="28">
        <v>0</v>
      </c>
      <c r="AC291" s="28">
        <v>0.92</v>
      </c>
      <c r="AD291" s="26">
        <v>1</v>
      </c>
      <c r="AE291" s="26">
        <v>0.99698492462311561</v>
      </c>
      <c r="AF291" s="26">
        <v>0.99603174603174605</v>
      </c>
      <c r="AG291" s="26">
        <v>0.99760557248585113</v>
      </c>
      <c r="AH291" s="28">
        <v>0.92</v>
      </c>
      <c r="AI291" s="26">
        <v>0</v>
      </c>
      <c r="AJ291" s="26">
        <v>0</v>
      </c>
      <c r="AK291" s="26">
        <v>1</v>
      </c>
      <c r="AL291" s="26">
        <v>1</v>
      </c>
      <c r="AM291" s="25">
        <v>0.99</v>
      </c>
      <c r="AN291" s="30">
        <v>1</v>
      </c>
      <c r="AO291" s="30">
        <v>0</v>
      </c>
      <c r="AP291" s="30">
        <v>1</v>
      </c>
      <c r="AQ291" s="30">
        <v>1</v>
      </c>
      <c r="AR291" s="50">
        <v>9.2228725701943806E-2</v>
      </c>
      <c r="AS291" s="34">
        <v>0</v>
      </c>
      <c r="AT291" s="34">
        <v>0</v>
      </c>
      <c r="AU291" s="34">
        <v>0</v>
      </c>
      <c r="AV291" s="34">
        <v>0</v>
      </c>
      <c r="AW291" s="4"/>
      <c r="AX291" s="8"/>
    </row>
    <row r="292" spans="1:50" s="2" customFormat="1">
      <c r="A292" s="7"/>
      <c r="B292" s="4"/>
      <c r="C292" s="54" t="s">
        <v>284</v>
      </c>
      <c r="D292" s="23" t="s">
        <v>15</v>
      </c>
      <c r="E292" s="55" t="s">
        <v>338</v>
      </c>
      <c r="F292" s="55" t="s">
        <v>338</v>
      </c>
      <c r="G292" s="55" t="s">
        <v>338</v>
      </c>
      <c r="H292" s="55" t="s">
        <v>338</v>
      </c>
      <c r="I292" s="25">
        <v>0.9</v>
      </c>
      <c r="J292" s="26">
        <v>0</v>
      </c>
      <c r="K292" s="26">
        <v>0</v>
      </c>
      <c r="L292" s="27">
        <v>0</v>
      </c>
      <c r="M292" s="26">
        <v>0</v>
      </c>
      <c r="N292" s="28">
        <v>0.9</v>
      </c>
      <c r="O292" s="26">
        <v>0.42857142857142855</v>
      </c>
      <c r="P292" s="26">
        <v>0</v>
      </c>
      <c r="Q292" s="26">
        <v>0</v>
      </c>
      <c r="R292" s="26">
        <v>0.18181818181818182</v>
      </c>
      <c r="S292" s="28">
        <v>0.9</v>
      </c>
      <c r="T292" s="26">
        <v>0.42857142857142855</v>
      </c>
      <c r="U292" s="26">
        <v>0.5</v>
      </c>
      <c r="V292" s="26">
        <v>0.33333333333333331</v>
      </c>
      <c r="W292" s="26">
        <v>0.39393939393939392</v>
      </c>
      <c r="X292" s="28">
        <v>0.92</v>
      </c>
      <c r="Y292" s="28">
        <v>0</v>
      </c>
      <c r="Z292" s="28">
        <v>0</v>
      </c>
      <c r="AA292" s="28">
        <v>0</v>
      </c>
      <c r="AB292" s="28">
        <v>0</v>
      </c>
      <c r="AC292" s="28">
        <v>0.92</v>
      </c>
      <c r="AD292" s="26">
        <v>0.96051849650869114</v>
      </c>
      <c r="AE292" s="26">
        <v>0.53394694098538165</v>
      </c>
      <c r="AF292" s="26">
        <v>0.97442995922887199</v>
      </c>
      <c r="AG292" s="26">
        <v>0.87694457382394042</v>
      </c>
      <c r="AH292" s="28">
        <v>0.92</v>
      </c>
      <c r="AI292" s="26">
        <v>0.42857142857142855</v>
      </c>
      <c r="AJ292" s="26">
        <v>0.5</v>
      </c>
      <c r="AK292" s="26">
        <v>0.38461538461538464</v>
      </c>
      <c r="AL292" s="26">
        <v>0.39130434782608697</v>
      </c>
      <c r="AM292" s="25">
        <v>0.99</v>
      </c>
      <c r="AN292" s="30">
        <v>1</v>
      </c>
      <c r="AO292" s="30">
        <v>1</v>
      </c>
      <c r="AP292" s="30">
        <v>1</v>
      </c>
      <c r="AQ292" s="30">
        <v>1</v>
      </c>
      <c r="AR292" s="50">
        <v>9.2228725701943806E-2</v>
      </c>
      <c r="AS292" s="34">
        <v>0</v>
      </c>
      <c r="AT292" s="34">
        <v>0</v>
      </c>
      <c r="AU292" s="34">
        <v>0</v>
      </c>
      <c r="AV292" s="34">
        <v>0</v>
      </c>
      <c r="AW292" s="4"/>
      <c r="AX292" s="8"/>
    </row>
    <row r="293" spans="1:50" s="2" customFormat="1">
      <c r="A293" s="7"/>
      <c r="B293" s="4"/>
      <c r="C293" s="54" t="s">
        <v>284</v>
      </c>
      <c r="D293" s="23" t="s">
        <v>15</v>
      </c>
      <c r="E293" s="55" t="s">
        <v>339</v>
      </c>
      <c r="F293" s="55" t="s">
        <v>339</v>
      </c>
      <c r="G293" s="55" t="s">
        <v>339</v>
      </c>
      <c r="H293" s="55" t="s">
        <v>339</v>
      </c>
      <c r="I293" s="25">
        <v>0.9</v>
      </c>
      <c r="J293" s="26">
        <v>0</v>
      </c>
      <c r="K293" s="26">
        <v>0</v>
      </c>
      <c r="L293" s="27">
        <v>0</v>
      </c>
      <c r="M293" s="26">
        <v>0</v>
      </c>
      <c r="N293" s="28">
        <v>0.9</v>
      </c>
      <c r="O293" s="26">
        <v>0</v>
      </c>
      <c r="P293" s="26">
        <v>0</v>
      </c>
      <c r="Q293" s="26">
        <v>0</v>
      </c>
      <c r="R293" s="26">
        <v>0</v>
      </c>
      <c r="S293" s="28">
        <v>0.9</v>
      </c>
      <c r="T293" s="26">
        <v>0</v>
      </c>
      <c r="U293" s="26">
        <v>0</v>
      </c>
      <c r="V293" s="26">
        <v>0</v>
      </c>
      <c r="W293" s="26">
        <v>1</v>
      </c>
      <c r="X293" s="28">
        <v>0.92</v>
      </c>
      <c r="Y293" s="28">
        <v>0</v>
      </c>
      <c r="Z293" s="28">
        <v>0</v>
      </c>
      <c r="AA293" s="28">
        <v>0</v>
      </c>
      <c r="AB293" s="28">
        <v>0</v>
      </c>
      <c r="AC293" s="28">
        <v>0.92</v>
      </c>
      <c r="AD293" s="26">
        <v>0.73936170212765961</v>
      </c>
      <c r="AE293" s="26">
        <v>0.99534883720930234</v>
      </c>
      <c r="AF293" s="26">
        <v>1</v>
      </c>
      <c r="AG293" s="26">
        <v>0.95375722543352603</v>
      </c>
      <c r="AH293" s="28">
        <v>0.92</v>
      </c>
      <c r="AI293" s="26">
        <v>0</v>
      </c>
      <c r="AJ293" s="26">
        <v>0</v>
      </c>
      <c r="AK293" s="26">
        <v>0</v>
      </c>
      <c r="AL293" s="26">
        <v>1</v>
      </c>
      <c r="AM293" s="25">
        <v>0.99</v>
      </c>
      <c r="AN293" s="30">
        <v>0</v>
      </c>
      <c r="AO293" s="30">
        <v>0</v>
      </c>
      <c r="AP293" s="30">
        <v>0</v>
      </c>
      <c r="AQ293" s="30">
        <v>0</v>
      </c>
      <c r="AR293" s="50">
        <v>9.2228725701943806E-2</v>
      </c>
      <c r="AS293" s="34">
        <v>0</v>
      </c>
      <c r="AT293" s="34">
        <v>0</v>
      </c>
      <c r="AU293" s="34">
        <v>0</v>
      </c>
      <c r="AV293" s="34">
        <v>0</v>
      </c>
      <c r="AW293" s="4"/>
      <c r="AX293" s="8"/>
    </row>
    <row r="294" spans="1:50" s="2" customFormat="1">
      <c r="A294" s="7"/>
      <c r="B294" s="4"/>
      <c r="C294" s="54" t="s">
        <v>284</v>
      </c>
      <c r="D294" s="23" t="s">
        <v>15</v>
      </c>
      <c r="E294" s="55" t="s">
        <v>340</v>
      </c>
      <c r="F294" s="55" t="s">
        <v>340</v>
      </c>
      <c r="G294" s="55" t="s">
        <v>340</v>
      </c>
      <c r="H294" s="55" t="s">
        <v>340</v>
      </c>
      <c r="I294" s="25">
        <v>0.9</v>
      </c>
      <c r="J294" s="26">
        <v>0</v>
      </c>
      <c r="K294" s="26">
        <v>0</v>
      </c>
      <c r="L294" s="27">
        <v>0</v>
      </c>
      <c r="M294" s="26">
        <v>0</v>
      </c>
      <c r="N294" s="28">
        <v>0.9</v>
      </c>
      <c r="O294" s="26">
        <v>0</v>
      </c>
      <c r="P294" s="26">
        <v>0</v>
      </c>
      <c r="Q294" s="26">
        <v>0</v>
      </c>
      <c r="R294" s="26">
        <v>0</v>
      </c>
      <c r="S294" s="28">
        <v>0.9</v>
      </c>
      <c r="T294" s="26">
        <v>0</v>
      </c>
      <c r="U294" s="26">
        <v>0</v>
      </c>
      <c r="V294" s="26">
        <v>0</v>
      </c>
      <c r="W294" s="26">
        <v>0</v>
      </c>
      <c r="X294" s="28">
        <v>0.92</v>
      </c>
      <c r="Y294" s="28">
        <v>0</v>
      </c>
      <c r="Z294" s="28">
        <v>0</v>
      </c>
      <c r="AA294" s="28">
        <v>0</v>
      </c>
      <c r="AB294" s="28">
        <v>0</v>
      </c>
      <c r="AC294" s="28">
        <v>0.92</v>
      </c>
      <c r="AD294" s="26">
        <v>0.80645161290322576</v>
      </c>
      <c r="AE294" s="26">
        <v>0.88552188552188549</v>
      </c>
      <c r="AF294" s="26">
        <v>0.99797570850202433</v>
      </c>
      <c r="AG294" s="26">
        <v>0.93854258121158907</v>
      </c>
      <c r="AH294" s="28">
        <v>0.92</v>
      </c>
      <c r="AI294" s="26">
        <v>0</v>
      </c>
      <c r="AJ294" s="26">
        <v>0</v>
      </c>
      <c r="AK294" s="26">
        <v>0</v>
      </c>
      <c r="AL294" s="26">
        <v>0</v>
      </c>
      <c r="AM294" s="25">
        <v>0.99</v>
      </c>
      <c r="AN294" s="30">
        <v>0</v>
      </c>
      <c r="AO294" s="30">
        <v>0</v>
      </c>
      <c r="AP294" s="30">
        <v>1</v>
      </c>
      <c r="AQ294" s="30">
        <v>1</v>
      </c>
      <c r="AR294" s="50">
        <v>9.2228725701943806E-2</v>
      </c>
      <c r="AS294" s="34">
        <v>0</v>
      </c>
      <c r="AT294" s="34">
        <v>0</v>
      </c>
      <c r="AU294" s="34">
        <v>0</v>
      </c>
      <c r="AV294" s="34">
        <v>0</v>
      </c>
      <c r="AW294" s="4"/>
      <c r="AX294" s="8"/>
    </row>
    <row r="295" spans="1:50" s="2" customFormat="1">
      <c r="A295" s="7"/>
      <c r="B295" s="4"/>
      <c r="C295" s="54" t="s">
        <v>284</v>
      </c>
      <c r="D295" s="23" t="s">
        <v>15</v>
      </c>
      <c r="E295" s="55" t="s">
        <v>341</v>
      </c>
      <c r="F295" s="55" t="s">
        <v>341</v>
      </c>
      <c r="G295" s="55" t="s">
        <v>341</v>
      </c>
      <c r="H295" s="55" t="s">
        <v>341</v>
      </c>
      <c r="I295" s="25">
        <v>0.9</v>
      </c>
      <c r="J295" s="26">
        <v>0</v>
      </c>
      <c r="K295" s="26">
        <v>0</v>
      </c>
      <c r="L295" s="27">
        <v>0</v>
      </c>
      <c r="M295" s="26">
        <v>0</v>
      </c>
      <c r="N295" s="28">
        <v>0.9</v>
      </c>
      <c r="O295" s="26">
        <v>0</v>
      </c>
      <c r="P295" s="26">
        <v>0</v>
      </c>
      <c r="Q295" s="26">
        <v>0</v>
      </c>
      <c r="R295" s="26">
        <v>0</v>
      </c>
      <c r="S295" s="28">
        <v>0.9</v>
      </c>
      <c r="T295" s="26">
        <v>1</v>
      </c>
      <c r="U295" s="26">
        <v>1</v>
      </c>
      <c r="V295" s="26">
        <v>0</v>
      </c>
      <c r="W295" s="26">
        <v>0.875</v>
      </c>
      <c r="X295" s="28">
        <v>0.92</v>
      </c>
      <c r="Y295" s="28">
        <v>0</v>
      </c>
      <c r="Z295" s="28">
        <v>0</v>
      </c>
      <c r="AA295" s="28">
        <v>0</v>
      </c>
      <c r="AB295" s="28">
        <v>1</v>
      </c>
      <c r="AC295" s="28">
        <v>0.92</v>
      </c>
      <c r="AD295" s="26">
        <v>0.99899916597164307</v>
      </c>
      <c r="AE295" s="26">
        <v>0.99981735159817353</v>
      </c>
      <c r="AF295" s="26">
        <v>0.99960230662159477</v>
      </c>
      <c r="AG295" s="26">
        <v>0.98772892070279816</v>
      </c>
      <c r="AH295" s="28">
        <v>0.92</v>
      </c>
      <c r="AI295" s="26">
        <v>1</v>
      </c>
      <c r="AJ295" s="26">
        <v>1</v>
      </c>
      <c r="AK295" s="26">
        <v>0</v>
      </c>
      <c r="AL295" s="26">
        <v>0.88888888888888884</v>
      </c>
      <c r="AM295" s="25">
        <v>0.99</v>
      </c>
      <c r="AN295" s="30">
        <v>1</v>
      </c>
      <c r="AO295" s="30">
        <v>0</v>
      </c>
      <c r="AP295" s="30">
        <v>0</v>
      </c>
      <c r="AQ295" s="30">
        <v>1</v>
      </c>
      <c r="AR295" s="50">
        <v>9.2228725701943806E-2</v>
      </c>
      <c r="AS295" s="34">
        <v>0</v>
      </c>
      <c r="AT295" s="34">
        <v>0</v>
      </c>
      <c r="AU295" s="34">
        <v>0</v>
      </c>
      <c r="AV295" s="34">
        <v>0</v>
      </c>
      <c r="AW295" s="4"/>
      <c r="AX295" s="8"/>
    </row>
    <row r="296" spans="1:50" s="2" customFormat="1">
      <c r="A296" s="7"/>
      <c r="B296" s="4"/>
      <c r="C296" s="54" t="s">
        <v>284</v>
      </c>
      <c r="D296" s="23" t="s">
        <v>15</v>
      </c>
      <c r="E296" s="55" t="s">
        <v>342</v>
      </c>
      <c r="F296" s="55" t="s">
        <v>342</v>
      </c>
      <c r="G296" s="55" t="s">
        <v>342</v>
      </c>
      <c r="H296" s="55" t="s">
        <v>342</v>
      </c>
      <c r="I296" s="25">
        <v>0.9</v>
      </c>
      <c r="J296" s="26">
        <v>0.93577981651376152</v>
      </c>
      <c r="K296" s="26">
        <v>0.91588785046728971</v>
      </c>
      <c r="L296" s="27">
        <v>0.97222222222222221</v>
      </c>
      <c r="M296" s="26">
        <v>0.94880952380952377</v>
      </c>
      <c r="N296" s="28">
        <v>0.9</v>
      </c>
      <c r="O296" s="26">
        <v>0.89438426453819841</v>
      </c>
      <c r="P296" s="26">
        <v>0.93623310810810811</v>
      </c>
      <c r="Q296" s="26">
        <v>0.94866683279342134</v>
      </c>
      <c r="R296" s="26">
        <v>0.8657407407407407</v>
      </c>
      <c r="S296" s="28">
        <v>0.9</v>
      </c>
      <c r="T296" s="26">
        <v>0.86616305587229192</v>
      </c>
      <c r="U296" s="26">
        <v>0.86725788288288286</v>
      </c>
      <c r="V296" s="26">
        <v>0.84911537503114876</v>
      </c>
      <c r="W296" s="26">
        <v>0.85054385240258845</v>
      </c>
      <c r="X296" s="28">
        <v>0.92</v>
      </c>
      <c r="Y296" s="28">
        <v>0.93995633187772931</v>
      </c>
      <c r="Z296" s="28">
        <v>0.90150336962156563</v>
      </c>
      <c r="AA296" s="28">
        <v>0.92551319648093844</v>
      </c>
      <c r="AB296" s="28">
        <v>0.93217458054611246</v>
      </c>
      <c r="AC296" s="28">
        <v>0.92</v>
      </c>
      <c r="AD296" s="26">
        <v>0.99712230215827335</v>
      </c>
      <c r="AE296" s="26">
        <v>0.99311531841652323</v>
      </c>
      <c r="AF296" s="26">
        <v>0.99319727891156462</v>
      </c>
      <c r="AG296" s="26">
        <v>0.99218154080854315</v>
      </c>
      <c r="AH296" s="28">
        <v>0.92</v>
      </c>
      <c r="AI296" s="26">
        <v>0.95791090629800302</v>
      </c>
      <c r="AJ296" s="26">
        <v>0.96103177239012505</v>
      </c>
      <c r="AK296" s="26">
        <v>0.96649881820984485</v>
      </c>
      <c r="AL296" s="26">
        <v>0.96512115258677145</v>
      </c>
      <c r="AM296" s="25">
        <v>0.99</v>
      </c>
      <c r="AN296" s="30">
        <v>1</v>
      </c>
      <c r="AO296" s="30">
        <v>1</v>
      </c>
      <c r="AP296" s="30">
        <v>1</v>
      </c>
      <c r="AQ296" s="30">
        <v>1</v>
      </c>
      <c r="AR296" s="50">
        <v>9.2228725701943806E-2</v>
      </c>
      <c r="AS296" s="34">
        <v>9.0909090909090912E-2</v>
      </c>
      <c r="AT296" s="34">
        <v>0.35</v>
      </c>
      <c r="AU296" s="34">
        <v>0</v>
      </c>
      <c r="AV296" s="34">
        <v>0.10084033613445378</v>
      </c>
      <c r="AW296" s="4"/>
      <c r="AX296" s="8"/>
    </row>
    <row r="297" spans="1:50" s="2" customFormat="1">
      <c r="A297" s="7"/>
      <c r="B297" s="4"/>
      <c r="C297" s="54" t="s">
        <v>284</v>
      </c>
      <c r="D297" s="23" t="s">
        <v>15</v>
      </c>
      <c r="E297" s="56" t="s">
        <v>343</v>
      </c>
      <c r="F297" s="56" t="s">
        <v>343</v>
      </c>
      <c r="G297" s="56" t="s">
        <v>343</v>
      </c>
      <c r="H297" s="56" t="s">
        <v>343</v>
      </c>
      <c r="I297" s="25">
        <v>0.9</v>
      </c>
      <c r="J297" s="26">
        <v>0</v>
      </c>
      <c r="K297" s="26">
        <v>0</v>
      </c>
      <c r="L297" s="27">
        <v>0</v>
      </c>
      <c r="M297" s="26">
        <v>0</v>
      </c>
      <c r="N297" s="28">
        <v>0.9</v>
      </c>
      <c r="O297" s="26">
        <v>0</v>
      </c>
      <c r="P297" s="26">
        <v>0</v>
      </c>
      <c r="Q297" s="26">
        <v>0</v>
      </c>
      <c r="R297" s="26">
        <v>0</v>
      </c>
      <c r="S297" s="28">
        <v>0.9</v>
      </c>
      <c r="T297" s="26">
        <v>0</v>
      </c>
      <c r="U297" s="26">
        <v>0</v>
      </c>
      <c r="V297" s="26">
        <v>0</v>
      </c>
      <c r="W297" s="26">
        <v>0</v>
      </c>
      <c r="X297" s="28">
        <v>0.92</v>
      </c>
      <c r="Y297" s="28">
        <v>0</v>
      </c>
      <c r="Z297" s="28">
        <v>0</v>
      </c>
      <c r="AA297" s="28">
        <v>0</v>
      </c>
      <c r="AB297" s="28">
        <v>0</v>
      </c>
      <c r="AC297" s="28">
        <v>0.92</v>
      </c>
      <c r="AD297" s="26">
        <v>0</v>
      </c>
      <c r="AE297" s="26">
        <v>0</v>
      </c>
      <c r="AF297" s="26">
        <v>0</v>
      </c>
      <c r="AG297" s="26">
        <v>0</v>
      </c>
      <c r="AH297" s="28">
        <v>0.92</v>
      </c>
      <c r="AI297" s="26">
        <v>0</v>
      </c>
      <c r="AJ297" s="26">
        <v>0</v>
      </c>
      <c r="AK297" s="26">
        <v>0</v>
      </c>
      <c r="AL297" s="26">
        <v>0</v>
      </c>
      <c r="AM297" s="25">
        <v>0.99</v>
      </c>
      <c r="AN297" s="30">
        <v>0</v>
      </c>
      <c r="AO297" s="30">
        <v>0</v>
      </c>
      <c r="AP297" s="30">
        <v>0</v>
      </c>
      <c r="AQ297" s="30">
        <v>0</v>
      </c>
      <c r="AR297" s="50">
        <v>9.2228725701943806E-2</v>
      </c>
      <c r="AS297" s="34">
        <v>0</v>
      </c>
      <c r="AT297" s="34">
        <v>0</v>
      </c>
      <c r="AU297" s="34">
        <v>0</v>
      </c>
      <c r="AV297" s="34">
        <v>0</v>
      </c>
      <c r="AW297" s="4"/>
      <c r="AX297" s="8"/>
    </row>
    <row r="298" spans="1:50" s="2" customFormat="1">
      <c r="A298" s="7"/>
      <c r="B298" s="4"/>
      <c r="C298" s="54" t="s">
        <v>284</v>
      </c>
      <c r="D298" s="23" t="s">
        <v>15</v>
      </c>
      <c r="E298" s="55" t="s">
        <v>344</v>
      </c>
      <c r="F298" s="55" t="s">
        <v>344</v>
      </c>
      <c r="G298" s="55" t="s">
        <v>344</v>
      </c>
      <c r="H298" s="55" t="s">
        <v>344</v>
      </c>
      <c r="I298" s="25">
        <v>0.9</v>
      </c>
      <c r="J298" s="26">
        <v>0.96031746031746035</v>
      </c>
      <c r="K298" s="26">
        <v>0.96992481203007519</v>
      </c>
      <c r="L298" s="27">
        <v>0.96240601503759393</v>
      </c>
      <c r="M298" s="26">
        <v>0.9542801556420234</v>
      </c>
      <c r="N298" s="28">
        <v>0.9</v>
      </c>
      <c r="O298" s="26">
        <v>0.91720189891091874</v>
      </c>
      <c r="P298" s="26">
        <v>0.96479341038926536</v>
      </c>
      <c r="Q298" s="26">
        <v>0.94975609756097557</v>
      </c>
      <c r="R298" s="26">
        <v>0.91464985197946114</v>
      </c>
      <c r="S298" s="28">
        <v>0.9</v>
      </c>
      <c r="T298" s="26">
        <v>0.91692264730522199</v>
      </c>
      <c r="U298" s="26">
        <v>0.92692971967583371</v>
      </c>
      <c r="V298" s="26">
        <v>0.92439024390243907</v>
      </c>
      <c r="W298" s="26">
        <v>0.91240863704025821</v>
      </c>
      <c r="X298" s="28">
        <v>0.92</v>
      </c>
      <c r="Y298" s="28">
        <v>0.97489205181512872</v>
      </c>
      <c r="Z298" s="28">
        <v>0.99013098869549609</v>
      </c>
      <c r="AA298" s="28">
        <v>0.98753595397890703</v>
      </c>
      <c r="AB298" s="28">
        <v>0.97895077720207258</v>
      </c>
      <c r="AC298" s="28">
        <v>0.92</v>
      </c>
      <c r="AD298" s="26">
        <v>0.99511400651465798</v>
      </c>
      <c r="AE298" s="26">
        <v>0.98754756139744038</v>
      </c>
      <c r="AF298" s="26">
        <v>0.99172794117647056</v>
      </c>
      <c r="AG298" s="26">
        <v>0.95597091656874267</v>
      </c>
      <c r="AH298" s="28">
        <v>0.92</v>
      </c>
      <c r="AI298" s="26">
        <v>0.98144283797883436</v>
      </c>
      <c r="AJ298" s="26">
        <v>0.99313291622157795</v>
      </c>
      <c r="AK298" s="26">
        <v>0.99232202758106602</v>
      </c>
      <c r="AL298" s="26">
        <v>0.98619351058375448</v>
      </c>
      <c r="AM298" s="25">
        <v>0.99</v>
      </c>
      <c r="AN298" s="30">
        <v>1</v>
      </c>
      <c r="AO298" s="30">
        <v>1</v>
      </c>
      <c r="AP298" s="30">
        <v>1</v>
      </c>
      <c r="AQ298" s="30">
        <v>1</v>
      </c>
      <c r="AR298" s="50">
        <v>9.2228725701943806E-2</v>
      </c>
      <c r="AS298" s="34">
        <v>0.1111111111111111</v>
      </c>
      <c r="AT298" s="34">
        <v>6.6666666666666666E-2</v>
      </c>
      <c r="AU298" s="34">
        <v>1.0309278350515464E-2</v>
      </c>
      <c r="AV298" s="34">
        <v>3.9344262295081971E-2</v>
      </c>
      <c r="AW298" s="4"/>
      <c r="AX298" s="8"/>
    </row>
    <row r="299" spans="1:50" s="2" customFormat="1">
      <c r="A299" s="7"/>
      <c r="B299" s="4"/>
      <c r="C299" s="54" t="s">
        <v>284</v>
      </c>
      <c r="D299" s="23" t="s">
        <v>15</v>
      </c>
      <c r="E299" s="55" t="s">
        <v>345</v>
      </c>
      <c r="F299" s="55" t="s">
        <v>345</v>
      </c>
      <c r="G299" s="55" t="s">
        <v>345</v>
      </c>
      <c r="H299" s="55" t="s">
        <v>345</v>
      </c>
      <c r="I299" s="25">
        <v>0.9</v>
      </c>
      <c r="J299" s="26">
        <v>0.91379310344827591</v>
      </c>
      <c r="K299" s="26">
        <v>0.97487437185929648</v>
      </c>
      <c r="L299" s="27">
        <v>0.98529411764705888</v>
      </c>
      <c r="M299" s="26">
        <v>0.96127717391304346</v>
      </c>
      <c r="N299" s="28">
        <v>0.9</v>
      </c>
      <c r="O299" s="26">
        <v>0.94664426005671676</v>
      </c>
      <c r="P299" s="26">
        <v>0.94945677846008503</v>
      </c>
      <c r="Q299" s="26">
        <v>0.94271339041398183</v>
      </c>
      <c r="R299" s="26">
        <v>0.92350515463917526</v>
      </c>
      <c r="S299" s="28">
        <v>0.9</v>
      </c>
      <c r="T299" s="26">
        <v>0.92322235059342506</v>
      </c>
      <c r="U299" s="26">
        <v>0.93490788852149265</v>
      </c>
      <c r="V299" s="26">
        <v>0.92532438873686995</v>
      </c>
      <c r="W299" s="26">
        <v>0.91974530018192846</v>
      </c>
      <c r="X299" s="28">
        <v>0.92</v>
      </c>
      <c r="Y299" s="28">
        <v>0.97143542966874696</v>
      </c>
      <c r="Z299" s="28">
        <v>0.98075195688438344</v>
      </c>
      <c r="AA299" s="28">
        <v>0.97893296853625167</v>
      </c>
      <c r="AB299" s="28">
        <v>0.97929469325198581</v>
      </c>
      <c r="AC299" s="28">
        <v>0.92</v>
      </c>
      <c r="AD299" s="26">
        <v>0.99240826655419656</v>
      </c>
      <c r="AE299" s="26">
        <v>0.98617192901590223</v>
      </c>
      <c r="AF299" s="26">
        <v>0.99507591300779652</v>
      </c>
      <c r="AG299" s="26">
        <v>0.98795180722891562</v>
      </c>
      <c r="AH299" s="28">
        <v>0.92</v>
      </c>
      <c r="AI299" s="26">
        <v>0.97872697755136318</v>
      </c>
      <c r="AJ299" s="26">
        <v>0.98809005873395694</v>
      </c>
      <c r="AK299" s="26">
        <v>0.98776955262310906</v>
      </c>
      <c r="AL299" s="26">
        <v>0.98615203495912784</v>
      </c>
      <c r="AM299" s="25">
        <v>0.99</v>
      </c>
      <c r="AN299" s="30">
        <v>1</v>
      </c>
      <c r="AO299" s="30">
        <v>1</v>
      </c>
      <c r="AP299" s="30">
        <v>1</v>
      </c>
      <c r="AQ299" s="30">
        <v>1</v>
      </c>
      <c r="AR299" s="50">
        <v>9.2228725701943806E-2</v>
      </c>
      <c r="AS299" s="34">
        <v>0.26865671641791045</v>
      </c>
      <c r="AT299" s="34">
        <v>0.16666666666666666</v>
      </c>
      <c r="AU299" s="34">
        <v>3.875968992248062E-2</v>
      </c>
      <c r="AV299" s="34">
        <v>0.12171052631578948</v>
      </c>
      <c r="AW299" s="4"/>
      <c r="AX299" s="8"/>
    </row>
    <row r="300" spans="1:50" s="2" customFormat="1">
      <c r="A300" s="7"/>
      <c r="B300" s="4"/>
      <c r="C300" s="54" t="s">
        <v>284</v>
      </c>
      <c r="D300" s="23" t="s">
        <v>15</v>
      </c>
      <c r="E300" s="55" t="s">
        <v>346</v>
      </c>
      <c r="F300" s="55" t="s">
        <v>346</v>
      </c>
      <c r="G300" s="55" t="s">
        <v>346</v>
      </c>
      <c r="H300" s="55" t="s">
        <v>346</v>
      </c>
      <c r="I300" s="25">
        <v>0.9</v>
      </c>
      <c r="J300" s="26">
        <v>0</v>
      </c>
      <c r="K300" s="26">
        <v>0</v>
      </c>
      <c r="L300" s="27">
        <v>0</v>
      </c>
      <c r="M300" s="26">
        <v>0</v>
      </c>
      <c r="N300" s="28">
        <v>0.9</v>
      </c>
      <c r="O300" s="26">
        <v>0</v>
      </c>
      <c r="P300" s="26">
        <v>0</v>
      </c>
      <c r="Q300" s="26">
        <v>0</v>
      </c>
      <c r="R300" s="26">
        <v>0</v>
      </c>
      <c r="S300" s="28">
        <v>0.9</v>
      </c>
      <c r="T300" s="26">
        <v>0</v>
      </c>
      <c r="U300" s="26">
        <v>0</v>
      </c>
      <c r="V300" s="26">
        <v>0</v>
      </c>
      <c r="W300" s="26">
        <v>0</v>
      </c>
      <c r="X300" s="28">
        <v>0.92</v>
      </c>
      <c r="Y300" s="28">
        <v>0</v>
      </c>
      <c r="Z300" s="28">
        <v>0</v>
      </c>
      <c r="AA300" s="28">
        <v>0</v>
      </c>
      <c r="AB300" s="28">
        <v>0</v>
      </c>
      <c r="AC300" s="28">
        <v>0.92</v>
      </c>
      <c r="AD300" s="26">
        <v>0.88875598086124397</v>
      </c>
      <c r="AE300" s="26">
        <v>0.92307692307692313</v>
      </c>
      <c r="AF300" s="26">
        <v>0.95746887966804983</v>
      </c>
      <c r="AG300" s="26">
        <v>0.95846689895470383</v>
      </c>
      <c r="AH300" s="28">
        <v>0.92</v>
      </c>
      <c r="AI300" s="26">
        <v>0</v>
      </c>
      <c r="AJ300" s="26">
        <v>0</v>
      </c>
      <c r="AK300" s="26">
        <v>0</v>
      </c>
      <c r="AL300" s="26">
        <v>0</v>
      </c>
      <c r="AM300" s="25">
        <v>0.99</v>
      </c>
      <c r="AN300" s="30">
        <v>0</v>
      </c>
      <c r="AO300" s="30">
        <v>0</v>
      </c>
      <c r="AP300" s="30">
        <v>1</v>
      </c>
      <c r="AQ300" s="30">
        <v>1</v>
      </c>
      <c r="AR300" s="50">
        <v>9.2228725701943806E-2</v>
      </c>
      <c r="AS300" s="34">
        <v>0</v>
      </c>
      <c r="AT300" s="34">
        <v>0</v>
      </c>
      <c r="AU300" s="34">
        <v>0</v>
      </c>
      <c r="AV300" s="34">
        <v>0</v>
      </c>
      <c r="AW300" s="4"/>
      <c r="AX300" s="8"/>
    </row>
    <row r="301" spans="1:50" s="2" customFormat="1">
      <c r="A301" s="7"/>
      <c r="B301" s="4"/>
      <c r="C301" s="54" t="s">
        <v>284</v>
      </c>
      <c r="D301" s="23" t="s">
        <v>15</v>
      </c>
      <c r="E301" s="55" t="s">
        <v>347</v>
      </c>
      <c r="F301" s="55" t="s">
        <v>347</v>
      </c>
      <c r="G301" s="55" t="s">
        <v>347</v>
      </c>
      <c r="H301" s="55" t="s">
        <v>347</v>
      </c>
      <c r="I301" s="25">
        <v>0.9</v>
      </c>
      <c r="J301" s="26">
        <v>0</v>
      </c>
      <c r="K301" s="26">
        <v>0</v>
      </c>
      <c r="L301" s="27">
        <v>0</v>
      </c>
      <c r="M301" s="26">
        <v>0</v>
      </c>
      <c r="N301" s="28">
        <v>0.9</v>
      </c>
      <c r="O301" s="26">
        <v>0</v>
      </c>
      <c r="P301" s="26">
        <v>0</v>
      </c>
      <c r="Q301" s="26">
        <v>0</v>
      </c>
      <c r="R301" s="26">
        <v>0</v>
      </c>
      <c r="S301" s="28">
        <v>0.9</v>
      </c>
      <c r="T301" s="26">
        <v>0</v>
      </c>
      <c r="U301" s="26">
        <v>0</v>
      </c>
      <c r="V301" s="26">
        <v>0</v>
      </c>
      <c r="W301" s="26">
        <v>0</v>
      </c>
      <c r="X301" s="28">
        <v>0.92</v>
      </c>
      <c r="Y301" s="28">
        <v>0</v>
      </c>
      <c r="Z301" s="28">
        <v>0</v>
      </c>
      <c r="AA301" s="28">
        <v>0</v>
      </c>
      <c r="AB301" s="28">
        <v>0</v>
      </c>
      <c r="AC301" s="28">
        <v>0.92</v>
      </c>
      <c r="AD301" s="26">
        <v>1</v>
      </c>
      <c r="AE301" s="26">
        <v>0.99665551839464883</v>
      </c>
      <c r="AF301" s="26">
        <v>0.99193548387096775</v>
      </c>
      <c r="AG301" s="26">
        <v>0.99472693032015069</v>
      </c>
      <c r="AH301" s="28">
        <v>0.92</v>
      </c>
      <c r="AI301" s="26">
        <v>0</v>
      </c>
      <c r="AJ301" s="26">
        <v>0</v>
      </c>
      <c r="AK301" s="26">
        <v>0</v>
      </c>
      <c r="AL301" s="26">
        <v>0</v>
      </c>
      <c r="AM301" s="25">
        <v>0.99</v>
      </c>
      <c r="AN301" s="30">
        <v>0</v>
      </c>
      <c r="AO301" s="30">
        <v>0</v>
      </c>
      <c r="AP301" s="30">
        <v>1</v>
      </c>
      <c r="AQ301" s="30">
        <v>1</v>
      </c>
      <c r="AR301" s="50">
        <v>9.2228725701943806E-2</v>
      </c>
      <c r="AS301" s="34">
        <v>0</v>
      </c>
      <c r="AT301" s="34">
        <v>0</v>
      </c>
      <c r="AU301" s="34">
        <v>0</v>
      </c>
      <c r="AV301" s="34">
        <v>0</v>
      </c>
      <c r="AW301" s="4"/>
      <c r="AX301" s="8"/>
    </row>
    <row r="302" spans="1:50" s="2" customFormat="1">
      <c r="A302" s="7"/>
      <c r="B302" s="4"/>
      <c r="C302" s="54" t="s">
        <v>284</v>
      </c>
      <c r="D302" s="23" t="s">
        <v>15</v>
      </c>
      <c r="E302" s="55" t="s">
        <v>348</v>
      </c>
      <c r="F302" s="55" t="s">
        <v>348</v>
      </c>
      <c r="G302" s="55" t="s">
        <v>348</v>
      </c>
      <c r="H302" s="55" t="s">
        <v>348</v>
      </c>
      <c r="I302" s="25">
        <v>0.9</v>
      </c>
      <c r="J302" s="26">
        <v>0</v>
      </c>
      <c r="K302" s="26">
        <v>0</v>
      </c>
      <c r="L302" s="27">
        <v>0</v>
      </c>
      <c r="M302" s="26">
        <v>0</v>
      </c>
      <c r="N302" s="28">
        <v>0.9</v>
      </c>
      <c r="O302" s="26">
        <v>1</v>
      </c>
      <c r="P302" s="26">
        <v>0.9375</v>
      </c>
      <c r="Q302" s="26">
        <v>0</v>
      </c>
      <c r="R302" s="26">
        <v>0.96035242290748901</v>
      </c>
      <c r="S302" s="28">
        <v>0.9</v>
      </c>
      <c r="T302" s="26">
        <v>1</v>
      </c>
      <c r="U302" s="26">
        <v>0.9375</v>
      </c>
      <c r="V302" s="26">
        <v>0</v>
      </c>
      <c r="W302" s="26">
        <v>0.96916299559471364</v>
      </c>
      <c r="X302" s="28">
        <v>0.92</v>
      </c>
      <c r="Y302" s="28">
        <v>1</v>
      </c>
      <c r="Z302" s="28">
        <v>0.93333333333333335</v>
      </c>
      <c r="AA302" s="28">
        <v>0</v>
      </c>
      <c r="AB302" s="28">
        <v>0.96808510638297873</v>
      </c>
      <c r="AC302" s="28">
        <v>0.92</v>
      </c>
      <c r="AD302" s="26">
        <v>0.99934832192896705</v>
      </c>
      <c r="AE302" s="26">
        <v>0.99842816724300532</v>
      </c>
      <c r="AF302" s="26">
        <v>0.99798792756539234</v>
      </c>
      <c r="AG302" s="26">
        <v>0.99728573778582008</v>
      </c>
      <c r="AH302" s="28">
        <v>0.92</v>
      </c>
      <c r="AI302" s="26">
        <v>1</v>
      </c>
      <c r="AJ302" s="26">
        <v>0.93650793650793651</v>
      </c>
      <c r="AK302" s="26">
        <v>0</v>
      </c>
      <c r="AL302" s="26">
        <v>0.97023809523809523</v>
      </c>
      <c r="AM302" s="25">
        <v>0.99</v>
      </c>
      <c r="AN302" s="30">
        <v>1</v>
      </c>
      <c r="AO302" s="30">
        <v>1</v>
      </c>
      <c r="AP302" s="30">
        <v>0</v>
      </c>
      <c r="AQ302" s="30">
        <v>1</v>
      </c>
      <c r="AR302" s="50">
        <v>9.2228725701943806E-2</v>
      </c>
      <c r="AS302" s="34">
        <v>0</v>
      </c>
      <c r="AT302" s="34">
        <v>0</v>
      </c>
      <c r="AU302" s="34">
        <v>0</v>
      </c>
      <c r="AV302" s="34">
        <v>0</v>
      </c>
      <c r="AW302" s="4"/>
      <c r="AX302" s="8"/>
    </row>
    <row r="303" spans="1:50" s="2" customFormat="1">
      <c r="A303" s="7"/>
      <c r="B303" s="4"/>
      <c r="C303" s="54" t="s">
        <v>284</v>
      </c>
      <c r="D303" s="23" t="s">
        <v>15</v>
      </c>
      <c r="E303" s="55" t="s">
        <v>349</v>
      </c>
      <c r="F303" s="55" t="s">
        <v>349</v>
      </c>
      <c r="G303" s="55" t="s">
        <v>349</v>
      </c>
      <c r="H303" s="55" t="s">
        <v>349</v>
      </c>
      <c r="I303" s="25">
        <v>0.9</v>
      </c>
      <c r="J303" s="26">
        <v>0</v>
      </c>
      <c r="K303" s="26">
        <v>0</v>
      </c>
      <c r="L303" s="27">
        <v>0</v>
      </c>
      <c r="M303" s="26">
        <v>0</v>
      </c>
      <c r="N303" s="28">
        <v>0.9</v>
      </c>
      <c r="O303" s="26">
        <v>0</v>
      </c>
      <c r="P303" s="26">
        <v>0</v>
      </c>
      <c r="Q303" s="26">
        <v>0</v>
      </c>
      <c r="R303" s="26">
        <v>1</v>
      </c>
      <c r="S303" s="28">
        <v>0.9</v>
      </c>
      <c r="T303" s="26">
        <v>0</v>
      </c>
      <c r="U303" s="26">
        <v>0</v>
      </c>
      <c r="V303" s="26">
        <v>0</v>
      </c>
      <c r="W303" s="26">
        <v>0</v>
      </c>
      <c r="X303" s="28">
        <v>0.92</v>
      </c>
      <c r="Y303" s="28">
        <v>0</v>
      </c>
      <c r="Z303" s="28">
        <v>0</v>
      </c>
      <c r="AA303" s="28">
        <v>0</v>
      </c>
      <c r="AB303" s="28">
        <v>0</v>
      </c>
      <c r="AC303" s="28">
        <v>0.92</v>
      </c>
      <c r="AD303" s="26">
        <v>0.99939061547836683</v>
      </c>
      <c r="AE303" s="26">
        <v>0.99923693246852341</v>
      </c>
      <c r="AF303" s="26">
        <v>0.99980769230769229</v>
      </c>
      <c r="AG303" s="26">
        <v>0.99083496874178079</v>
      </c>
      <c r="AH303" s="28">
        <v>0.92</v>
      </c>
      <c r="AI303" s="26">
        <v>0</v>
      </c>
      <c r="AJ303" s="26">
        <v>0</v>
      </c>
      <c r="AK303" s="26">
        <v>0</v>
      </c>
      <c r="AL303" s="26">
        <v>0</v>
      </c>
      <c r="AM303" s="25">
        <v>0.99</v>
      </c>
      <c r="AN303" s="30">
        <v>1</v>
      </c>
      <c r="AO303" s="30">
        <v>1</v>
      </c>
      <c r="AP303" s="30">
        <v>1</v>
      </c>
      <c r="AQ303" s="30">
        <v>1</v>
      </c>
      <c r="AR303" s="50">
        <v>9.2228725701943806E-2</v>
      </c>
      <c r="AS303" s="34">
        <v>0</v>
      </c>
      <c r="AT303" s="34">
        <v>0</v>
      </c>
      <c r="AU303" s="34">
        <v>0</v>
      </c>
      <c r="AV303" s="34">
        <v>0</v>
      </c>
      <c r="AW303" s="4"/>
      <c r="AX303" s="8"/>
    </row>
    <row r="304" spans="1:50" s="2" customFormat="1">
      <c r="A304" s="7"/>
      <c r="B304" s="4"/>
      <c r="C304" s="54" t="s">
        <v>284</v>
      </c>
      <c r="D304" s="23" t="s">
        <v>15</v>
      </c>
      <c r="E304" s="55" t="s">
        <v>350</v>
      </c>
      <c r="F304" s="55" t="s">
        <v>350</v>
      </c>
      <c r="G304" s="55" t="s">
        <v>350</v>
      </c>
      <c r="H304" s="55" t="s">
        <v>350</v>
      </c>
      <c r="I304" s="25">
        <v>0.9</v>
      </c>
      <c r="J304" s="26">
        <v>0</v>
      </c>
      <c r="K304" s="26">
        <v>0</v>
      </c>
      <c r="L304" s="27">
        <v>0</v>
      </c>
      <c r="M304" s="26">
        <v>0</v>
      </c>
      <c r="N304" s="28">
        <v>0.9</v>
      </c>
      <c r="O304" s="26">
        <v>7.6923076923076927E-2</v>
      </c>
      <c r="P304" s="26">
        <v>0</v>
      </c>
      <c r="Q304" s="26">
        <v>0</v>
      </c>
      <c r="R304" s="26">
        <v>5.8823529411764705E-2</v>
      </c>
      <c r="S304" s="28">
        <v>0.9</v>
      </c>
      <c r="T304" s="26">
        <v>0</v>
      </c>
      <c r="U304" s="26">
        <v>1</v>
      </c>
      <c r="V304" s="26">
        <v>1</v>
      </c>
      <c r="W304" s="26">
        <v>0.66666666666666663</v>
      </c>
      <c r="X304" s="28">
        <v>0.92</v>
      </c>
      <c r="Y304" s="28">
        <v>0</v>
      </c>
      <c r="Z304" s="28">
        <v>0</v>
      </c>
      <c r="AA304" s="28">
        <v>1</v>
      </c>
      <c r="AB304" s="28">
        <v>0.38095238095238093</v>
      </c>
      <c r="AC304" s="28">
        <v>0.92</v>
      </c>
      <c r="AD304" s="26">
        <v>0.94587468982630274</v>
      </c>
      <c r="AE304" s="26">
        <v>0.9893401948171292</v>
      </c>
      <c r="AF304" s="26">
        <v>0.98762654668166483</v>
      </c>
      <c r="AG304" s="26">
        <v>0.97823252292420293</v>
      </c>
      <c r="AH304" s="28">
        <v>0.92</v>
      </c>
      <c r="AI304" s="26">
        <v>0</v>
      </c>
      <c r="AJ304" s="26">
        <v>1</v>
      </c>
      <c r="AK304" s="26">
        <v>1</v>
      </c>
      <c r="AL304" s="26">
        <v>0.58904109589041098</v>
      </c>
      <c r="AM304" s="25">
        <v>0.99</v>
      </c>
      <c r="AN304" s="30">
        <v>1</v>
      </c>
      <c r="AO304" s="30">
        <v>1</v>
      </c>
      <c r="AP304" s="30">
        <v>1</v>
      </c>
      <c r="AQ304" s="30">
        <v>1</v>
      </c>
      <c r="AR304" s="50">
        <v>9.2228725701943806E-2</v>
      </c>
      <c r="AS304" s="34">
        <v>0</v>
      </c>
      <c r="AT304" s="34">
        <v>0</v>
      </c>
      <c r="AU304" s="34">
        <v>0</v>
      </c>
      <c r="AV304" s="34">
        <v>0</v>
      </c>
      <c r="AW304" s="4"/>
      <c r="AX304" s="8"/>
    </row>
    <row r="305" spans="1:50" s="2" customFormat="1">
      <c r="A305" s="7"/>
      <c r="B305" s="4"/>
      <c r="C305" s="54" t="s">
        <v>284</v>
      </c>
      <c r="D305" s="23" t="s">
        <v>15</v>
      </c>
      <c r="E305" s="55" t="s">
        <v>351</v>
      </c>
      <c r="F305" s="55" t="s">
        <v>351</v>
      </c>
      <c r="G305" s="55" t="s">
        <v>351</v>
      </c>
      <c r="H305" s="55" t="s">
        <v>351</v>
      </c>
      <c r="I305" s="25">
        <v>0.9</v>
      </c>
      <c r="J305" s="26">
        <v>0</v>
      </c>
      <c r="K305" s="26">
        <v>0</v>
      </c>
      <c r="L305" s="27">
        <v>0</v>
      </c>
      <c r="M305" s="26">
        <v>0</v>
      </c>
      <c r="N305" s="28">
        <v>0.9</v>
      </c>
      <c r="O305" s="26">
        <v>0</v>
      </c>
      <c r="P305" s="26">
        <v>0</v>
      </c>
      <c r="Q305" s="26">
        <v>0</v>
      </c>
      <c r="R305" s="26">
        <v>0</v>
      </c>
      <c r="S305" s="28">
        <v>0.9</v>
      </c>
      <c r="T305" s="26">
        <v>0</v>
      </c>
      <c r="U305" s="26">
        <v>1</v>
      </c>
      <c r="V305" s="26">
        <v>0</v>
      </c>
      <c r="W305" s="26">
        <v>1</v>
      </c>
      <c r="X305" s="28">
        <v>0.92</v>
      </c>
      <c r="Y305" s="28">
        <v>0</v>
      </c>
      <c r="Z305" s="28">
        <v>0</v>
      </c>
      <c r="AA305" s="28">
        <v>0</v>
      </c>
      <c r="AB305" s="28">
        <v>0</v>
      </c>
      <c r="AC305" s="28">
        <v>0.92</v>
      </c>
      <c r="AD305" s="26">
        <v>0.96291587200678108</v>
      </c>
      <c r="AE305" s="26">
        <v>0.99842693094226842</v>
      </c>
      <c r="AF305" s="26">
        <v>0.99953314659197012</v>
      </c>
      <c r="AG305" s="26">
        <v>0.9937531096246337</v>
      </c>
      <c r="AH305" s="28">
        <v>0.92</v>
      </c>
      <c r="AI305" s="26">
        <v>0</v>
      </c>
      <c r="AJ305" s="26">
        <v>1</v>
      </c>
      <c r="AK305" s="26">
        <v>0</v>
      </c>
      <c r="AL305" s="26">
        <v>0.5</v>
      </c>
      <c r="AM305" s="25">
        <v>0.99</v>
      </c>
      <c r="AN305" s="30">
        <v>1</v>
      </c>
      <c r="AO305" s="30">
        <v>0</v>
      </c>
      <c r="AP305" s="30">
        <v>1</v>
      </c>
      <c r="AQ305" s="30">
        <v>1</v>
      </c>
      <c r="AR305" s="50">
        <v>9.2228725701943806E-2</v>
      </c>
      <c r="AS305" s="34">
        <v>0</v>
      </c>
      <c r="AT305" s="34">
        <v>0</v>
      </c>
      <c r="AU305" s="34">
        <v>0</v>
      </c>
      <c r="AV305" s="34">
        <v>0</v>
      </c>
      <c r="AW305" s="4"/>
      <c r="AX305" s="8"/>
    </row>
    <row r="306" spans="1:50" s="2" customFormat="1">
      <c r="A306" s="7"/>
      <c r="B306" s="4"/>
      <c r="C306" s="54" t="s">
        <v>284</v>
      </c>
      <c r="D306" s="23" t="s">
        <v>15</v>
      </c>
      <c r="E306" s="55" t="s">
        <v>352</v>
      </c>
      <c r="F306" s="55" t="s">
        <v>352</v>
      </c>
      <c r="G306" s="55" t="s">
        <v>352</v>
      </c>
      <c r="H306" s="55" t="s">
        <v>352</v>
      </c>
      <c r="I306" s="25">
        <v>0.9</v>
      </c>
      <c r="J306" s="26">
        <v>0</v>
      </c>
      <c r="K306" s="26">
        <v>0</v>
      </c>
      <c r="L306" s="27">
        <v>0</v>
      </c>
      <c r="M306" s="26">
        <v>0</v>
      </c>
      <c r="N306" s="28">
        <v>0.9</v>
      </c>
      <c r="O306" s="26">
        <v>0</v>
      </c>
      <c r="P306" s="26">
        <v>0</v>
      </c>
      <c r="Q306" s="26">
        <v>0</v>
      </c>
      <c r="R306" s="26">
        <v>0</v>
      </c>
      <c r="S306" s="28">
        <v>0.9</v>
      </c>
      <c r="T306" s="26">
        <v>0</v>
      </c>
      <c r="U306" s="26">
        <v>0</v>
      </c>
      <c r="V306" s="26">
        <v>0</v>
      </c>
      <c r="W306" s="26">
        <v>0</v>
      </c>
      <c r="X306" s="28">
        <v>0.92</v>
      </c>
      <c r="Y306" s="28">
        <v>0</v>
      </c>
      <c r="Z306" s="28">
        <v>0</v>
      </c>
      <c r="AA306" s="28">
        <v>0</v>
      </c>
      <c r="AB306" s="28">
        <v>0</v>
      </c>
      <c r="AC306" s="28">
        <v>0.92</v>
      </c>
      <c r="AD306" s="26">
        <v>1</v>
      </c>
      <c r="AE306" s="26">
        <v>0.95489891135303262</v>
      </c>
      <c r="AF306" s="26">
        <v>0.94435612082670906</v>
      </c>
      <c r="AG306" s="26">
        <v>0.93955936829791387</v>
      </c>
      <c r="AH306" s="28">
        <v>0.92</v>
      </c>
      <c r="AI306" s="26">
        <v>0</v>
      </c>
      <c r="AJ306" s="26">
        <v>0</v>
      </c>
      <c r="AK306" s="26">
        <v>0</v>
      </c>
      <c r="AL306" s="26">
        <v>0</v>
      </c>
      <c r="AM306" s="25">
        <v>0.99</v>
      </c>
      <c r="AN306" s="30">
        <v>0</v>
      </c>
      <c r="AO306" s="30">
        <v>0</v>
      </c>
      <c r="AP306" s="30">
        <v>1</v>
      </c>
      <c r="AQ306" s="30">
        <v>1</v>
      </c>
      <c r="AR306" s="50">
        <v>9.2228725701943806E-2</v>
      </c>
      <c r="AS306" s="34">
        <v>0</v>
      </c>
      <c r="AT306" s="34">
        <v>0</v>
      </c>
      <c r="AU306" s="34">
        <v>0</v>
      </c>
      <c r="AV306" s="34">
        <v>0</v>
      </c>
      <c r="AW306" s="4"/>
      <c r="AX306" s="8"/>
    </row>
    <row r="307" spans="1:50" s="2" customFormat="1">
      <c r="A307" s="7"/>
      <c r="B307" s="4"/>
      <c r="C307" s="54" t="s">
        <v>284</v>
      </c>
      <c r="D307" s="23" t="s">
        <v>15</v>
      </c>
      <c r="E307" s="55" t="s">
        <v>353</v>
      </c>
      <c r="F307" s="55" t="s">
        <v>353</v>
      </c>
      <c r="G307" s="55" t="s">
        <v>353</v>
      </c>
      <c r="H307" s="55" t="s">
        <v>353</v>
      </c>
      <c r="I307" s="25">
        <v>0.9</v>
      </c>
      <c r="J307" s="26">
        <v>0.95412844036697253</v>
      </c>
      <c r="K307" s="26">
        <v>0.96638655462184875</v>
      </c>
      <c r="L307" s="27">
        <v>0.98245614035087714</v>
      </c>
      <c r="M307" s="26">
        <v>0.98171428571428576</v>
      </c>
      <c r="N307" s="28">
        <v>0.9</v>
      </c>
      <c r="O307" s="26">
        <v>0.94540727902946275</v>
      </c>
      <c r="P307" s="26">
        <v>0.97316547954281929</v>
      </c>
      <c r="Q307" s="26">
        <v>0.96449614745429824</v>
      </c>
      <c r="R307" s="26">
        <v>0.95472686710739063</v>
      </c>
      <c r="S307" s="28">
        <v>0.9</v>
      </c>
      <c r="T307" s="26">
        <v>0.9251299826689775</v>
      </c>
      <c r="U307" s="26">
        <v>0.95411628292198114</v>
      </c>
      <c r="V307" s="26">
        <v>0.95361837135518956</v>
      </c>
      <c r="W307" s="26">
        <v>0.93933563928856501</v>
      </c>
      <c r="X307" s="28">
        <v>0.92</v>
      </c>
      <c r="Y307" s="28">
        <v>0.98004759289767529</v>
      </c>
      <c r="Z307" s="28">
        <v>0.98883505371813774</v>
      </c>
      <c r="AA307" s="28">
        <v>0.99340555817239751</v>
      </c>
      <c r="AB307" s="28">
        <v>0.98492597577388963</v>
      </c>
      <c r="AC307" s="28">
        <v>0.92</v>
      </c>
      <c r="AD307" s="26">
        <v>0.99182004089979547</v>
      </c>
      <c r="AE307" s="26">
        <v>0.99035460992907798</v>
      </c>
      <c r="AF307" s="26">
        <v>0.9997714808043876</v>
      </c>
      <c r="AG307" s="26">
        <v>0.9922931553770743</v>
      </c>
      <c r="AH307" s="28">
        <v>0.92</v>
      </c>
      <c r="AI307" s="26">
        <v>0.98513705945176222</v>
      </c>
      <c r="AJ307" s="26">
        <v>0.99267433234421365</v>
      </c>
      <c r="AK307" s="26">
        <v>0.99540229885057474</v>
      </c>
      <c r="AL307" s="26">
        <v>0.99027265535338227</v>
      </c>
      <c r="AM307" s="25">
        <v>0.99</v>
      </c>
      <c r="AN307" s="30">
        <v>1</v>
      </c>
      <c r="AO307" s="30">
        <v>1</v>
      </c>
      <c r="AP307" s="30">
        <v>1</v>
      </c>
      <c r="AQ307" s="30">
        <v>1</v>
      </c>
      <c r="AR307" s="50">
        <v>9.2228725701943806E-2</v>
      </c>
      <c r="AS307" s="34">
        <v>0</v>
      </c>
      <c r="AT307" s="34">
        <v>0</v>
      </c>
      <c r="AU307" s="34">
        <v>8.3333333333333329E-2</v>
      </c>
      <c r="AV307" s="34">
        <v>4.797047970479705E-2</v>
      </c>
      <c r="AW307" s="4"/>
      <c r="AX307" s="8"/>
    </row>
    <row r="308" spans="1:50" s="2" customFormat="1">
      <c r="A308" s="7"/>
      <c r="B308" s="4"/>
      <c r="C308" s="54" t="s">
        <v>284</v>
      </c>
      <c r="D308" s="23" t="s">
        <v>15</v>
      </c>
      <c r="E308" s="55" t="s">
        <v>354</v>
      </c>
      <c r="F308" s="55" t="s">
        <v>354</v>
      </c>
      <c r="G308" s="55" t="s">
        <v>354</v>
      </c>
      <c r="H308" s="55" t="s">
        <v>354</v>
      </c>
      <c r="I308" s="25">
        <v>0.9</v>
      </c>
      <c r="J308" s="26">
        <v>0</v>
      </c>
      <c r="K308" s="26">
        <v>0</v>
      </c>
      <c r="L308" s="27">
        <v>0</v>
      </c>
      <c r="M308" s="26">
        <v>0</v>
      </c>
      <c r="N308" s="28">
        <v>0.9</v>
      </c>
      <c r="O308" s="26">
        <v>0</v>
      </c>
      <c r="P308" s="26">
        <v>0</v>
      </c>
      <c r="Q308" s="26">
        <v>0</v>
      </c>
      <c r="R308" s="26">
        <v>0</v>
      </c>
      <c r="S308" s="28">
        <v>0.9</v>
      </c>
      <c r="T308" s="26">
        <v>0</v>
      </c>
      <c r="U308" s="26">
        <v>0</v>
      </c>
      <c r="V308" s="26">
        <v>0</v>
      </c>
      <c r="W308" s="26">
        <v>1</v>
      </c>
      <c r="X308" s="28">
        <v>0.92</v>
      </c>
      <c r="Y308" s="28">
        <v>0</v>
      </c>
      <c r="Z308" s="28">
        <v>0</v>
      </c>
      <c r="AA308" s="28">
        <v>0</v>
      </c>
      <c r="AB308" s="28">
        <v>0</v>
      </c>
      <c r="AC308" s="28">
        <v>0.92</v>
      </c>
      <c r="AD308" s="26">
        <v>1</v>
      </c>
      <c r="AE308" s="26">
        <v>1</v>
      </c>
      <c r="AF308" s="26">
        <v>1</v>
      </c>
      <c r="AG308" s="26">
        <v>0.99785292538915726</v>
      </c>
      <c r="AH308" s="28">
        <v>0.92</v>
      </c>
      <c r="AI308" s="26">
        <v>0</v>
      </c>
      <c r="AJ308" s="26">
        <v>0</v>
      </c>
      <c r="AK308" s="26">
        <v>0</v>
      </c>
      <c r="AL308" s="26">
        <v>1</v>
      </c>
      <c r="AM308" s="25">
        <v>0.99</v>
      </c>
      <c r="AN308" s="30">
        <v>1</v>
      </c>
      <c r="AO308" s="30">
        <v>1</v>
      </c>
      <c r="AP308" s="30">
        <v>1</v>
      </c>
      <c r="AQ308" s="30">
        <v>1</v>
      </c>
      <c r="AR308" s="50">
        <v>9.2228725701943806E-2</v>
      </c>
      <c r="AS308" s="34">
        <v>0</v>
      </c>
      <c r="AT308" s="34">
        <v>0</v>
      </c>
      <c r="AU308" s="34">
        <v>0</v>
      </c>
      <c r="AV308" s="34">
        <v>0</v>
      </c>
      <c r="AW308" s="4"/>
      <c r="AX308" s="8"/>
    </row>
    <row r="309" spans="1:50" s="2" customFormat="1">
      <c r="A309" s="7"/>
      <c r="B309" s="4"/>
      <c r="C309" s="54" t="s">
        <v>284</v>
      </c>
      <c r="D309" s="23" t="s">
        <v>15</v>
      </c>
      <c r="E309" s="55" t="s">
        <v>355</v>
      </c>
      <c r="F309" s="55" t="s">
        <v>355</v>
      </c>
      <c r="G309" s="55" t="s">
        <v>355</v>
      </c>
      <c r="H309" s="55" t="s">
        <v>355</v>
      </c>
      <c r="I309" s="25">
        <v>0.9</v>
      </c>
      <c r="J309" s="26">
        <v>0</v>
      </c>
      <c r="K309" s="26">
        <v>0</v>
      </c>
      <c r="L309" s="27">
        <v>0</v>
      </c>
      <c r="M309" s="26">
        <v>0</v>
      </c>
      <c r="N309" s="28">
        <v>0.9</v>
      </c>
      <c r="O309" s="26">
        <v>0.5</v>
      </c>
      <c r="P309" s="26">
        <v>1</v>
      </c>
      <c r="Q309" s="26">
        <v>0</v>
      </c>
      <c r="R309" s="26">
        <v>0.9</v>
      </c>
      <c r="S309" s="28">
        <v>0.9</v>
      </c>
      <c r="T309" s="26">
        <v>0.5</v>
      </c>
      <c r="U309" s="26">
        <v>1</v>
      </c>
      <c r="V309" s="26">
        <v>0</v>
      </c>
      <c r="W309" s="26">
        <v>0.9</v>
      </c>
      <c r="X309" s="28">
        <v>0.92</v>
      </c>
      <c r="Y309" s="28">
        <v>0</v>
      </c>
      <c r="Z309" s="28">
        <v>0</v>
      </c>
      <c r="AA309" s="28">
        <v>0</v>
      </c>
      <c r="AB309" s="28">
        <v>0</v>
      </c>
      <c r="AC309" s="28">
        <v>0.92</v>
      </c>
      <c r="AD309" s="26">
        <v>0.99926071956628881</v>
      </c>
      <c r="AE309" s="26">
        <v>0.9986956521739131</v>
      </c>
      <c r="AF309" s="26">
        <v>0.99914602903501282</v>
      </c>
      <c r="AG309" s="26">
        <v>0.99816914879081842</v>
      </c>
      <c r="AH309" s="28">
        <v>0.92</v>
      </c>
      <c r="AI309" s="26">
        <v>0.75</v>
      </c>
      <c r="AJ309" s="26">
        <v>0.5</v>
      </c>
      <c r="AK309" s="26">
        <v>0</v>
      </c>
      <c r="AL309" s="26">
        <v>0.8</v>
      </c>
      <c r="AM309" s="25">
        <v>0.99</v>
      </c>
      <c r="AN309" s="30">
        <v>1</v>
      </c>
      <c r="AO309" s="30">
        <v>0</v>
      </c>
      <c r="AP309" s="30">
        <v>0</v>
      </c>
      <c r="AQ309" s="30">
        <v>1</v>
      </c>
      <c r="AR309" s="50">
        <v>9.2228725701943806E-2</v>
      </c>
      <c r="AS309" s="34">
        <v>0</v>
      </c>
      <c r="AT309" s="34">
        <v>0</v>
      </c>
      <c r="AU309" s="34">
        <v>0</v>
      </c>
      <c r="AV309" s="34">
        <v>0</v>
      </c>
      <c r="AW309" s="4"/>
      <c r="AX309" s="8"/>
    </row>
    <row r="310" spans="1:50" s="2" customFormat="1">
      <c r="A310" s="7"/>
      <c r="B310" s="4"/>
      <c r="C310" s="54" t="s">
        <v>284</v>
      </c>
      <c r="D310" s="23" t="s">
        <v>15</v>
      </c>
      <c r="E310" s="55" t="s">
        <v>356</v>
      </c>
      <c r="F310" s="55" t="s">
        <v>356</v>
      </c>
      <c r="G310" s="55" t="s">
        <v>356</v>
      </c>
      <c r="H310" s="55" t="s">
        <v>356</v>
      </c>
      <c r="I310" s="25">
        <v>0.9</v>
      </c>
      <c r="J310" s="26">
        <v>0.96341463414634143</v>
      </c>
      <c r="K310" s="26">
        <v>0.97619047619047616</v>
      </c>
      <c r="L310" s="27">
        <v>0.97701149425287359</v>
      </c>
      <c r="M310" s="26">
        <v>0.95909090909090911</v>
      </c>
      <c r="N310" s="28">
        <v>0.9</v>
      </c>
      <c r="O310" s="26">
        <v>0.95264030310206016</v>
      </c>
      <c r="P310" s="26">
        <v>0.9731864477239659</v>
      </c>
      <c r="Q310" s="26">
        <v>0.97252637865817237</v>
      </c>
      <c r="R310" s="26">
        <v>0.95723411648357526</v>
      </c>
      <c r="S310" s="28">
        <v>0.9</v>
      </c>
      <c r="T310" s="26">
        <v>0.93440681979635332</v>
      </c>
      <c r="U310" s="26">
        <v>0.93805861567241733</v>
      </c>
      <c r="V310" s="26">
        <v>0.94624726259207648</v>
      </c>
      <c r="W310" s="26">
        <v>0.93168150108251147</v>
      </c>
      <c r="X310" s="28">
        <v>0.92</v>
      </c>
      <c r="Y310" s="28">
        <v>0.97889738855183328</v>
      </c>
      <c r="Z310" s="28">
        <v>0.99106877046740105</v>
      </c>
      <c r="AA310" s="28">
        <v>0.9939117199391172</v>
      </c>
      <c r="AB310" s="28">
        <v>0.98923712177621337</v>
      </c>
      <c r="AC310" s="28">
        <v>0.92</v>
      </c>
      <c r="AD310" s="26">
        <v>0.98572448251249112</v>
      </c>
      <c r="AE310" s="26">
        <v>0.97124813029749046</v>
      </c>
      <c r="AF310" s="26">
        <v>0.99063816508035574</v>
      </c>
      <c r="AG310" s="26">
        <v>0.96862252902416068</v>
      </c>
      <c r="AH310" s="28">
        <v>0.92</v>
      </c>
      <c r="AI310" s="26">
        <v>0.98465185924631893</v>
      </c>
      <c r="AJ310" s="26">
        <v>0.99388454011741678</v>
      </c>
      <c r="AK310" s="26">
        <v>0.99602792489167069</v>
      </c>
      <c r="AL310" s="26">
        <v>0.9927729912947395</v>
      </c>
      <c r="AM310" s="25">
        <v>0.99</v>
      </c>
      <c r="AN310" s="30">
        <v>1</v>
      </c>
      <c r="AO310" s="30">
        <v>1</v>
      </c>
      <c r="AP310" s="30">
        <v>1</v>
      </c>
      <c r="AQ310" s="30">
        <v>1</v>
      </c>
      <c r="AR310" s="50">
        <v>9.2228725701943806E-2</v>
      </c>
      <c r="AS310" s="34">
        <v>0.31428571428571428</v>
      </c>
      <c r="AT310" s="34">
        <v>4.6511627906976744E-2</v>
      </c>
      <c r="AU310" s="34">
        <v>2.3255813953488372E-2</v>
      </c>
      <c r="AV310" s="34">
        <v>0.10914454277286136</v>
      </c>
      <c r="AW310" s="4"/>
      <c r="AX310" s="8"/>
    </row>
    <row r="311" spans="1:50" s="2" customFormat="1">
      <c r="A311" s="7"/>
      <c r="B311" s="4"/>
      <c r="C311" s="54" t="s">
        <v>284</v>
      </c>
      <c r="D311" s="23" t="s">
        <v>15</v>
      </c>
      <c r="E311" s="55" t="s">
        <v>357</v>
      </c>
      <c r="F311" s="55" t="s">
        <v>357</v>
      </c>
      <c r="G311" s="55" t="s">
        <v>357</v>
      </c>
      <c r="H311" s="55" t="s">
        <v>357</v>
      </c>
      <c r="I311" s="25">
        <v>0.9</v>
      </c>
      <c r="J311" s="26">
        <v>0.9555555555555556</v>
      </c>
      <c r="K311" s="26">
        <v>1</v>
      </c>
      <c r="L311" s="27">
        <v>1</v>
      </c>
      <c r="M311" s="26">
        <v>0.98410596026490071</v>
      </c>
      <c r="N311" s="28">
        <v>0.9</v>
      </c>
      <c r="O311" s="26">
        <v>0.9700698875721665</v>
      </c>
      <c r="P311" s="26">
        <v>0.96304751034384362</v>
      </c>
      <c r="Q311" s="26">
        <v>0.97354355959380012</v>
      </c>
      <c r="R311" s="26">
        <v>0.96355903788801245</v>
      </c>
      <c r="S311" s="28">
        <v>0.9</v>
      </c>
      <c r="T311" s="26">
        <v>0.9413552111820116</v>
      </c>
      <c r="U311" s="26">
        <v>0.93066057925524326</v>
      </c>
      <c r="V311" s="26">
        <v>0.94708711918760025</v>
      </c>
      <c r="W311" s="26">
        <v>0.932076870136058</v>
      </c>
      <c r="X311" s="28">
        <v>0.92</v>
      </c>
      <c r="Y311" s="28">
        <v>0.90293999194522756</v>
      </c>
      <c r="Z311" s="28">
        <v>0.93336724313326547</v>
      </c>
      <c r="AA311" s="28">
        <v>0.95126050420168062</v>
      </c>
      <c r="AB311" s="28">
        <v>0.94005895840157228</v>
      </c>
      <c r="AC311" s="28">
        <v>0.92</v>
      </c>
      <c r="AD311" s="26">
        <v>0.96105702364394996</v>
      </c>
      <c r="AE311" s="26">
        <v>0.98097412480974122</v>
      </c>
      <c r="AF311" s="26">
        <v>0.96795827123695977</v>
      </c>
      <c r="AG311" s="26">
        <v>0.97130358705161857</v>
      </c>
      <c r="AH311" s="28">
        <v>0.92</v>
      </c>
      <c r="AI311" s="26">
        <v>0.95191353259071354</v>
      </c>
      <c r="AJ311" s="26">
        <v>0.96323529411764708</v>
      </c>
      <c r="AK311" s="26">
        <v>0.97551504692050484</v>
      </c>
      <c r="AL311" s="26">
        <v>0.96849333333333332</v>
      </c>
      <c r="AM311" s="25">
        <v>0.99</v>
      </c>
      <c r="AN311" s="30">
        <v>1</v>
      </c>
      <c r="AO311" s="30">
        <v>1</v>
      </c>
      <c r="AP311" s="30">
        <v>1</v>
      </c>
      <c r="AQ311" s="30">
        <v>1</v>
      </c>
      <c r="AR311" s="50">
        <v>9.2228725701943806E-2</v>
      </c>
      <c r="AS311" s="34">
        <v>0</v>
      </c>
      <c r="AT311" s="34">
        <v>4.1666666666666664E-2</v>
      </c>
      <c r="AU311" s="34">
        <v>5.5555555555555552E-2</v>
      </c>
      <c r="AV311" s="34">
        <v>5.7971014492753624E-2</v>
      </c>
      <c r="AW311" s="4"/>
      <c r="AX311" s="8"/>
    </row>
    <row r="312" spans="1:50" s="2" customFormat="1">
      <c r="A312" s="7"/>
      <c r="B312" s="4"/>
      <c r="C312" s="54" t="s">
        <v>284</v>
      </c>
      <c r="D312" s="23" t="s">
        <v>15</v>
      </c>
      <c r="E312" s="55" t="s">
        <v>358</v>
      </c>
      <c r="F312" s="55" t="s">
        <v>358</v>
      </c>
      <c r="G312" s="55" t="s">
        <v>358</v>
      </c>
      <c r="H312" s="55" t="s">
        <v>358</v>
      </c>
      <c r="I312" s="25">
        <v>0.9</v>
      </c>
      <c r="J312" s="26">
        <v>0.96825396825396826</v>
      </c>
      <c r="K312" s="26">
        <v>0.98477157360406087</v>
      </c>
      <c r="L312" s="27">
        <v>0.9747474747474747</v>
      </c>
      <c r="M312" s="26">
        <v>0.97388316151202747</v>
      </c>
      <c r="N312" s="28">
        <v>0.9</v>
      </c>
      <c r="O312" s="26">
        <v>0.96928181526276358</v>
      </c>
      <c r="P312" s="26">
        <v>0.97458052848387422</v>
      </c>
      <c r="Q312" s="26">
        <v>0.93576542120231443</v>
      </c>
      <c r="R312" s="26">
        <v>0.94881063894349382</v>
      </c>
      <c r="S312" s="28">
        <v>0.9</v>
      </c>
      <c r="T312" s="26">
        <v>0.9572942309750615</v>
      </c>
      <c r="U312" s="26">
        <v>0.95036672360092433</v>
      </c>
      <c r="V312" s="26">
        <v>0.92291850544277731</v>
      </c>
      <c r="W312" s="26">
        <v>0.94280776284021794</v>
      </c>
      <c r="X312" s="28">
        <v>0.92</v>
      </c>
      <c r="Y312" s="28">
        <v>0.95931903603802782</v>
      </c>
      <c r="Z312" s="28">
        <v>0.9773755656108597</v>
      </c>
      <c r="AA312" s="28">
        <v>0.97699810743921967</v>
      </c>
      <c r="AB312" s="28">
        <v>0.97304586340581378</v>
      </c>
      <c r="AC312" s="28">
        <v>0.92</v>
      </c>
      <c r="AD312" s="26">
        <v>0.97834394904458599</v>
      </c>
      <c r="AE312" s="26">
        <v>0.98877176901924835</v>
      </c>
      <c r="AF312" s="26">
        <v>0.97864595971851487</v>
      </c>
      <c r="AG312" s="26">
        <v>0.98440074700648139</v>
      </c>
      <c r="AH312" s="28">
        <v>0.92</v>
      </c>
      <c r="AI312" s="26">
        <v>0.97509651459953239</v>
      </c>
      <c r="AJ312" s="26">
        <v>0.98559946416610855</v>
      </c>
      <c r="AK312" s="26">
        <v>0.98716821937071542</v>
      </c>
      <c r="AL312" s="26">
        <v>0.98384718973704732</v>
      </c>
      <c r="AM312" s="25">
        <v>0.99</v>
      </c>
      <c r="AN312" s="30">
        <v>1</v>
      </c>
      <c r="AO312" s="30">
        <v>1</v>
      </c>
      <c r="AP312" s="30">
        <v>1</v>
      </c>
      <c r="AQ312" s="30">
        <v>1</v>
      </c>
      <c r="AR312" s="50">
        <v>9.2228725701943806E-2</v>
      </c>
      <c r="AS312" s="34">
        <v>0.10810810810810811</v>
      </c>
      <c r="AT312" s="34">
        <v>9.7560975609756101E-2</v>
      </c>
      <c r="AU312" s="34">
        <v>4.5454545454545456E-2</v>
      </c>
      <c r="AV312" s="34">
        <v>8.1355932203389825E-2</v>
      </c>
      <c r="AW312" s="4"/>
      <c r="AX312" s="8"/>
    </row>
    <row r="313" spans="1:50" s="2" customFormat="1">
      <c r="A313" s="7"/>
      <c r="B313" s="4"/>
      <c r="C313" s="54" t="s">
        <v>284</v>
      </c>
      <c r="D313" s="23" t="s">
        <v>15</v>
      </c>
      <c r="E313" s="55" t="s">
        <v>359</v>
      </c>
      <c r="F313" s="55" t="s">
        <v>359</v>
      </c>
      <c r="G313" s="55" t="s">
        <v>359</v>
      </c>
      <c r="H313" s="55" t="s">
        <v>359</v>
      </c>
      <c r="I313" s="25">
        <v>0.9</v>
      </c>
      <c r="J313" s="26">
        <v>0.95</v>
      </c>
      <c r="K313" s="26">
        <v>0.98076923076923073</v>
      </c>
      <c r="L313" s="27">
        <v>0.96261682242990654</v>
      </c>
      <c r="M313" s="26">
        <v>0.98</v>
      </c>
      <c r="N313" s="28">
        <v>0.9</v>
      </c>
      <c r="O313" s="26">
        <v>0.98060392329733304</v>
      </c>
      <c r="P313" s="26">
        <v>0.9823734371797499</v>
      </c>
      <c r="Q313" s="26">
        <v>0.98420436817472701</v>
      </c>
      <c r="R313" s="26">
        <v>0.96931186555674431</v>
      </c>
      <c r="S313" s="28">
        <v>0.9</v>
      </c>
      <c r="T313" s="26">
        <v>0.97068547498346924</v>
      </c>
      <c r="U313" s="26">
        <v>0.96474687435949991</v>
      </c>
      <c r="V313" s="26">
        <v>0.95787831513260535</v>
      </c>
      <c r="W313" s="26">
        <v>0.95172359802719131</v>
      </c>
      <c r="X313" s="28">
        <v>0.92</v>
      </c>
      <c r="Y313" s="28">
        <v>0.96266788071932619</v>
      </c>
      <c r="Z313" s="28">
        <v>0.96750609260763609</v>
      </c>
      <c r="AA313" s="28">
        <v>0.98215266337177376</v>
      </c>
      <c r="AB313" s="28">
        <v>0.97717504075885575</v>
      </c>
      <c r="AC313" s="28">
        <v>0.92</v>
      </c>
      <c r="AD313" s="26">
        <v>0.99934232160473524</v>
      </c>
      <c r="AE313" s="26">
        <v>0.99871134020618557</v>
      </c>
      <c r="AF313" s="26">
        <v>1</v>
      </c>
      <c r="AG313" s="26">
        <v>0.99901634736990019</v>
      </c>
      <c r="AH313" s="28">
        <v>0.92</v>
      </c>
      <c r="AI313" s="26">
        <v>0.97648902821316619</v>
      </c>
      <c r="AJ313" s="26">
        <v>0.98261782547830145</v>
      </c>
      <c r="AK313" s="26">
        <v>0.98859749144811859</v>
      </c>
      <c r="AL313" s="26">
        <v>0.98584670033856914</v>
      </c>
      <c r="AM313" s="25">
        <v>0.99</v>
      </c>
      <c r="AN313" s="30">
        <v>1</v>
      </c>
      <c r="AO313" s="30">
        <v>1</v>
      </c>
      <c r="AP313" s="30">
        <v>1</v>
      </c>
      <c r="AQ313" s="30">
        <v>1</v>
      </c>
      <c r="AR313" s="50">
        <v>9.2228725701943806E-2</v>
      </c>
      <c r="AS313" s="34">
        <v>0.14285714285714285</v>
      </c>
      <c r="AT313" s="34">
        <v>0</v>
      </c>
      <c r="AU313" s="34">
        <v>0.17391304347826086</v>
      </c>
      <c r="AV313" s="34">
        <v>7.2625698324022353E-2</v>
      </c>
      <c r="AW313" s="4"/>
      <c r="AX313" s="8"/>
    </row>
    <row r="314" spans="1:50" s="2" customFormat="1">
      <c r="A314" s="7"/>
      <c r="B314" s="4"/>
      <c r="C314" s="54" t="s">
        <v>284</v>
      </c>
      <c r="D314" s="23" t="s">
        <v>15</v>
      </c>
      <c r="E314" s="55" t="s">
        <v>360</v>
      </c>
      <c r="F314" s="55" t="s">
        <v>360</v>
      </c>
      <c r="G314" s="55" t="s">
        <v>360</v>
      </c>
      <c r="H314" s="55" t="s">
        <v>360</v>
      </c>
      <c r="I314" s="25">
        <v>0.9</v>
      </c>
      <c r="J314" s="26">
        <v>0.97333333333333338</v>
      </c>
      <c r="K314" s="26">
        <v>0.98837209302325579</v>
      </c>
      <c r="L314" s="27">
        <v>0.9882352941176471</v>
      </c>
      <c r="M314" s="26">
        <v>0.9893129770992366</v>
      </c>
      <c r="N314" s="28">
        <v>0.9</v>
      </c>
      <c r="O314" s="26">
        <v>0.96904109589041099</v>
      </c>
      <c r="P314" s="26">
        <v>0.97550220480156791</v>
      </c>
      <c r="Q314" s="26">
        <v>0.97026964738418986</v>
      </c>
      <c r="R314" s="26">
        <v>0.96693375465523079</v>
      </c>
      <c r="S314" s="28">
        <v>0.9</v>
      </c>
      <c r="T314" s="26">
        <v>0.97013698630136991</v>
      </c>
      <c r="U314" s="26">
        <v>0.96668299853013229</v>
      </c>
      <c r="V314" s="26">
        <v>0.97188292233233464</v>
      </c>
      <c r="W314" s="26">
        <v>0.95925967723733208</v>
      </c>
      <c r="X314" s="28">
        <v>0.92</v>
      </c>
      <c r="Y314" s="28">
        <v>0.95601173020527863</v>
      </c>
      <c r="Z314" s="28">
        <v>0.97580388411333974</v>
      </c>
      <c r="AA314" s="28">
        <v>0.96895481200413935</v>
      </c>
      <c r="AB314" s="28">
        <v>0.97019691325172963</v>
      </c>
      <c r="AC314" s="28">
        <v>0.92</v>
      </c>
      <c r="AD314" s="26">
        <v>0.99277777777777776</v>
      </c>
      <c r="AE314" s="26">
        <v>0.98701298701298701</v>
      </c>
      <c r="AF314" s="26">
        <v>0.98723404255319147</v>
      </c>
      <c r="AG314" s="26">
        <v>0.98764610852418511</v>
      </c>
      <c r="AH314" s="28">
        <v>0.92</v>
      </c>
      <c r="AI314" s="26">
        <v>0.9731390449438202</v>
      </c>
      <c r="AJ314" s="26">
        <v>0.98089965397923873</v>
      </c>
      <c r="AK314" s="26">
        <v>0.98121027908261949</v>
      </c>
      <c r="AL314" s="26">
        <v>0.98074038312326495</v>
      </c>
      <c r="AM314" s="25">
        <v>0.99</v>
      </c>
      <c r="AN314" s="30">
        <v>1</v>
      </c>
      <c r="AO314" s="30">
        <v>1</v>
      </c>
      <c r="AP314" s="30">
        <v>1</v>
      </c>
      <c r="AQ314" s="30">
        <v>1</v>
      </c>
      <c r="AR314" s="50">
        <v>9.2228725701943806E-2</v>
      </c>
      <c r="AS314" s="34">
        <v>0.125</v>
      </c>
      <c r="AT314" s="34">
        <v>0.10526315789473684</v>
      </c>
      <c r="AU314" s="34">
        <v>0</v>
      </c>
      <c r="AV314" s="34">
        <v>9.5238095238095233E-2</v>
      </c>
      <c r="AW314" s="4"/>
      <c r="AX314" s="8"/>
    </row>
    <row r="315" spans="1:50" s="2" customFormat="1">
      <c r="A315" s="7"/>
      <c r="B315" s="4"/>
      <c r="C315" s="54" t="s">
        <v>284</v>
      </c>
      <c r="D315" s="23" t="s">
        <v>15</v>
      </c>
      <c r="E315" s="55" t="s">
        <v>361</v>
      </c>
      <c r="F315" s="55" t="s">
        <v>361</v>
      </c>
      <c r="G315" s="55" t="s">
        <v>361</v>
      </c>
      <c r="H315" s="55" t="s">
        <v>361</v>
      </c>
      <c r="I315" s="25">
        <v>0.9</v>
      </c>
      <c r="J315" s="26">
        <v>0</v>
      </c>
      <c r="K315" s="26">
        <v>0</v>
      </c>
      <c r="L315" s="27">
        <v>0</v>
      </c>
      <c r="M315" s="26">
        <v>0</v>
      </c>
      <c r="N315" s="28">
        <v>0.9</v>
      </c>
      <c r="O315" s="26">
        <v>0</v>
      </c>
      <c r="P315" s="26">
        <v>0</v>
      </c>
      <c r="Q315" s="26">
        <v>0</v>
      </c>
      <c r="R315" s="26">
        <v>0</v>
      </c>
      <c r="S315" s="28">
        <v>0.9</v>
      </c>
      <c r="T315" s="26">
        <v>0</v>
      </c>
      <c r="U315" s="26">
        <v>0</v>
      </c>
      <c r="V315" s="26">
        <v>0</v>
      </c>
      <c r="W315" s="26">
        <v>0</v>
      </c>
      <c r="X315" s="28">
        <v>0.92</v>
      </c>
      <c r="Y315" s="28">
        <v>0</v>
      </c>
      <c r="Z315" s="28">
        <v>0</v>
      </c>
      <c r="AA315" s="28">
        <v>0</v>
      </c>
      <c r="AB315" s="28">
        <v>0</v>
      </c>
      <c r="AC315" s="28">
        <v>0.92</v>
      </c>
      <c r="AD315" s="26">
        <v>0.97610921501706482</v>
      </c>
      <c r="AE315" s="26">
        <v>0.9821428571428571</v>
      </c>
      <c r="AF315" s="26">
        <v>0.99657534246575341</v>
      </c>
      <c r="AG315" s="26">
        <v>0.98510109968073789</v>
      </c>
      <c r="AH315" s="28">
        <v>0.92</v>
      </c>
      <c r="AI315" s="26">
        <v>0</v>
      </c>
      <c r="AJ315" s="26">
        <v>0</v>
      </c>
      <c r="AK315" s="26">
        <v>0</v>
      </c>
      <c r="AL315" s="26">
        <v>0</v>
      </c>
      <c r="AM315" s="25">
        <v>0.99</v>
      </c>
      <c r="AN315" s="30">
        <v>0</v>
      </c>
      <c r="AO315" s="30">
        <v>0</v>
      </c>
      <c r="AP315" s="30">
        <v>1</v>
      </c>
      <c r="AQ315" s="30">
        <v>1</v>
      </c>
      <c r="AR315" s="50">
        <v>9.2228725701943806E-2</v>
      </c>
      <c r="AS315" s="34">
        <v>0</v>
      </c>
      <c r="AT315" s="34">
        <v>0</v>
      </c>
      <c r="AU315" s="34">
        <v>0</v>
      </c>
      <c r="AV315" s="34">
        <v>0</v>
      </c>
      <c r="AW315" s="4"/>
      <c r="AX315" s="8"/>
    </row>
    <row r="316" spans="1:50" s="2" customFormat="1">
      <c r="A316" s="7"/>
      <c r="B316" s="4"/>
      <c r="C316" s="54" t="s">
        <v>284</v>
      </c>
      <c r="D316" s="23" t="s">
        <v>15</v>
      </c>
      <c r="E316" s="55" t="s">
        <v>362</v>
      </c>
      <c r="F316" s="55" t="s">
        <v>362</v>
      </c>
      <c r="G316" s="55" t="s">
        <v>362</v>
      </c>
      <c r="H316" s="55" t="s">
        <v>362</v>
      </c>
      <c r="I316" s="25">
        <v>0.9</v>
      </c>
      <c r="J316" s="26">
        <v>0</v>
      </c>
      <c r="K316" s="26">
        <v>0</v>
      </c>
      <c r="L316" s="27">
        <v>0</v>
      </c>
      <c r="M316" s="26">
        <v>0</v>
      </c>
      <c r="N316" s="28">
        <v>0.9</v>
      </c>
      <c r="O316" s="26">
        <v>0</v>
      </c>
      <c r="P316" s="26">
        <v>0.5</v>
      </c>
      <c r="Q316" s="26">
        <v>0</v>
      </c>
      <c r="R316" s="26">
        <v>5.8823529411764705E-2</v>
      </c>
      <c r="S316" s="28">
        <v>0.9</v>
      </c>
      <c r="T316" s="26">
        <v>0</v>
      </c>
      <c r="U316" s="26">
        <v>0.5</v>
      </c>
      <c r="V316" s="26">
        <v>0</v>
      </c>
      <c r="W316" s="26">
        <v>0.8529411764705882</v>
      </c>
      <c r="X316" s="28">
        <v>0.92</v>
      </c>
      <c r="Y316" s="28">
        <v>0</v>
      </c>
      <c r="Z316" s="28">
        <v>0</v>
      </c>
      <c r="AA316" s="28">
        <v>0</v>
      </c>
      <c r="AB316" s="28">
        <v>0</v>
      </c>
      <c r="AC316" s="28">
        <v>0.92</v>
      </c>
      <c r="AD316" s="26">
        <v>0.99989751998360321</v>
      </c>
      <c r="AE316" s="26">
        <v>0.99973100201748488</v>
      </c>
      <c r="AF316" s="26">
        <v>1</v>
      </c>
      <c r="AG316" s="26">
        <v>0.99973186554546745</v>
      </c>
      <c r="AH316" s="28">
        <v>0.92</v>
      </c>
      <c r="AI316" s="26">
        <v>0</v>
      </c>
      <c r="AJ316" s="26">
        <v>0.33333333333333331</v>
      </c>
      <c r="AK316" s="26">
        <v>0</v>
      </c>
      <c r="AL316" s="26">
        <v>0.86486486486486491</v>
      </c>
      <c r="AM316" s="25">
        <v>0.99</v>
      </c>
      <c r="AN316" s="30">
        <v>1</v>
      </c>
      <c r="AO316" s="30">
        <v>0</v>
      </c>
      <c r="AP316" s="30">
        <v>0</v>
      </c>
      <c r="AQ316" s="30">
        <v>1</v>
      </c>
      <c r="AR316" s="50">
        <v>9.2228725701943806E-2</v>
      </c>
      <c r="AS316" s="34">
        <v>0</v>
      </c>
      <c r="AT316" s="34">
        <v>0</v>
      </c>
      <c r="AU316" s="34">
        <v>0</v>
      </c>
      <c r="AV316" s="34">
        <v>0</v>
      </c>
      <c r="AW316" s="4"/>
      <c r="AX316" s="8"/>
    </row>
    <row r="317" spans="1:50" s="2" customFormat="1">
      <c r="A317" s="7"/>
      <c r="B317" s="4"/>
      <c r="C317" s="54" t="s">
        <v>284</v>
      </c>
      <c r="D317" s="23" t="s">
        <v>15</v>
      </c>
      <c r="E317" s="55" t="s">
        <v>363</v>
      </c>
      <c r="F317" s="55" t="s">
        <v>363</v>
      </c>
      <c r="G317" s="55" t="s">
        <v>363</v>
      </c>
      <c r="H317" s="55" t="s">
        <v>363</v>
      </c>
      <c r="I317" s="25">
        <v>0.9</v>
      </c>
      <c r="J317" s="26">
        <v>0</v>
      </c>
      <c r="K317" s="26">
        <v>0</v>
      </c>
      <c r="L317" s="27">
        <v>0</v>
      </c>
      <c r="M317" s="26">
        <v>0</v>
      </c>
      <c r="N317" s="28">
        <v>0.9</v>
      </c>
      <c r="O317" s="26">
        <v>1</v>
      </c>
      <c r="P317" s="26">
        <v>0</v>
      </c>
      <c r="Q317" s="26">
        <v>0</v>
      </c>
      <c r="R317" s="26">
        <v>0.66666666666666663</v>
      </c>
      <c r="S317" s="28">
        <v>0.9</v>
      </c>
      <c r="T317" s="26">
        <v>0</v>
      </c>
      <c r="U317" s="26">
        <v>0</v>
      </c>
      <c r="V317" s="26">
        <v>0</v>
      </c>
      <c r="W317" s="26">
        <v>0</v>
      </c>
      <c r="X317" s="28">
        <v>0.92</v>
      </c>
      <c r="Y317" s="28">
        <v>0</v>
      </c>
      <c r="Z317" s="28">
        <v>0</v>
      </c>
      <c r="AA317" s="28">
        <v>1</v>
      </c>
      <c r="AB317" s="28">
        <v>1</v>
      </c>
      <c r="AC317" s="28">
        <v>0.92</v>
      </c>
      <c r="AD317" s="26">
        <v>0.99844330020356842</v>
      </c>
      <c r="AE317" s="26">
        <v>0.99914278716629934</v>
      </c>
      <c r="AF317" s="26">
        <v>0.99923819197562214</v>
      </c>
      <c r="AG317" s="26">
        <v>0.99820008307308894</v>
      </c>
      <c r="AH317" s="28">
        <v>0.92</v>
      </c>
      <c r="AI317" s="26">
        <v>0</v>
      </c>
      <c r="AJ317" s="26">
        <v>0</v>
      </c>
      <c r="AK317" s="26">
        <v>0.5</v>
      </c>
      <c r="AL317" s="26">
        <v>0.25</v>
      </c>
      <c r="AM317" s="25">
        <v>0.99</v>
      </c>
      <c r="AN317" s="30">
        <v>0</v>
      </c>
      <c r="AO317" s="30">
        <v>1</v>
      </c>
      <c r="AP317" s="30">
        <v>0</v>
      </c>
      <c r="AQ317" s="30">
        <v>1</v>
      </c>
      <c r="AR317" s="50">
        <v>9.2228725701943806E-2</v>
      </c>
      <c r="AS317" s="34">
        <v>0</v>
      </c>
      <c r="AT317" s="34">
        <v>0</v>
      </c>
      <c r="AU317" s="34">
        <v>0</v>
      </c>
      <c r="AV317" s="34">
        <v>0</v>
      </c>
      <c r="AW317" s="4"/>
      <c r="AX317" s="8"/>
    </row>
    <row r="318" spans="1:50" s="2" customFormat="1">
      <c r="A318" s="7"/>
      <c r="B318" s="4"/>
      <c r="C318" s="54" t="s">
        <v>284</v>
      </c>
      <c r="D318" s="23" t="s">
        <v>15</v>
      </c>
      <c r="E318" s="55" t="s">
        <v>364</v>
      </c>
      <c r="F318" s="55" t="s">
        <v>364</v>
      </c>
      <c r="G318" s="55" t="s">
        <v>364</v>
      </c>
      <c r="H318" s="55" t="s">
        <v>364</v>
      </c>
      <c r="I318" s="25">
        <v>0.9</v>
      </c>
      <c r="J318" s="26">
        <v>0</v>
      </c>
      <c r="K318" s="26">
        <v>0</v>
      </c>
      <c r="L318" s="27">
        <v>0</v>
      </c>
      <c r="M318" s="26">
        <v>0</v>
      </c>
      <c r="N318" s="28">
        <v>0.9</v>
      </c>
      <c r="O318" s="26">
        <v>0</v>
      </c>
      <c r="P318" s="26">
        <v>0</v>
      </c>
      <c r="Q318" s="26">
        <v>0</v>
      </c>
      <c r="R318" s="26">
        <v>0</v>
      </c>
      <c r="S318" s="28">
        <v>0.9</v>
      </c>
      <c r="T318" s="26">
        <v>0</v>
      </c>
      <c r="U318" s="26">
        <v>0</v>
      </c>
      <c r="V318" s="26">
        <v>0</v>
      </c>
      <c r="W318" s="26">
        <v>0</v>
      </c>
      <c r="X318" s="28">
        <v>0.92</v>
      </c>
      <c r="Y318" s="28">
        <v>0</v>
      </c>
      <c r="Z318" s="28">
        <v>0</v>
      </c>
      <c r="AA318" s="28">
        <v>0</v>
      </c>
      <c r="AB318" s="28">
        <v>0</v>
      </c>
      <c r="AC318" s="28">
        <v>0.92</v>
      </c>
      <c r="AD318" s="26">
        <v>0.97975546201643615</v>
      </c>
      <c r="AE318" s="26">
        <v>0.97577422577422579</v>
      </c>
      <c r="AF318" s="26">
        <v>0.96178507309566552</v>
      </c>
      <c r="AG318" s="26">
        <v>0.9559808351935537</v>
      </c>
      <c r="AH318" s="28">
        <v>0.92</v>
      </c>
      <c r="AI318" s="26">
        <v>0</v>
      </c>
      <c r="AJ318" s="26">
        <v>0</v>
      </c>
      <c r="AK318" s="26">
        <v>0</v>
      </c>
      <c r="AL318" s="26">
        <v>0</v>
      </c>
      <c r="AM318" s="25">
        <v>0.99</v>
      </c>
      <c r="AN318" s="30">
        <v>1</v>
      </c>
      <c r="AO318" s="30">
        <v>1</v>
      </c>
      <c r="AP318" s="30">
        <v>1</v>
      </c>
      <c r="AQ318" s="30">
        <v>1</v>
      </c>
      <c r="AR318" s="50">
        <v>9.2228725701943806E-2</v>
      </c>
      <c r="AS318" s="34">
        <v>0</v>
      </c>
      <c r="AT318" s="34">
        <v>0</v>
      </c>
      <c r="AU318" s="34">
        <v>0</v>
      </c>
      <c r="AV318" s="34">
        <v>0</v>
      </c>
      <c r="AW318" s="4"/>
      <c r="AX318" s="8"/>
    </row>
    <row r="319" spans="1:50" s="2" customFormat="1">
      <c r="A319" s="7"/>
      <c r="B319" s="4"/>
      <c r="C319" s="54" t="s">
        <v>284</v>
      </c>
      <c r="D319" s="23" t="s">
        <v>15</v>
      </c>
      <c r="E319" s="55" t="s">
        <v>365</v>
      </c>
      <c r="F319" s="55" t="s">
        <v>365</v>
      </c>
      <c r="G319" s="55" t="s">
        <v>365</v>
      </c>
      <c r="H319" s="55" t="s">
        <v>365</v>
      </c>
      <c r="I319" s="25">
        <v>0.9</v>
      </c>
      <c r="J319" s="26">
        <v>0</v>
      </c>
      <c r="K319" s="26">
        <v>0</v>
      </c>
      <c r="L319" s="27">
        <v>0</v>
      </c>
      <c r="M319" s="26">
        <v>0</v>
      </c>
      <c r="N319" s="28">
        <v>0.9</v>
      </c>
      <c r="O319" s="26">
        <v>0.5</v>
      </c>
      <c r="P319" s="26">
        <v>0</v>
      </c>
      <c r="Q319" s="26">
        <v>0</v>
      </c>
      <c r="R319" s="26">
        <v>0.33333333333333331</v>
      </c>
      <c r="S319" s="28">
        <v>0.9</v>
      </c>
      <c r="T319" s="26">
        <v>0.5</v>
      </c>
      <c r="U319" s="26">
        <v>0</v>
      </c>
      <c r="V319" s="26">
        <v>1</v>
      </c>
      <c r="W319" s="26">
        <v>0.66666666666666663</v>
      </c>
      <c r="X319" s="28">
        <v>0.92</v>
      </c>
      <c r="Y319" s="28">
        <v>0</v>
      </c>
      <c r="Z319" s="28">
        <v>0</v>
      </c>
      <c r="AA319" s="28">
        <v>0</v>
      </c>
      <c r="AB319" s="28">
        <v>0</v>
      </c>
      <c r="AC319" s="28">
        <v>0.92</v>
      </c>
      <c r="AD319" s="26">
        <v>0.99930536260072245</v>
      </c>
      <c r="AE319" s="26">
        <v>0.99938042131350679</v>
      </c>
      <c r="AF319" s="26">
        <v>0.99893824101928863</v>
      </c>
      <c r="AG319" s="26">
        <v>0.96202461674528306</v>
      </c>
      <c r="AH319" s="28">
        <v>0.92</v>
      </c>
      <c r="AI319" s="26">
        <v>0.5</v>
      </c>
      <c r="AJ319" s="26">
        <v>0</v>
      </c>
      <c r="AK319" s="26">
        <v>1</v>
      </c>
      <c r="AL319" s="26">
        <v>0.66666666666666663</v>
      </c>
      <c r="AM319" s="25">
        <v>0.99</v>
      </c>
      <c r="AN319" s="30">
        <v>1</v>
      </c>
      <c r="AO319" s="30">
        <v>1</v>
      </c>
      <c r="AP319" s="30">
        <v>1</v>
      </c>
      <c r="AQ319" s="30">
        <v>1</v>
      </c>
      <c r="AR319" s="50">
        <v>9.2228725701943806E-2</v>
      </c>
      <c r="AS319" s="34">
        <v>0</v>
      </c>
      <c r="AT319" s="34">
        <v>0</v>
      </c>
      <c r="AU319" s="34">
        <v>0</v>
      </c>
      <c r="AV319" s="34">
        <v>0</v>
      </c>
      <c r="AW319" s="4"/>
      <c r="AX319" s="8"/>
    </row>
    <row r="320" spans="1:50" s="2" customFormat="1">
      <c r="A320" s="7"/>
      <c r="B320" s="4"/>
      <c r="C320" s="54" t="s">
        <v>284</v>
      </c>
      <c r="D320" s="23" t="s">
        <v>15</v>
      </c>
      <c r="E320" s="55" t="s">
        <v>366</v>
      </c>
      <c r="F320" s="55" t="s">
        <v>366</v>
      </c>
      <c r="G320" s="55" t="s">
        <v>366</v>
      </c>
      <c r="H320" s="55" t="s">
        <v>366</v>
      </c>
      <c r="I320" s="25">
        <v>0.9</v>
      </c>
      <c r="J320" s="26">
        <v>0</v>
      </c>
      <c r="K320" s="26">
        <v>0</v>
      </c>
      <c r="L320" s="27">
        <v>0</v>
      </c>
      <c r="M320" s="26">
        <v>0</v>
      </c>
      <c r="N320" s="28">
        <v>0.9</v>
      </c>
      <c r="O320" s="26">
        <v>0</v>
      </c>
      <c r="P320" s="26">
        <v>0</v>
      </c>
      <c r="Q320" s="26">
        <v>0</v>
      </c>
      <c r="R320" s="26">
        <v>0.33333333333333331</v>
      </c>
      <c r="S320" s="28">
        <v>0.9</v>
      </c>
      <c r="T320" s="26">
        <v>0.5</v>
      </c>
      <c r="U320" s="26">
        <v>0</v>
      </c>
      <c r="V320" s="26">
        <v>0</v>
      </c>
      <c r="W320" s="26">
        <v>0.83333333333333337</v>
      </c>
      <c r="X320" s="28">
        <v>0.92</v>
      </c>
      <c r="Y320" s="28">
        <v>0</v>
      </c>
      <c r="Z320" s="28">
        <v>0</v>
      </c>
      <c r="AA320" s="28">
        <v>0</v>
      </c>
      <c r="AB320" s="28">
        <v>0</v>
      </c>
      <c r="AC320" s="28">
        <v>0.92</v>
      </c>
      <c r="AD320" s="26">
        <v>0.95891761612620507</v>
      </c>
      <c r="AE320" s="26">
        <v>0.96368527236045731</v>
      </c>
      <c r="AF320" s="26">
        <v>0.9982170450493284</v>
      </c>
      <c r="AG320" s="26">
        <v>0.98211491855078692</v>
      </c>
      <c r="AH320" s="28">
        <v>0.92</v>
      </c>
      <c r="AI320" s="26">
        <v>0.5</v>
      </c>
      <c r="AJ320" s="26">
        <v>1</v>
      </c>
      <c r="AK320" s="26">
        <v>0</v>
      </c>
      <c r="AL320" s="26">
        <v>0.77777777777777779</v>
      </c>
      <c r="AM320" s="25">
        <v>0.99</v>
      </c>
      <c r="AN320" s="30">
        <v>0</v>
      </c>
      <c r="AO320" s="30">
        <v>0</v>
      </c>
      <c r="AP320" s="30">
        <v>1</v>
      </c>
      <c r="AQ320" s="30">
        <v>1</v>
      </c>
      <c r="AR320" s="50">
        <v>9.2228725701943806E-2</v>
      </c>
      <c r="AS320" s="34">
        <v>0</v>
      </c>
      <c r="AT320" s="34">
        <v>0</v>
      </c>
      <c r="AU320" s="34">
        <v>0</v>
      </c>
      <c r="AV320" s="34">
        <v>0</v>
      </c>
      <c r="AW320" s="4"/>
      <c r="AX320" s="8"/>
    </row>
    <row r="321" spans="1:50" s="2" customFormat="1">
      <c r="A321" s="7"/>
      <c r="B321" s="4"/>
      <c r="C321" s="54" t="s">
        <v>284</v>
      </c>
      <c r="D321" s="23" t="s">
        <v>15</v>
      </c>
      <c r="E321" s="55" t="s">
        <v>367</v>
      </c>
      <c r="F321" s="55" t="s">
        <v>367</v>
      </c>
      <c r="G321" s="55" t="s">
        <v>367</v>
      </c>
      <c r="H321" s="55" t="s">
        <v>367</v>
      </c>
      <c r="I321" s="25">
        <v>0.9</v>
      </c>
      <c r="J321" s="26">
        <v>0.98148148148148151</v>
      </c>
      <c r="K321" s="26">
        <v>0.96610169491525422</v>
      </c>
      <c r="L321" s="27">
        <v>0.9916666666666667</v>
      </c>
      <c r="M321" s="26">
        <v>0.96481271282633374</v>
      </c>
      <c r="N321" s="28">
        <v>0.9</v>
      </c>
      <c r="O321" s="26">
        <v>0.9715090795241077</v>
      </c>
      <c r="P321" s="26">
        <v>0.97726911460817045</v>
      </c>
      <c r="Q321" s="26">
        <v>0.97940536620739671</v>
      </c>
      <c r="R321" s="26">
        <v>0.96909928979801774</v>
      </c>
      <c r="S321" s="28">
        <v>0.9</v>
      </c>
      <c r="T321" s="26">
        <v>0.96556042579837198</v>
      </c>
      <c r="U321" s="26">
        <v>0.96693689397552063</v>
      </c>
      <c r="V321" s="26">
        <v>0.96258158085569256</v>
      </c>
      <c r="W321" s="26">
        <v>0.95762527448614221</v>
      </c>
      <c r="X321" s="28">
        <v>0.92</v>
      </c>
      <c r="Y321" s="28">
        <v>0.96035242290748901</v>
      </c>
      <c r="Z321" s="28">
        <v>0.97834967320261434</v>
      </c>
      <c r="AA321" s="28">
        <v>0.97442455242966752</v>
      </c>
      <c r="AB321" s="28">
        <v>0.97677696810416914</v>
      </c>
      <c r="AC321" s="28">
        <v>0.92</v>
      </c>
      <c r="AD321" s="26">
        <v>0.9248610145934677</v>
      </c>
      <c r="AE321" s="26">
        <v>0.96928815984465222</v>
      </c>
      <c r="AF321" s="26">
        <v>0.85940423082457906</v>
      </c>
      <c r="AG321" s="26">
        <v>0.88491688538932634</v>
      </c>
      <c r="AH321" s="28">
        <v>0.92</v>
      </c>
      <c r="AI321" s="26">
        <v>0.97596153846153844</v>
      </c>
      <c r="AJ321" s="26">
        <v>0.98757819481680076</v>
      </c>
      <c r="AK321" s="26">
        <v>0.98776567244150737</v>
      </c>
      <c r="AL321" s="26">
        <v>0.98624801185852007</v>
      </c>
      <c r="AM321" s="25">
        <v>0.99</v>
      </c>
      <c r="AN321" s="30">
        <v>1</v>
      </c>
      <c r="AO321" s="30">
        <v>1</v>
      </c>
      <c r="AP321" s="30">
        <v>1</v>
      </c>
      <c r="AQ321" s="30">
        <v>1</v>
      </c>
      <c r="AR321" s="50">
        <v>9.2228725701943806E-2</v>
      </c>
      <c r="AS321" s="34">
        <v>0</v>
      </c>
      <c r="AT321" s="34">
        <v>0</v>
      </c>
      <c r="AU321" s="34">
        <v>2.2222222222222223E-2</v>
      </c>
      <c r="AV321" s="34">
        <v>2.9535864978902954E-2</v>
      </c>
      <c r="AW321" s="4"/>
      <c r="AX321" s="8"/>
    </row>
    <row r="322" spans="1:50" s="2" customFormat="1">
      <c r="A322" s="7"/>
      <c r="B322" s="4"/>
      <c r="C322" s="54" t="s">
        <v>284</v>
      </c>
      <c r="D322" s="23" t="s">
        <v>15</v>
      </c>
      <c r="E322" s="55" t="s">
        <v>368</v>
      </c>
      <c r="F322" s="55" t="s">
        <v>368</v>
      </c>
      <c r="G322" s="55" t="s">
        <v>368</v>
      </c>
      <c r="H322" s="55" t="s">
        <v>368</v>
      </c>
      <c r="I322" s="25">
        <v>0.9</v>
      </c>
      <c r="J322" s="26">
        <v>0</v>
      </c>
      <c r="K322" s="26">
        <v>0</v>
      </c>
      <c r="L322" s="27">
        <v>0</v>
      </c>
      <c r="M322" s="26">
        <v>0</v>
      </c>
      <c r="N322" s="28">
        <v>0.9</v>
      </c>
      <c r="O322" s="26">
        <v>0</v>
      </c>
      <c r="P322" s="26">
        <v>0</v>
      </c>
      <c r="Q322" s="26">
        <v>0</v>
      </c>
      <c r="R322" s="26">
        <v>0</v>
      </c>
      <c r="S322" s="28">
        <v>0.9</v>
      </c>
      <c r="T322" s="26">
        <v>0</v>
      </c>
      <c r="U322" s="26">
        <v>0</v>
      </c>
      <c r="V322" s="26">
        <v>0</v>
      </c>
      <c r="W322" s="26">
        <v>0</v>
      </c>
      <c r="X322" s="28">
        <v>0.92</v>
      </c>
      <c r="Y322" s="28">
        <v>0</v>
      </c>
      <c r="Z322" s="28">
        <v>0</v>
      </c>
      <c r="AA322" s="28">
        <v>0</v>
      </c>
      <c r="AB322" s="28">
        <v>0</v>
      </c>
      <c r="AC322" s="28">
        <v>0.92</v>
      </c>
      <c r="AD322" s="26">
        <v>0.96311475409836067</v>
      </c>
      <c r="AE322" s="26">
        <v>0.97811087318581968</v>
      </c>
      <c r="AF322" s="26">
        <v>0.98245614035087714</v>
      </c>
      <c r="AG322" s="26">
        <v>0.91089745463046845</v>
      </c>
      <c r="AH322" s="28">
        <v>0.92</v>
      </c>
      <c r="AI322" s="26">
        <v>0</v>
      </c>
      <c r="AJ322" s="26">
        <v>0</v>
      </c>
      <c r="AK322" s="26">
        <v>0.5</v>
      </c>
      <c r="AL322" s="26">
        <v>0.5</v>
      </c>
      <c r="AM322" s="25">
        <v>0.99</v>
      </c>
      <c r="AN322" s="30">
        <v>1</v>
      </c>
      <c r="AO322" s="30">
        <v>1</v>
      </c>
      <c r="AP322" s="30">
        <v>1</v>
      </c>
      <c r="AQ322" s="30">
        <v>1</v>
      </c>
      <c r="AR322" s="50">
        <v>9.2228725701943806E-2</v>
      </c>
      <c r="AS322" s="34">
        <v>0</v>
      </c>
      <c r="AT322" s="34">
        <v>0</v>
      </c>
      <c r="AU322" s="34">
        <v>0</v>
      </c>
      <c r="AV322" s="34">
        <v>0</v>
      </c>
      <c r="AW322" s="4"/>
      <c r="AX322" s="8"/>
    </row>
    <row r="323" spans="1:50" s="2" customFormat="1">
      <c r="A323" s="7"/>
      <c r="B323" s="4"/>
      <c r="C323" s="54" t="s">
        <v>284</v>
      </c>
      <c r="D323" s="23" t="s">
        <v>15</v>
      </c>
      <c r="E323" s="55" t="s">
        <v>369</v>
      </c>
      <c r="F323" s="55" t="s">
        <v>369</v>
      </c>
      <c r="G323" s="55" t="s">
        <v>369</v>
      </c>
      <c r="H323" s="55" t="s">
        <v>369</v>
      </c>
      <c r="I323" s="25">
        <v>0.9</v>
      </c>
      <c r="J323" s="26">
        <v>0.65517241379310343</v>
      </c>
      <c r="K323" s="26">
        <v>0.6071428571428571</v>
      </c>
      <c r="L323" s="27">
        <v>0.76666666666666672</v>
      </c>
      <c r="M323" s="26">
        <v>0.74770642201834858</v>
      </c>
      <c r="N323" s="28">
        <v>0.9</v>
      </c>
      <c r="O323" s="26">
        <v>0.95541143088771785</v>
      </c>
      <c r="P323" s="26">
        <v>0.92865878516102729</v>
      </c>
      <c r="Q323" s="26">
        <v>0.97552836484983318</v>
      </c>
      <c r="R323" s="26">
        <v>0.94268013327780087</v>
      </c>
      <c r="S323" s="28">
        <v>0.9</v>
      </c>
      <c r="T323" s="26">
        <v>0.90879610863396842</v>
      </c>
      <c r="U323" s="26">
        <v>0.91235222176926212</v>
      </c>
      <c r="V323" s="26">
        <v>0.93437152391546163</v>
      </c>
      <c r="W323" s="26">
        <v>0.91118284048313203</v>
      </c>
      <c r="X323" s="28">
        <v>0.92</v>
      </c>
      <c r="Y323" s="28">
        <v>0.93311221669430622</v>
      </c>
      <c r="Z323" s="28">
        <v>0.92161520190023749</v>
      </c>
      <c r="AA323" s="28">
        <v>0.96023468057366368</v>
      </c>
      <c r="AB323" s="28">
        <v>0.93985502045503477</v>
      </c>
      <c r="AC323" s="28">
        <v>0.92</v>
      </c>
      <c r="AD323" s="26">
        <v>0.99993784959602239</v>
      </c>
      <c r="AE323" s="26">
        <v>0.99992396015512131</v>
      </c>
      <c r="AF323" s="26">
        <v>1</v>
      </c>
      <c r="AG323" s="26">
        <v>0.99995311068010828</v>
      </c>
      <c r="AH323" s="28">
        <v>0.92</v>
      </c>
      <c r="AI323" s="26">
        <v>0.9525257249766137</v>
      </c>
      <c r="AJ323" s="26">
        <v>0.95431472081218272</v>
      </c>
      <c r="AK323" s="26">
        <v>0.97613421550094515</v>
      </c>
      <c r="AL323" s="26">
        <v>0.96183666696835313</v>
      </c>
      <c r="AM323" s="25">
        <v>0.99</v>
      </c>
      <c r="AN323" s="30">
        <v>1</v>
      </c>
      <c r="AO323" s="30">
        <v>1</v>
      </c>
      <c r="AP323" s="30">
        <v>1</v>
      </c>
      <c r="AQ323" s="30">
        <v>1</v>
      </c>
      <c r="AR323" s="50">
        <v>9.2228725701943806E-2</v>
      </c>
      <c r="AS323" s="34">
        <v>0.18181818181818182</v>
      </c>
      <c r="AT323" s="34">
        <v>0.4</v>
      </c>
      <c r="AU323" s="34">
        <v>0.1</v>
      </c>
      <c r="AV323" s="34">
        <v>0.10526315789473684</v>
      </c>
      <c r="AW323" s="4"/>
      <c r="AX323" s="8"/>
    </row>
    <row r="324" spans="1:50" s="2" customFormat="1">
      <c r="A324" s="7"/>
      <c r="B324" s="4"/>
      <c r="C324" s="54" t="s">
        <v>284</v>
      </c>
      <c r="D324" s="23" t="s">
        <v>15</v>
      </c>
      <c r="E324" s="55" t="s">
        <v>370</v>
      </c>
      <c r="F324" s="55" t="s">
        <v>370</v>
      </c>
      <c r="G324" s="55" t="s">
        <v>370</v>
      </c>
      <c r="H324" s="55" t="s">
        <v>370</v>
      </c>
      <c r="I324" s="25">
        <v>0.9</v>
      </c>
      <c r="J324" s="26">
        <v>0.967741935483871</v>
      </c>
      <c r="K324" s="26">
        <v>0.96666666666666667</v>
      </c>
      <c r="L324" s="27">
        <v>0.93103448275862066</v>
      </c>
      <c r="M324" s="26">
        <v>0.91592920353982299</v>
      </c>
      <c r="N324" s="28">
        <v>0.9</v>
      </c>
      <c r="O324" s="26">
        <v>0.96689240030097823</v>
      </c>
      <c r="P324" s="26">
        <v>0.9835742444152431</v>
      </c>
      <c r="Q324" s="26">
        <v>0.98652118100128372</v>
      </c>
      <c r="R324" s="26">
        <v>0.95197717081125155</v>
      </c>
      <c r="S324" s="28">
        <v>0.9</v>
      </c>
      <c r="T324" s="26">
        <v>0.90443942814145972</v>
      </c>
      <c r="U324" s="26">
        <v>0.92509855453350853</v>
      </c>
      <c r="V324" s="26">
        <v>0.94159178433889601</v>
      </c>
      <c r="W324" s="26">
        <v>0.91308601712189152</v>
      </c>
      <c r="X324" s="28">
        <v>0.92</v>
      </c>
      <c r="Y324" s="28">
        <v>0.94291609353507566</v>
      </c>
      <c r="Z324" s="28">
        <v>0.96250000000000002</v>
      </c>
      <c r="AA324" s="28">
        <v>0.96964440589765832</v>
      </c>
      <c r="AB324" s="28">
        <v>0.95567814342781054</v>
      </c>
      <c r="AC324" s="28">
        <v>0.92</v>
      </c>
      <c r="AD324" s="26">
        <v>0.99122807017543857</v>
      </c>
      <c r="AE324" s="26">
        <v>0.99317406143344711</v>
      </c>
      <c r="AF324" s="26">
        <v>0.9863842662632375</v>
      </c>
      <c r="AG324" s="26">
        <v>0.9899446958270488</v>
      </c>
      <c r="AH324" s="28">
        <v>0.92</v>
      </c>
      <c r="AI324" s="26">
        <v>0.9579590370104204</v>
      </c>
      <c r="AJ324" s="26">
        <v>0.97281410727406314</v>
      </c>
      <c r="AK324" s="26">
        <v>0.98156342182890854</v>
      </c>
      <c r="AL324" s="26">
        <v>0.97002545422627928</v>
      </c>
      <c r="AM324" s="25">
        <v>0.99</v>
      </c>
      <c r="AN324" s="30">
        <v>1</v>
      </c>
      <c r="AO324" s="30">
        <v>1</v>
      </c>
      <c r="AP324" s="30">
        <v>1</v>
      </c>
      <c r="AQ324" s="30">
        <v>1</v>
      </c>
      <c r="AR324" s="50">
        <v>9.2228725701943806E-2</v>
      </c>
      <c r="AS324" s="34">
        <v>0.125</v>
      </c>
      <c r="AT324" s="34">
        <v>0.2</v>
      </c>
      <c r="AU324" s="34">
        <v>0</v>
      </c>
      <c r="AV324" s="34">
        <v>0.1111111111111111</v>
      </c>
      <c r="AW324" s="4"/>
      <c r="AX324" s="8"/>
    </row>
    <row r="325" spans="1:50" s="2" customFormat="1">
      <c r="A325" s="7"/>
      <c r="B325" s="4"/>
      <c r="C325" s="54" t="s">
        <v>284</v>
      </c>
      <c r="D325" s="23" t="s">
        <v>15</v>
      </c>
      <c r="E325" s="55" t="s">
        <v>371</v>
      </c>
      <c r="F325" s="55" t="s">
        <v>371</v>
      </c>
      <c r="G325" s="55" t="s">
        <v>371</v>
      </c>
      <c r="H325" s="55" t="s">
        <v>371</v>
      </c>
      <c r="I325" s="25">
        <v>0.9</v>
      </c>
      <c r="J325" s="26">
        <v>0</v>
      </c>
      <c r="K325" s="26">
        <v>0</v>
      </c>
      <c r="L325" s="27">
        <v>0</v>
      </c>
      <c r="M325" s="26">
        <v>0</v>
      </c>
      <c r="N325" s="28">
        <v>0.9</v>
      </c>
      <c r="O325" s="26">
        <v>1</v>
      </c>
      <c r="P325" s="26">
        <v>1</v>
      </c>
      <c r="Q325" s="26">
        <v>0</v>
      </c>
      <c r="R325" s="26">
        <v>1</v>
      </c>
      <c r="S325" s="28">
        <v>0.9</v>
      </c>
      <c r="T325" s="26">
        <v>1</v>
      </c>
      <c r="U325" s="26">
        <v>1</v>
      </c>
      <c r="V325" s="26">
        <v>0</v>
      </c>
      <c r="W325" s="26">
        <v>1</v>
      </c>
      <c r="X325" s="28">
        <v>0.92</v>
      </c>
      <c r="Y325" s="28">
        <v>0</v>
      </c>
      <c r="Z325" s="28">
        <v>1</v>
      </c>
      <c r="AA325" s="28">
        <v>0</v>
      </c>
      <c r="AB325" s="28">
        <v>1</v>
      </c>
      <c r="AC325" s="28">
        <v>0.92</v>
      </c>
      <c r="AD325" s="26">
        <v>0.99958569258389729</v>
      </c>
      <c r="AE325" s="26">
        <v>0.99970539133850533</v>
      </c>
      <c r="AF325" s="26">
        <v>1</v>
      </c>
      <c r="AG325" s="26">
        <v>0.99979712166360235</v>
      </c>
      <c r="AH325" s="28">
        <v>0.92</v>
      </c>
      <c r="AI325" s="26">
        <v>1</v>
      </c>
      <c r="AJ325" s="26">
        <v>1</v>
      </c>
      <c r="AK325" s="26">
        <v>0</v>
      </c>
      <c r="AL325" s="26">
        <v>1</v>
      </c>
      <c r="AM325" s="25">
        <v>0.99</v>
      </c>
      <c r="AN325" s="30">
        <v>1</v>
      </c>
      <c r="AO325" s="30">
        <v>1</v>
      </c>
      <c r="AP325" s="30">
        <v>1</v>
      </c>
      <c r="AQ325" s="30">
        <v>1</v>
      </c>
      <c r="AR325" s="50">
        <v>9.2228725701943806E-2</v>
      </c>
      <c r="AS325" s="34">
        <v>0</v>
      </c>
      <c r="AT325" s="34">
        <v>0</v>
      </c>
      <c r="AU325" s="34">
        <v>0</v>
      </c>
      <c r="AV325" s="34">
        <v>0</v>
      </c>
      <c r="AW325" s="4"/>
      <c r="AX325" s="8"/>
    </row>
    <row r="326" spans="1:50">
      <c r="A326" s="7"/>
      <c r="C326" s="57"/>
      <c r="D326" s="57"/>
      <c r="E326" s="57"/>
      <c r="F326" s="57"/>
      <c r="G326" s="57"/>
      <c r="H326" s="57"/>
      <c r="I326" s="58"/>
      <c r="J326" s="59"/>
      <c r="K326" s="59"/>
      <c r="L326" s="27"/>
      <c r="M326" s="59"/>
      <c r="N326" s="43"/>
      <c r="O326" s="59"/>
      <c r="P326" s="59"/>
      <c r="Q326" s="26"/>
      <c r="R326" s="59"/>
      <c r="S326" s="43"/>
      <c r="T326" s="59"/>
      <c r="U326" s="59"/>
      <c r="V326" s="26"/>
      <c r="W326" s="59"/>
      <c r="X326" s="43"/>
      <c r="Y326" s="43"/>
      <c r="Z326" s="43"/>
      <c r="AA326" s="28"/>
      <c r="AB326" s="43"/>
      <c r="AC326" s="59"/>
      <c r="AD326" s="59"/>
      <c r="AE326" s="59"/>
      <c r="AF326" s="26"/>
      <c r="AG326" s="59"/>
      <c r="AH326" s="59"/>
      <c r="AI326" s="59"/>
      <c r="AJ326" s="59"/>
      <c r="AK326" s="26"/>
      <c r="AL326" s="59"/>
      <c r="AM326" s="60"/>
      <c r="AN326" s="60"/>
      <c r="AO326" s="60"/>
      <c r="AP326" s="30"/>
      <c r="AQ326" s="60"/>
      <c r="AR326" s="59"/>
      <c r="AS326" s="60"/>
      <c r="AT326" s="60"/>
      <c r="AU326" s="34"/>
      <c r="AV326" s="60"/>
      <c r="AW326" s="10"/>
      <c r="AX326" s="8"/>
    </row>
    <row r="327" spans="1:50">
      <c r="A327" s="7"/>
      <c r="B327" s="10"/>
      <c r="C327" s="54" t="s">
        <v>372</v>
      </c>
      <c r="D327" s="23" t="s">
        <v>17</v>
      </c>
      <c r="E327" s="61" t="s">
        <v>373</v>
      </c>
      <c r="F327" s="61" t="s">
        <v>373</v>
      </c>
      <c r="G327" s="61" t="s">
        <v>373</v>
      </c>
      <c r="H327" s="61" t="s">
        <v>373</v>
      </c>
      <c r="I327" s="25">
        <v>0.9</v>
      </c>
      <c r="J327" s="26">
        <v>0.92682926829268297</v>
      </c>
      <c r="K327" s="26">
        <v>0.91578947368421049</v>
      </c>
      <c r="L327" s="27">
        <v>0.89473684210526316</v>
      </c>
      <c r="M327" s="26">
        <v>0.92649098474341196</v>
      </c>
      <c r="N327" s="28">
        <v>0.9</v>
      </c>
      <c r="O327" s="26">
        <v>0.92317353987858486</v>
      </c>
      <c r="P327" s="26">
        <v>0.93198181129215607</v>
      </c>
      <c r="Q327" s="26">
        <v>0.93546346093008537</v>
      </c>
      <c r="R327" s="26">
        <v>0.92824554126918291</v>
      </c>
      <c r="S327" s="28">
        <v>0.9</v>
      </c>
      <c r="T327" s="26">
        <v>0.88088758635126652</v>
      </c>
      <c r="U327" s="26">
        <v>0.91114058355437666</v>
      </c>
      <c r="V327" s="26">
        <v>0.92217652641569126</v>
      </c>
      <c r="W327" s="26">
        <v>0.91243836121480248</v>
      </c>
      <c r="X327" s="28">
        <v>0.92</v>
      </c>
      <c r="Y327" s="28">
        <v>0.93330554397665699</v>
      </c>
      <c r="Z327" s="28">
        <v>0.93610822060353793</v>
      </c>
      <c r="AA327" s="28">
        <v>0.94957983193277307</v>
      </c>
      <c r="AB327" s="28">
        <v>0.94037537760610113</v>
      </c>
      <c r="AC327" s="28">
        <v>0.92</v>
      </c>
      <c r="AD327" s="26">
        <v>0.99620752427184467</v>
      </c>
      <c r="AE327" s="26">
        <v>0.9916172857349328</v>
      </c>
      <c r="AF327" s="26">
        <v>0.98949695964621343</v>
      </c>
      <c r="AG327" s="26">
        <v>0.98859703140594146</v>
      </c>
      <c r="AH327" s="28">
        <v>0.92</v>
      </c>
      <c r="AI327" s="26">
        <v>0.94478655672685519</v>
      </c>
      <c r="AJ327" s="26">
        <v>0.95324881141045958</v>
      </c>
      <c r="AK327" s="26">
        <v>0.96447902571041944</v>
      </c>
      <c r="AL327" s="26">
        <v>0.95558414945075898</v>
      </c>
      <c r="AM327" s="25">
        <v>0.99</v>
      </c>
      <c r="AN327" s="30">
        <v>1</v>
      </c>
      <c r="AO327" s="30">
        <v>1</v>
      </c>
      <c r="AP327" s="30">
        <v>1</v>
      </c>
      <c r="AQ327" s="30">
        <v>1</v>
      </c>
      <c r="AR327" s="50">
        <v>7.3985255698344701E-2</v>
      </c>
      <c r="AS327" s="34">
        <v>3.7974683544303799E-2</v>
      </c>
      <c r="AT327" s="34">
        <v>0</v>
      </c>
      <c r="AU327" s="34">
        <v>5.4945054945054944E-2</v>
      </c>
      <c r="AV327" s="34">
        <v>4.3413173652694613E-2</v>
      </c>
      <c r="AW327" s="10"/>
      <c r="AX327" s="8"/>
    </row>
    <row r="328" spans="1:50">
      <c r="A328" s="7"/>
      <c r="B328" s="10"/>
      <c r="C328" s="54" t="s">
        <v>372</v>
      </c>
      <c r="D328" s="23" t="s">
        <v>17</v>
      </c>
      <c r="E328" s="61" t="s">
        <v>374</v>
      </c>
      <c r="F328" s="61" t="s">
        <v>374</v>
      </c>
      <c r="G328" s="61" t="s">
        <v>374</v>
      </c>
      <c r="H328" s="61" t="s">
        <v>374</v>
      </c>
      <c r="I328" s="25">
        <v>0.9</v>
      </c>
      <c r="J328" s="26">
        <v>0</v>
      </c>
      <c r="K328" s="26">
        <v>0</v>
      </c>
      <c r="L328" s="27">
        <v>0</v>
      </c>
      <c r="M328" s="26">
        <v>0</v>
      </c>
      <c r="N328" s="28">
        <v>0.9</v>
      </c>
      <c r="O328" s="26">
        <v>0</v>
      </c>
      <c r="P328" s="26">
        <v>0</v>
      </c>
      <c r="Q328" s="26">
        <v>0</v>
      </c>
      <c r="R328" s="26">
        <v>0</v>
      </c>
      <c r="S328" s="28">
        <v>0.9</v>
      </c>
      <c r="T328" s="26">
        <v>0</v>
      </c>
      <c r="U328" s="26">
        <v>0</v>
      </c>
      <c r="V328" s="26">
        <v>0</v>
      </c>
      <c r="W328" s="26">
        <v>0</v>
      </c>
      <c r="X328" s="28">
        <v>0.92</v>
      </c>
      <c r="Y328" s="28">
        <v>0</v>
      </c>
      <c r="Z328" s="28">
        <v>0</v>
      </c>
      <c r="AA328" s="28">
        <v>0</v>
      </c>
      <c r="AB328" s="28">
        <v>1</v>
      </c>
      <c r="AC328" s="28">
        <v>0.92</v>
      </c>
      <c r="AD328" s="26">
        <v>0.99498404012767894</v>
      </c>
      <c r="AE328" s="26">
        <v>0.84875115633672527</v>
      </c>
      <c r="AF328" s="26">
        <v>0.85472739820565913</v>
      </c>
      <c r="AG328" s="26">
        <v>0.9065081696346613</v>
      </c>
      <c r="AH328" s="28">
        <v>0.92</v>
      </c>
      <c r="AI328" s="26">
        <v>0</v>
      </c>
      <c r="AJ328" s="26">
        <v>0</v>
      </c>
      <c r="AK328" s="26">
        <v>0</v>
      </c>
      <c r="AL328" s="26">
        <v>1</v>
      </c>
      <c r="AM328" s="25">
        <v>0.99</v>
      </c>
      <c r="AN328" s="30">
        <v>1</v>
      </c>
      <c r="AO328" s="30">
        <v>1</v>
      </c>
      <c r="AP328" s="30">
        <v>1</v>
      </c>
      <c r="AQ328" s="30">
        <v>1</v>
      </c>
      <c r="AR328" s="50">
        <v>7.3985255698344701E-2</v>
      </c>
      <c r="AS328" s="34">
        <v>0</v>
      </c>
      <c r="AT328" s="34">
        <v>0</v>
      </c>
      <c r="AU328" s="34">
        <v>0</v>
      </c>
      <c r="AV328" s="34">
        <v>0</v>
      </c>
      <c r="AW328" s="10"/>
      <c r="AX328" s="8"/>
    </row>
    <row r="329" spans="1:50">
      <c r="A329" s="7"/>
      <c r="B329" s="10"/>
      <c r="C329" s="54" t="s">
        <v>372</v>
      </c>
      <c r="D329" s="23" t="s">
        <v>17</v>
      </c>
      <c r="E329" s="61" t="s">
        <v>375</v>
      </c>
      <c r="F329" s="61" t="s">
        <v>375</v>
      </c>
      <c r="G329" s="61" t="s">
        <v>375</v>
      </c>
      <c r="H329" s="61" t="s">
        <v>375</v>
      </c>
      <c r="I329" s="25">
        <v>0.9</v>
      </c>
      <c r="J329" s="26">
        <v>0.87254901960784315</v>
      </c>
      <c r="K329" s="26">
        <v>0.89473684210526316</v>
      </c>
      <c r="L329" s="27">
        <v>0.9145299145299145</v>
      </c>
      <c r="M329" s="26">
        <v>0.892018779342723</v>
      </c>
      <c r="N329" s="28">
        <v>0.9</v>
      </c>
      <c r="O329" s="26">
        <v>0.94073678590496534</v>
      </c>
      <c r="P329" s="26">
        <v>0.94870967741935486</v>
      </c>
      <c r="Q329" s="26">
        <v>0.94319399785637725</v>
      </c>
      <c r="R329" s="26">
        <v>0.92409807902545682</v>
      </c>
      <c r="S329" s="28">
        <v>0.9</v>
      </c>
      <c r="T329" s="26">
        <v>0.86332087560064064</v>
      </c>
      <c r="U329" s="26">
        <v>0.86306451612903223</v>
      </c>
      <c r="V329" s="26">
        <v>0.8763397642015005</v>
      </c>
      <c r="W329" s="26">
        <v>0.85789864126190851</v>
      </c>
      <c r="X329" s="28">
        <v>0.92</v>
      </c>
      <c r="Y329" s="28">
        <v>0.9237550262913703</v>
      </c>
      <c r="Z329" s="28">
        <v>0.94913890230162568</v>
      </c>
      <c r="AA329" s="28">
        <v>0.95626048071548353</v>
      </c>
      <c r="AB329" s="28">
        <v>0.93839596314843843</v>
      </c>
      <c r="AC329" s="28">
        <v>0.92</v>
      </c>
      <c r="AD329" s="26">
        <v>0.99759891429167968</v>
      </c>
      <c r="AE329" s="26">
        <v>0.99204463270999066</v>
      </c>
      <c r="AF329" s="26">
        <v>0.97686403508771935</v>
      </c>
      <c r="AG329" s="26">
        <v>0.99042937474397641</v>
      </c>
      <c r="AH329" s="28">
        <v>0.92</v>
      </c>
      <c r="AI329" s="26">
        <v>0.9375</v>
      </c>
      <c r="AJ329" s="26">
        <v>0.95571095571095566</v>
      </c>
      <c r="AK329" s="26">
        <v>0.96711468922699051</v>
      </c>
      <c r="AL329" s="26">
        <v>0.95175624614435539</v>
      </c>
      <c r="AM329" s="25">
        <v>0.99</v>
      </c>
      <c r="AN329" s="30">
        <v>1</v>
      </c>
      <c r="AO329" s="30">
        <v>1</v>
      </c>
      <c r="AP329" s="30">
        <v>1</v>
      </c>
      <c r="AQ329" s="30">
        <v>1</v>
      </c>
      <c r="AR329" s="50">
        <v>7.3985255698344701E-2</v>
      </c>
      <c r="AS329" s="34">
        <v>4.716981132075472E-2</v>
      </c>
      <c r="AT329" s="34">
        <v>4.0404040404040407E-2</v>
      </c>
      <c r="AU329" s="34">
        <v>1.5384615384615385E-2</v>
      </c>
      <c r="AV329" s="34">
        <v>4.7562425683709872E-2</v>
      </c>
      <c r="AW329" s="10"/>
      <c r="AX329" s="8"/>
    </row>
    <row r="330" spans="1:50">
      <c r="A330" s="7"/>
      <c r="B330" s="10"/>
      <c r="C330" s="54" t="s">
        <v>372</v>
      </c>
      <c r="D330" s="23" t="s">
        <v>17</v>
      </c>
      <c r="E330" s="61" t="s">
        <v>376</v>
      </c>
      <c r="F330" s="61" t="s">
        <v>376</v>
      </c>
      <c r="G330" s="61" t="s">
        <v>376</v>
      </c>
      <c r="H330" s="61" t="s">
        <v>376</v>
      </c>
      <c r="I330" s="25">
        <v>0.9</v>
      </c>
      <c r="J330" s="26">
        <v>0</v>
      </c>
      <c r="K330" s="26">
        <v>0</v>
      </c>
      <c r="L330" s="27">
        <v>0</v>
      </c>
      <c r="M330" s="26">
        <v>0</v>
      </c>
      <c r="N330" s="28">
        <v>0.9</v>
      </c>
      <c r="O330" s="26">
        <v>0</v>
      </c>
      <c r="P330" s="26">
        <v>0</v>
      </c>
      <c r="Q330" s="26">
        <v>0</v>
      </c>
      <c r="R330" s="26">
        <v>0</v>
      </c>
      <c r="S330" s="28">
        <v>0.9</v>
      </c>
      <c r="T330" s="26">
        <v>0</v>
      </c>
      <c r="U330" s="26">
        <v>0</v>
      </c>
      <c r="V330" s="26">
        <v>0</v>
      </c>
      <c r="W330" s="26">
        <v>0</v>
      </c>
      <c r="X330" s="28">
        <v>0.92</v>
      </c>
      <c r="Y330" s="28">
        <v>0</v>
      </c>
      <c r="Z330" s="28">
        <v>0</v>
      </c>
      <c r="AA330" s="28">
        <v>0</v>
      </c>
      <c r="AB330" s="28">
        <v>0</v>
      </c>
      <c r="AC330" s="28">
        <v>0.92</v>
      </c>
      <c r="AD330" s="26">
        <v>1</v>
      </c>
      <c r="AE330" s="26">
        <v>1</v>
      </c>
      <c r="AF330" s="26">
        <v>1</v>
      </c>
      <c r="AG330" s="26">
        <v>0.99836534532080101</v>
      </c>
      <c r="AH330" s="28">
        <v>0.92</v>
      </c>
      <c r="AI330" s="26">
        <v>0</v>
      </c>
      <c r="AJ330" s="26">
        <v>0</v>
      </c>
      <c r="AK330" s="26">
        <v>0</v>
      </c>
      <c r="AL330" s="26">
        <v>0</v>
      </c>
      <c r="AM330" s="25">
        <v>0.99</v>
      </c>
      <c r="AN330" s="30">
        <v>1</v>
      </c>
      <c r="AO330" s="30">
        <v>1</v>
      </c>
      <c r="AP330" s="30">
        <v>1</v>
      </c>
      <c r="AQ330" s="30">
        <v>1</v>
      </c>
      <c r="AR330" s="50">
        <v>7.3985255698344701E-2</v>
      </c>
      <c r="AS330" s="34">
        <v>0</v>
      </c>
      <c r="AT330" s="34">
        <v>0</v>
      </c>
      <c r="AU330" s="34">
        <v>0</v>
      </c>
      <c r="AV330" s="34">
        <v>0</v>
      </c>
      <c r="AW330" s="10"/>
      <c r="AX330" s="8"/>
    </row>
    <row r="331" spans="1:50">
      <c r="A331" s="7"/>
      <c r="B331" s="10"/>
      <c r="C331" s="54" t="s">
        <v>372</v>
      </c>
      <c r="D331" s="23" t="s">
        <v>17</v>
      </c>
      <c r="E331" s="61" t="s">
        <v>377</v>
      </c>
      <c r="F331" s="61" t="s">
        <v>377</v>
      </c>
      <c r="G331" s="61" t="s">
        <v>377</v>
      </c>
      <c r="H331" s="61" t="s">
        <v>377</v>
      </c>
      <c r="I331" s="25">
        <v>0.9</v>
      </c>
      <c r="J331" s="26">
        <v>0.95294117647058818</v>
      </c>
      <c r="K331" s="26">
        <v>0.97959183673469385</v>
      </c>
      <c r="L331" s="27">
        <v>0.94897959183673475</v>
      </c>
      <c r="M331" s="26">
        <v>0.94766619519094764</v>
      </c>
      <c r="N331" s="28">
        <v>0.9</v>
      </c>
      <c r="O331" s="26">
        <v>0.95606820461384157</v>
      </c>
      <c r="P331" s="26">
        <v>0.95911257792445914</v>
      </c>
      <c r="Q331" s="26">
        <v>0.94481912936848556</v>
      </c>
      <c r="R331" s="26">
        <v>0.95055676323144489</v>
      </c>
      <c r="S331" s="28">
        <v>0.9</v>
      </c>
      <c r="T331" s="26">
        <v>0.92136409227683047</v>
      </c>
      <c r="U331" s="26">
        <v>0.93436010267693437</v>
      </c>
      <c r="V331" s="26">
        <v>0.92780502759043526</v>
      </c>
      <c r="W331" s="26">
        <v>0.92316223770019079</v>
      </c>
      <c r="X331" s="28">
        <v>0.92</v>
      </c>
      <c r="Y331" s="28">
        <v>0.93656790614436269</v>
      </c>
      <c r="Z331" s="28">
        <v>0.94948862450427884</v>
      </c>
      <c r="AA331" s="28">
        <v>0.95803423522915521</v>
      </c>
      <c r="AB331" s="28">
        <v>0.94389102983591455</v>
      </c>
      <c r="AC331" s="28">
        <v>0.92</v>
      </c>
      <c r="AD331" s="26">
        <v>0.99214901477832518</v>
      </c>
      <c r="AE331" s="26">
        <v>0.96993935132284437</v>
      </c>
      <c r="AF331" s="26">
        <v>0.97691317144959533</v>
      </c>
      <c r="AG331" s="26">
        <v>0.96418239426918306</v>
      </c>
      <c r="AH331" s="28">
        <v>0.92</v>
      </c>
      <c r="AI331" s="26">
        <v>0.95007987220447288</v>
      </c>
      <c r="AJ331" s="26">
        <v>0.96439024390243899</v>
      </c>
      <c r="AK331" s="26">
        <v>0.97045321759452463</v>
      </c>
      <c r="AL331" s="26">
        <v>0.96038859654195341</v>
      </c>
      <c r="AM331" s="25">
        <v>0.99</v>
      </c>
      <c r="AN331" s="30">
        <v>1</v>
      </c>
      <c r="AO331" s="30">
        <v>1</v>
      </c>
      <c r="AP331" s="30">
        <v>1</v>
      </c>
      <c r="AQ331" s="30">
        <v>0.99874843554443049</v>
      </c>
      <c r="AR331" s="50">
        <v>7.3985255698344701E-2</v>
      </c>
      <c r="AS331" s="34">
        <v>2.0833333333333332E-2</v>
      </c>
      <c r="AT331" s="34">
        <v>0</v>
      </c>
      <c r="AU331" s="34">
        <v>7.9365079365079361E-2</v>
      </c>
      <c r="AV331" s="34">
        <v>4.1131105398457581E-2</v>
      </c>
      <c r="AW331" s="10"/>
      <c r="AX331" s="8"/>
    </row>
    <row r="332" spans="1:50">
      <c r="A332" s="7"/>
      <c r="B332" s="10"/>
      <c r="C332" s="54" t="s">
        <v>372</v>
      </c>
      <c r="D332" s="23" t="s">
        <v>17</v>
      </c>
      <c r="E332" s="61" t="s">
        <v>378</v>
      </c>
      <c r="F332" s="61" t="s">
        <v>378</v>
      </c>
      <c r="G332" s="61" t="s">
        <v>378</v>
      </c>
      <c r="H332" s="61" t="s">
        <v>378</v>
      </c>
      <c r="I332" s="25">
        <v>0.9</v>
      </c>
      <c r="J332" s="26">
        <v>1</v>
      </c>
      <c r="K332" s="26">
        <v>1</v>
      </c>
      <c r="L332" s="27">
        <v>0.95454545454545459</v>
      </c>
      <c r="M332" s="26">
        <v>0.96706586826347307</v>
      </c>
      <c r="N332" s="28">
        <v>0.9</v>
      </c>
      <c r="O332" s="26">
        <v>0.926071741032371</v>
      </c>
      <c r="P332" s="26">
        <v>0.95412099066179457</v>
      </c>
      <c r="Q332" s="26">
        <v>0.94105894105894106</v>
      </c>
      <c r="R332" s="26">
        <v>0.93822134955222447</v>
      </c>
      <c r="S332" s="28">
        <v>0.9</v>
      </c>
      <c r="T332" s="26">
        <v>0.90638670166229218</v>
      </c>
      <c r="U332" s="26">
        <v>0.9183922046285018</v>
      </c>
      <c r="V332" s="26">
        <v>0.91808191808191808</v>
      </c>
      <c r="W332" s="26">
        <v>0.91892150759063262</v>
      </c>
      <c r="X332" s="28">
        <v>0.92</v>
      </c>
      <c r="Y332" s="28">
        <v>0.94878504672897201</v>
      </c>
      <c r="Z332" s="28">
        <v>0.96813634679510929</v>
      </c>
      <c r="AA332" s="28">
        <v>0.96787284409874874</v>
      </c>
      <c r="AB332" s="28">
        <v>0.96879134918100107</v>
      </c>
      <c r="AC332" s="28">
        <v>0.92</v>
      </c>
      <c r="AD332" s="26">
        <v>0.99512926189584117</v>
      </c>
      <c r="AE332" s="26">
        <v>0.98793188956852374</v>
      </c>
      <c r="AF332" s="26">
        <v>0.98201438848920863</v>
      </c>
      <c r="AG332" s="26">
        <v>0.9804091600891941</v>
      </c>
      <c r="AH332" s="28">
        <v>0.92</v>
      </c>
      <c r="AI332" s="26">
        <v>0.9569069673781716</v>
      </c>
      <c r="AJ332" s="26">
        <v>0.97083252849140433</v>
      </c>
      <c r="AK332" s="26">
        <v>0.97723849372384941</v>
      </c>
      <c r="AL332" s="26">
        <v>0.97488690948094947</v>
      </c>
      <c r="AM332" s="25">
        <v>0.99</v>
      </c>
      <c r="AN332" s="30">
        <v>1</v>
      </c>
      <c r="AO332" s="30">
        <v>1</v>
      </c>
      <c r="AP332" s="30">
        <v>1</v>
      </c>
      <c r="AQ332" s="30">
        <v>1</v>
      </c>
      <c r="AR332" s="50">
        <v>7.3985255698344701E-2</v>
      </c>
      <c r="AS332" s="34">
        <v>0</v>
      </c>
      <c r="AT332" s="34">
        <v>0</v>
      </c>
      <c r="AU332" s="34">
        <v>2.2727272727272728E-2</v>
      </c>
      <c r="AV332" s="34">
        <v>9.9337748344370865E-3</v>
      </c>
      <c r="AW332" s="10"/>
      <c r="AX332" s="8"/>
    </row>
    <row r="333" spans="1:50">
      <c r="A333" s="7"/>
      <c r="B333" s="10"/>
      <c r="C333" s="54" t="s">
        <v>372</v>
      </c>
      <c r="D333" s="23" t="s">
        <v>17</v>
      </c>
      <c r="E333" s="61" t="s">
        <v>379</v>
      </c>
      <c r="F333" s="61" t="s">
        <v>379</v>
      </c>
      <c r="G333" s="61" t="s">
        <v>379</v>
      </c>
      <c r="H333" s="61" t="s">
        <v>379</v>
      </c>
      <c r="I333" s="25">
        <v>0.9</v>
      </c>
      <c r="J333" s="26">
        <v>0.90625</v>
      </c>
      <c r="K333" s="26">
        <v>1</v>
      </c>
      <c r="L333" s="27">
        <v>0.97674418604651159</v>
      </c>
      <c r="M333" s="26">
        <v>0.94137931034482758</v>
      </c>
      <c r="N333" s="28">
        <v>0.9</v>
      </c>
      <c r="O333" s="26">
        <v>0.95712173484475116</v>
      </c>
      <c r="P333" s="26">
        <v>0.96778464254192409</v>
      </c>
      <c r="Q333" s="26">
        <v>0.96669133974833454</v>
      </c>
      <c r="R333" s="26">
        <v>0.96083467094703046</v>
      </c>
      <c r="S333" s="28">
        <v>0.9</v>
      </c>
      <c r="T333" s="26">
        <v>0.90980778708723509</v>
      </c>
      <c r="U333" s="26">
        <v>0.90688437775816422</v>
      </c>
      <c r="V333" s="26">
        <v>0.94004441154700225</v>
      </c>
      <c r="W333" s="26">
        <v>0.92284644194756549</v>
      </c>
      <c r="X333" s="28">
        <v>0.92</v>
      </c>
      <c r="Y333" s="28">
        <v>0.9368285345938977</v>
      </c>
      <c r="Z333" s="28">
        <v>0.95851339671564395</v>
      </c>
      <c r="AA333" s="28">
        <v>0.96934419868063637</v>
      </c>
      <c r="AB333" s="28">
        <v>0.95963601240404661</v>
      </c>
      <c r="AC333" s="28">
        <v>0.92</v>
      </c>
      <c r="AD333" s="26">
        <v>0.99848942598187307</v>
      </c>
      <c r="AE333" s="26">
        <v>0.98927038626609443</v>
      </c>
      <c r="AF333" s="26">
        <v>0.99223602484472051</v>
      </c>
      <c r="AG333" s="26">
        <v>0.99568444674607282</v>
      </c>
      <c r="AH333" s="28">
        <v>0.92</v>
      </c>
      <c r="AI333" s="26">
        <v>0.94701834862385326</v>
      </c>
      <c r="AJ333" s="26">
        <v>0.96993464052287581</v>
      </c>
      <c r="AK333" s="26">
        <v>0.9767749244712991</v>
      </c>
      <c r="AL333" s="26">
        <v>0.96937766677073578</v>
      </c>
      <c r="AM333" s="25">
        <v>0.99</v>
      </c>
      <c r="AN333" s="30">
        <v>1</v>
      </c>
      <c r="AO333" s="30">
        <v>1</v>
      </c>
      <c r="AP333" s="30">
        <v>1</v>
      </c>
      <c r="AQ333" s="30">
        <v>1</v>
      </c>
      <c r="AR333" s="50">
        <v>7.3985255698344701E-2</v>
      </c>
      <c r="AS333" s="34">
        <v>5.7142857142857141E-2</v>
      </c>
      <c r="AT333" s="34">
        <v>5.4054054054054057E-2</v>
      </c>
      <c r="AU333" s="34">
        <v>6.3492063492063489E-2</v>
      </c>
      <c r="AV333" s="34">
        <v>6.0518731988472622E-2</v>
      </c>
      <c r="AW333" s="10"/>
      <c r="AX333" s="8"/>
    </row>
    <row r="334" spans="1:50">
      <c r="A334" s="7"/>
      <c r="B334" s="10"/>
      <c r="C334" s="54" t="s">
        <v>372</v>
      </c>
      <c r="D334" s="23" t="s">
        <v>17</v>
      </c>
      <c r="E334" s="61" t="s">
        <v>380</v>
      </c>
      <c r="F334" s="61" t="s">
        <v>380</v>
      </c>
      <c r="G334" s="61" t="s">
        <v>380</v>
      </c>
      <c r="H334" s="61" t="s">
        <v>380</v>
      </c>
      <c r="I334" s="25">
        <v>0.9</v>
      </c>
      <c r="J334" s="26">
        <v>0.88461538461538458</v>
      </c>
      <c r="K334" s="26">
        <v>0.98305084745762716</v>
      </c>
      <c r="L334" s="27">
        <v>0.91935483870967738</v>
      </c>
      <c r="M334" s="26">
        <v>0.90666666666666662</v>
      </c>
      <c r="N334" s="28">
        <v>0.9</v>
      </c>
      <c r="O334" s="26">
        <v>0.97930574098798395</v>
      </c>
      <c r="P334" s="26">
        <v>0.98362760834670948</v>
      </c>
      <c r="Q334" s="26">
        <v>0.96126401630988789</v>
      </c>
      <c r="R334" s="26">
        <v>0.97412968278501511</v>
      </c>
      <c r="S334" s="28">
        <v>0.9</v>
      </c>
      <c r="T334" s="26">
        <v>0.90921228304405877</v>
      </c>
      <c r="U334" s="26">
        <v>0.91107544141252006</v>
      </c>
      <c r="V334" s="26">
        <v>0.90978593272171249</v>
      </c>
      <c r="W334" s="26">
        <v>0.91079708544932658</v>
      </c>
      <c r="X334" s="28">
        <v>0.92</v>
      </c>
      <c r="Y334" s="28">
        <v>0.95972090072946403</v>
      </c>
      <c r="Z334" s="28">
        <v>0.9594133697135061</v>
      </c>
      <c r="AA334" s="28">
        <v>0.96194379391100704</v>
      </c>
      <c r="AB334" s="28">
        <v>0.95845381220514381</v>
      </c>
      <c r="AC334" s="28">
        <v>0.92</v>
      </c>
      <c r="AD334" s="26">
        <v>0.99612277867528276</v>
      </c>
      <c r="AE334" s="26">
        <v>0.99368029739776953</v>
      </c>
      <c r="AF334" s="26">
        <v>0.98371010638297873</v>
      </c>
      <c r="AG334" s="26">
        <v>0.98863150696640734</v>
      </c>
      <c r="AH334" s="28">
        <v>0.92</v>
      </c>
      <c r="AI334" s="26">
        <v>0.96378106220561965</v>
      </c>
      <c r="AJ334" s="26">
        <v>0.9679920805147666</v>
      </c>
      <c r="AK334" s="26">
        <v>0.96944595328625749</v>
      </c>
      <c r="AL334" s="26">
        <v>0.96663368000448124</v>
      </c>
      <c r="AM334" s="25">
        <v>0.99</v>
      </c>
      <c r="AN334" s="30">
        <v>1</v>
      </c>
      <c r="AO334" s="30">
        <v>1</v>
      </c>
      <c r="AP334" s="30">
        <v>1</v>
      </c>
      <c r="AQ334" s="30">
        <v>1</v>
      </c>
      <c r="AR334" s="50">
        <v>7.3985255698344701E-2</v>
      </c>
      <c r="AS334" s="34">
        <v>4.5454545454545456E-2</v>
      </c>
      <c r="AT334" s="34">
        <v>0</v>
      </c>
      <c r="AU334" s="34">
        <v>0</v>
      </c>
      <c r="AV334" s="34">
        <v>3.3240997229916899E-2</v>
      </c>
      <c r="AW334" s="10"/>
      <c r="AX334" s="8"/>
    </row>
    <row r="335" spans="1:50">
      <c r="A335" s="7"/>
      <c r="B335" s="10"/>
      <c r="C335" s="54" t="s">
        <v>372</v>
      </c>
      <c r="D335" s="23" t="s">
        <v>17</v>
      </c>
      <c r="E335" s="61" t="s">
        <v>381</v>
      </c>
      <c r="F335" s="61" t="s">
        <v>381</v>
      </c>
      <c r="G335" s="61" t="s">
        <v>381</v>
      </c>
      <c r="H335" s="61" t="s">
        <v>381</v>
      </c>
      <c r="I335" s="25">
        <v>0.9</v>
      </c>
      <c r="J335" s="26">
        <v>0.875</v>
      </c>
      <c r="K335" s="26">
        <v>0.92405063291139244</v>
      </c>
      <c r="L335" s="27">
        <v>0.90909090909090906</v>
      </c>
      <c r="M335" s="26">
        <v>0.92569659442724461</v>
      </c>
      <c r="N335" s="28">
        <v>0.9</v>
      </c>
      <c r="O335" s="26">
        <v>0.97093763258379295</v>
      </c>
      <c r="P335" s="26">
        <v>0.97650130548302871</v>
      </c>
      <c r="Q335" s="26">
        <v>0.98229649238914629</v>
      </c>
      <c r="R335" s="26">
        <v>0.97453363822361294</v>
      </c>
      <c r="S335" s="28">
        <v>0.9</v>
      </c>
      <c r="T335" s="26">
        <v>0.91344929995757318</v>
      </c>
      <c r="U335" s="26">
        <v>0.91303474593291822</v>
      </c>
      <c r="V335" s="26">
        <v>0.92157511581733953</v>
      </c>
      <c r="W335" s="26">
        <v>0.91931640389938618</v>
      </c>
      <c r="X335" s="28">
        <v>0.92</v>
      </c>
      <c r="Y335" s="28">
        <v>0.95661869045205761</v>
      </c>
      <c r="Z335" s="28">
        <v>0.9607281652689712</v>
      </c>
      <c r="AA335" s="28">
        <v>0.9705561613958561</v>
      </c>
      <c r="AB335" s="28">
        <v>0.96517639174764247</v>
      </c>
      <c r="AC335" s="28">
        <v>0.92</v>
      </c>
      <c r="AD335" s="26">
        <v>0.98355629877369011</v>
      </c>
      <c r="AE335" s="26">
        <v>0.94135366657253128</v>
      </c>
      <c r="AF335" s="26">
        <v>0.9850220264317181</v>
      </c>
      <c r="AG335" s="26">
        <v>0.95253181963191536</v>
      </c>
      <c r="AH335" s="28">
        <v>0.92</v>
      </c>
      <c r="AI335" s="26">
        <v>0.96447436561367172</v>
      </c>
      <c r="AJ335" s="26">
        <v>0.96407973287463322</v>
      </c>
      <c r="AK335" s="26">
        <v>0.97813310285220401</v>
      </c>
      <c r="AL335" s="26">
        <v>0.97266659476818729</v>
      </c>
      <c r="AM335" s="25">
        <v>0.99</v>
      </c>
      <c r="AN335" s="30">
        <v>1</v>
      </c>
      <c r="AO335" s="30">
        <v>1</v>
      </c>
      <c r="AP335" s="30">
        <v>1</v>
      </c>
      <c r="AQ335" s="30">
        <v>1</v>
      </c>
      <c r="AR335" s="50">
        <v>7.3985255698344701E-2</v>
      </c>
      <c r="AS335" s="34">
        <v>0</v>
      </c>
      <c r="AT335" s="34">
        <v>4.5454545454545456E-2</v>
      </c>
      <c r="AU335" s="34">
        <v>3.2786885245901641E-2</v>
      </c>
      <c r="AV335" s="34">
        <v>2.5000000000000001E-2</v>
      </c>
      <c r="AW335" s="10"/>
      <c r="AX335" s="8"/>
    </row>
    <row r="336" spans="1:50">
      <c r="A336" s="7"/>
      <c r="B336" s="10"/>
      <c r="C336" s="54" t="s">
        <v>372</v>
      </c>
      <c r="D336" s="23" t="s">
        <v>17</v>
      </c>
      <c r="E336" s="61" t="s">
        <v>382</v>
      </c>
      <c r="F336" s="61" t="s">
        <v>382</v>
      </c>
      <c r="G336" s="61" t="s">
        <v>382</v>
      </c>
      <c r="H336" s="61" t="s">
        <v>382</v>
      </c>
      <c r="I336" s="25">
        <v>0.9</v>
      </c>
      <c r="J336" s="26">
        <v>0</v>
      </c>
      <c r="K336" s="26">
        <v>0</v>
      </c>
      <c r="L336" s="27">
        <v>0</v>
      </c>
      <c r="M336" s="26">
        <v>0</v>
      </c>
      <c r="N336" s="28">
        <v>0.9</v>
      </c>
      <c r="O336" s="26">
        <v>0</v>
      </c>
      <c r="P336" s="26">
        <v>0</v>
      </c>
      <c r="Q336" s="26">
        <v>0</v>
      </c>
      <c r="R336" s="26">
        <v>0</v>
      </c>
      <c r="S336" s="28">
        <v>0.9</v>
      </c>
      <c r="T336" s="26">
        <v>0</v>
      </c>
      <c r="U336" s="26">
        <v>0</v>
      </c>
      <c r="V336" s="26">
        <v>0</v>
      </c>
      <c r="W336" s="26">
        <v>0</v>
      </c>
      <c r="X336" s="28">
        <v>0.92</v>
      </c>
      <c r="Y336" s="28">
        <v>0</v>
      </c>
      <c r="Z336" s="28">
        <v>0</v>
      </c>
      <c r="AA336" s="28">
        <v>0</v>
      </c>
      <c r="AB336" s="28">
        <v>0</v>
      </c>
      <c r="AC336" s="28">
        <v>0.92</v>
      </c>
      <c r="AD336" s="26">
        <v>0.90748440748440751</v>
      </c>
      <c r="AE336" s="26">
        <v>0.9987834549878345</v>
      </c>
      <c r="AF336" s="26">
        <v>1</v>
      </c>
      <c r="AG336" s="26">
        <v>0.98638045891931903</v>
      </c>
      <c r="AH336" s="28">
        <v>0.92</v>
      </c>
      <c r="AI336" s="26">
        <v>0</v>
      </c>
      <c r="AJ336" s="26">
        <v>0</v>
      </c>
      <c r="AK336" s="26">
        <v>0</v>
      </c>
      <c r="AL336" s="26">
        <v>0</v>
      </c>
      <c r="AM336" s="25">
        <v>0.99</v>
      </c>
      <c r="AN336" s="30">
        <v>1</v>
      </c>
      <c r="AO336" s="30">
        <v>0</v>
      </c>
      <c r="AP336" s="30">
        <v>0</v>
      </c>
      <c r="AQ336" s="30">
        <v>1</v>
      </c>
      <c r="AR336" s="50">
        <v>7.3985255698344701E-2</v>
      </c>
      <c r="AS336" s="34">
        <v>0</v>
      </c>
      <c r="AT336" s="34">
        <v>0</v>
      </c>
      <c r="AU336" s="34">
        <v>0</v>
      </c>
      <c r="AV336" s="34">
        <v>0</v>
      </c>
      <c r="AW336" s="10"/>
      <c r="AX336" s="8"/>
    </row>
    <row r="337" spans="1:50">
      <c r="A337" s="7"/>
      <c r="B337" s="10"/>
      <c r="C337" s="54" t="s">
        <v>372</v>
      </c>
      <c r="D337" s="23" t="s">
        <v>17</v>
      </c>
      <c r="E337" s="61" t="s">
        <v>383</v>
      </c>
      <c r="F337" s="61" t="s">
        <v>383</v>
      </c>
      <c r="G337" s="61" t="s">
        <v>383</v>
      </c>
      <c r="H337" s="61" t="s">
        <v>383</v>
      </c>
      <c r="I337" s="25">
        <v>0.9</v>
      </c>
      <c r="J337" s="26">
        <v>0.8828125</v>
      </c>
      <c r="K337" s="26">
        <v>0.93233082706766912</v>
      </c>
      <c r="L337" s="27">
        <v>0.93478260869565222</v>
      </c>
      <c r="M337" s="26">
        <v>0.90848427073403237</v>
      </c>
      <c r="N337" s="28">
        <v>0.9</v>
      </c>
      <c r="O337" s="26">
        <v>0.97109030837004406</v>
      </c>
      <c r="P337" s="26">
        <v>0.97337355718782792</v>
      </c>
      <c r="Q337" s="26">
        <v>0.95144371147399154</v>
      </c>
      <c r="R337" s="26">
        <v>0.95598505268316591</v>
      </c>
      <c r="S337" s="28">
        <v>0.9</v>
      </c>
      <c r="T337" s="26">
        <v>0.92166850220264318</v>
      </c>
      <c r="U337" s="26">
        <v>0.9062172088142707</v>
      </c>
      <c r="V337" s="26">
        <v>0.92343462744673943</v>
      </c>
      <c r="W337" s="26">
        <v>0.91696275422690521</v>
      </c>
      <c r="X337" s="28">
        <v>0.92</v>
      </c>
      <c r="Y337" s="28">
        <v>0.94449660928534163</v>
      </c>
      <c r="Z337" s="28">
        <v>0.94795872588604757</v>
      </c>
      <c r="AA337" s="28">
        <v>0.96124909821704629</v>
      </c>
      <c r="AB337" s="28">
        <v>0.95009762641624718</v>
      </c>
      <c r="AC337" s="28">
        <v>0.92</v>
      </c>
      <c r="AD337" s="26">
        <v>0.9793144208037825</v>
      </c>
      <c r="AE337" s="26">
        <v>0.98888116747741484</v>
      </c>
      <c r="AF337" s="26">
        <v>0.98118279569892475</v>
      </c>
      <c r="AG337" s="26">
        <v>0.98149872988992382</v>
      </c>
      <c r="AH337" s="28">
        <v>0.92</v>
      </c>
      <c r="AI337" s="26">
        <v>0.95475300954753006</v>
      </c>
      <c r="AJ337" s="26">
        <v>0.95876288659793818</v>
      </c>
      <c r="AK337" s="26">
        <v>0.97060682680151711</v>
      </c>
      <c r="AL337" s="26">
        <v>0.96299425601556343</v>
      </c>
      <c r="AM337" s="25">
        <v>0.99</v>
      </c>
      <c r="AN337" s="30">
        <v>1</v>
      </c>
      <c r="AO337" s="30">
        <v>1</v>
      </c>
      <c r="AP337" s="30">
        <v>1</v>
      </c>
      <c r="AQ337" s="30">
        <v>1</v>
      </c>
      <c r="AR337" s="50">
        <v>7.3985255698344701E-2</v>
      </c>
      <c r="AS337" s="34">
        <v>4.2857142857142858E-2</v>
      </c>
      <c r="AT337" s="34">
        <v>9.5238095238095233E-2</v>
      </c>
      <c r="AU337" s="34">
        <v>1.3333333333333334E-2</v>
      </c>
      <c r="AV337" s="34">
        <v>3.7701974865350089E-2</v>
      </c>
      <c r="AW337" s="10"/>
      <c r="AX337" s="8"/>
    </row>
    <row r="338" spans="1:50">
      <c r="A338" s="7"/>
      <c r="B338" s="10"/>
      <c r="C338" s="54" t="s">
        <v>372</v>
      </c>
      <c r="D338" s="23" t="s">
        <v>17</v>
      </c>
      <c r="E338" s="61" t="s">
        <v>384</v>
      </c>
      <c r="F338" s="61" t="s">
        <v>384</v>
      </c>
      <c r="G338" s="61" t="s">
        <v>384</v>
      </c>
      <c r="H338" s="61" t="s">
        <v>384</v>
      </c>
      <c r="I338" s="25">
        <v>0.9</v>
      </c>
      <c r="J338" s="26">
        <v>0.96551724137931039</v>
      </c>
      <c r="K338" s="26">
        <v>0.96969696969696972</v>
      </c>
      <c r="L338" s="27">
        <v>0.9538461538461539</v>
      </c>
      <c r="M338" s="26">
        <v>0.95867768595041325</v>
      </c>
      <c r="N338" s="28">
        <v>0.9</v>
      </c>
      <c r="O338" s="26">
        <v>0.96423841059602644</v>
      </c>
      <c r="P338" s="26">
        <v>0.96292947558770348</v>
      </c>
      <c r="Q338" s="26">
        <v>0.962234461054288</v>
      </c>
      <c r="R338" s="26">
        <v>0.96180426543806197</v>
      </c>
      <c r="S338" s="28">
        <v>0.9</v>
      </c>
      <c r="T338" s="26">
        <v>0.91655629139072847</v>
      </c>
      <c r="U338" s="26">
        <v>0.91772151898734178</v>
      </c>
      <c r="V338" s="26">
        <v>0.92709152897980596</v>
      </c>
      <c r="W338" s="26">
        <v>0.92019023556513335</v>
      </c>
      <c r="X338" s="28">
        <v>0.92</v>
      </c>
      <c r="Y338" s="28">
        <v>0.94772656974945868</v>
      </c>
      <c r="Z338" s="28">
        <v>0.95472500759647527</v>
      </c>
      <c r="AA338" s="28">
        <v>0.96372196067571314</v>
      </c>
      <c r="AB338" s="28">
        <v>0.96017651101385326</v>
      </c>
      <c r="AC338" s="28">
        <v>0.92</v>
      </c>
      <c r="AD338" s="26">
        <v>0.99391440910875539</v>
      </c>
      <c r="AE338" s="26">
        <v>0.99719157472417252</v>
      </c>
      <c r="AF338" s="26">
        <v>0.9845928099779897</v>
      </c>
      <c r="AG338" s="26">
        <v>0.98807664584334454</v>
      </c>
      <c r="AH338" s="28">
        <v>0.92</v>
      </c>
      <c r="AI338" s="26">
        <v>0.96021728710656651</v>
      </c>
      <c r="AJ338" s="26">
        <v>0.96480362537764353</v>
      </c>
      <c r="AK338" s="26">
        <v>0.97286769644056414</v>
      </c>
      <c r="AL338" s="26">
        <v>0.96925385699383249</v>
      </c>
      <c r="AM338" s="25">
        <v>0.99</v>
      </c>
      <c r="AN338" s="30">
        <v>1</v>
      </c>
      <c r="AO338" s="30">
        <v>1</v>
      </c>
      <c r="AP338" s="30">
        <v>1</v>
      </c>
      <c r="AQ338" s="30">
        <v>1</v>
      </c>
      <c r="AR338" s="50">
        <v>7.3985255698344701E-2</v>
      </c>
      <c r="AS338" s="34">
        <v>4.4444444444444446E-2</v>
      </c>
      <c r="AT338" s="34">
        <v>0</v>
      </c>
      <c r="AU338" s="34">
        <v>6.25E-2</v>
      </c>
      <c r="AV338" s="34">
        <v>5.1020408163265307E-2</v>
      </c>
      <c r="AW338" s="10"/>
      <c r="AX338" s="8"/>
    </row>
    <row r="339" spans="1:50">
      <c r="A339" s="7"/>
      <c r="B339" s="10"/>
      <c r="C339" s="54" t="s">
        <v>372</v>
      </c>
      <c r="D339" s="23" t="s">
        <v>17</v>
      </c>
      <c r="E339" s="61" t="s">
        <v>385</v>
      </c>
      <c r="F339" s="61" t="s">
        <v>385</v>
      </c>
      <c r="G339" s="61" t="s">
        <v>385</v>
      </c>
      <c r="H339" s="61" t="s">
        <v>385</v>
      </c>
      <c r="I339" s="25">
        <v>0.9</v>
      </c>
      <c r="J339" s="26">
        <v>0</v>
      </c>
      <c r="K339" s="26">
        <v>0</v>
      </c>
      <c r="L339" s="27">
        <v>0</v>
      </c>
      <c r="M339" s="26">
        <v>0</v>
      </c>
      <c r="N339" s="28">
        <v>0.9</v>
      </c>
      <c r="O339" s="26">
        <v>0</v>
      </c>
      <c r="P339" s="26">
        <v>0</v>
      </c>
      <c r="Q339" s="26">
        <v>0</v>
      </c>
      <c r="R339" s="26">
        <v>0</v>
      </c>
      <c r="S339" s="28">
        <v>0.9</v>
      </c>
      <c r="T339" s="26">
        <v>0</v>
      </c>
      <c r="U339" s="26">
        <v>0</v>
      </c>
      <c r="V339" s="26">
        <v>0</v>
      </c>
      <c r="W339" s="26">
        <v>0</v>
      </c>
      <c r="X339" s="28">
        <v>0.92</v>
      </c>
      <c r="Y339" s="28">
        <v>0</v>
      </c>
      <c r="Z339" s="28">
        <v>0</v>
      </c>
      <c r="AA339" s="28">
        <v>0</v>
      </c>
      <c r="AB339" s="28">
        <v>0</v>
      </c>
      <c r="AC339" s="28">
        <v>0.92</v>
      </c>
      <c r="AD339" s="26">
        <v>1</v>
      </c>
      <c r="AE339" s="26">
        <v>1</v>
      </c>
      <c r="AF339" s="26">
        <v>1</v>
      </c>
      <c r="AG339" s="26">
        <v>1</v>
      </c>
      <c r="AH339" s="28">
        <v>0.92</v>
      </c>
      <c r="AI339" s="26">
        <v>0</v>
      </c>
      <c r="AJ339" s="26">
        <v>0</v>
      </c>
      <c r="AK339" s="26">
        <v>0</v>
      </c>
      <c r="AL339" s="26">
        <v>0</v>
      </c>
      <c r="AM339" s="25">
        <v>0.99</v>
      </c>
      <c r="AN339" s="30">
        <v>0</v>
      </c>
      <c r="AO339" s="30">
        <v>0</v>
      </c>
      <c r="AP339" s="30">
        <v>1</v>
      </c>
      <c r="AQ339" s="30">
        <v>1</v>
      </c>
      <c r="AR339" s="50">
        <v>7.3985255698344701E-2</v>
      </c>
      <c r="AS339" s="34">
        <v>0</v>
      </c>
      <c r="AT339" s="34">
        <v>0</v>
      </c>
      <c r="AU339" s="34">
        <v>0</v>
      </c>
      <c r="AV339" s="34">
        <v>0</v>
      </c>
      <c r="AW339" s="10"/>
      <c r="AX339" s="8"/>
    </row>
    <row r="340" spans="1:50">
      <c r="A340" s="7"/>
      <c r="B340" s="10"/>
      <c r="C340" s="54" t="s">
        <v>372</v>
      </c>
      <c r="D340" s="23" t="s">
        <v>17</v>
      </c>
      <c r="E340" s="61" t="s">
        <v>386</v>
      </c>
      <c r="F340" s="61" t="s">
        <v>386</v>
      </c>
      <c r="G340" s="61" t="s">
        <v>386</v>
      </c>
      <c r="H340" s="61" t="s">
        <v>386</v>
      </c>
      <c r="I340" s="25">
        <v>0.9</v>
      </c>
      <c r="J340" s="26">
        <v>0.97530864197530864</v>
      </c>
      <c r="K340" s="26">
        <v>0.96590909090909094</v>
      </c>
      <c r="L340" s="27">
        <v>0.97872340425531912</v>
      </c>
      <c r="M340" s="26">
        <v>0.97289586305278175</v>
      </c>
      <c r="N340" s="28">
        <v>0.9</v>
      </c>
      <c r="O340" s="26">
        <v>0.96869311976701855</v>
      </c>
      <c r="P340" s="26">
        <v>0.9694764862466726</v>
      </c>
      <c r="Q340" s="26">
        <v>0.97055251973284762</v>
      </c>
      <c r="R340" s="26">
        <v>0.97183878663940015</v>
      </c>
      <c r="S340" s="28">
        <v>0.9</v>
      </c>
      <c r="T340" s="26">
        <v>0.92846741900254826</v>
      </c>
      <c r="U340" s="26">
        <v>0.93877551020408168</v>
      </c>
      <c r="V340" s="26">
        <v>0.9435336976320583</v>
      </c>
      <c r="W340" s="26">
        <v>0.93856509884117245</v>
      </c>
      <c r="X340" s="28">
        <v>0.92</v>
      </c>
      <c r="Y340" s="28">
        <v>0.96603657599508219</v>
      </c>
      <c r="Z340" s="28">
        <v>0.97098775784001345</v>
      </c>
      <c r="AA340" s="28">
        <v>0.9671800777313948</v>
      </c>
      <c r="AB340" s="28">
        <v>0.97148546241880607</v>
      </c>
      <c r="AC340" s="28">
        <v>0.92</v>
      </c>
      <c r="AD340" s="26">
        <v>0.99961926518180089</v>
      </c>
      <c r="AE340" s="26">
        <v>0.9871513944223107</v>
      </c>
      <c r="AF340" s="26">
        <v>0.99932705248990583</v>
      </c>
      <c r="AG340" s="26">
        <v>0.99760842665668448</v>
      </c>
      <c r="AH340" s="28">
        <v>0.92</v>
      </c>
      <c r="AI340" s="26">
        <v>0.96967424810464053</v>
      </c>
      <c r="AJ340" s="26">
        <v>0.9754105407961482</v>
      </c>
      <c r="AK340" s="26">
        <v>0.97507742220911375</v>
      </c>
      <c r="AL340" s="26">
        <v>0.97723916078256823</v>
      </c>
      <c r="AM340" s="25">
        <v>0.99</v>
      </c>
      <c r="AN340" s="30">
        <v>1</v>
      </c>
      <c r="AO340" s="30">
        <v>1</v>
      </c>
      <c r="AP340" s="30">
        <v>1</v>
      </c>
      <c r="AQ340" s="30">
        <v>1</v>
      </c>
      <c r="AR340" s="50">
        <v>7.3985255698344701E-2</v>
      </c>
      <c r="AS340" s="34">
        <v>8.8888888888888892E-2</v>
      </c>
      <c r="AT340" s="34">
        <v>4.4444444444444446E-2</v>
      </c>
      <c r="AU340" s="34">
        <v>4.2857142857142858E-2</v>
      </c>
      <c r="AV340" s="34">
        <v>5.8823529411764705E-2</v>
      </c>
      <c r="AW340" s="10"/>
      <c r="AX340" s="8"/>
    </row>
    <row r="341" spans="1:50">
      <c r="A341" s="7"/>
      <c r="B341" s="10"/>
      <c r="C341" s="54" t="s">
        <v>372</v>
      </c>
      <c r="D341" s="23" t="s">
        <v>17</v>
      </c>
      <c r="E341" s="61" t="s">
        <v>387</v>
      </c>
      <c r="F341" s="61" t="s">
        <v>387</v>
      </c>
      <c r="G341" s="61" t="s">
        <v>387</v>
      </c>
      <c r="H341" s="61" t="s">
        <v>387</v>
      </c>
      <c r="I341" s="25">
        <v>0.9</v>
      </c>
      <c r="J341" s="26">
        <v>0</v>
      </c>
      <c r="K341" s="26">
        <v>0</v>
      </c>
      <c r="L341" s="27">
        <v>0</v>
      </c>
      <c r="M341" s="26">
        <v>0</v>
      </c>
      <c r="N341" s="28">
        <v>0.9</v>
      </c>
      <c r="O341" s="26">
        <v>0</v>
      </c>
      <c r="P341" s="26">
        <v>0</v>
      </c>
      <c r="Q341" s="26">
        <v>0</v>
      </c>
      <c r="R341" s="26">
        <v>0</v>
      </c>
      <c r="S341" s="28">
        <v>0.9</v>
      </c>
      <c r="T341" s="26">
        <v>0</v>
      </c>
      <c r="U341" s="26">
        <v>0</v>
      </c>
      <c r="V341" s="26">
        <v>0</v>
      </c>
      <c r="W341" s="26">
        <v>0</v>
      </c>
      <c r="X341" s="28">
        <v>0.92</v>
      </c>
      <c r="Y341" s="28">
        <v>0</v>
      </c>
      <c r="Z341" s="28">
        <v>0</v>
      </c>
      <c r="AA341" s="28">
        <v>0</v>
      </c>
      <c r="AB341" s="28">
        <v>0</v>
      </c>
      <c r="AC341" s="28">
        <v>0.92</v>
      </c>
      <c r="AD341" s="26">
        <v>0.99444444444444446</v>
      </c>
      <c r="AE341" s="26">
        <v>0.99230769230769234</v>
      </c>
      <c r="AF341" s="26">
        <v>1</v>
      </c>
      <c r="AG341" s="26">
        <v>0.98496659242761697</v>
      </c>
      <c r="AH341" s="28">
        <v>0.92</v>
      </c>
      <c r="AI341" s="26">
        <v>0</v>
      </c>
      <c r="AJ341" s="26">
        <v>0</v>
      </c>
      <c r="AK341" s="26">
        <v>0</v>
      </c>
      <c r="AL341" s="26">
        <v>0</v>
      </c>
      <c r="AM341" s="25">
        <v>0.99</v>
      </c>
      <c r="AN341" s="30">
        <v>0</v>
      </c>
      <c r="AO341" s="30">
        <v>0</v>
      </c>
      <c r="AP341" s="30">
        <v>0</v>
      </c>
      <c r="AQ341" s="30">
        <v>0</v>
      </c>
      <c r="AR341" s="50">
        <v>7.3985255698344701E-2</v>
      </c>
      <c r="AS341" s="34">
        <v>0</v>
      </c>
      <c r="AT341" s="34">
        <v>0</v>
      </c>
      <c r="AU341" s="34">
        <v>0</v>
      </c>
      <c r="AV341" s="34">
        <v>0</v>
      </c>
      <c r="AW341" s="10"/>
      <c r="AX341" s="8"/>
    </row>
    <row r="342" spans="1:50">
      <c r="A342" s="7"/>
      <c r="B342" s="10"/>
      <c r="C342" s="54" t="s">
        <v>372</v>
      </c>
      <c r="D342" s="23" t="s">
        <v>17</v>
      </c>
      <c r="E342" s="61" t="s">
        <v>388</v>
      </c>
      <c r="F342" s="61" t="s">
        <v>388</v>
      </c>
      <c r="G342" s="61" t="s">
        <v>388</v>
      </c>
      <c r="H342" s="61" t="s">
        <v>388</v>
      </c>
      <c r="I342" s="25">
        <v>0.9</v>
      </c>
      <c r="J342" s="26">
        <v>0.8545454545454545</v>
      </c>
      <c r="K342" s="26">
        <v>0.94444444444444442</v>
      </c>
      <c r="L342" s="27">
        <v>0.8771929824561403</v>
      </c>
      <c r="M342" s="26">
        <v>0.91592920353982299</v>
      </c>
      <c r="N342" s="28">
        <v>0.9</v>
      </c>
      <c r="O342" s="26">
        <v>0.92780898876404494</v>
      </c>
      <c r="P342" s="26">
        <v>0.91548542391013643</v>
      </c>
      <c r="Q342" s="26">
        <v>0.85383502170767001</v>
      </c>
      <c r="R342" s="26">
        <v>0.90833255517166245</v>
      </c>
      <c r="S342" s="28">
        <v>0.9</v>
      </c>
      <c r="T342" s="26">
        <v>0.875</v>
      </c>
      <c r="U342" s="26">
        <v>0.88954265846483016</v>
      </c>
      <c r="V342" s="26">
        <v>0.88505271862724832</v>
      </c>
      <c r="W342" s="26">
        <v>0.89918137392224606</v>
      </c>
      <c r="X342" s="28">
        <v>0.92</v>
      </c>
      <c r="Y342" s="28">
        <v>0.92161951725927849</v>
      </c>
      <c r="Z342" s="28">
        <v>0.92844727694090379</v>
      </c>
      <c r="AA342" s="28">
        <v>0.94047069681587447</v>
      </c>
      <c r="AB342" s="28">
        <v>0.93931695394906101</v>
      </c>
      <c r="AC342" s="28">
        <v>0.92</v>
      </c>
      <c r="AD342" s="26">
        <v>0.99129730823719897</v>
      </c>
      <c r="AE342" s="26">
        <v>0.96677215189873422</v>
      </c>
      <c r="AF342" s="26">
        <v>0.96392908090482987</v>
      </c>
      <c r="AG342" s="26">
        <v>0.91990487203543303</v>
      </c>
      <c r="AH342" s="28">
        <v>0.92</v>
      </c>
      <c r="AI342" s="26">
        <v>0.93678393314462871</v>
      </c>
      <c r="AJ342" s="26">
        <v>0.94131520532741397</v>
      </c>
      <c r="AK342" s="26">
        <v>0.95537172090998146</v>
      </c>
      <c r="AL342" s="26">
        <v>0.9529315137730604</v>
      </c>
      <c r="AM342" s="25">
        <v>0.99</v>
      </c>
      <c r="AN342" s="30">
        <v>1</v>
      </c>
      <c r="AO342" s="30">
        <v>1</v>
      </c>
      <c r="AP342" s="30">
        <v>1</v>
      </c>
      <c r="AQ342" s="30">
        <v>1</v>
      </c>
      <c r="AR342" s="50">
        <v>7.3985255698344701E-2</v>
      </c>
      <c r="AS342" s="34">
        <v>6.1224489795918366E-2</v>
      </c>
      <c r="AT342" s="34">
        <v>2.2727272727272728E-2</v>
      </c>
      <c r="AU342" s="34">
        <v>7.8431372549019607E-2</v>
      </c>
      <c r="AV342" s="34">
        <v>5.1873198847262249E-2</v>
      </c>
      <c r="AW342" s="10"/>
      <c r="AX342" s="8"/>
    </row>
    <row r="343" spans="1:50">
      <c r="A343" s="7"/>
      <c r="B343" s="10"/>
      <c r="C343" s="54" t="s">
        <v>372</v>
      </c>
      <c r="D343" s="23" t="s">
        <v>17</v>
      </c>
      <c r="E343" s="61" t="s">
        <v>389</v>
      </c>
      <c r="F343" s="61" t="s">
        <v>389</v>
      </c>
      <c r="G343" s="61" t="s">
        <v>389</v>
      </c>
      <c r="H343" s="61" t="s">
        <v>389</v>
      </c>
      <c r="I343" s="25">
        <v>0.9</v>
      </c>
      <c r="J343" s="26">
        <v>0</v>
      </c>
      <c r="K343" s="26">
        <v>0</v>
      </c>
      <c r="L343" s="27">
        <v>0</v>
      </c>
      <c r="M343" s="26">
        <v>0</v>
      </c>
      <c r="N343" s="28">
        <v>0.9</v>
      </c>
      <c r="O343" s="26">
        <v>0</v>
      </c>
      <c r="P343" s="26">
        <v>0</v>
      </c>
      <c r="Q343" s="26">
        <v>0</v>
      </c>
      <c r="R343" s="26">
        <v>0</v>
      </c>
      <c r="S343" s="28">
        <v>0.9</v>
      </c>
      <c r="T343" s="26">
        <v>0</v>
      </c>
      <c r="U343" s="26">
        <v>0</v>
      </c>
      <c r="V343" s="26">
        <v>0</v>
      </c>
      <c r="W343" s="26">
        <v>0</v>
      </c>
      <c r="X343" s="28">
        <v>0.92</v>
      </c>
      <c r="Y343" s="28">
        <v>0</v>
      </c>
      <c r="Z343" s="28">
        <v>0</v>
      </c>
      <c r="AA343" s="28">
        <v>0</v>
      </c>
      <c r="AB343" s="28">
        <v>0</v>
      </c>
      <c r="AC343" s="28">
        <v>0.92</v>
      </c>
      <c r="AD343" s="26">
        <v>0.94525547445255476</v>
      </c>
      <c r="AE343" s="26">
        <v>0.99115044247787609</v>
      </c>
      <c r="AF343" s="26">
        <v>1</v>
      </c>
      <c r="AG343" s="26">
        <v>0.9795539033457249</v>
      </c>
      <c r="AH343" s="28">
        <v>0.92</v>
      </c>
      <c r="AI343" s="26">
        <v>0</v>
      </c>
      <c r="AJ343" s="26">
        <v>0</v>
      </c>
      <c r="AK343" s="26">
        <v>0</v>
      </c>
      <c r="AL343" s="26">
        <v>0</v>
      </c>
      <c r="AM343" s="25">
        <v>0.99</v>
      </c>
      <c r="AN343" s="30">
        <v>1</v>
      </c>
      <c r="AO343" s="30">
        <v>0</v>
      </c>
      <c r="AP343" s="30">
        <v>1</v>
      </c>
      <c r="AQ343" s="30">
        <v>1</v>
      </c>
      <c r="AR343" s="50">
        <v>7.3985255698344701E-2</v>
      </c>
      <c r="AS343" s="34">
        <v>0</v>
      </c>
      <c r="AT343" s="34">
        <v>0</v>
      </c>
      <c r="AU343" s="34">
        <v>0</v>
      </c>
      <c r="AV343" s="34">
        <v>0</v>
      </c>
      <c r="AW343" s="10"/>
      <c r="AX343" s="8"/>
    </row>
    <row r="344" spans="1:50">
      <c r="A344" s="7"/>
      <c r="B344" s="10"/>
      <c r="C344" s="54" t="s">
        <v>372</v>
      </c>
      <c r="D344" s="23" t="s">
        <v>17</v>
      </c>
      <c r="E344" s="61" t="s">
        <v>390</v>
      </c>
      <c r="F344" s="61" t="s">
        <v>390</v>
      </c>
      <c r="G344" s="61" t="s">
        <v>390</v>
      </c>
      <c r="H344" s="61" t="s">
        <v>390</v>
      </c>
      <c r="I344" s="25">
        <v>0.9</v>
      </c>
      <c r="J344" s="26">
        <v>0.92</v>
      </c>
      <c r="K344" s="26">
        <v>0.94047619047619047</v>
      </c>
      <c r="L344" s="27">
        <v>0.95402298850574707</v>
      </c>
      <c r="M344" s="26">
        <v>0.93387096774193545</v>
      </c>
      <c r="N344" s="28">
        <v>0.9</v>
      </c>
      <c r="O344" s="26">
        <v>0.93670886075949367</v>
      </c>
      <c r="P344" s="26">
        <v>0.94589409056024554</v>
      </c>
      <c r="Q344" s="26">
        <v>0.94125830885762873</v>
      </c>
      <c r="R344" s="26">
        <v>0.93291212716556526</v>
      </c>
      <c r="S344" s="28">
        <v>0.9</v>
      </c>
      <c r="T344" s="26">
        <v>0.92484177215189878</v>
      </c>
      <c r="U344" s="26">
        <v>0.91864927091327708</v>
      </c>
      <c r="V344" s="26">
        <v>0.92641830267429282</v>
      </c>
      <c r="W344" s="26">
        <v>0.92257545990355416</v>
      </c>
      <c r="X344" s="28">
        <v>0.92</v>
      </c>
      <c r="Y344" s="28">
        <v>0.94586092715231784</v>
      </c>
      <c r="Z344" s="28">
        <v>0.95904059040590406</v>
      </c>
      <c r="AA344" s="28">
        <v>0.96791354945968411</v>
      </c>
      <c r="AB344" s="28">
        <v>0.95639213014223656</v>
      </c>
      <c r="AC344" s="28">
        <v>0.92</v>
      </c>
      <c r="AD344" s="26">
        <v>0.99698681732580041</v>
      </c>
      <c r="AE344" s="26">
        <v>0.995381472599698</v>
      </c>
      <c r="AF344" s="26">
        <v>0.9952726473175022</v>
      </c>
      <c r="AG344" s="26">
        <v>0.99189489435023126</v>
      </c>
      <c r="AH344" s="28">
        <v>0.92</v>
      </c>
      <c r="AI344" s="26">
        <v>0.95829580255809765</v>
      </c>
      <c r="AJ344" s="26">
        <v>0.96753916877755886</v>
      </c>
      <c r="AK344" s="26">
        <v>0.97635027165228505</v>
      </c>
      <c r="AL344" s="26">
        <v>0.96823601079105381</v>
      </c>
      <c r="AM344" s="25">
        <v>0.99</v>
      </c>
      <c r="AN344" s="30">
        <v>1</v>
      </c>
      <c r="AO344" s="30">
        <v>1</v>
      </c>
      <c r="AP344" s="30">
        <v>1</v>
      </c>
      <c r="AQ344" s="30">
        <v>1</v>
      </c>
      <c r="AR344" s="50">
        <v>7.3985255698344701E-2</v>
      </c>
      <c r="AS344" s="34">
        <v>0</v>
      </c>
      <c r="AT344" s="34">
        <v>2.3255813953488372E-2</v>
      </c>
      <c r="AU344" s="34">
        <v>4.7619047619047616E-2</v>
      </c>
      <c r="AV344" s="34">
        <v>3.0226700251889168E-2</v>
      </c>
      <c r="AW344" s="10"/>
      <c r="AX344" s="8"/>
    </row>
    <row r="345" spans="1:50">
      <c r="A345" s="7"/>
      <c r="B345" s="10"/>
      <c r="C345" s="54" t="s">
        <v>372</v>
      </c>
      <c r="D345" s="23" t="s">
        <v>17</v>
      </c>
      <c r="E345" s="61" t="s">
        <v>391</v>
      </c>
      <c r="F345" s="61" t="s">
        <v>391</v>
      </c>
      <c r="G345" s="61" t="s">
        <v>391</v>
      </c>
      <c r="H345" s="61" t="s">
        <v>391</v>
      </c>
      <c r="I345" s="25">
        <v>0.9</v>
      </c>
      <c r="J345" s="26">
        <v>0</v>
      </c>
      <c r="K345" s="26">
        <v>0</v>
      </c>
      <c r="L345" s="27">
        <v>0</v>
      </c>
      <c r="M345" s="26">
        <v>0</v>
      </c>
      <c r="N345" s="28">
        <v>0.9</v>
      </c>
      <c r="O345" s="26">
        <v>1</v>
      </c>
      <c r="P345" s="26">
        <v>1</v>
      </c>
      <c r="Q345" s="26">
        <v>0.5</v>
      </c>
      <c r="R345" s="26">
        <v>0.73333333333333328</v>
      </c>
      <c r="S345" s="28">
        <v>0.9</v>
      </c>
      <c r="T345" s="26">
        <v>1</v>
      </c>
      <c r="U345" s="26">
        <v>0.4</v>
      </c>
      <c r="V345" s="26">
        <v>0.5</v>
      </c>
      <c r="W345" s="26">
        <v>0.46666666666666667</v>
      </c>
      <c r="X345" s="28">
        <v>0.92</v>
      </c>
      <c r="Y345" s="28">
        <v>0</v>
      </c>
      <c r="Z345" s="28">
        <v>1</v>
      </c>
      <c r="AA345" s="28">
        <v>0</v>
      </c>
      <c r="AB345" s="28">
        <v>0.33333333333333331</v>
      </c>
      <c r="AC345" s="28">
        <v>0.92</v>
      </c>
      <c r="AD345" s="26">
        <v>0.98461876510656998</v>
      </c>
      <c r="AE345" s="26">
        <v>0.99859506712457069</v>
      </c>
      <c r="AF345" s="26">
        <v>0.9987865918398301</v>
      </c>
      <c r="AG345" s="26">
        <v>0.99143459825708991</v>
      </c>
      <c r="AH345" s="28">
        <v>0.92</v>
      </c>
      <c r="AI345" s="26">
        <v>1</v>
      </c>
      <c r="AJ345" s="26">
        <v>0.42857142857142855</v>
      </c>
      <c r="AK345" s="26">
        <v>0.33333333333333331</v>
      </c>
      <c r="AL345" s="26">
        <v>0.42105263157894735</v>
      </c>
      <c r="AM345" s="25">
        <v>0.99</v>
      </c>
      <c r="AN345" s="30">
        <v>1</v>
      </c>
      <c r="AO345" s="30">
        <v>1</v>
      </c>
      <c r="AP345" s="30">
        <v>1</v>
      </c>
      <c r="AQ345" s="30">
        <v>1</v>
      </c>
      <c r="AR345" s="50">
        <v>7.3985255698344701E-2</v>
      </c>
      <c r="AS345" s="34">
        <v>0</v>
      </c>
      <c r="AT345" s="34">
        <v>0</v>
      </c>
      <c r="AU345" s="34">
        <v>0</v>
      </c>
      <c r="AV345" s="34">
        <v>0</v>
      </c>
      <c r="AW345" s="10"/>
      <c r="AX345" s="8"/>
    </row>
    <row r="346" spans="1:50">
      <c r="A346" s="7"/>
      <c r="B346" s="10"/>
      <c r="C346" s="54" t="s">
        <v>372</v>
      </c>
      <c r="D346" s="23" t="s">
        <v>17</v>
      </c>
      <c r="E346" s="61" t="s">
        <v>392</v>
      </c>
      <c r="F346" s="61" t="s">
        <v>392</v>
      </c>
      <c r="G346" s="61" t="s">
        <v>392</v>
      </c>
      <c r="H346" s="61" t="s">
        <v>392</v>
      </c>
      <c r="I346" s="25">
        <v>0.9</v>
      </c>
      <c r="J346" s="26">
        <v>0</v>
      </c>
      <c r="K346" s="26">
        <v>0</v>
      </c>
      <c r="L346" s="27">
        <v>0</v>
      </c>
      <c r="M346" s="26">
        <v>0</v>
      </c>
      <c r="N346" s="28">
        <v>0.9</v>
      </c>
      <c r="O346" s="26">
        <v>0</v>
      </c>
      <c r="P346" s="26">
        <v>0</v>
      </c>
      <c r="Q346" s="26">
        <v>0</v>
      </c>
      <c r="R346" s="26">
        <v>0</v>
      </c>
      <c r="S346" s="28">
        <v>0.9</v>
      </c>
      <c r="T346" s="26">
        <v>0</v>
      </c>
      <c r="U346" s="26">
        <v>0</v>
      </c>
      <c r="V346" s="26">
        <v>0</v>
      </c>
      <c r="W346" s="26">
        <v>0</v>
      </c>
      <c r="X346" s="28">
        <v>0.92</v>
      </c>
      <c r="Y346" s="28">
        <v>0</v>
      </c>
      <c r="Z346" s="28">
        <v>0</v>
      </c>
      <c r="AA346" s="28">
        <v>0</v>
      </c>
      <c r="AB346" s="28">
        <v>0</v>
      </c>
      <c r="AC346" s="28">
        <v>0.92</v>
      </c>
      <c r="AD346" s="26">
        <v>0.99603489294210945</v>
      </c>
      <c r="AE346" s="26">
        <v>0.99246861924686192</v>
      </c>
      <c r="AF346" s="26">
        <v>0.9926739926739927</v>
      </c>
      <c r="AG346" s="26">
        <v>0.96892138939670935</v>
      </c>
      <c r="AH346" s="28">
        <v>0.92</v>
      </c>
      <c r="AI346" s="26">
        <v>0</v>
      </c>
      <c r="AJ346" s="26">
        <v>0</v>
      </c>
      <c r="AK346" s="26">
        <v>0</v>
      </c>
      <c r="AL346" s="26">
        <v>0</v>
      </c>
      <c r="AM346" s="25">
        <v>0.99</v>
      </c>
      <c r="AN346" s="30">
        <v>1</v>
      </c>
      <c r="AO346" s="30">
        <v>1</v>
      </c>
      <c r="AP346" s="30">
        <v>1</v>
      </c>
      <c r="AQ346" s="30">
        <v>1</v>
      </c>
      <c r="AR346" s="50">
        <v>7.3985255698344701E-2</v>
      </c>
      <c r="AS346" s="34">
        <v>0</v>
      </c>
      <c r="AT346" s="34">
        <v>0</v>
      </c>
      <c r="AU346" s="34">
        <v>0</v>
      </c>
      <c r="AV346" s="34">
        <v>0</v>
      </c>
      <c r="AW346" s="10"/>
      <c r="AX346" s="8"/>
    </row>
    <row r="347" spans="1:50">
      <c r="A347" s="7"/>
      <c r="B347" s="10"/>
      <c r="C347" s="54" t="s">
        <v>372</v>
      </c>
      <c r="D347" s="23" t="s">
        <v>17</v>
      </c>
      <c r="E347" s="61" t="s">
        <v>393</v>
      </c>
      <c r="F347" s="61" t="s">
        <v>393</v>
      </c>
      <c r="G347" s="61" t="s">
        <v>393</v>
      </c>
      <c r="H347" s="61" t="s">
        <v>393</v>
      </c>
      <c r="I347" s="25">
        <v>0.9</v>
      </c>
      <c r="J347" s="26">
        <v>0</v>
      </c>
      <c r="K347" s="26">
        <v>0</v>
      </c>
      <c r="L347" s="27">
        <v>0</v>
      </c>
      <c r="M347" s="26">
        <v>0</v>
      </c>
      <c r="N347" s="28">
        <v>0.9</v>
      </c>
      <c r="O347" s="26">
        <v>0</v>
      </c>
      <c r="P347" s="26">
        <v>0</v>
      </c>
      <c r="Q347" s="26">
        <v>0</v>
      </c>
      <c r="R347" s="26">
        <v>0</v>
      </c>
      <c r="S347" s="28">
        <v>0.9</v>
      </c>
      <c r="T347" s="26">
        <v>0</v>
      </c>
      <c r="U347" s="26">
        <v>1</v>
      </c>
      <c r="V347" s="26">
        <v>0</v>
      </c>
      <c r="W347" s="26">
        <v>0.33333333333333331</v>
      </c>
      <c r="X347" s="28">
        <v>0.92</v>
      </c>
      <c r="Y347" s="28">
        <v>0</v>
      </c>
      <c r="Z347" s="28">
        <v>0</v>
      </c>
      <c r="AA347" s="28">
        <v>0</v>
      </c>
      <c r="AB347" s="28">
        <v>0</v>
      </c>
      <c r="AC347" s="28">
        <v>0.92</v>
      </c>
      <c r="AD347" s="26">
        <v>0.99138116785175612</v>
      </c>
      <c r="AE347" s="26">
        <v>0.99925242960378768</v>
      </c>
      <c r="AF347" s="26">
        <v>0.99976381672177606</v>
      </c>
      <c r="AG347" s="26">
        <v>0.99578016678388426</v>
      </c>
      <c r="AH347" s="28">
        <v>0.92</v>
      </c>
      <c r="AI347" s="26">
        <v>0</v>
      </c>
      <c r="AJ347" s="26">
        <v>1</v>
      </c>
      <c r="AK347" s="26">
        <v>0.33333333333333331</v>
      </c>
      <c r="AL347" s="26">
        <v>0.4</v>
      </c>
      <c r="AM347" s="25">
        <v>0.99</v>
      </c>
      <c r="AN347" s="30">
        <v>1</v>
      </c>
      <c r="AO347" s="30">
        <v>1</v>
      </c>
      <c r="AP347" s="30">
        <v>1</v>
      </c>
      <c r="AQ347" s="30">
        <v>1</v>
      </c>
      <c r="AR347" s="50">
        <v>7.3985255698344701E-2</v>
      </c>
      <c r="AS347" s="34">
        <v>0</v>
      </c>
      <c r="AT347" s="34">
        <v>0</v>
      </c>
      <c r="AU347" s="34">
        <v>0</v>
      </c>
      <c r="AV347" s="34">
        <v>0</v>
      </c>
      <c r="AW347" s="10"/>
      <c r="AX347" s="8"/>
    </row>
    <row r="348" spans="1:50">
      <c r="A348" s="7"/>
      <c r="B348" s="10"/>
      <c r="C348" s="54" t="s">
        <v>372</v>
      </c>
      <c r="D348" s="23" t="s">
        <v>17</v>
      </c>
      <c r="E348" s="61" t="s">
        <v>394</v>
      </c>
      <c r="F348" s="61" t="s">
        <v>394</v>
      </c>
      <c r="G348" s="61" t="s">
        <v>394</v>
      </c>
      <c r="H348" s="61" t="s">
        <v>394</v>
      </c>
      <c r="I348" s="25">
        <v>0.9</v>
      </c>
      <c r="J348" s="26">
        <v>0</v>
      </c>
      <c r="K348" s="26">
        <v>0</v>
      </c>
      <c r="L348" s="27">
        <v>0</v>
      </c>
      <c r="M348" s="26">
        <v>0</v>
      </c>
      <c r="N348" s="28">
        <v>0.9</v>
      </c>
      <c r="O348" s="26">
        <v>1</v>
      </c>
      <c r="P348" s="26">
        <v>1</v>
      </c>
      <c r="Q348" s="26">
        <v>0</v>
      </c>
      <c r="R348" s="26">
        <v>0.91666666666666663</v>
      </c>
      <c r="S348" s="28">
        <v>0.9</v>
      </c>
      <c r="T348" s="26">
        <v>1</v>
      </c>
      <c r="U348" s="26">
        <v>1</v>
      </c>
      <c r="V348" s="26">
        <v>0</v>
      </c>
      <c r="W348" s="26">
        <v>0.83333333333333337</v>
      </c>
      <c r="X348" s="28">
        <v>0.92</v>
      </c>
      <c r="Y348" s="28">
        <v>0.25</v>
      </c>
      <c r="Z348" s="28">
        <v>0</v>
      </c>
      <c r="AA348" s="28">
        <v>0</v>
      </c>
      <c r="AB348" s="28">
        <v>0.1111111111111111</v>
      </c>
      <c r="AC348" s="28">
        <v>0.92</v>
      </c>
      <c r="AD348" s="26">
        <v>0.99199325747998313</v>
      </c>
      <c r="AE348" s="26">
        <v>0.62223247232472323</v>
      </c>
      <c r="AF348" s="26">
        <v>0.98358655872241318</v>
      </c>
      <c r="AG348" s="26">
        <v>0.72870456534118533</v>
      </c>
      <c r="AH348" s="28">
        <v>0.92</v>
      </c>
      <c r="AI348" s="26">
        <v>0.33333333333333331</v>
      </c>
      <c r="AJ348" s="26">
        <v>0.5</v>
      </c>
      <c r="AK348" s="26">
        <v>0</v>
      </c>
      <c r="AL348" s="26">
        <v>0.63157894736842102</v>
      </c>
      <c r="AM348" s="25">
        <v>0.99</v>
      </c>
      <c r="AN348" s="30">
        <v>1</v>
      </c>
      <c r="AO348" s="30">
        <v>1</v>
      </c>
      <c r="AP348" s="30">
        <v>1</v>
      </c>
      <c r="AQ348" s="30">
        <v>1</v>
      </c>
      <c r="AR348" s="50">
        <v>7.3985255698344701E-2</v>
      </c>
      <c r="AS348" s="34">
        <v>0</v>
      </c>
      <c r="AT348" s="34">
        <v>0</v>
      </c>
      <c r="AU348" s="34">
        <v>0</v>
      </c>
      <c r="AV348" s="34">
        <v>0</v>
      </c>
      <c r="AW348" s="10"/>
      <c r="AX348" s="8"/>
    </row>
    <row r="349" spans="1:50">
      <c r="A349" s="7"/>
      <c r="B349" s="10"/>
      <c r="C349" s="54" t="s">
        <v>372</v>
      </c>
      <c r="D349" s="23" t="s">
        <v>17</v>
      </c>
      <c r="E349" s="61" t="s">
        <v>395</v>
      </c>
      <c r="F349" s="61" t="s">
        <v>395</v>
      </c>
      <c r="G349" s="61" t="s">
        <v>395</v>
      </c>
      <c r="H349" s="61" t="s">
        <v>395</v>
      </c>
      <c r="I349" s="25">
        <v>0.9</v>
      </c>
      <c r="J349" s="26">
        <v>0</v>
      </c>
      <c r="K349" s="26">
        <v>0</v>
      </c>
      <c r="L349" s="27">
        <v>0</v>
      </c>
      <c r="M349" s="26">
        <v>0</v>
      </c>
      <c r="N349" s="28">
        <v>0.9</v>
      </c>
      <c r="O349" s="26">
        <v>2.2727272727272728E-2</v>
      </c>
      <c r="P349" s="26">
        <v>1.6949152542372881E-2</v>
      </c>
      <c r="Q349" s="26">
        <v>0.04</v>
      </c>
      <c r="R349" s="26">
        <v>3.8775510204081633E-2</v>
      </c>
      <c r="S349" s="28">
        <v>0.9</v>
      </c>
      <c r="T349" s="26">
        <v>2.2727272727272728E-2</v>
      </c>
      <c r="U349" s="26">
        <v>0</v>
      </c>
      <c r="V349" s="26">
        <v>0.02</v>
      </c>
      <c r="W349" s="26">
        <v>3.6734693877551024E-2</v>
      </c>
      <c r="X349" s="28">
        <v>0.92</v>
      </c>
      <c r="Y349" s="28">
        <v>0</v>
      </c>
      <c r="Z349" s="28">
        <v>0</v>
      </c>
      <c r="AA349" s="28">
        <v>0</v>
      </c>
      <c r="AB349" s="28">
        <v>0</v>
      </c>
      <c r="AC349" s="28">
        <v>0.92</v>
      </c>
      <c r="AD349" s="26">
        <v>0.99978290366350064</v>
      </c>
      <c r="AE349" s="26">
        <v>0.98302207130730046</v>
      </c>
      <c r="AF349" s="26">
        <v>0.97178656665530172</v>
      </c>
      <c r="AG349" s="26">
        <v>0.92390248547757359</v>
      </c>
      <c r="AH349" s="28">
        <v>0.92</v>
      </c>
      <c r="AI349" s="26">
        <v>0.90909090909090906</v>
      </c>
      <c r="AJ349" s="26">
        <v>0.9</v>
      </c>
      <c r="AK349" s="26">
        <v>0.94</v>
      </c>
      <c r="AL349" s="26">
        <v>0.7967479674796748</v>
      </c>
      <c r="AM349" s="25">
        <v>0.99</v>
      </c>
      <c r="AN349" s="30">
        <v>1</v>
      </c>
      <c r="AO349" s="30">
        <v>1</v>
      </c>
      <c r="AP349" s="30">
        <v>1</v>
      </c>
      <c r="AQ349" s="30">
        <v>1</v>
      </c>
      <c r="AR349" s="50">
        <v>7.3985255698344701E-2</v>
      </c>
      <c r="AS349" s="34">
        <v>0</v>
      </c>
      <c r="AT349" s="34">
        <v>0</v>
      </c>
      <c r="AU349" s="34">
        <v>0</v>
      </c>
      <c r="AV349" s="34">
        <v>0</v>
      </c>
      <c r="AW349" s="10"/>
      <c r="AX349" s="8"/>
    </row>
    <row r="350" spans="1:50">
      <c r="A350" s="7"/>
      <c r="B350" s="10"/>
      <c r="C350" s="51"/>
      <c r="D350" s="51"/>
      <c r="E350" s="51"/>
      <c r="F350" s="51"/>
      <c r="G350" s="51"/>
      <c r="H350" s="51"/>
      <c r="I350" s="53"/>
      <c r="J350" s="40"/>
      <c r="K350" s="40"/>
      <c r="L350" s="27"/>
      <c r="M350" s="40"/>
      <c r="N350" s="43"/>
      <c r="O350" s="40"/>
      <c r="P350" s="40"/>
      <c r="Q350" s="26"/>
      <c r="R350" s="40"/>
      <c r="S350" s="43"/>
      <c r="T350" s="40"/>
      <c r="U350" s="40"/>
      <c r="V350" s="26"/>
      <c r="W350" s="40"/>
      <c r="X350" s="43"/>
      <c r="Y350" s="43"/>
      <c r="Z350" s="43"/>
      <c r="AA350" s="28"/>
      <c r="AB350" s="43"/>
      <c r="AC350" s="40"/>
      <c r="AD350" s="40"/>
      <c r="AE350" s="40"/>
      <c r="AF350" s="26"/>
      <c r="AG350" s="40"/>
      <c r="AH350" s="40"/>
      <c r="AI350" s="40"/>
      <c r="AJ350" s="40"/>
      <c r="AK350" s="26"/>
      <c r="AL350" s="40"/>
      <c r="AM350" s="39"/>
      <c r="AN350" s="39"/>
      <c r="AO350" s="39"/>
      <c r="AP350" s="30"/>
      <c r="AQ350" s="39"/>
      <c r="AR350" s="40"/>
      <c r="AS350" s="39"/>
      <c r="AT350" s="39"/>
      <c r="AU350" s="34"/>
      <c r="AV350" s="39"/>
      <c r="AW350" s="10"/>
      <c r="AX350" s="8"/>
    </row>
    <row r="351" spans="1:50">
      <c r="A351" s="7"/>
      <c r="B351" s="10"/>
      <c r="C351" s="45" t="s">
        <v>396</v>
      </c>
      <c r="D351" s="23" t="s">
        <v>19</v>
      </c>
      <c r="E351" s="46" t="s">
        <v>397</v>
      </c>
      <c r="F351" s="46" t="s">
        <v>397</v>
      </c>
      <c r="G351" s="46" t="s">
        <v>397</v>
      </c>
      <c r="H351" s="46" t="s">
        <v>397</v>
      </c>
      <c r="I351" s="25">
        <v>0.9</v>
      </c>
      <c r="J351" s="26">
        <v>0.89473684210526316</v>
      </c>
      <c r="K351" s="26">
        <v>0.87804878048780488</v>
      </c>
      <c r="L351" s="27">
        <v>0.97619047619047616</v>
      </c>
      <c r="M351" s="26">
        <v>0.90825688073394495</v>
      </c>
      <c r="N351" s="28">
        <v>0.9</v>
      </c>
      <c r="O351" s="26">
        <v>0.9646076794657763</v>
      </c>
      <c r="P351" s="26">
        <v>0.9512516469038208</v>
      </c>
      <c r="Q351" s="26">
        <v>0.92429476108232589</v>
      </c>
      <c r="R351" s="26">
        <v>0.96286985109263201</v>
      </c>
      <c r="S351" s="28">
        <v>0.9</v>
      </c>
      <c r="T351" s="26">
        <v>0.85041736227045073</v>
      </c>
      <c r="U351" s="26">
        <v>0.87516469038208167</v>
      </c>
      <c r="V351" s="26">
        <v>0.79274611398963735</v>
      </c>
      <c r="W351" s="26">
        <v>0.81786888416167081</v>
      </c>
      <c r="X351" s="28">
        <v>0.92</v>
      </c>
      <c r="Y351" s="28">
        <v>0.83244206773618534</v>
      </c>
      <c r="Z351" s="28">
        <v>0.86340640809443503</v>
      </c>
      <c r="AA351" s="28">
        <v>0.85977011494252875</v>
      </c>
      <c r="AB351" s="28">
        <v>0.84496816709482858</v>
      </c>
      <c r="AC351" s="28">
        <v>0.92</v>
      </c>
      <c r="AD351" s="26">
        <v>0.99839999999999995</v>
      </c>
      <c r="AE351" s="26">
        <v>0.98769230769230765</v>
      </c>
      <c r="AF351" s="26">
        <v>0.93440233236151604</v>
      </c>
      <c r="AG351" s="26">
        <v>0.97140186915887849</v>
      </c>
      <c r="AH351" s="28">
        <v>0.92</v>
      </c>
      <c r="AI351" s="26">
        <v>0.91381403253216797</v>
      </c>
      <c r="AJ351" s="26">
        <v>0.93251243192043576</v>
      </c>
      <c r="AK351" s="26">
        <v>0.91591717213971968</v>
      </c>
      <c r="AL351" s="26">
        <v>0.93012235050835779</v>
      </c>
      <c r="AM351" s="25">
        <v>0.99</v>
      </c>
      <c r="AN351" s="30">
        <v>1</v>
      </c>
      <c r="AO351" s="30">
        <v>1</v>
      </c>
      <c r="AP351" s="30">
        <v>1</v>
      </c>
      <c r="AQ351" s="30">
        <v>1</v>
      </c>
      <c r="AR351" s="50">
        <v>0.05</v>
      </c>
      <c r="AS351" s="34">
        <v>0</v>
      </c>
      <c r="AT351" s="34">
        <v>0</v>
      </c>
      <c r="AU351" s="34">
        <v>0</v>
      </c>
      <c r="AV351" s="34">
        <v>3.4482758620689655E-2</v>
      </c>
      <c r="AW351" s="10"/>
      <c r="AX351" s="8"/>
    </row>
    <row r="352" spans="1:50">
      <c r="A352" s="7"/>
      <c r="B352" s="10"/>
      <c r="C352" s="45" t="s">
        <v>396</v>
      </c>
      <c r="D352" s="23" t="s">
        <v>19</v>
      </c>
      <c r="E352" s="46" t="s">
        <v>398</v>
      </c>
      <c r="F352" s="46" t="s">
        <v>398</v>
      </c>
      <c r="G352" s="46" t="s">
        <v>398</v>
      </c>
      <c r="H352" s="46" t="s">
        <v>398</v>
      </c>
      <c r="I352" s="25">
        <v>0.9</v>
      </c>
      <c r="J352" s="26">
        <v>0.95652173913043481</v>
      </c>
      <c r="K352" s="26">
        <v>0.92</v>
      </c>
      <c r="L352" s="27">
        <v>1</v>
      </c>
      <c r="M352" s="26">
        <v>0.97860962566844922</v>
      </c>
      <c r="N352" s="28">
        <v>0.9</v>
      </c>
      <c r="O352" s="26">
        <v>0.98992322456813819</v>
      </c>
      <c r="P352" s="26">
        <v>0.99862763037511437</v>
      </c>
      <c r="Q352" s="26">
        <v>0.99627174813587405</v>
      </c>
      <c r="R352" s="26">
        <v>0.9951801827047021</v>
      </c>
      <c r="S352" s="28">
        <v>0.9</v>
      </c>
      <c r="T352" s="26">
        <v>0.88531669865642992</v>
      </c>
      <c r="U352" s="26">
        <v>0.84492223238792319</v>
      </c>
      <c r="V352" s="26">
        <v>0.86329743164871586</v>
      </c>
      <c r="W352" s="26">
        <v>0.84363615983859219</v>
      </c>
      <c r="X352" s="28">
        <v>0.92</v>
      </c>
      <c r="Y352" s="28">
        <v>0.93067226890756305</v>
      </c>
      <c r="Z352" s="28">
        <v>0.94106090373280948</v>
      </c>
      <c r="AA352" s="28">
        <v>0.97188378631677597</v>
      </c>
      <c r="AB352" s="28">
        <v>0.94647997906307246</v>
      </c>
      <c r="AC352" s="28">
        <v>0.92</v>
      </c>
      <c r="AD352" s="26">
        <v>0.99765258215962438</v>
      </c>
      <c r="AE352" s="26">
        <v>0.99325301204819272</v>
      </c>
      <c r="AF352" s="26">
        <v>0.99734143562476263</v>
      </c>
      <c r="AG352" s="26">
        <v>0.99439413540319099</v>
      </c>
      <c r="AH352" s="28">
        <v>0.92</v>
      </c>
      <c r="AI352" s="26">
        <v>0.95818241685874217</v>
      </c>
      <c r="AJ352" s="26">
        <v>0.97034956304619224</v>
      </c>
      <c r="AK352" s="26">
        <v>0.98161447859810402</v>
      </c>
      <c r="AL352" s="26">
        <v>0.97230177723723954</v>
      </c>
      <c r="AM352" s="25">
        <v>0.99</v>
      </c>
      <c r="AN352" s="30">
        <v>1</v>
      </c>
      <c r="AO352" s="30">
        <v>1</v>
      </c>
      <c r="AP352" s="30">
        <v>1</v>
      </c>
      <c r="AQ352" s="30">
        <v>1</v>
      </c>
      <c r="AR352" s="50">
        <v>0.05</v>
      </c>
      <c r="AS352" s="34">
        <v>0.16666666666666666</v>
      </c>
      <c r="AT352" s="34">
        <v>0</v>
      </c>
      <c r="AU352" s="34">
        <v>0.1</v>
      </c>
      <c r="AV352" s="34">
        <v>6.4516129032258063E-2</v>
      </c>
      <c r="AW352" s="10"/>
      <c r="AX352" s="8"/>
    </row>
    <row r="353" spans="1:50">
      <c r="A353" s="7"/>
      <c r="B353" s="10"/>
      <c r="C353" s="45" t="s">
        <v>396</v>
      </c>
      <c r="D353" s="23" t="s">
        <v>19</v>
      </c>
      <c r="E353" s="46" t="s">
        <v>399</v>
      </c>
      <c r="F353" s="46" t="s">
        <v>399</v>
      </c>
      <c r="G353" s="46" t="s">
        <v>399</v>
      </c>
      <c r="H353" s="46" t="s">
        <v>399</v>
      </c>
      <c r="I353" s="25">
        <v>0.9</v>
      </c>
      <c r="J353" s="26">
        <v>0.91304347826086951</v>
      </c>
      <c r="K353" s="26">
        <v>0.97826086956521741</v>
      </c>
      <c r="L353" s="27">
        <v>0.97959183673469385</v>
      </c>
      <c r="M353" s="26">
        <v>0.96703296703296704</v>
      </c>
      <c r="N353" s="28">
        <v>0.9</v>
      </c>
      <c r="O353" s="26">
        <v>0.9669793621013133</v>
      </c>
      <c r="P353" s="26">
        <v>0.93972012917115177</v>
      </c>
      <c r="Q353" s="26">
        <v>0.9668938656280428</v>
      </c>
      <c r="R353" s="26">
        <v>0.96295334545139788</v>
      </c>
      <c r="S353" s="28">
        <v>0.9</v>
      </c>
      <c r="T353" s="26">
        <v>0.81500938086303942</v>
      </c>
      <c r="U353" s="26">
        <v>0.76462145676354498</v>
      </c>
      <c r="V353" s="26">
        <v>0.80493346316131131</v>
      </c>
      <c r="W353" s="26">
        <v>0.80087423180126371</v>
      </c>
      <c r="X353" s="28">
        <v>0.92</v>
      </c>
      <c r="Y353" s="28">
        <v>0.89980544747081714</v>
      </c>
      <c r="Z353" s="28">
        <v>0.77311643835616439</v>
      </c>
      <c r="AA353" s="28">
        <v>0.85639097744360904</v>
      </c>
      <c r="AB353" s="28">
        <v>0.86745602942866995</v>
      </c>
      <c r="AC353" s="28">
        <v>0.92</v>
      </c>
      <c r="AD353" s="26">
        <v>0.99716088328075714</v>
      </c>
      <c r="AE353" s="26">
        <v>0.99790104947526237</v>
      </c>
      <c r="AF353" s="26">
        <v>0.99378689033861445</v>
      </c>
      <c r="AG353" s="26">
        <v>0.97512511039152194</v>
      </c>
      <c r="AH353" s="28">
        <v>0.92</v>
      </c>
      <c r="AI353" s="26">
        <v>0.95669824086603517</v>
      </c>
      <c r="AJ353" s="26">
        <v>0.91125158027812891</v>
      </c>
      <c r="AK353" s="26">
        <v>0.9478694469628286</v>
      </c>
      <c r="AL353" s="26">
        <v>0.94734856819539182</v>
      </c>
      <c r="AM353" s="25">
        <v>0.99</v>
      </c>
      <c r="AN353" s="30">
        <v>1</v>
      </c>
      <c r="AO353" s="30">
        <v>1</v>
      </c>
      <c r="AP353" s="30">
        <v>1</v>
      </c>
      <c r="AQ353" s="30">
        <v>1</v>
      </c>
      <c r="AR353" s="50">
        <v>0.05</v>
      </c>
      <c r="AS353" s="34">
        <v>4.3478260869565216E-2</v>
      </c>
      <c r="AT353" s="34">
        <v>0</v>
      </c>
      <c r="AU353" s="34">
        <v>0.14285714285714285</v>
      </c>
      <c r="AV353" s="34">
        <v>7.407407407407407E-2</v>
      </c>
      <c r="AW353" s="10"/>
      <c r="AX353" s="8"/>
    </row>
    <row r="354" spans="1:50">
      <c r="A354" s="7"/>
      <c r="B354" s="10"/>
      <c r="C354" s="45" t="s">
        <v>396</v>
      </c>
      <c r="D354" s="23" t="s">
        <v>19</v>
      </c>
      <c r="E354" s="46" t="s">
        <v>400</v>
      </c>
      <c r="F354" s="46" t="s">
        <v>400</v>
      </c>
      <c r="G354" s="46" t="s">
        <v>400</v>
      </c>
      <c r="H354" s="46" t="s">
        <v>400</v>
      </c>
      <c r="I354" s="25">
        <v>0.9</v>
      </c>
      <c r="J354" s="26">
        <v>0.875</v>
      </c>
      <c r="K354" s="26">
        <v>0.92</v>
      </c>
      <c r="L354" s="27">
        <v>0.88461538461538458</v>
      </c>
      <c r="M354" s="26">
        <v>0.91392405063291138</v>
      </c>
      <c r="N354" s="28">
        <v>0.9</v>
      </c>
      <c r="O354" s="26">
        <v>0.91049382716049387</v>
      </c>
      <c r="P354" s="26">
        <v>0.92359932088285224</v>
      </c>
      <c r="Q354" s="26">
        <v>0.90349819059107361</v>
      </c>
      <c r="R354" s="26">
        <v>0.90494876118822154</v>
      </c>
      <c r="S354" s="28">
        <v>0.9</v>
      </c>
      <c r="T354" s="26">
        <v>0.76262626262626265</v>
      </c>
      <c r="U354" s="26">
        <v>0.73316355404640632</v>
      </c>
      <c r="V354" s="26">
        <v>0.70615199034981901</v>
      </c>
      <c r="W354" s="26">
        <v>0.69876118822155919</v>
      </c>
      <c r="X354" s="28">
        <v>0.92</v>
      </c>
      <c r="Y354" s="28">
        <v>0.82863501483679525</v>
      </c>
      <c r="Z354" s="28">
        <v>0.80299931833674165</v>
      </c>
      <c r="AA354" s="28">
        <v>0.80321046373365046</v>
      </c>
      <c r="AB354" s="28">
        <v>0.80722457436267003</v>
      </c>
      <c r="AC354" s="28">
        <v>0.92</v>
      </c>
      <c r="AD354" s="26">
        <v>0.99625468164794007</v>
      </c>
      <c r="AE354" s="26">
        <v>0.98573466476462202</v>
      </c>
      <c r="AF354" s="26">
        <v>0.977112676056338</v>
      </c>
      <c r="AG354" s="26">
        <v>0.98806598806598811</v>
      </c>
      <c r="AH354" s="28">
        <v>0.92</v>
      </c>
      <c r="AI354" s="26">
        <v>0.92615947925142394</v>
      </c>
      <c r="AJ354" s="26">
        <v>0.91761647670465907</v>
      </c>
      <c r="AK354" s="26">
        <v>0.92525287159266245</v>
      </c>
      <c r="AL354" s="26">
        <v>0.92615545968107171</v>
      </c>
      <c r="AM354" s="25">
        <v>0.99</v>
      </c>
      <c r="AN354" s="30">
        <v>1</v>
      </c>
      <c r="AO354" s="30">
        <v>1</v>
      </c>
      <c r="AP354" s="30">
        <v>1</v>
      </c>
      <c r="AQ354" s="30">
        <v>1</v>
      </c>
      <c r="AR354" s="50">
        <v>0.05</v>
      </c>
      <c r="AS354" s="34">
        <v>9.0909090909090912E-2</v>
      </c>
      <c r="AT354" s="34">
        <v>6.6666666666666666E-2</v>
      </c>
      <c r="AU354" s="34">
        <v>7.6923076923076927E-2</v>
      </c>
      <c r="AV354" s="34">
        <v>8.9108910891089105E-2</v>
      </c>
      <c r="AW354" s="10"/>
      <c r="AX354" s="8"/>
    </row>
    <row r="355" spans="1:50">
      <c r="A355" s="7"/>
      <c r="B355" s="10"/>
      <c r="C355" s="45" t="s">
        <v>396</v>
      </c>
      <c r="D355" s="23" t="s">
        <v>19</v>
      </c>
      <c r="E355" s="46" t="s">
        <v>401</v>
      </c>
      <c r="F355" s="46" t="s">
        <v>401</v>
      </c>
      <c r="G355" s="46" t="s">
        <v>401</v>
      </c>
      <c r="H355" s="46" t="s">
        <v>401</v>
      </c>
      <c r="I355" s="25">
        <v>0.9</v>
      </c>
      <c r="J355" s="26">
        <v>0.93333333333333335</v>
      </c>
      <c r="K355" s="26">
        <v>1</v>
      </c>
      <c r="L355" s="27">
        <v>0.93548387096774188</v>
      </c>
      <c r="M355" s="26">
        <v>0.97142857142857142</v>
      </c>
      <c r="N355" s="28">
        <v>0.9</v>
      </c>
      <c r="O355" s="26">
        <v>0.9741417744092733</v>
      </c>
      <c r="P355" s="26">
        <v>0.98430688753269402</v>
      </c>
      <c r="Q355" s="26">
        <v>0.98711755233494369</v>
      </c>
      <c r="R355" s="26">
        <v>0.98718085674607414</v>
      </c>
      <c r="S355" s="28">
        <v>0.9</v>
      </c>
      <c r="T355" s="26">
        <v>0.86580472581364243</v>
      </c>
      <c r="U355" s="26">
        <v>0.86268526591107231</v>
      </c>
      <c r="V355" s="26">
        <v>0.88929146537842185</v>
      </c>
      <c r="W355" s="26">
        <v>0.87298365559235125</v>
      </c>
      <c r="X355" s="28">
        <v>0.92</v>
      </c>
      <c r="Y355" s="28">
        <v>0.91562799616490886</v>
      </c>
      <c r="Z355" s="28">
        <v>0.875</v>
      </c>
      <c r="AA355" s="28">
        <v>0.88799283154121866</v>
      </c>
      <c r="AB355" s="28">
        <v>0.89484792054624462</v>
      </c>
      <c r="AC355" s="28">
        <v>0.92</v>
      </c>
      <c r="AD355" s="26">
        <v>0.99939686369119418</v>
      </c>
      <c r="AE355" s="26">
        <v>0.99821746880570406</v>
      </c>
      <c r="AF355" s="26">
        <v>0.99937225360954174</v>
      </c>
      <c r="AG355" s="26">
        <v>0.99906052878808216</v>
      </c>
      <c r="AH355" s="28">
        <v>0.92</v>
      </c>
      <c r="AI355" s="26">
        <v>0.94523881959233347</v>
      </c>
      <c r="AJ355" s="26">
        <v>0.94527961515333736</v>
      </c>
      <c r="AK355" s="26">
        <v>0.9572222222222222</v>
      </c>
      <c r="AL355" s="26">
        <v>0.95463201523468133</v>
      </c>
      <c r="AM355" s="25">
        <v>0.99</v>
      </c>
      <c r="AN355" s="30">
        <v>1</v>
      </c>
      <c r="AO355" s="30">
        <v>1</v>
      </c>
      <c r="AP355" s="30">
        <v>1</v>
      </c>
      <c r="AQ355" s="30">
        <v>1</v>
      </c>
      <c r="AR355" s="50">
        <v>0.05</v>
      </c>
      <c r="AS355" s="34">
        <v>0</v>
      </c>
      <c r="AT355" s="34">
        <v>9.0909090909090912E-2</v>
      </c>
      <c r="AU355" s="34">
        <v>9.0909090909090912E-2</v>
      </c>
      <c r="AV355" s="34">
        <v>5.0632911392405063E-2</v>
      </c>
      <c r="AW355" s="10"/>
      <c r="AX355" s="8"/>
    </row>
    <row r="356" spans="1:50">
      <c r="A356" s="7"/>
      <c r="B356" s="10"/>
      <c r="C356" s="45" t="s">
        <v>396</v>
      </c>
      <c r="D356" s="23" t="s">
        <v>19</v>
      </c>
      <c r="E356" s="46" t="s">
        <v>402</v>
      </c>
      <c r="F356" s="46" t="s">
        <v>402</v>
      </c>
      <c r="G356" s="46" t="s">
        <v>402</v>
      </c>
      <c r="H356" s="46" t="s">
        <v>402</v>
      </c>
      <c r="I356" s="25">
        <v>0.9</v>
      </c>
      <c r="J356" s="26">
        <v>0.94</v>
      </c>
      <c r="K356" s="26">
        <v>0.9285714285714286</v>
      </c>
      <c r="L356" s="27">
        <v>0.96491228070175439</v>
      </c>
      <c r="M356" s="26">
        <v>0.92740046838407497</v>
      </c>
      <c r="N356" s="28">
        <v>0.9</v>
      </c>
      <c r="O356" s="26">
        <v>0.97969730527870058</v>
      </c>
      <c r="P356" s="26">
        <v>0.98780487804878048</v>
      </c>
      <c r="Q356" s="26">
        <v>0.98168498168498164</v>
      </c>
      <c r="R356" s="26">
        <v>0.97729156306978282</v>
      </c>
      <c r="S356" s="28">
        <v>0.9</v>
      </c>
      <c r="T356" s="26">
        <v>0.92617201919527503</v>
      </c>
      <c r="U356" s="26">
        <v>0.91642754662840742</v>
      </c>
      <c r="V356" s="26">
        <v>0.94597069597069594</v>
      </c>
      <c r="W356" s="26">
        <v>0.91198408751864746</v>
      </c>
      <c r="X356" s="28">
        <v>0.92</v>
      </c>
      <c r="Y356" s="28">
        <v>0.87275985663082434</v>
      </c>
      <c r="Z356" s="28">
        <v>0.92098765432098761</v>
      </c>
      <c r="AA356" s="28">
        <v>0.95464852607709749</v>
      </c>
      <c r="AB356" s="28">
        <v>0.87842563226803283</v>
      </c>
      <c r="AC356" s="28">
        <v>0.92</v>
      </c>
      <c r="AD356" s="26">
        <v>0.98983050847457632</v>
      </c>
      <c r="AE356" s="26">
        <v>0.9939577039274925</v>
      </c>
      <c r="AF356" s="26">
        <v>0.98983050847457632</v>
      </c>
      <c r="AG356" s="26">
        <v>0.98920729438034982</v>
      </c>
      <c r="AH356" s="28">
        <v>0.92</v>
      </c>
      <c r="AI356" s="26">
        <v>0.93327260305169668</v>
      </c>
      <c r="AJ356" s="26">
        <v>0.96438294010889292</v>
      </c>
      <c r="AK356" s="26">
        <v>0.97876984126984123</v>
      </c>
      <c r="AL356" s="26">
        <v>0.94468073429739596</v>
      </c>
      <c r="AM356" s="25">
        <v>0.99</v>
      </c>
      <c r="AN356" s="30">
        <v>1</v>
      </c>
      <c r="AO356" s="30">
        <v>1</v>
      </c>
      <c r="AP356" s="30">
        <v>1</v>
      </c>
      <c r="AQ356" s="30">
        <v>1</v>
      </c>
      <c r="AR356" s="50">
        <v>0.05</v>
      </c>
      <c r="AS356" s="34">
        <v>0</v>
      </c>
      <c r="AT356" s="34">
        <v>0</v>
      </c>
      <c r="AU356" s="34">
        <v>0</v>
      </c>
      <c r="AV356" s="34">
        <v>3.5294117647058823E-2</v>
      </c>
      <c r="AW356" s="10"/>
      <c r="AX356" s="8"/>
    </row>
    <row r="357" spans="1:50">
      <c r="A357" s="7"/>
      <c r="B357" s="10"/>
      <c r="C357" s="45" t="s">
        <v>396</v>
      </c>
      <c r="D357" s="23" t="s">
        <v>19</v>
      </c>
      <c r="E357" s="46" t="s">
        <v>403</v>
      </c>
      <c r="F357" s="46" t="s">
        <v>403</v>
      </c>
      <c r="G357" s="46" t="s">
        <v>403</v>
      </c>
      <c r="H357" s="46" t="s">
        <v>403</v>
      </c>
      <c r="I357" s="25">
        <v>0.9</v>
      </c>
      <c r="J357" s="26">
        <v>1</v>
      </c>
      <c r="K357" s="26">
        <v>1</v>
      </c>
      <c r="L357" s="27">
        <v>1</v>
      </c>
      <c r="M357" s="26">
        <v>0.99595141700404854</v>
      </c>
      <c r="N357" s="28">
        <v>0.9</v>
      </c>
      <c r="O357" s="26">
        <v>0.96655082536924408</v>
      </c>
      <c r="P357" s="26">
        <v>0.98701825557809331</v>
      </c>
      <c r="Q357" s="26">
        <v>0.94810170672239635</v>
      </c>
      <c r="R357" s="26">
        <v>0.97793468667255079</v>
      </c>
      <c r="S357" s="28">
        <v>0.9</v>
      </c>
      <c r="T357" s="26">
        <v>0.90443092962641181</v>
      </c>
      <c r="U357" s="26">
        <v>0.94482758620689655</v>
      </c>
      <c r="V357" s="26">
        <v>0.92964123998606762</v>
      </c>
      <c r="W357" s="26">
        <v>0.93159752868490731</v>
      </c>
      <c r="X357" s="28">
        <v>0.92</v>
      </c>
      <c r="Y357" s="28">
        <v>0.85540838852097134</v>
      </c>
      <c r="Z357" s="28">
        <v>0.92161016949152541</v>
      </c>
      <c r="AA357" s="28">
        <v>0.95509822263797939</v>
      </c>
      <c r="AB357" s="28">
        <v>0.91388888888888886</v>
      </c>
      <c r="AC357" s="28">
        <v>0.92</v>
      </c>
      <c r="AD357" s="26">
        <v>1</v>
      </c>
      <c r="AE357" s="26">
        <v>1</v>
      </c>
      <c r="AF357" s="26">
        <v>0.98492462311557794</v>
      </c>
      <c r="AG357" s="26">
        <v>0.99794238683127567</v>
      </c>
      <c r="AH357" s="28">
        <v>0.92</v>
      </c>
      <c r="AI357" s="26">
        <v>0.92970451010886468</v>
      </c>
      <c r="AJ357" s="26">
        <v>0.95513196480938412</v>
      </c>
      <c r="AK357" s="26">
        <v>0.97335701598579039</v>
      </c>
      <c r="AL357" s="26">
        <v>0.95913783734830649</v>
      </c>
      <c r="AM357" s="25">
        <v>0.99</v>
      </c>
      <c r="AN357" s="30">
        <v>1</v>
      </c>
      <c r="AO357" s="30">
        <v>1</v>
      </c>
      <c r="AP357" s="30">
        <v>1</v>
      </c>
      <c r="AQ357" s="30">
        <v>1</v>
      </c>
      <c r="AR357" s="50">
        <v>0.05</v>
      </c>
      <c r="AS357" s="34">
        <v>0</v>
      </c>
      <c r="AT357" s="34">
        <v>9.0909090909090912E-2</v>
      </c>
      <c r="AU357" s="34">
        <v>0</v>
      </c>
      <c r="AV357" s="34">
        <v>1.7857142857142856E-2</v>
      </c>
      <c r="AW357" s="10"/>
      <c r="AX357" s="8"/>
    </row>
    <row r="358" spans="1:50">
      <c r="A358" s="7"/>
      <c r="B358" s="10"/>
      <c r="C358" s="45" t="s">
        <v>396</v>
      </c>
      <c r="D358" s="23" t="s">
        <v>19</v>
      </c>
      <c r="E358" s="62" t="s">
        <v>404</v>
      </c>
      <c r="F358" s="62" t="s">
        <v>404</v>
      </c>
      <c r="G358" s="62" t="s">
        <v>404</v>
      </c>
      <c r="H358" s="62" t="s">
        <v>404</v>
      </c>
      <c r="I358" s="25">
        <v>0.9</v>
      </c>
      <c r="J358" s="26">
        <v>0.94444444444444442</v>
      </c>
      <c r="K358" s="26">
        <v>0.89473684210526316</v>
      </c>
      <c r="L358" s="27">
        <v>0.95</v>
      </c>
      <c r="M358" s="26">
        <v>0.91503267973856206</v>
      </c>
      <c r="N358" s="28">
        <v>0.9</v>
      </c>
      <c r="O358" s="26">
        <v>0.97757009345794388</v>
      </c>
      <c r="P358" s="26">
        <v>0.98079231692677071</v>
      </c>
      <c r="Q358" s="26">
        <v>0.96251266464032426</v>
      </c>
      <c r="R358" s="26">
        <v>0.96549058195108239</v>
      </c>
      <c r="S358" s="28">
        <v>0.9</v>
      </c>
      <c r="T358" s="26">
        <v>0.81619937694704048</v>
      </c>
      <c r="U358" s="26">
        <v>0.8505402160864346</v>
      </c>
      <c r="V358" s="26">
        <v>0.79128672745694018</v>
      </c>
      <c r="W358" s="26">
        <v>0.79997188642114136</v>
      </c>
      <c r="X358" s="28">
        <v>0.92</v>
      </c>
      <c r="Y358" s="28">
        <v>0.84615384615384615</v>
      </c>
      <c r="Z358" s="28">
        <v>0.85604900459418065</v>
      </c>
      <c r="AA358" s="28">
        <v>0.82602339181286555</v>
      </c>
      <c r="AB358" s="28">
        <v>0.83850181232380183</v>
      </c>
      <c r="AC358" s="28">
        <v>0.92</v>
      </c>
      <c r="AD358" s="26">
        <v>1</v>
      </c>
      <c r="AE358" s="26">
        <v>0.98305084745762716</v>
      </c>
      <c r="AF358" s="26">
        <v>0.96385542168674698</v>
      </c>
      <c r="AG358" s="26">
        <v>0.97252747252747251</v>
      </c>
      <c r="AH358" s="28">
        <v>0.92</v>
      </c>
      <c r="AI358" s="26">
        <v>0.91456132292145154</v>
      </c>
      <c r="AJ358" s="26">
        <v>0.94784482758620692</v>
      </c>
      <c r="AK358" s="26">
        <v>0.93303235515425131</v>
      </c>
      <c r="AL358" s="26">
        <v>0.93546874999999996</v>
      </c>
      <c r="AM358" s="25">
        <v>0.99</v>
      </c>
      <c r="AN358" s="30">
        <v>1</v>
      </c>
      <c r="AO358" s="30">
        <v>1</v>
      </c>
      <c r="AP358" s="30">
        <v>1</v>
      </c>
      <c r="AQ358" s="30">
        <v>1</v>
      </c>
      <c r="AR358" s="50">
        <v>0.05</v>
      </c>
      <c r="AS358" s="34">
        <v>0</v>
      </c>
      <c r="AT358" s="34">
        <v>0.15384615384615385</v>
      </c>
      <c r="AU358" s="34">
        <v>0</v>
      </c>
      <c r="AV358" s="34">
        <v>7.6923076923076927E-2</v>
      </c>
      <c r="AW358" s="10"/>
      <c r="AX358" s="8"/>
    </row>
    <row r="359" spans="1:50">
      <c r="A359" s="7"/>
      <c r="B359" s="10"/>
      <c r="C359" s="45" t="s">
        <v>396</v>
      </c>
      <c r="D359" s="23" t="s">
        <v>19</v>
      </c>
      <c r="E359" s="46" t="s">
        <v>405</v>
      </c>
      <c r="F359" s="46" t="s">
        <v>405</v>
      </c>
      <c r="G359" s="46" t="s">
        <v>405</v>
      </c>
      <c r="H359" s="46" t="s">
        <v>405</v>
      </c>
      <c r="I359" s="25">
        <v>0.9</v>
      </c>
      <c r="J359" s="26">
        <v>0.96153846153846156</v>
      </c>
      <c r="K359" s="26">
        <v>0.9642857142857143</v>
      </c>
      <c r="L359" s="27">
        <v>0.96153846153846156</v>
      </c>
      <c r="M359" s="26">
        <v>0.95774647887323938</v>
      </c>
      <c r="N359" s="28">
        <v>0.9</v>
      </c>
      <c r="O359" s="26">
        <v>0</v>
      </c>
      <c r="P359" s="26">
        <v>1</v>
      </c>
      <c r="Q359" s="26">
        <v>0</v>
      </c>
      <c r="R359" s="26">
        <v>0.33333333333333331</v>
      </c>
      <c r="S359" s="28">
        <v>0.9</v>
      </c>
      <c r="T359" s="26">
        <v>0</v>
      </c>
      <c r="U359" s="26">
        <v>1</v>
      </c>
      <c r="V359" s="26">
        <v>0</v>
      </c>
      <c r="W359" s="26">
        <v>0.33333333333333331</v>
      </c>
      <c r="X359" s="28">
        <v>0.92</v>
      </c>
      <c r="Y359" s="28">
        <v>0.2</v>
      </c>
      <c r="Z359" s="28">
        <v>0</v>
      </c>
      <c r="AA359" s="28">
        <v>0</v>
      </c>
      <c r="AB359" s="28">
        <v>0.60869565217391308</v>
      </c>
      <c r="AC359" s="28">
        <v>0.92</v>
      </c>
      <c r="AD359" s="26">
        <v>0.99224806201550386</v>
      </c>
      <c r="AE359" s="26">
        <v>0.99743589743589745</v>
      </c>
      <c r="AF359" s="26">
        <v>1</v>
      </c>
      <c r="AG359" s="26">
        <v>0.9947260474655728</v>
      </c>
      <c r="AH359" s="28">
        <v>0.92</v>
      </c>
      <c r="AI359" s="26">
        <v>0.97360703812316718</v>
      </c>
      <c r="AJ359" s="26">
        <v>0.98698153194065996</v>
      </c>
      <c r="AK359" s="26">
        <v>0.9854677565849228</v>
      </c>
      <c r="AL359" s="26">
        <v>0.98632417647758353</v>
      </c>
      <c r="AM359" s="25">
        <v>0.99</v>
      </c>
      <c r="AN359" s="30">
        <v>1</v>
      </c>
      <c r="AO359" s="30">
        <v>1</v>
      </c>
      <c r="AP359" s="30">
        <v>1</v>
      </c>
      <c r="AQ359" s="30">
        <v>1</v>
      </c>
      <c r="AR359" s="50">
        <v>0.05</v>
      </c>
      <c r="AS359" s="34">
        <v>9.0909090909090912E-2</v>
      </c>
      <c r="AT359" s="34">
        <v>0</v>
      </c>
      <c r="AU359" s="34">
        <v>0.33333333333333331</v>
      </c>
      <c r="AV359" s="34">
        <v>5.7142857142857141E-2</v>
      </c>
      <c r="AW359" s="10"/>
      <c r="AX359" s="8"/>
    </row>
    <row r="360" spans="1:50">
      <c r="A360" s="7"/>
      <c r="B360" s="10"/>
      <c r="C360" s="45" t="s">
        <v>396</v>
      </c>
      <c r="D360" s="23" t="s">
        <v>19</v>
      </c>
      <c r="E360" s="46" t="s">
        <v>406</v>
      </c>
      <c r="F360" s="46" t="s">
        <v>406</v>
      </c>
      <c r="G360" s="46" t="s">
        <v>406</v>
      </c>
      <c r="H360" s="46" t="s">
        <v>406</v>
      </c>
      <c r="I360" s="25">
        <v>0.9</v>
      </c>
      <c r="J360" s="26">
        <v>0.97727272727272729</v>
      </c>
      <c r="K360" s="26">
        <v>1</v>
      </c>
      <c r="L360" s="27">
        <v>0.97777777777777775</v>
      </c>
      <c r="M360" s="26">
        <v>0.98587570621468923</v>
      </c>
      <c r="N360" s="28">
        <v>0.9</v>
      </c>
      <c r="O360" s="26">
        <v>0.97845194216047637</v>
      </c>
      <c r="P360" s="26">
        <v>0.98153933541607497</v>
      </c>
      <c r="Q360" s="26">
        <v>0.97540004776689759</v>
      </c>
      <c r="R360" s="26">
        <v>0.97018333443642857</v>
      </c>
      <c r="S360" s="28">
        <v>0.9</v>
      </c>
      <c r="T360" s="26">
        <v>0.87156223419336543</v>
      </c>
      <c r="U360" s="26">
        <v>0.893496165861971</v>
      </c>
      <c r="V360" s="26">
        <v>0.85120611416288516</v>
      </c>
      <c r="W360" s="26">
        <v>0.84833542921437555</v>
      </c>
      <c r="X360" s="28">
        <v>0.92</v>
      </c>
      <c r="Y360" s="28">
        <v>0.87824207492795392</v>
      </c>
      <c r="Z360" s="28">
        <v>0.88174982911825017</v>
      </c>
      <c r="AA360" s="28">
        <v>0.88029361942405415</v>
      </c>
      <c r="AB360" s="28">
        <v>0.87531431544264282</v>
      </c>
      <c r="AC360" s="28">
        <v>0.92</v>
      </c>
      <c r="AD360" s="26">
        <v>0.9914465408805031</v>
      </c>
      <c r="AE360" s="26">
        <v>0.99554413024850041</v>
      </c>
      <c r="AF360" s="26">
        <v>0.99860973187686197</v>
      </c>
      <c r="AG360" s="26">
        <v>0.99693633924232505</v>
      </c>
      <c r="AH360" s="28">
        <v>0.92</v>
      </c>
      <c r="AI360" s="26">
        <v>0.93657247408009758</v>
      </c>
      <c r="AJ360" s="26">
        <v>0.94504612916165265</v>
      </c>
      <c r="AK360" s="26">
        <v>0.9462997147172344</v>
      </c>
      <c r="AL360" s="26">
        <v>0.94413581725013174</v>
      </c>
      <c r="AM360" s="25">
        <v>0.99</v>
      </c>
      <c r="AN360" s="30">
        <v>1</v>
      </c>
      <c r="AO360" s="30">
        <v>1</v>
      </c>
      <c r="AP360" s="30">
        <v>1</v>
      </c>
      <c r="AQ360" s="30">
        <v>1</v>
      </c>
      <c r="AR360" s="50">
        <v>0.05</v>
      </c>
      <c r="AS360" s="34">
        <v>0.01</v>
      </c>
      <c r="AT360" s="34">
        <v>0</v>
      </c>
      <c r="AU360" s="34">
        <v>0</v>
      </c>
      <c r="AV360" s="34">
        <v>5.5679287305122494E-3</v>
      </c>
      <c r="AW360" s="10"/>
      <c r="AX360" s="8"/>
    </row>
    <row r="361" spans="1:50">
      <c r="A361" s="7"/>
      <c r="B361" s="10"/>
      <c r="C361" s="45" t="s">
        <v>396</v>
      </c>
      <c r="D361" s="23" t="s">
        <v>19</v>
      </c>
      <c r="E361" s="46" t="s">
        <v>407</v>
      </c>
      <c r="F361" s="46" t="s">
        <v>407</v>
      </c>
      <c r="G361" s="46" t="s">
        <v>407</v>
      </c>
      <c r="H361" s="46" t="s">
        <v>407</v>
      </c>
      <c r="I361" s="25">
        <v>0.9</v>
      </c>
      <c r="J361" s="26">
        <v>0.94</v>
      </c>
      <c r="K361" s="26">
        <v>0.82692307692307687</v>
      </c>
      <c r="L361" s="27">
        <v>0.82692307692307687</v>
      </c>
      <c r="M361" s="26">
        <v>0.88972431077694236</v>
      </c>
      <c r="N361" s="28">
        <v>0.9</v>
      </c>
      <c r="O361" s="26">
        <v>0.8955710955710956</v>
      </c>
      <c r="P361" s="26">
        <v>0.8820732287208749</v>
      </c>
      <c r="Q361" s="26">
        <v>0.91896665930669019</v>
      </c>
      <c r="R361" s="26">
        <v>0.91199474595498242</v>
      </c>
      <c r="S361" s="28">
        <v>0.9</v>
      </c>
      <c r="T361" s="26">
        <v>0.79860139860139856</v>
      </c>
      <c r="U361" s="26">
        <v>0.765810746552544</v>
      </c>
      <c r="V361" s="26">
        <v>0.7396776330315743</v>
      </c>
      <c r="W361" s="26">
        <v>0.75485103588273927</v>
      </c>
      <c r="X361" s="28">
        <v>0.92</v>
      </c>
      <c r="Y361" s="28">
        <v>0.88084326306141159</v>
      </c>
      <c r="Z361" s="28">
        <v>0.88320355951056728</v>
      </c>
      <c r="AA361" s="28">
        <v>0.8070987654320988</v>
      </c>
      <c r="AB361" s="28">
        <v>0.87279016141429666</v>
      </c>
      <c r="AC361" s="28">
        <v>0.92</v>
      </c>
      <c r="AD361" s="26">
        <v>0.98795180722891562</v>
      </c>
      <c r="AE361" s="26">
        <v>0.9886621315192744</v>
      </c>
      <c r="AF361" s="26">
        <v>0.99376299376299382</v>
      </c>
      <c r="AG361" s="26">
        <v>0.99087018544935801</v>
      </c>
      <c r="AH361" s="28">
        <v>0.92</v>
      </c>
      <c r="AI361" s="26">
        <v>0.93867778807537838</v>
      </c>
      <c r="AJ361" s="26">
        <v>0.94253830779480341</v>
      </c>
      <c r="AK361" s="26">
        <v>0.92481086922958156</v>
      </c>
      <c r="AL361" s="26">
        <v>0.94415545333390649</v>
      </c>
      <c r="AM361" s="25">
        <v>0.99</v>
      </c>
      <c r="AN361" s="30">
        <v>1</v>
      </c>
      <c r="AO361" s="30">
        <v>1</v>
      </c>
      <c r="AP361" s="30">
        <v>1</v>
      </c>
      <c r="AQ361" s="30">
        <v>1</v>
      </c>
      <c r="AR361" s="50">
        <v>0.05</v>
      </c>
      <c r="AS361" s="34">
        <v>0</v>
      </c>
      <c r="AT361" s="34">
        <v>0</v>
      </c>
      <c r="AU361" s="34">
        <v>0</v>
      </c>
      <c r="AV361" s="34">
        <v>4.3010752688172046E-2</v>
      </c>
      <c r="AW361" s="10"/>
      <c r="AX361" s="8"/>
    </row>
    <row r="362" spans="1:50">
      <c r="A362" s="7"/>
      <c r="B362" s="10"/>
      <c r="C362" s="45" t="s">
        <v>396</v>
      </c>
      <c r="D362" s="23" t="s">
        <v>19</v>
      </c>
      <c r="E362" s="46" t="s">
        <v>408</v>
      </c>
      <c r="F362" s="46" t="s">
        <v>408</v>
      </c>
      <c r="G362" s="46" t="s">
        <v>408</v>
      </c>
      <c r="H362" s="46" t="s">
        <v>408</v>
      </c>
      <c r="I362" s="25">
        <v>0.9</v>
      </c>
      <c r="J362" s="26">
        <v>0.97826086956521741</v>
      </c>
      <c r="K362" s="26">
        <v>0.97916666666666663</v>
      </c>
      <c r="L362" s="27">
        <v>1</v>
      </c>
      <c r="M362" s="26">
        <v>0.99147727272727271</v>
      </c>
      <c r="N362" s="28">
        <v>0.9</v>
      </c>
      <c r="O362" s="26">
        <v>0</v>
      </c>
      <c r="P362" s="26">
        <v>0</v>
      </c>
      <c r="Q362" s="26">
        <v>0</v>
      </c>
      <c r="R362" s="26">
        <v>0.25</v>
      </c>
      <c r="S362" s="28">
        <v>0.9</v>
      </c>
      <c r="T362" s="26">
        <v>0</v>
      </c>
      <c r="U362" s="26">
        <v>0</v>
      </c>
      <c r="V362" s="26">
        <v>0</v>
      </c>
      <c r="W362" s="26">
        <v>0.25</v>
      </c>
      <c r="X362" s="28">
        <v>0.92</v>
      </c>
      <c r="Y362" s="28">
        <v>0</v>
      </c>
      <c r="Z362" s="28">
        <v>0</v>
      </c>
      <c r="AA362" s="28">
        <v>0.5</v>
      </c>
      <c r="AB362" s="28">
        <v>0.67741935483870963</v>
      </c>
      <c r="AC362" s="28">
        <v>0.92</v>
      </c>
      <c r="AD362" s="26">
        <v>0.99492385786802029</v>
      </c>
      <c r="AE362" s="26">
        <v>0.98614958448753465</v>
      </c>
      <c r="AF362" s="26">
        <v>0.94660194174757284</v>
      </c>
      <c r="AG362" s="26">
        <v>0.98031364698031365</v>
      </c>
      <c r="AH362" s="28">
        <v>0.92</v>
      </c>
      <c r="AI362" s="26">
        <v>0.97439003287766046</v>
      </c>
      <c r="AJ362" s="26">
        <v>0.98593530239099858</v>
      </c>
      <c r="AK362" s="26">
        <v>0.9865106452137169</v>
      </c>
      <c r="AL362" s="26">
        <v>0.98015505924849122</v>
      </c>
      <c r="AM362" s="25">
        <v>0.99</v>
      </c>
      <c r="AN362" s="30">
        <v>1</v>
      </c>
      <c r="AO362" s="30">
        <v>1</v>
      </c>
      <c r="AP362" s="30">
        <v>1</v>
      </c>
      <c r="AQ362" s="30">
        <v>1</v>
      </c>
      <c r="AR362" s="50">
        <v>0.05</v>
      </c>
      <c r="AS362" s="34">
        <v>0.25</v>
      </c>
      <c r="AT362" s="34">
        <v>0</v>
      </c>
      <c r="AU362" s="34">
        <v>0.12</v>
      </c>
      <c r="AV362" s="34">
        <v>7.2463768115942032E-2</v>
      </c>
      <c r="AW362" s="10"/>
      <c r="AX362" s="8"/>
    </row>
    <row r="363" spans="1:50">
      <c r="A363" s="7"/>
      <c r="B363" s="10"/>
      <c r="C363" s="45" t="s">
        <v>396</v>
      </c>
      <c r="D363" s="23" t="s">
        <v>19</v>
      </c>
      <c r="E363" s="46" t="s">
        <v>409</v>
      </c>
      <c r="F363" s="46" t="s">
        <v>409</v>
      </c>
      <c r="G363" s="46" t="s">
        <v>409</v>
      </c>
      <c r="H363" s="46" t="s">
        <v>409</v>
      </c>
      <c r="I363" s="25">
        <v>0.9</v>
      </c>
      <c r="J363" s="26">
        <v>0.8867924528301887</v>
      </c>
      <c r="K363" s="26">
        <v>0.92452830188679247</v>
      </c>
      <c r="L363" s="27">
        <v>0.90909090909090906</v>
      </c>
      <c r="M363" s="26">
        <v>0.92941176470588238</v>
      </c>
      <c r="N363" s="28">
        <v>0.9</v>
      </c>
      <c r="O363" s="26">
        <v>0.98952590959206177</v>
      </c>
      <c r="P363" s="26">
        <v>0.97551020408163269</v>
      </c>
      <c r="Q363" s="26">
        <v>0.97345342498222331</v>
      </c>
      <c r="R363" s="26">
        <v>0.98469826161676255</v>
      </c>
      <c r="S363" s="28">
        <v>0.9</v>
      </c>
      <c r="T363" s="26">
        <v>0.83379272326350606</v>
      </c>
      <c r="U363" s="26">
        <v>0.80408163265306121</v>
      </c>
      <c r="V363" s="26">
        <v>0.83669115904242708</v>
      </c>
      <c r="W363" s="26">
        <v>0.81922136294533676</v>
      </c>
      <c r="X363" s="28">
        <v>0.92</v>
      </c>
      <c r="Y363" s="28">
        <v>0.88019732205778722</v>
      </c>
      <c r="Z363" s="28">
        <v>0.84088050314465412</v>
      </c>
      <c r="AA363" s="28">
        <v>0.92678675188843695</v>
      </c>
      <c r="AB363" s="28">
        <v>0.86610017889087654</v>
      </c>
      <c r="AC363" s="28">
        <v>0.92</v>
      </c>
      <c r="AD363" s="26">
        <v>0.99822485207100586</v>
      </c>
      <c r="AE363" s="26">
        <v>0.995937318630296</v>
      </c>
      <c r="AF363" s="26">
        <v>0.99542184434270764</v>
      </c>
      <c r="AG363" s="26">
        <v>0.99735387967935252</v>
      </c>
      <c r="AH363" s="28">
        <v>0.92</v>
      </c>
      <c r="AI363" s="26">
        <v>0.94007120253164556</v>
      </c>
      <c r="AJ363" s="26">
        <v>0.91794871794871791</v>
      </c>
      <c r="AK363" s="26">
        <v>0.95809491753618314</v>
      </c>
      <c r="AL363" s="26">
        <v>0.94029382674354089</v>
      </c>
      <c r="AM363" s="25">
        <v>0.99</v>
      </c>
      <c r="AN363" s="30">
        <v>1</v>
      </c>
      <c r="AO363" s="30">
        <v>1</v>
      </c>
      <c r="AP363" s="30">
        <v>1</v>
      </c>
      <c r="AQ363" s="30">
        <v>1</v>
      </c>
      <c r="AR363" s="50">
        <v>0.05</v>
      </c>
      <c r="AS363" s="34">
        <v>4.1666666666666664E-2</v>
      </c>
      <c r="AT363" s="34">
        <v>7.6923076923076927E-2</v>
      </c>
      <c r="AU363" s="34">
        <v>5.5555555555555552E-2</v>
      </c>
      <c r="AV363" s="34">
        <v>6.4748201438848921E-2</v>
      </c>
      <c r="AW363" s="10"/>
      <c r="AX363" s="8"/>
    </row>
    <row r="364" spans="1:50">
      <c r="A364" s="7"/>
      <c r="B364" s="10"/>
      <c r="C364" s="45" t="s">
        <v>396</v>
      </c>
      <c r="D364" s="23" t="s">
        <v>19</v>
      </c>
      <c r="E364" s="46" t="s">
        <v>410</v>
      </c>
      <c r="F364" s="46" t="s">
        <v>410</v>
      </c>
      <c r="G364" s="46" t="s">
        <v>410</v>
      </c>
      <c r="H364" s="46" t="s">
        <v>410</v>
      </c>
      <c r="I364" s="25">
        <v>0.9</v>
      </c>
      <c r="J364" s="26">
        <v>0.80645161290322576</v>
      </c>
      <c r="K364" s="26">
        <v>0.796875</v>
      </c>
      <c r="L364" s="27">
        <v>0.85245901639344257</v>
      </c>
      <c r="M364" s="26">
        <v>0.81395348837209303</v>
      </c>
      <c r="N364" s="28">
        <v>0.9</v>
      </c>
      <c r="O364" s="26">
        <v>0.97761397761397761</v>
      </c>
      <c r="P364" s="26">
        <v>0.82387285111903985</v>
      </c>
      <c r="Q364" s="26">
        <v>0.92382534409112482</v>
      </c>
      <c r="R364" s="26">
        <v>0.87956177900311983</v>
      </c>
      <c r="S364" s="28">
        <v>0.9</v>
      </c>
      <c r="T364" s="26">
        <v>0.71744471744471749</v>
      </c>
      <c r="U364" s="26">
        <v>0.78397664612390527</v>
      </c>
      <c r="V364" s="26">
        <v>0.71926910299003322</v>
      </c>
      <c r="W364" s="26">
        <v>0.71631720235072194</v>
      </c>
      <c r="X364" s="28">
        <v>0.92</v>
      </c>
      <c r="Y364" s="28">
        <v>0.85038961038961036</v>
      </c>
      <c r="Z364" s="28">
        <v>0.88400789733464957</v>
      </c>
      <c r="AA364" s="28">
        <v>0.89761851769419099</v>
      </c>
      <c r="AB364" s="28">
        <v>0.86690585533869113</v>
      </c>
      <c r="AC364" s="28">
        <v>0.92</v>
      </c>
      <c r="AD364" s="26">
        <v>0.96933204881181756</v>
      </c>
      <c r="AE364" s="26">
        <v>0.98326359832635979</v>
      </c>
      <c r="AF364" s="26">
        <v>0.97360900991763322</v>
      </c>
      <c r="AG364" s="26">
        <v>0.97406504384757564</v>
      </c>
      <c r="AH364" s="28">
        <v>0.92</v>
      </c>
      <c r="AI364" s="26">
        <v>0.9065904863141111</v>
      </c>
      <c r="AJ364" s="26">
        <v>0.91590749824807283</v>
      </c>
      <c r="AK364" s="26">
        <v>0.92952249770431583</v>
      </c>
      <c r="AL364" s="26">
        <v>0.9029587883057415</v>
      </c>
      <c r="AM364" s="25">
        <v>0.99</v>
      </c>
      <c r="AN364" s="30">
        <v>1</v>
      </c>
      <c r="AO364" s="30">
        <v>1</v>
      </c>
      <c r="AP364" s="30">
        <v>1</v>
      </c>
      <c r="AQ364" s="30">
        <v>1</v>
      </c>
      <c r="AR364" s="50">
        <v>0.05</v>
      </c>
      <c r="AS364" s="34">
        <v>6.8965517241379309E-2</v>
      </c>
      <c r="AT364" s="34">
        <v>3.2786885245901641E-2</v>
      </c>
      <c r="AU364" s="34">
        <v>5.5555555555555552E-2</v>
      </c>
      <c r="AV364" s="34">
        <v>3.2629558541266791E-2</v>
      </c>
      <c r="AW364" s="10"/>
      <c r="AX364" s="8"/>
    </row>
    <row r="365" spans="1:50">
      <c r="A365" s="7"/>
      <c r="B365" s="10"/>
      <c r="C365" s="45" t="s">
        <v>396</v>
      </c>
      <c r="D365" s="23" t="s">
        <v>19</v>
      </c>
      <c r="E365" s="46" t="s">
        <v>411</v>
      </c>
      <c r="F365" s="46" t="s">
        <v>411</v>
      </c>
      <c r="G365" s="46" t="s">
        <v>411</v>
      </c>
      <c r="H365" s="46" t="s">
        <v>411</v>
      </c>
      <c r="I365" s="25">
        <v>0.9</v>
      </c>
      <c r="J365" s="26">
        <v>0.78260869565217395</v>
      </c>
      <c r="K365" s="26">
        <v>0.70588235294117652</v>
      </c>
      <c r="L365" s="27">
        <v>0.72</v>
      </c>
      <c r="M365" s="26">
        <v>0.7208121827411168</v>
      </c>
      <c r="N365" s="28">
        <v>0.9</v>
      </c>
      <c r="O365" s="26">
        <v>0.58843422387554956</v>
      </c>
      <c r="P365" s="26">
        <v>0.74732850741123746</v>
      </c>
      <c r="Q365" s="26">
        <v>0.95713525026624069</v>
      </c>
      <c r="R365" s="26">
        <v>0.7119567495075646</v>
      </c>
      <c r="S365" s="28">
        <v>0.9</v>
      </c>
      <c r="T365" s="26">
        <v>0.75008454514710854</v>
      </c>
      <c r="U365" s="26">
        <v>0.79283005860048261</v>
      </c>
      <c r="V365" s="26">
        <v>0.77023429179978697</v>
      </c>
      <c r="W365" s="26">
        <v>0.77134235782238803</v>
      </c>
      <c r="X365" s="28">
        <v>0.92</v>
      </c>
      <c r="Y365" s="28">
        <v>0.91817215727948986</v>
      </c>
      <c r="Z365" s="28">
        <v>0.93805309734513276</v>
      </c>
      <c r="AA365" s="28">
        <v>0.9369312833385629</v>
      </c>
      <c r="AB365" s="28">
        <v>0.93355178564021735</v>
      </c>
      <c r="AC365" s="28">
        <v>0.92</v>
      </c>
      <c r="AD365" s="26">
        <v>0.97839342523860018</v>
      </c>
      <c r="AE365" s="26">
        <v>0.981700288184438</v>
      </c>
      <c r="AF365" s="26">
        <v>0.98051092968132736</v>
      </c>
      <c r="AG365" s="26">
        <v>0.93443201468045312</v>
      </c>
      <c r="AH365" s="28">
        <v>0.92</v>
      </c>
      <c r="AI365" s="26">
        <v>0.94226447709593775</v>
      </c>
      <c r="AJ365" s="26">
        <v>0.95546847167794802</v>
      </c>
      <c r="AK365" s="26">
        <v>0.96289371494318998</v>
      </c>
      <c r="AL365" s="26">
        <v>0.95578372974549086</v>
      </c>
      <c r="AM365" s="25">
        <v>0.99</v>
      </c>
      <c r="AN365" s="30">
        <v>1</v>
      </c>
      <c r="AO365" s="30">
        <v>1</v>
      </c>
      <c r="AP365" s="30">
        <v>0.97972972972972971</v>
      </c>
      <c r="AQ365" s="30">
        <v>0.99627329192546588</v>
      </c>
      <c r="AR365" s="50">
        <v>0.05</v>
      </c>
      <c r="AS365" s="34">
        <v>0.14705882352941177</v>
      </c>
      <c r="AT365" s="34">
        <v>2.1739130434782608E-2</v>
      </c>
      <c r="AU365" s="34">
        <v>7.8947368421052627E-2</v>
      </c>
      <c r="AV365" s="34">
        <v>4.6979865771812082E-2</v>
      </c>
      <c r="AW365" s="10"/>
      <c r="AX365" s="8"/>
    </row>
    <row r="366" spans="1:50">
      <c r="A366" s="7"/>
      <c r="B366" s="10"/>
      <c r="C366" s="45" t="s">
        <v>396</v>
      </c>
      <c r="D366" s="23" t="s">
        <v>19</v>
      </c>
      <c r="E366" s="46" t="s">
        <v>412</v>
      </c>
      <c r="F366" s="46" t="s">
        <v>412</v>
      </c>
      <c r="G366" s="46" t="s">
        <v>412</v>
      </c>
      <c r="H366" s="46" t="s">
        <v>412</v>
      </c>
      <c r="I366" s="25">
        <v>0.9</v>
      </c>
      <c r="J366" s="26">
        <v>0.6029411764705882</v>
      </c>
      <c r="K366" s="26">
        <v>0.62857142857142856</v>
      </c>
      <c r="L366" s="27">
        <v>0.66666666666666663</v>
      </c>
      <c r="M366" s="26">
        <v>0.62569832402234637</v>
      </c>
      <c r="N366" s="28">
        <v>0.9</v>
      </c>
      <c r="O366" s="26">
        <v>0.90211132437619956</v>
      </c>
      <c r="P366" s="26">
        <v>0.90062667860340195</v>
      </c>
      <c r="Q366" s="26">
        <v>0.81772279727341579</v>
      </c>
      <c r="R366" s="26">
        <v>0.82615427927927931</v>
      </c>
      <c r="S366" s="28">
        <v>0.9</v>
      </c>
      <c r="T366" s="26">
        <v>0.73375377022210031</v>
      </c>
      <c r="U366" s="26">
        <v>0.75052223216950165</v>
      </c>
      <c r="V366" s="26">
        <v>0.753850037869225</v>
      </c>
      <c r="W366" s="26">
        <v>0.72107263513513509</v>
      </c>
      <c r="X366" s="28">
        <v>0.92</v>
      </c>
      <c r="Y366" s="28">
        <v>0.90223390275952697</v>
      </c>
      <c r="Z366" s="28">
        <v>0.9316192560175055</v>
      </c>
      <c r="AA366" s="28">
        <v>0.91619734174363598</v>
      </c>
      <c r="AB366" s="28">
        <v>0.90696689062405422</v>
      </c>
      <c r="AC366" s="28">
        <v>0.92</v>
      </c>
      <c r="AD366" s="26">
        <v>0.98995290423861848</v>
      </c>
      <c r="AE366" s="26">
        <v>0.98632407791131371</v>
      </c>
      <c r="AF366" s="26">
        <v>0.9928080448065173</v>
      </c>
      <c r="AG366" s="26">
        <v>0.9895604395604396</v>
      </c>
      <c r="AH366" s="28">
        <v>0.92</v>
      </c>
      <c r="AI366" s="26">
        <v>0.9246143527833669</v>
      </c>
      <c r="AJ366" s="26">
        <v>0.94764621968616258</v>
      </c>
      <c r="AK366" s="26">
        <v>0.93666666666666665</v>
      </c>
      <c r="AL366" s="26">
        <v>0.92874337204385027</v>
      </c>
      <c r="AM366" s="25">
        <v>0.99</v>
      </c>
      <c r="AN366" s="30">
        <v>1</v>
      </c>
      <c r="AO366" s="30">
        <v>1</v>
      </c>
      <c r="AP366" s="30">
        <v>1</v>
      </c>
      <c r="AQ366" s="30">
        <v>1</v>
      </c>
      <c r="AR366" s="50">
        <v>0.05</v>
      </c>
      <c r="AS366" s="34">
        <v>2.4390243902439025E-2</v>
      </c>
      <c r="AT366" s="34">
        <v>6.25E-2</v>
      </c>
      <c r="AU366" s="34">
        <v>3.2786885245901641E-2</v>
      </c>
      <c r="AV366" s="34">
        <v>4.4186046511627906E-2</v>
      </c>
      <c r="AW366" s="10"/>
      <c r="AX366" s="8"/>
    </row>
    <row r="367" spans="1:50">
      <c r="A367" s="7"/>
      <c r="B367" s="10"/>
      <c r="C367" s="45" t="s">
        <v>396</v>
      </c>
      <c r="D367" s="23" t="s">
        <v>19</v>
      </c>
      <c r="E367" s="46" t="s">
        <v>413</v>
      </c>
      <c r="F367" s="46" t="s">
        <v>413</v>
      </c>
      <c r="G367" s="46" t="s">
        <v>413</v>
      </c>
      <c r="H367" s="46" t="s">
        <v>413</v>
      </c>
      <c r="I367" s="25">
        <v>0.9</v>
      </c>
      <c r="J367" s="26">
        <v>0.82692307692307687</v>
      </c>
      <c r="K367" s="26">
        <v>0.875</v>
      </c>
      <c r="L367" s="27">
        <v>0.93650793650793651</v>
      </c>
      <c r="M367" s="26">
        <v>0.89177489177489178</v>
      </c>
      <c r="N367" s="28">
        <v>0.9</v>
      </c>
      <c r="O367" s="26">
        <v>0.91962510650383411</v>
      </c>
      <c r="P367" s="26">
        <v>0.98402868318122561</v>
      </c>
      <c r="Q367" s="26">
        <v>0.99257742513437419</v>
      </c>
      <c r="R367" s="26">
        <v>0.96281103672458501</v>
      </c>
      <c r="S367" s="28">
        <v>0.9</v>
      </c>
      <c r="T367" s="26">
        <v>0.78869639307015049</v>
      </c>
      <c r="U367" s="26">
        <v>0.80606258148631027</v>
      </c>
      <c r="V367" s="26">
        <v>0.79933452777066805</v>
      </c>
      <c r="W367" s="26">
        <v>0.80546418482256876</v>
      </c>
      <c r="X367" s="28">
        <v>0.92</v>
      </c>
      <c r="Y367" s="28">
        <v>0.73766058147396885</v>
      </c>
      <c r="Z367" s="28">
        <v>0.79289340101522843</v>
      </c>
      <c r="AA367" s="28">
        <v>0.76185390858607438</v>
      </c>
      <c r="AB367" s="28">
        <v>0.75334530026109658</v>
      </c>
      <c r="AC367" s="28">
        <v>0.92</v>
      </c>
      <c r="AD367" s="26">
        <v>0.99464867380176825</v>
      </c>
      <c r="AE367" s="26">
        <v>0.99238543541464763</v>
      </c>
      <c r="AF367" s="26">
        <v>0.99324926760922172</v>
      </c>
      <c r="AG367" s="26">
        <v>0.98475471453567498</v>
      </c>
      <c r="AH367" s="28">
        <v>0.92</v>
      </c>
      <c r="AI367" s="26">
        <v>0.80733484049233861</v>
      </c>
      <c r="AJ367" s="26">
        <v>0.84593437945791727</v>
      </c>
      <c r="AK367" s="26">
        <v>0.85009310986964615</v>
      </c>
      <c r="AL367" s="26">
        <v>0.82773538520481471</v>
      </c>
      <c r="AM367" s="25">
        <v>0.99</v>
      </c>
      <c r="AN367" s="30">
        <v>1</v>
      </c>
      <c r="AO367" s="30">
        <v>1</v>
      </c>
      <c r="AP367" s="30">
        <v>1</v>
      </c>
      <c r="AQ367" s="30">
        <v>1</v>
      </c>
      <c r="AR367" s="50">
        <v>0.05</v>
      </c>
      <c r="AS367" s="34">
        <v>4.5454545454545456E-2</v>
      </c>
      <c r="AT367" s="34">
        <v>0.1111111111111111</v>
      </c>
      <c r="AU367" s="34">
        <v>0.11428571428571428</v>
      </c>
      <c r="AV367" s="34">
        <v>6.5384615384615388E-2</v>
      </c>
      <c r="AW367" s="10"/>
      <c r="AX367" s="8"/>
    </row>
    <row r="368" spans="1:50">
      <c r="A368" s="7"/>
      <c r="B368" s="10"/>
      <c r="C368" s="45" t="s">
        <v>396</v>
      </c>
      <c r="D368" s="23" t="s">
        <v>19</v>
      </c>
      <c r="E368" s="46" t="s">
        <v>414</v>
      </c>
      <c r="F368" s="46" t="s">
        <v>414</v>
      </c>
      <c r="G368" s="46" t="s">
        <v>414</v>
      </c>
      <c r="H368" s="46" t="s">
        <v>414</v>
      </c>
      <c r="I368" s="25">
        <v>0.9</v>
      </c>
      <c r="J368" s="26">
        <v>0.84615384615384615</v>
      </c>
      <c r="K368" s="26">
        <v>0.7931034482758621</v>
      </c>
      <c r="L368" s="27">
        <v>0.83050847457627119</v>
      </c>
      <c r="M368" s="26">
        <v>0.82608695652173914</v>
      </c>
      <c r="N368" s="28">
        <v>0.9</v>
      </c>
      <c r="O368" s="26">
        <v>0.86983944954128445</v>
      </c>
      <c r="P368" s="26">
        <v>0.94490106544901065</v>
      </c>
      <c r="Q368" s="26">
        <v>0.98182226211849188</v>
      </c>
      <c r="R368" s="26">
        <v>0.92236160746845597</v>
      </c>
      <c r="S368" s="28">
        <v>0.9</v>
      </c>
      <c r="T368" s="26">
        <v>0.83027522935779818</v>
      </c>
      <c r="U368" s="26">
        <v>0.84748858447488584</v>
      </c>
      <c r="V368" s="26">
        <v>0.82226211849192099</v>
      </c>
      <c r="W368" s="26">
        <v>0.81478375027350303</v>
      </c>
      <c r="X368" s="28">
        <v>0.92</v>
      </c>
      <c r="Y368" s="28">
        <v>0.91396203306797308</v>
      </c>
      <c r="Z368" s="28">
        <v>0.95917711346833812</v>
      </c>
      <c r="AA368" s="28">
        <v>0.96569468267581471</v>
      </c>
      <c r="AB368" s="28">
        <v>0.93394833948339484</v>
      </c>
      <c r="AC368" s="28">
        <v>0.92</v>
      </c>
      <c r="AD368" s="26">
        <v>0.99832102081934182</v>
      </c>
      <c r="AE368" s="26">
        <v>0.99298524732426963</v>
      </c>
      <c r="AF368" s="26">
        <v>0.99254086652912232</v>
      </c>
      <c r="AG368" s="26">
        <v>0.98600658513640638</v>
      </c>
      <c r="AH368" s="28">
        <v>0.92</v>
      </c>
      <c r="AI368" s="26">
        <v>0.94037579523598169</v>
      </c>
      <c r="AJ368" s="26">
        <v>0.97202687919987496</v>
      </c>
      <c r="AK368" s="26">
        <v>0.97675587385349916</v>
      </c>
      <c r="AL368" s="26">
        <v>0.95539217483773975</v>
      </c>
      <c r="AM368" s="25">
        <v>0.99</v>
      </c>
      <c r="AN368" s="30">
        <v>1</v>
      </c>
      <c r="AO368" s="30">
        <v>1</v>
      </c>
      <c r="AP368" s="30">
        <v>1</v>
      </c>
      <c r="AQ368" s="30">
        <v>1</v>
      </c>
      <c r="AR368" s="50">
        <v>0.05</v>
      </c>
      <c r="AS368" s="34">
        <v>2.3809523809523808E-2</v>
      </c>
      <c r="AT368" s="34">
        <v>6.7796610169491525E-2</v>
      </c>
      <c r="AU368" s="34">
        <v>4.3478260869565216E-2</v>
      </c>
      <c r="AV368" s="34">
        <v>3.0874785591766724E-2</v>
      </c>
      <c r="AW368" s="10"/>
      <c r="AX368" s="8"/>
    </row>
    <row r="369" spans="1:50">
      <c r="A369" s="7"/>
      <c r="B369" s="10"/>
      <c r="C369" s="45" t="s">
        <v>396</v>
      </c>
      <c r="D369" s="23" t="s">
        <v>19</v>
      </c>
      <c r="E369" s="46" t="s">
        <v>415</v>
      </c>
      <c r="F369" s="46" t="s">
        <v>415</v>
      </c>
      <c r="G369" s="46" t="s">
        <v>415</v>
      </c>
      <c r="H369" s="46" t="s">
        <v>415</v>
      </c>
      <c r="I369" s="25">
        <v>0.9</v>
      </c>
      <c r="J369" s="26">
        <v>0.67796610169491522</v>
      </c>
      <c r="K369" s="26">
        <v>0.75757575757575757</v>
      </c>
      <c r="L369" s="27">
        <v>0.77464788732394363</v>
      </c>
      <c r="M369" s="26">
        <v>0.73716632443531827</v>
      </c>
      <c r="N369" s="28">
        <v>0.9</v>
      </c>
      <c r="O369" s="26">
        <v>0.91494997057092409</v>
      </c>
      <c r="P369" s="26">
        <v>0.5715774843641418</v>
      </c>
      <c r="Q369" s="26">
        <v>0.5115135834411384</v>
      </c>
      <c r="R369" s="26">
        <v>0.68907430107952072</v>
      </c>
      <c r="S369" s="28">
        <v>0.9</v>
      </c>
      <c r="T369" s="26">
        <v>0.640670982931136</v>
      </c>
      <c r="U369" s="26">
        <v>0.63759555246699096</v>
      </c>
      <c r="V369" s="26">
        <v>0.63260025873221215</v>
      </c>
      <c r="W369" s="26">
        <v>0.63339792004428808</v>
      </c>
      <c r="X369" s="28">
        <v>0.92</v>
      </c>
      <c r="Y369" s="28">
        <v>0.79298347347057119</v>
      </c>
      <c r="Z369" s="28">
        <v>0.8592248062015504</v>
      </c>
      <c r="AA369" s="28">
        <v>0.80378486055776888</v>
      </c>
      <c r="AB369" s="28">
        <v>0.83198797346318509</v>
      </c>
      <c r="AC369" s="28">
        <v>0.92</v>
      </c>
      <c r="AD369" s="26">
        <v>0.99047392236246723</v>
      </c>
      <c r="AE369" s="26">
        <v>0.9897769516728625</v>
      </c>
      <c r="AF369" s="26">
        <v>0.97713209577616356</v>
      </c>
      <c r="AG369" s="26">
        <v>0.98794864216990119</v>
      </c>
      <c r="AH369" s="28">
        <v>0.92</v>
      </c>
      <c r="AI369" s="26">
        <v>0.83082761640636404</v>
      </c>
      <c r="AJ369" s="26">
        <v>0.88306583688175566</v>
      </c>
      <c r="AK369" s="26">
        <v>0.8557472722659224</v>
      </c>
      <c r="AL369" s="26">
        <v>0.86571888412017173</v>
      </c>
      <c r="AM369" s="25">
        <v>0.99</v>
      </c>
      <c r="AN369" s="30">
        <v>1</v>
      </c>
      <c r="AO369" s="30">
        <v>1</v>
      </c>
      <c r="AP369" s="30">
        <v>1</v>
      </c>
      <c r="AQ369" s="30">
        <v>1</v>
      </c>
      <c r="AR369" s="50">
        <v>0.05</v>
      </c>
      <c r="AS369" s="34">
        <v>3.3898305084745763E-2</v>
      </c>
      <c r="AT369" s="34">
        <v>4.2553191489361701E-2</v>
      </c>
      <c r="AU369" s="34">
        <v>1.7241379310344827E-2</v>
      </c>
      <c r="AV369" s="34">
        <v>3.3039647577092511E-2</v>
      </c>
      <c r="AW369" s="10"/>
      <c r="AX369" s="8"/>
    </row>
    <row r="370" spans="1:50">
      <c r="A370" s="7"/>
      <c r="B370" s="10"/>
      <c r="C370" s="45" t="s">
        <v>396</v>
      </c>
      <c r="D370" s="23" t="s">
        <v>19</v>
      </c>
      <c r="E370" s="46" t="s">
        <v>416</v>
      </c>
      <c r="F370" s="46" t="s">
        <v>416</v>
      </c>
      <c r="G370" s="46" t="s">
        <v>416</v>
      </c>
      <c r="H370" s="46" t="s">
        <v>416</v>
      </c>
      <c r="I370" s="25">
        <v>0.9</v>
      </c>
      <c r="J370" s="26">
        <v>0.82432432432432434</v>
      </c>
      <c r="K370" s="26">
        <v>0.83750000000000002</v>
      </c>
      <c r="L370" s="27">
        <v>0.90476190476190477</v>
      </c>
      <c r="M370" s="26">
        <v>0.79503105590062106</v>
      </c>
      <c r="N370" s="28">
        <v>0.9</v>
      </c>
      <c r="O370" s="26">
        <v>0.90946361462248038</v>
      </c>
      <c r="P370" s="26">
        <v>0.95256436245692278</v>
      </c>
      <c r="Q370" s="26">
        <v>0.9617009676979692</v>
      </c>
      <c r="R370" s="26">
        <v>0.93663060278207111</v>
      </c>
      <c r="S370" s="28">
        <v>0.9</v>
      </c>
      <c r="T370" s="26">
        <v>0.8558250768705159</v>
      </c>
      <c r="U370" s="26">
        <v>0.84917899858098522</v>
      </c>
      <c r="V370" s="26">
        <v>0.90309390759165875</v>
      </c>
      <c r="W370" s="26">
        <v>0.85831240340030912</v>
      </c>
      <c r="X370" s="28">
        <v>0.92</v>
      </c>
      <c r="Y370" s="28">
        <v>0.87583194675540765</v>
      </c>
      <c r="Z370" s="28">
        <v>0.92201737656283111</v>
      </c>
      <c r="AA370" s="28">
        <v>0.93415707515233581</v>
      </c>
      <c r="AB370" s="28">
        <v>0.93511215814811022</v>
      </c>
      <c r="AC370" s="28">
        <v>0.92</v>
      </c>
      <c r="AD370" s="26">
        <v>0.99962291720675922</v>
      </c>
      <c r="AE370" s="26">
        <v>0.97919825625473844</v>
      </c>
      <c r="AF370" s="26">
        <v>0.99358642805420505</v>
      </c>
      <c r="AG370" s="26">
        <v>0.9922766315839775</v>
      </c>
      <c r="AH370" s="28">
        <v>0.92</v>
      </c>
      <c r="AI370" s="26">
        <v>0.91139240506329111</v>
      </c>
      <c r="AJ370" s="26">
        <v>0.9417918177110306</v>
      </c>
      <c r="AK370" s="26">
        <v>0.95826100083025134</v>
      </c>
      <c r="AL370" s="26">
        <v>0.9544776861147003</v>
      </c>
      <c r="AM370" s="25">
        <v>0.99</v>
      </c>
      <c r="AN370" s="30">
        <v>1</v>
      </c>
      <c r="AO370" s="30">
        <v>1</v>
      </c>
      <c r="AP370" s="30">
        <v>1</v>
      </c>
      <c r="AQ370" s="30">
        <v>1</v>
      </c>
      <c r="AR370" s="50">
        <v>0.05</v>
      </c>
      <c r="AS370" s="34">
        <v>4.1666666666666664E-2</v>
      </c>
      <c r="AT370" s="34">
        <v>5.3333333333333337E-2</v>
      </c>
      <c r="AU370" s="34">
        <v>6.1538461538461542E-2</v>
      </c>
      <c r="AV370" s="34">
        <v>6.1258278145695365E-2</v>
      </c>
      <c r="AW370" s="10"/>
      <c r="AX370" s="8"/>
    </row>
    <row r="371" spans="1:50">
      <c r="A371" s="7"/>
      <c r="B371" s="10"/>
      <c r="C371" s="45" t="s">
        <v>396</v>
      </c>
      <c r="D371" s="23" t="s">
        <v>19</v>
      </c>
      <c r="E371" s="46" t="s">
        <v>417</v>
      </c>
      <c r="F371" s="46" t="s">
        <v>417</v>
      </c>
      <c r="G371" s="46" t="s">
        <v>417</v>
      </c>
      <c r="H371" s="46" t="s">
        <v>417</v>
      </c>
      <c r="I371" s="25">
        <v>0.9</v>
      </c>
      <c r="J371" s="26">
        <v>0.89090909090909087</v>
      </c>
      <c r="K371" s="26">
        <v>0.93103448275862066</v>
      </c>
      <c r="L371" s="27">
        <v>0.9375</v>
      </c>
      <c r="M371" s="26">
        <v>0.91759465478841873</v>
      </c>
      <c r="N371" s="28">
        <v>0.9</v>
      </c>
      <c r="O371" s="26">
        <v>0.94049586776859506</v>
      </c>
      <c r="P371" s="26">
        <v>0.94763922518159804</v>
      </c>
      <c r="Q371" s="26">
        <v>0.94212651413189774</v>
      </c>
      <c r="R371" s="26">
        <v>0.93082385840968462</v>
      </c>
      <c r="S371" s="28">
        <v>0.9</v>
      </c>
      <c r="T371" s="26">
        <v>0.88231404958677684</v>
      </c>
      <c r="U371" s="26">
        <v>0.89346246973365617</v>
      </c>
      <c r="V371" s="26">
        <v>0.86298788694481832</v>
      </c>
      <c r="W371" s="26">
        <v>0.88092872649666998</v>
      </c>
      <c r="X371" s="28">
        <v>0.92</v>
      </c>
      <c r="Y371" s="28">
        <v>0.91409320606400901</v>
      </c>
      <c r="Z371" s="28">
        <v>0.93499709808473597</v>
      </c>
      <c r="AA371" s="28">
        <v>0.94226694915254239</v>
      </c>
      <c r="AB371" s="28">
        <v>0.92466742683390346</v>
      </c>
      <c r="AC371" s="28">
        <v>0.92</v>
      </c>
      <c r="AD371" s="26">
        <v>0.99706744868035191</v>
      </c>
      <c r="AE371" s="26">
        <v>0.99697885196374625</v>
      </c>
      <c r="AF371" s="26">
        <v>0.99749373433583954</v>
      </c>
      <c r="AG371" s="26">
        <v>0.98467432950191569</v>
      </c>
      <c r="AH371" s="28">
        <v>0.92</v>
      </c>
      <c r="AI371" s="26">
        <v>0.94384359400998341</v>
      </c>
      <c r="AJ371" s="26">
        <v>0.95903758202425926</v>
      </c>
      <c r="AK371" s="26">
        <v>0.96823697359029259</v>
      </c>
      <c r="AL371" s="26">
        <v>0.95803173029251365</v>
      </c>
      <c r="AM371" s="25">
        <v>0.99</v>
      </c>
      <c r="AN371" s="30">
        <v>1</v>
      </c>
      <c r="AO371" s="30">
        <v>1</v>
      </c>
      <c r="AP371" s="30">
        <v>1</v>
      </c>
      <c r="AQ371" s="30">
        <v>1</v>
      </c>
      <c r="AR371" s="50">
        <v>0.05</v>
      </c>
      <c r="AS371" s="34">
        <v>0.26666666666666666</v>
      </c>
      <c r="AT371" s="34">
        <v>0</v>
      </c>
      <c r="AU371" s="34">
        <v>6.25E-2</v>
      </c>
      <c r="AV371" s="34">
        <v>9.1603053435114504E-2</v>
      </c>
      <c r="AW371" s="10"/>
      <c r="AX371" s="8"/>
    </row>
    <row r="372" spans="1:50">
      <c r="A372" s="7"/>
      <c r="B372" s="10"/>
      <c r="C372" s="45" t="s">
        <v>396</v>
      </c>
      <c r="D372" s="23" t="s">
        <v>19</v>
      </c>
      <c r="E372" s="46" t="s">
        <v>418</v>
      </c>
      <c r="F372" s="46" t="s">
        <v>418</v>
      </c>
      <c r="G372" s="46" t="s">
        <v>418</v>
      </c>
      <c r="H372" s="46" t="s">
        <v>418</v>
      </c>
      <c r="I372" s="25">
        <v>0.9</v>
      </c>
      <c r="J372" s="26">
        <v>0.79746835443037978</v>
      </c>
      <c r="K372" s="26">
        <v>0.75308641975308643</v>
      </c>
      <c r="L372" s="27">
        <v>0.81720430107526887</v>
      </c>
      <c r="M372" s="26">
        <v>0.82212257100149477</v>
      </c>
      <c r="N372" s="28">
        <v>0.9</v>
      </c>
      <c r="O372" s="26">
        <v>0.91850904439978076</v>
      </c>
      <c r="P372" s="26">
        <v>0.91789940828402372</v>
      </c>
      <c r="Q372" s="26">
        <v>0.92809545947621264</v>
      </c>
      <c r="R372" s="26">
        <v>0.88501367090787741</v>
      </c>
      <c r="S372" s="28">
        <v>0.9</v>
      </c>
      <c r="T372" s="26">
        <v>0.37803763932029966</v>
      </c>
      <c r="U372" s="26">
        <v>0.38017751479289941</v>
      </c>
      <c r="V372" s="26">
        <v>0.31566713156671317</v>
      </c>
      <c r="W372" s="26">
        <v>0.33285969558009859</v>
      </c>
      <c r="X372" s="28">
        <v>0.92</v>
      </c>
      <c r="Y372" s="28">
        <v>0.32781590633831248</v>
      </c>
      <c r="Z372" s="28">
        <v>0.31421356421356422</v>
      </c>
      <c r="AA372" s="28">
        <v>0.38238205212801057</v>
      </c>
      <c r="AB372" s="28">
        <v>0.34498286833088593</v>
      </c>
      <c r="AC372" s="28">
        <v>0.92</v>
      </c>
      <c r="AD372" s="26">
        <v>1</v>
      </c>
      <c r="AE372" s="26">
        <v>0.99873497786211263</v>
      </c>
      <c r="AF372" s="26">
        <v>0.99708963911525028</v>
      </c>
      <c r="AG372" s="26">
        <v>0.9566216604424016</v>
      </c>
      <c r="AH372" s="28">
        <v>0.92</v>
      </c>
      <c r="AI372" s="26">
        <v>0.63820422535211263</v>
      </c>
      <c r="AJ372" s="26">
        <v>0.63789731051344745</v>
      </c>
      <c r="AK372" s="26">
        <v>0.71303614711771524</v>
      </c>
      <c r="AL372" s="26">
        <v>0.68106734434561622</v>
      </c>
      <c r="AM372" s="25">
        <v>0.99</v>
      </c>
      <c r="AN372" s="30">
        <v>1</v>
      </c>
      <c r="AO372" s="30">
        <v>1</v>
      </c>
      <c r="AP372" s="30">
        <v>1</v>
      </c>
      <c r="AQ372" s="30">
        <v>1</v>
      </c>
      <c r="AR372" s="50">
        <v>0.05</v>
      </c>
      <c r="AS372" s="34">
        <v>8.1632653061224483E-2</v>
      </c>
      <c r="AT372" s="34">
        <v>2.7777777777777776E-2</v>
      </c>
      <c r="AU372" s="34">
        <v>5.5555555555555552E-2</v>
      </c>
      <c r="AV372" s="34">
        <v>8.7837837837837843E-2</v>
      </c>
      <c r="AW372" s="10"/>
      <c r="AX372" s="8"/>
    </row>
    <row r="373" spans="1:50">
      <c r="A373" s="7"/>
      <c r="B373" s="10"/>
      <c r="C373" s="45" t="s">
        <v>396</v>
      </c>
      <c r="D373" s="23" t="s">
        <v>19</v>
      </c>
      <c r="E373" s="46" t="s">
        <v>419</v>
      </c>
      <c r="F373" s="46" t="s">
        <v>419</v>
      </c>
      <c r="G373" s="46" t="s">
        <v>419</v>
      </c>
      <c r="H373" s="46" t="s">
        <v>419</v>
      </c>
      <c r="I373" s="25">
        <v>0.9</v>
      </c>
      <c r="J373" s="26">
        <v>0.67647058823529416</v>
      </c>
      <c r="K373" s="26">
        <v>0.64864864864864868</v>
      </c>
      <c r="L373" s="27">
        <v>0.69230769230769229</v>
      </c>
      <c r="M373" s="26">
        <v>0.69424460431654678</v>
      </c>
      <c r="N373" s="28">
        <v>0.9</v>
      </c>
      <c r="O373" s="26">
        <v>0.66666666666666663</v>
      </c>
      <c r="P373" s="26">
        <v>0.58164128595600673</v>
      </c>
      <c r="Q373" s="26">
        <v>0.67243168453822211</v>
      </c>
      <c r="R373" s="26">
        <v>0.72085220600570377</v>
      </c>
      <c r="S373" s="28">
        <v>0.9</v>
      </c>
      <c r="T373" s="26">
        <v>0.83333333333333337</v>
      </c>
      <c r="U373" s="26">
        <v>0.54780033840947551</v>
      </c>
      <c r="V373" s="26">
        <v>0.54790729851262543</v>
      </c>
      <c r="W373" s="26">
        <v>0.53279651065257505</v>
      </c>
      <c r="X373" s="28">
        <v>0.92</v>
      </c>
      <c r="Y373" s="28">
        <v>0.70224887556221893</v>
      </c>
      <c r="Z373" s="28">
        <v>0.4585858585858586</v>
      </c>
      <c r="AA373" s="28">
        <v>0.35111876075731496</v>
      </c>
      <c r="AB373" s="28">
        <v>0.51951168614357257</v>
      </c>
      <c r="AC373" s="28">
        <v>0.92</v>
      </c>
      <c r="AD373" s="26">
        <v>1</v>
      </c>
      <c r="AE373" s="26">
        <v>0.98684210526315785</v>
      </c>
      <c r="AF373" s="26">
        <v>0.94117647058823528</v>
      </c>
      <c r="AG373" s="26">
        <v>0.95249406175771967</v>
      </c>
      <c r="AH373" s="28">
        <v>0.92</v>
      </c>
      <c r="AI373" s="26">
        <v>0.70206401435836074</v>
      </c>
      <c r="AJ373" s="26">
        <v>0.75618479880774958</v>
      </c>
      <c r="AK373" s="26">
        <v>0.74278668310727491</v>
      </c>
      <c r="AL373" s="26">
        <v>0.73918264856799742</v>
      </c>
      <c r="AM373" s="25">
        <v>0.99</v>
      </c>
      <c r="AN373" s="30">
        <v>1</v>
      </c>
      <c r="AO373" s="30">
        <v>1</v>
      </c>
      <c r="AP373" s="30">
        <v>1</v>
      </c>
      <c r="AQ373" s="30">
        <v>1</v>
      </c>
      <c r="AR373" s="50">
        <v>0.05</v>
      </c>
      <c r="AS373" s="34">
        <v>0</v>
      </c>
      <c r="AT373" s="34">
        <v>0.13333333333333333</v>
      </c>
      <c r="AU373" s="34">
        <v>0</v>
      </c>
      <c r="AV373" s="34">
        <v>3.896103896103896E-2</v>
      </c>
      <c r="AW373" s="10"/>
      <c r="AX373" s="8"/>
    </row>
    <row r="374" spans="1:50">
      <c r="A374" s="7"/>
      <c r="B374" s="10"/>
      <c r="C374" s="45" t="s">
        <v>396</v>
      </c>
      <c r="D374" s="23" t="s">
        <v>19</v>
      </c>
      <c r="E374" s="46" t="s">
        <v>420</v>
      </c>
      <c r="F374" s="46" t="s">
        <v>420</v>
      </c>
      <c r="G374" s="46" t="s">
        <v>420</v>
      </c>
      <c r="H374" s="46" t="s">
        <v>420</v>
      </c>
      <c r="I374" s="25">
        <v>0.9</v>
      </c>
      <c r="J374" s="26">
        <v>0.7857142857142857</v>
      </c>
      <c r="K374" s="26">
        <v>0.75</v>
      </c>
      <c r="L374" s="27">
        <v>0.88135593220338981</v>
      </c>
      <c r="M374" s="26">
        <v>0.83916083916083917</v>
      </c>
      <c r="N374" s="28">
        <v>0.9</v>
      </c>
      <c r="O374" s="26">
        <v>8.3333333333333329E-2</v>
      </c>
      <c r="P374" s="26">
        <v>0</v>
      </c>
      <c r="Q374" s="26">
        <v>0</v>
      </c>
      <c r="R374" s="26">
        <v>0.125</v>
      </c>
      <c r="S374" s="28">
        <v>0.9</v>
      </c>
      <c r="T374" s="26">
        <v>0</v>
      </c>
      <c r="U374" s="26">
        <v>0</v>
      </c>
      <c r="V374" s="26">
        <v>0</v>
      </c>
      <c r="W374" s="26">
        <v>0</v>
      </c>
      <c r="X374" s="28">
        <v>0.92</v>
      </c>
      <c r="Y374" s="28">
        <v>0.1111111111111111</v>
      </c>
      <c r="Z374" s="28">
        <v>0</v>
      </c>
      <c r="AA374" s="28">
        <v>0</v>
      </c>
      <c r="AB374" s="28">
        <v>0.25</v>
      </c>
      <c r="AC374" s="28">
        <v>0.92</v>
      </c>
      <c r="AD374" s="26">
        <v>0.99261992619926198</v>
      </c>
      <c r="AE374" s="26">
        <v>0.97445255474452552</v>
      </c>
      <c r="AF374" s="26">
        <v>0.99502487562189057</v>
      </c>
      <c r="AG374" s="26">
        <v>0.97609756097560973</v>
      </c>
      <c r="AH374" s="28">
        <v>0.92</v>
      </c>
      <c r="AI374" s="26">
        <v>0.93764019739793625</v>
      </c>
      <c r="AJ374" s="26">
        <v>0.95175533060521211</v>
      </c>
      <c r="AK374" s="26">
        <v>0.94703681827131325</v>
      </c>
      <c r="AL374" s="26">
        <v>0.94405498658195963</v>
      </c>
      <c r="AM374" s="25">
        <v>0.99</v>
      </c>
      <c r="AN374" s="30">
        <v>1</v>
      </c>
      <c r="AO374" s="30">
        <v>1</v>
      </c>
      <c r="AP374" s="30">
        <v>1</v>
      </c>
      <c r="AQ374" s="30">
        <v>1</v>
      </c>
      <c r="AR374" s="50">
        <v>0.05</v>
      </c>
      <c r="AS374" s="34">
        <v>0</v>
      </c>
      <c r="AT374" s="34">
        <v>0.30769230769230771</v>
      </c>
      <c r="AU374" s="34">
        <v>5.2631578947368418E-2</v>
      </c>
      <c r="AV374" s="34">
        <v>0.13725490196078433</v>
      </c>
      <c r="AW374" s="10"/>
      <c r="AX374" s="8"/>
    </row>
    <row r="375" spans="1:50">
      <c r="A375" s="7"/>
      <c r="B375" s="10"/>
      <c r="C375" s="45" t="s">
        <v>396</v>
      </c>
      <c r="D375" s="23" t="s">
        <v>19</v>
      </c>
      <c r="E375" s="46" t="s">
        <v>421</v>
      </c>
      <c r="F375" s="46" t="s">
        <v>421</v>
      </c>
      <c r="G375" s="46" t="s">
        <v>421</v>
      </c>
      <c r="H375" s="46" t="s">
        <v>421</v>
      </c>
      <c r="I375" s="25">
        <v>0.9</v>
      </c>
      <c r="J375" s="26">
        <v>0.61403508771929827</v>
      </c>
      <c r="K375" s="26">
        <v>0.60344827586206895</v>
      </c>
      <c r="L375" s="27">
        <v>0.65</v>
      </c>
      <c r="M375" s="26">
        <v>0.64920273348519364</v>
      </c>
      <c r="N375" s="28">
        <v>0.9</v>
      </c>
      <c r="O375" s="26">
        <v>0.5</v>
      </c>
      <c r="P375" s="26">
        <v>0</v>
      </c>
      <c r="Q375" s="26">
        <v>0</v>
      </c>
      <c r="R375" s="26">
        <v>0.42857142857142855</v>
      </c>
      <c r="S375" s="28">
        <v>0.9</v>
      </c>
      <c r="T375" s="26">
        <v>0</v>
      </c>
      <c r="U375" s="26">
        <v>0</v>
      </c>
      <c r="V375" s="26">
        <v>1</v>
      </c>
      <c r="W375" s="26">
        <v>0.2857142857142857</v>
      </c>
      <c r="X375" s="28">
        <v>0.92</v>
      </c>
      <c r="Y375" s="28">
        <v>0.16666666666666666</v>
      </c>
      <c r="Z375" s="28">
        <v>0.5</v>
      </c>
      <c r="AA375" s="28">
        <v>0</v>
      </c>
      <c r="AB375" s="28">
        <v>0.34482758620689657</v>
      </c>
      <c r="AC375" s="28">
        <v>0.92</v>
      </c>
      <c r="AD375" s="26">
        <v>0.98148148148148151</v>
      </c>
      <c r="AE375" s="26">
        <v>0.98479087452471481</v>
      </c>
      <c r="AF375" s="26">
        <v>0.98750000000000004</v>
      </c>
      <c r="AG375" s="26">
        <v>0.98</v>
      </c>
      <c r="AH375" s="28">
        <v>0.92</v>
      </c>
      <c r="AI375" s="26">
        <v>0.87753709704929217</v>
      </c>
      <c r="AJ375" s="26">
        <v>0.87080019477357573</v>
      </c>
      <c r="AK375" s="26">
        <v>0.90888173032673725</v>
      </c>
      <c r="AL375" s="26">
        <v>0.87590890096113661</v>
      </c>
      <c r="AM375" s="25">
        <v>0.99</v>
      </c>
      <c r="AN375" s="30">
        <v>1</v>
      </c>
      <c r="AO375" s="30">
        <v>1</v>
      </c>
      <c r="AP375" s="30">
        <v>1</v>
      </c>
      <c r="AQ375" s="30">
        <v>1</v>
      </c>
      <c r="AR375" s="50">
        <v>0.05</v>
      </c>
      <c r="AS375" s="34">
        <v>3.7037037037037035E-2</v>
      </c>
      <c r="AT375" s="34">
        <v>0.375</v>
      </c>
      <c r="AU375" s="34">
        <v>0.25</v>
      </c>
      <c r="AV375" s="34">
        <v>0.19354838709677419</v>
      </c>
      <c r="AW375" s="10"/>
      <c r="AX375" s="8"/>
    </row>
    <row r="376" spans="1:50">
      <c r="A376" s="7"/>
      <c r="B376" s="10"/>
      <c r="C376" s="45" t="s">
        <v>396</v>
      </c>
      <c r="D376" s="23" t="s">
        <v>19</v>
      </c>
      <c r="E376" s="46" t="s">
        <v>422</v>
      </c>
      <c r="F376" s="46" t="s">
        <v>422</v>
      </c>
      <c r="G376" s="46" t="s">
        <v>422</v>
      </c>
      <c r="H376" s="46" t="s">
        <v>422</v>
      </c>
      <c r="I376" s="25">
        <v>0.9</v>
      </c>
      <c r="J376" s="26">
        <v>0.98245614035087714</v>
      </c>
      <c r="K376" s="26">
        <v>1</v>
      </c>
      <c r="L376" s="27">
        <v>1</v>
      </c>
      <c r="M376" s="26">
        <v>0.98731501057082449</v>
      </c>
      <c r="N376" s="28">
        <v>0.9</v>
      </c>
      <c r="O376" s="26">
        <v>0.9795454545454545</v>
      </c>
      <c r="P376" s="26">
        <v>0.98134237945238667</v>
      </c>
      <c r="Q376" s="26">
        <v>0.97200424178154821</v>
      </c>
      <c r="R376" s="26">
        <v>0.97889797328420081</v>
      </c>
      <c r="S376" s="28">
        <v>0.9</v>
      </c>
      <c r="T376" s="26">
        <v>0.87828282828282833</v>
      </c>
      <c r="U376" s="26">
        <v>0.89629270656651316</v>
      </c>
      <c r="V376" s="26">
        <v>0.91134676564156947</v>
      </c>
      <c r="W376" s="26">
        <v>0.89918240442192543</v>
      </c>
      <c r="X376" s="28">
        <v>0.92</v>
      </c>
      <c r="Y376" s="28">
        <v>0.92145270270270274</v>
      </c>
      <c r="Z376" s="28">
        <v>0.92195344591510731</v>
      </c>
      <c r="AA376" s="28">
        <v>0.95162601626016263</v>
      </c>
      <c r="AB376" s="28">
        <v>0.93721435100548445</v>
      </c>
      <c r="AC376" s="28">
        <v>0.92</v>
      </c>
      <c r="AD376" s="26">
        <v>1</v>
      </c>
      <c r="AE376" s="26">
        <v>0.99408284023668636</v>
      </c>
      <c r="AF376" s="26">
        <v>0.99342105263157898</v>
      </c>
      <c r="AG376" s="26">
        <v>0.99570815450643779</v>
      </c>
      <c r="AH376" s="28">
        <v>0.92</v>
      </c>
      <c r="AI376" s="26">
        <v>0.9553204925797284</v>
      </c>
      <c r="AJ376" s="26">
        <v>0.96312707706915657</v>
      </c>
      <c r="AK376" s="26">
        <v>0.97422680412371132</v>
      </c>
      <c r="AL376" s="26">
        <v>0.96786848853676277</v>
      </c>
      <c r="AM376" s="25">
        <v>0.99</v>
      </c>
      <c r="AN376" s="30">
        <v>1</v>
      </c>
      <c r="AO376" s="30">
        <v>1</v>
      </c>
      <c r="AP376" s="30">
        <v>1</v>
      </c>
      <c r="AQ376" s="30">
        <v>1</v>
      </c>
      <c r="AR376" s="50">
        <v>0.05</v>
      </c>
      <c r="AS376" s="34">
        <v>7.1428571428571425E-2</v>
      </c>
      <c r="AT376" s="34">
        <v>4.5454545454545456E-2</v>
      </c>
      <c r="AU376" s="34">
        <v>0.125</v>
      </c>
      <c r="AV376" s="34">
        <v>8.0536912751677847E-2</v>
      </c>
      <c r="AW376" s="10"/>
      <c r="AX376" s="8"/>
    </row>
    <row r="377" spans="1:50">
      <c r="A377" s="7"/>
      <c r="B377" s="10"/>
      <c r="C377" s="45" t="s">
        <v>396</v>
      </c>
      <c r="D377" s="23" t="s">
        <v>19</v>
      </c>
      <c r="E377" s="46" t="s">
        <v>423</v>
      </c>
      <c r="F377" s="46" t="s">
        <v>423</v>
      </c>
      <c r="G377" s="46" t="s">
        <v>423</v>
      </c>
      <c r="H377" s="46" t="s">
        <v>423</v>
      </c>
      <c r="I377" s="25">
        <v>0.9</v>
      </c>
      <c r="J377" s="26">
        <v>0.89189189189189189</v>
      </c>
      <c r="K377" s="26">
        <v>0.85526315789473684</v>
      </c>
      <c r="L377" s="27">
        <v>0.92500000000000004</v>
      </c>
      <c r="M377" s="26">
        <v>0.88356164383561642</v>
      </c>
      <c r="N377" s="28">
        <v>0.9</v>
      </c>
      <c r="O377" s="26">
        <v>0.96318365609704193</v>
      </c>
      <c r="P377" s="26">
        <v>0.95539419087136934</v>
      </c>
      <c r="Q377" s="26">
        <v>0.96725014116318464</v>
      </c>
      <c r="R377" s="26">
        <v>0.93215494546822109</v>
      </c>
      <c r="S377" s="28">
        <v>0.9</v>
      </c>
      <c r="T377" s="26">
        <v>0.79527559055118113</v>
      </c>
      <c r="U377" s="26">
        <v>0.78195020746887967</v>
      </c>
      <c r="V377" s="26">
        <v>0.74778844344061735</v>
      </c>
      <c r="W377" s="26">
        <v>0.73443650495173629</v>
      </c>
      <c r="X377" s="28">
        <v>0.92</v>
      </c>
      <c r="Y377" s="28">
        <v>0.82733812949640284</v>
      </c>
      <c r="Z377" s="28">
        <v>0.87625594923320993</v>
      </c>
      <c r="AA377" s="28">
        <v>0.86993699369936994</v>
      </c>
      <c r="AB377" s="28">
        <v>0.81541231046181539</v>
      </c>
      <c r="AC377" s="28">
        <v>0.92</v>
      </c>
      <c r="AD377" s="26">
        <v>1</v>
      </c>
      <c r="AE377" s="26">
        <v>0.98692810457516345</v>
      </c>
      <c r="AF377" s="26">
        <v>0.90598290598290598</v>
      </c>
      <c r="AG377" s="26">
        <v>0.97598078462770221</v>
      </c>
      <c r="AH377" s="28">
        <v>0.92</v>
      </c>
      <c r="AI377" s="26">
        <v>0.91339066339066344</v>
      </c>
      <c r="AJ377" s="26">
        <v>0.93831942789034561</v>
      </c>
      <c r="AK377" s="26">
        <v>0.94134041141340408</v>
      </c>
      <c r="AL377" s="26">
        <v>0.91858967281292558</v>
      </c>
      <c r="AM377" s="25">
        <v>0.99</v>
      </c>
      <c r="AN377" s="30">
        <v>1</v>
      </c>
      <c r="AO377" s="30">
        <v>1</v>
      </c>
      <c r="AP377" s="30">
        <v>1</v>
      </c>
      <c r="AQ377" s="30">
        <v>1</v>
      </c>
      <c r="AR377" s="50">
        <v>0.05</v>
      </c>
      <c r="AS377" s="34">
        <v>0.1111111111111111</v>
      </c>
      <c r="AT377" s="34">
        <v>0.10714285714285714</v>
      </c>
      <c r="AU377" s="34">
        <v>0.38095238095238093</v>
      </c>
      <c r="AV377" s="34">
        <v>0.12626262626262627</v>
      </c>
      <c r="AW377" s="10"/>
      <c r="AX377" s="8"/>
    </row>
    <row r="378" spans="1:50">
      <c r="A378" s="7"/>
      <c r="B378" s="10"/>
      <c r="C378" s="45" t="s">
        <v>396</v>
      </c>
      <c r="D378" s="23" t="s">
        <v>19</v>
      </c>
      <c r="E378" s="46" t="s">
        <v>424</v>
      </c>
      <c r="F378" s="46" t="s">
        <v>424</v>
      </c>
      <c r="G378" s="46" t="s">
        <v>424</v>
      </c>
      <c r="H378" s="46" t="s">
        <v>424</v>
      </c>
      <c r="I378" s="25">
        <v>0.9</v>
      </c>
      <c r="J378" s="26">
        <v>0.9550561797752809</v>
      </c>
      <c r="K378" s="26">
        <v>0.95833333333333337</v>
      </c>
      <c r="L378" s="27">
        <v>0.96907216494845361</v>
      </c>
      <c r="M378" s="26">
        <v>0.9536516853932584</v>
      </c>
      <c r="N378" s="28">
        <v>0.9</v>
      </c>
      <c r="O378" s="26">
        <v>0.98800282286520824</v>
      </c>
      <c r="P378" s="26">
        <v>0.99106540795684428</v>
      </c>
      <c r="Q378" s="26">
        <v>0.98032692029509616</v>
      </c>
      <c r="R378" s="26">
        <v>0.9602353780313837</v>
      </c>
      <c r="S378" s="28">
        <v>0.9</v>
      </c>
      <c r="T378" s="26">
        <v>0.8009880028228652</v>
      </c>
      <c r="U378" s="26">
        <v>0.83108563722184758</v>
      </c>
      <c r="V378" s="26">
        <v>0.83842036742369452</v>
      </c>
      <c r="W378" s="26">
        <v>0.79024013314312891</v>
      </c>
      <c r="X378" s="28">
        <v>0.92</v>
      </c>
      <c r="Y378" s="28">
        <v>0.86268115942028989</v>
      </c>
      <c r="Z378" s="28">
        <v>0.86546112115732365</v>
      </c>
      <c r="AA378" s="28">
        <v>0.88473144236572121</v>
      </c>
      <c r="AB378" s="28">
        <v>0.86507534215013138</v>
      </c>
      <c r="AC378" s="28">
        <v>0.92</v>
      </c>
      <c r="AD378" s="26">
        <v>0.99124726477024072</v>
      </c>
      <c r="AE378" s="26">
        <v>0.9045643153526971</v>
      </c>
      <c r="AF378" s="26">
        <v>0.95440729483282671</v>
      </c>
      <c r="AG378" s="26">
        <v>0.95960087612557798</v>
      </c>
      <c r="AH378" s="28">
        <v>0.92</v>
      </c>
      <c r="AI378" s="26">
        <v>0.91862396204033214</v>
      </c>
      <c r="AJ378" s="26">
        <v>0.92895735141970337</v>
      </c>
      <c r="AK378" s="26">
        <v>0.9421196714900274</v>
      </c>
      <c r="AL378" s="26">
        <v>0.931959219858156</v>
      </c>
      <c r="AM378" s="25">
        <v>0.99</v>
      </c>
      <c r="AN378" s="30">
        <v>1</v>
      </c>
      <c r="AO378" s="30">
        <v>1</v>
      </c>
      <c r="AP378" s="30">
        <v>1</v>
      </c>
      <c r="AQ378" s="30">
        <v>1</v>
      </c>
      <c r="AR378" s="50">
        <v>0.05</v>
      </c>
      <c r="AS378" s="34">
        <v>0.13793103448275862</v>
      </c>
      <c r="AT378" s="34">
        <v>0.16666666666666666</v>
      </c>
      <c r="AU378" s="34">
        <v>8.5106382978723402E-2</v>
      </c>
      <c r="AV378" s="34">
        <v>0.12333333333333334</v>
      </c>
      <c r="AW378" s="10"/>
      <c r="AX378" s="8"/>
    </row>
    <row r="379" spans="1:50">
      <c r="A379" s="7"/>
      <c r="B379" s="10"/>
      <c r="C379" s="45" t="s">
        <v>396</v>
      </c>
      <c r="D379" s="23" t="s">
        <v>19</v>
      </c>
      <c r="E379" s="46" t="s">
        <v>425</v>
      </c>
      <c r="F379" s="46" t="s">
        <v>425</v>
      </c>
      <c r="G379" s="46" t="s">
        <v>425</v>
      </c>
      <c r="H379" s="46" t="s">
        <v>425</v>
      </c>
      <c r="I379" s="25">
        <v>0.9</v>
      </c>
      <c r="J379" s="26">
        <v>0.93548387096774188</v>
      </c>
      <c r="K379" s="26">
        <v>1</v>
      </c>
      <c r="L379" s="27">
        <v>0.88888888888888884</v>
      </c>
      <c r="M379" s="26">
        <v>0.91143911439114389</v>
      </c>
      <c r="N379" s="28">
        <v>0.9</v>
      </c>
      <c r="O379" s="26">
        <v>0</v>
      </c>
      <c r="P379" s="26">
        <v>0</v>
      </c>
      <c r="Q379" s="26">
        <v>0</v>
      </c>
      <c r="R379" s="26">
        <v>0</v>
      </c>
      <c r="S379" s="28">
        <v>0.9</v>
      </c>
      <c r="T379" s="26">
        <v>0</v>
      </c>
      <c r="U379" s="26">
        <v>0</v>
      </c>
      <c r="V379" s="26">
        <v>1</v>
      </c>
      <c r="W379" s="26">
        <v>0.4</v>
      </c>
      <c r="X379" s="28">
        <v>0.92</v>
      </c>
      <c r="Y379" s="28">
        <v>0</v>
      </c>
      <c r="Z379" s="28">
        <v>0.5</v>
      </c>
      <c r="AA379" s="28">
        <v>0</v>
      </c>
      <c r="AB379" s="28">
        <v>0.76190476190476186</v>
      </c>
      <c r="AC379" s="28">
        <v>0.92</v>
      </c>
      <c r="AD379" s="26">
        <v>0.99469496021220161</v>
      </c>
      <c r="AE379" s="26">
        <v>0.99152542372881358</v>
      </c>
      <c r="AF379" s="26">
        <v>0.99239543726235746</v>
      </c>
      <c r="AG379" s="26">
        <v>0.98667891593936607</v>
      </c>
      <c r="AH379" s="28">
        <v>0.92</v>
      </c>
      <c r="AI379" s="26">
        <v>0.87476535264145883</v>
      </c>
      <c r="AJ379" s="26">
        <v>0.93206381883685019</v>
      </c>
      <c r="AK379" s="26">
        <v>0.9335608646188851</v>
      </c>
      <c r="AL379" s="26">
        <v>0.92146240186855255</v>
      </c>
      <c r="AM379" s="25">
        <v>0.99</v>
      </c>
      <c r="AN379" s="30">
        <v>1</v>
      </c>
      <c r="AO379" s="30">
        <v>1</v>
      </c>
      <c r="AP379" s="30">
        <v>1</v>
      </c>
      <c r="AQ379" s="30">
        <v>1</v>
      </c>
      <c r="AR379" s="50">
        <v>0.05</v>
      </c>
      <c r="AS379" s="34">
        <v>0.18181818181818182</v>
      </c>
      <c r="AT379" s="34">
        <v>7.1428571428571425E-2</v>
      </c>
      <c r="AU379" s="34">
        <v>0.18181818181818182</v>
      </c>
      <c r="AV379" s="34">
        <v>0.14285714285714285</v>
      </c>
      <c r="AW379" s="10"/>
      <c r="AX379" s="8"/>
    </row>
    <row r="380" spans="1:50">
      <c r="A380" s="7"/>
      <c r="B380" s="10"/>
      <c r="C380" s="45" t="s">
        <v>396</v>
      </c>
      <c r="D380" s="23" t="s">
        <v>19</v>
      </c>
      <c r="E380" s="46" t="s">
        <v>426</v>
      </c>
      <c r="F380" s="46" t="s">
        <v>426</v>
      </c>
      <c r="G380" s="46" t="s">
        <v>426</v>
      </c>
      <c r="H380" s="46" t="s">
        <v>426</v>
      </c>
      <c r="I380" s="25">
        <v>0.9</v>
      </c>
      <c r="J380" s="26">
        <v>0.97826086956521741</v>
      </c>
      <c r="K380" s="26">
        <v>0.98</v>
      </c>
      <c r="L380" s="27">
        <v>0.96</v>
      </c>
      <c r="M380" s="26">
        <v>0.98429319371727753</v>
      </c>
      <c r="N380" s="28">
        <v>0.9</v>
      </c>
      <c r="O380" s="26">
        <v>0.91698909602532541</v>
      </c>
      <c r="P380" s="26">
        <v>0.93497832610870291</v>
      </c>
      <c r="Q380" s="26">
        <v>0.92706502636203869</v>
      </c>
      <c r="R380" s="26">
        <v>0.93299443621662725</v>
      </c>
      <c r="S380" s="28">
        <v>0.9</v>
      </c>
      <c r="T380" s="26">
        <v>0.84628913119943716</v>
      </c>
      <c r="U380" s="26">
        <v>0.87495831943981328</v>
      </c>
      <c r="V380" s="26">
        <v>0.85559461042765084</v>
      </c>
      <c r="W380" s="26">
        <v>0.8648681103150142</v>
      </c>
      <c r="X380" s="28">
        <v>0.92</v>
      </c>
      <c r="Y380" s="28">
        <v>0.88723150357995229</v>
      </c>
      <c r="Z380" s="28">
        <v>0.91229193341869397</v>
      </c>
      <c r="AA380" s="28">
        <v>0.90857467348097676</v>
      </c>
      <c r="AB380" s="28">
        <v>0.90698615720877518</v>
      </c>
      <c r="AC380" s="28">
        <v>0.92</v>
      </c>
      <c r="AD380" s="26">
        <v>1</v>
      </c>
      <c r="AE380" s="26">
        <v>0.99115044247787609</v>
      </c>
      <c r="AF380" s="26">
        <v>0.98979591836734693</v>
      </c>
      <c r="AG380" s="26">
        <v>0.98395721925133695</v>
      </c>
      <c r="AH380" s="28">
        <v>0.92</v>
      </c>
      <c r="AI380" s="26">
        <v>0.92147754921477554</v>
      </c>
      <c r="AJ380" s="26">
        <v>0.94606445954834462</v>
      </c>
      <c r="AK380" s="26">
        <v>0.94706336939721791</v>
      </c>
      <c r="AL380" s="26">
        <v>0.94649169791108734</v>
      </c>
      <c r="AM380" s="25">
        <v>0.99</v>
      </c>
      <c r="AN380" s="30">
        <v>1</v>
      </c>
      <c r="AO380" s="30">
        <v>1</v>
      </c>
      <c r="AP380" s="30">
        <v>1</v>
      </c>
      <c r="AQ380" s="30">
        <v>1</v>
      </c>
      <c r="AR380" s="50">
        <v>0.05</v>
      </c>
      <c r="AS380" s="34">
        <v>0.16666666666666666</v>
      </c>
      <c r="AT380" s="34">
        <v>0</v>
      </c>
      <c r="AU380" s="34">
        <v>0</v>
      </c>
      <c r="AV380" s="34">
        <v>7.6923076923076927E-2</v>
      </c>
      <c r="AW380" s="10"/>
      <c r="AX380" s="8"/>
    </row>
    <row r="381" spans="1:50">
      <c r="A381" s="7"/>
      <c r="B381" s="10"/>
      <c r="C381" s="45" t="s">
        <v>396</v>
      </c>
      <c r="D381" s="23" t="s">
        <v>19</v>
      </c>
      <c r="E381" s="46" t="s">
        <v>427</v>
      </c>
      <c r="F381" s="46" t="s">
        <v>427</v>
      </c>
      <c r="G381" s="46" t="s">
        <v>427</v>
      </c>
      <c r="H381" s="46" t="s">
        <v>427</v>
      </c>
      <c r="I381" s="25">
        <v>0.9</v>
      </c>
      <c r="J381" s="26">
        <v>0.77500000000000002</v>
      </c>
      <c r="K381" s="26">
        <v>0.86956521739130432</v>
      </c>
      <c r="L381" s="27">
        <v>0.88235294117647056</v>
      </c>
      <c r="M381" s="26">
        <v>0.77747252747252749</v>
      </c>
      <c r="N381" s="28">
        <v>0.9</v>
      </c>
      <c r="O381" s="26">
        <v>0</v>
      </c>
      <c r="P381" s="26">
        <v>0.33333333333333331</v>
      </c>
      <c r="Q381" s="26">
        <v>0</v>
      </c>
      <c r="R381" s="26">
        <v>0.125</v>
      </c>
      <c r="S381" s="28">
        <v>0.9</v>
      </c>
      <c r="T381" s="26">
        <v>0</v>
      </c>
      <c r="U381" s="26">
        <v>0</v>
      </c>
      <c r="V381" s="26">
        <v>0</v>
      </c>
      <c r="W381" s="26">
        <v>0</v>
      </c>
      <c r="X381" s="28">
        <v>0.92</v>
      </c>
      <c r="Y381" s="28">
        <v>0</v>
      </c>
      <c r="Z381" s="28">
        <v>0</v>
      </c>
      <c r="AA381" s="28">
        <v>0.33333333333333331</v>
      </c>
      <c r="AB381" s="28">
        <v>0.40740740740740738</v>
      </c>
      <c r="AC381" s="28">
        <v>0.92</v>
      </c>
      <c r="AD381" s="26">
        <v>0.93617021276595747</v>
      </c>
      <c r="AE381" s="26">
        <v>0.9</v>
      </c>
      <c r="AF381" s="26">
        <v>0.91836734693877553</v>
      </c>
      <c r="AG381" s="26">
        <v>0.86842105263157898</v>
      </c>
      <c r="AH381" s="28">
        <v>0.92</v>
      </c>
      <c r="AI381" s="26">
        <v>0.77419354838709675</v>
      </c>
      <c r="AJ381" s="26">
        <v>0.88675022381378688</v>
      </c>
      <c r="AK381" s="26">
        <v>0.90632506004803848</v>
      </c>
      <c r="AL381" s="26">
        <v>0.84104070978232959</v>
      </c>
      <c r="AM381" s="25">
        <v>0.99</v>
      </c>
      <c r="AN381" s="30">
        <v>1</v>
      </c>
      <c r="AO381" s="30">
        <v>1</v>
      </c>
      <c r="AP381" s="30">
        <v>1</v>
      </c>
      <c r="AQ381" s="30">
        <v>1</v>
      </c>
      <c r="AR381" s="50">
        <v>0.05</v>
      </c>
      <c r="AS381" s="34">
        <v>0.23529411764705882</v>
      </c>
      <c r="AT381" s="34">
        <v>0.16666666666666666</v>
      </c>
      <c r="AU381" s="34">
        <v>0.1</v>
      </c>
      <c r="AV381" s="34">
        <v>0.1404494382022472</v>
      </c>
      <c r="AW381" s="10"/>
      <c r="AX381" s="8"/>
    </row>
    <row r="382" spans="1:50">
      <c r="A382" s="7"/>
      <c r="B382" s="10"/>
      <c r="C382" s="45" t="s">
        <v>396</v>
      </c>
      <c r="D382" s="23" t="s">
        <v>19</v>
      </c>
      <c r="E382" s="46" t="s">
        <v>428</v>
      </c>
      <c r="F382" s="46" t="s">
        <v>428</v>
      </c>
      <c r="G382" s="46" t="s">
        <v>428</v>
      </c>
      <c r="H382" s="46" t="s">
        <v>428</v>
      </c>
      <c r="I382" s="25">
        <v>0.9</v>
      </c>
      <c r="J382" s="26">
        <v>0.54285714285714282</v>
      </c>
      <c r="K382" s="26">
        <v>0.58333333333333337</v>
      </c>
      <c r="L382" s="27">
        <v>0.59210526315789469</v>
      </c>
      <c r="M382" s="26">
        <v>0.60794473229706392</v>
      </c>
      <c r="N382" s="28">
        <v>0.9</v>
      </c>
      <c r="O382" s="26">
        <v>0.70128623536187373</v>
      </c>
      <c r="P382" s="26">
        <v>0.66896683917960509</v>
      </c>
      <c r="Q382" s="26">
        <v>0.62456855977408221</v>
      </c>
      <c r="R382" s="26">
        <v>0.68578688192836101</v>
      </c>
      <c r="S382" s="28">
        <v>0.9</v>
      </c>
      <c r="T382" s="26">
        <v>0.47974659243616818</v>
      </c>
      <c r="U382" s="26">
        <v>0.47460226183630438</v>
      </c>
      <c r="V382" s="26">
        <v>0.46485723250705996</v>
      </c>
      <c r="W382" s="26">
        <v>0.49805499966271671</v>
      </c>
      <c r="X382" s="28">
        <v>0.92</v>
      </c>
      <c r="Y382" s="28">
        <v>0.67618236046016189</v>
      </c>
      <c r="Z382" s="28">
        <v>0.60879541108986612</v>
      </c>
      <c r="AA382" s="28">
        <v>0.64529639175257736</v>
      </c>
      <c r="AB382" s="28">
        <v>0.68733179546328338</v>
      </c>
      <c r="AC382" s="28">
        <v>0.92</v>
      </c>
      <c r="AD382" s="26">
        <v>0.97470817120622566</v>
      </c>
      <c r="AE382" s="26">
        <v>0.99457364341085275</v>
      </c>
      <c r="AF382" s="26">
        <v>0.99331352154531949</v>
      </c>
      <c r="AG382" s="26">
        <v>0.99144477554551569</v>
      </c>
      <c r="AH382" s="28">
        <v>0.92</v>
      </c>
      <c r="AI382" s="26">
        <v>0.81388888888888888</v>
      </c>
      <c r="AJ382" s="26">
        <v>0.77521062037273425</v>
      </c>
      <c r="AK382" s="26">
        <v>0.8</v>
      </c>
      <c r="AL382" s="26">
        <v>0.82041191332976038</v>
      </c>
      <c r="AM382" s="25">
        <v>0.99</v>
      </c>
      <c r="AN382" s="30">
        <v>1</v>
      </c>
      <c r="AO382" s="30">
        <v>1</v>
      </c>
      <c r="AP382" s="30">
        <v>1</v>
      </c>
      <c r="AQ382" s="30">
        <v>1</v>
      </c>
      <c r="AR382" s="50">
        <v>0.05</v>
      </c>
      <c r="AS382" s="34">
        <v>3.2258064516129031E-2</v>
      </c>
      <c r="AT382" s="34">
        <v>0</v>
      </c>
      <c r="AU382" s="34">
        <v>4.4444444444444446E-2</v>
      </c>
      <c r="AV382" s="34">
        <v>5.0541516245487361E-2</v>
      </c>
      <c r="AW382" s="10"/>
      <c r="AX382" s="8"/>
    </row>
    <row r="383" spans="1:50">
      <c r="A383" s="7"/>
      <c r="B383" s="10"/>
      <c r="C383" s="45" t="s">
        <v>396</v>
      </c>
      <c r="D383" s="23" t="s">
        <v>19</v>
      </c>
      <c r="E383" s="46" t="s">
        <v>429</v>
      </c>
      <c r="F383" s="46" t="s">
        <v>429</v>
      </c>
      <c r="G383" s="46" t="s">
        <v>429</v>
      </c>
      <c r="H383" s="46" t="s">
        <v>429</v>
      </c>
      <c r="I383" s="25">
        <v>0.9</v>
      </c>
      <c r="J383" s="26">
        <v>0</v>
      </c>
      <c r="K383" s="26">
        <v>0</v>
      </c>
      <c r="L383" s="27">
        <v>0</v>
      </c>
      <c r="M383" s="26">
        <v>0</v>
      </c>
      <c r="N383" s="28">
        <v>0.9</v>
      </c>
      <c r="O383" s="26">
        <v>0.95</v>
      </c>
      <c r="P383" s="26">
        <v>1</v>
      </c>
      <c r="Q383" s="26">
        <v>1</v>
      </c>
      <c r="R383" s="26">
        <v>0.97647058823529409</v>
      </c>
      <c r="S383" s="28">
        <v>0.9</v>
      </c>
      <c r="T383" s="26">
        <v>1</v>
      </c>
      <c r="U383" s="26">
        <v>1</v>
      </c>
      <c r="V383" s="26">
        <v>0.75</v>
      </c>
      <c r="W383" s="26">
        <v>0.97647058823529409</v>
      </c>
      <c r="X383" s="28">
        <v>0.92</v>
      </c>
      <c r="Y383" s="28">
        <v>0</v>
      </c>
      <c r="Z383" s="28">
        <v>0</v>
      </c>
      <c r="AA383" s="28">
        <v>0</v>
      </c>
      <c r="AB383" s="28">
        <v>0</v>
      </c>
      <c r="AC383" s="28">
        <v>0.92</v>
      </c>
      <c r="AD383" s="26">
        <v>1</v>
      </c>
      <c r="AE383" s="26">
        <v>1</v>
      </c>
      <c r="AF383" s="26">
        <v>1</v>
      </c>
      <c r="AG383" s="26">
        <v>0.99954812471757792</v>
      </c>
      <c r="AH383" s="28">
        <v>0.92</v>
      </c>
      <c r="AI383" s="26">
        <v>1</v>
      </c>
      <c r="AJ383" s="26">
        <v>1</v>
      </c>
      <c r="AK383" s="26">
        <v>1</v>
      </c>
      <c r="AL383" s="26">
        <v>1</v>
      </c>
      <c r="AM383" s="25">
        <v>0.99</v>
      </c>
      <c r="AN383" s="30">
        <v>1</v>
      </c>
      <c r="AO383" s="30">
        <v>1</v>
      </c>
      <c r="AP383" s="30">
        <v>1</v>
      </c>
      <c r="AQ383" s="30">
        <v>1</v>
      </c>
      <c r="AR383" s="50">
        <v>0.05</v>
      </c>
      <c r="AS383" s="34">
        <v>0</v>
      </c>
      <c r="AT383" s="34">
        <v>0</v>
      </c>
      <c r="AU383" s="34">
        <v>0</v>
      </c>
      <c r="AV383" s="34">
        <v>0</v>
      </c>
      <c r="AW383" s="10"/>
      <c r="AX383" s="8"/>
    </row>
    <row r="384" spans="1:50">
      <c r="A384" s="7"/>
      <c r="B384" s="10"/>
      <c r="C384" s="45" t="s">
        <v>396</v>
      </c>
      <c r="D384" s="23" t="s">
        <v>19</v>
      </c>
      <c r="E384" s="46" t="s">
        <v>430</v>
      </c>
      <c r="F384" s="46" t="s">
        <v>430</v>
      </c>
      <c r="G384" s="46" t="s">
        <v>430</v>
      </c>
      <c r="H384" s="46" t="s">
        <v>430</v>
      </c>
      <c r="I384" s="25">
        <v>0.9</v>
      </c>
      <c r="J384" s="26">
        <v>0.91176470588235292</v>
      </c>
      <c r="K384" s="26">
        <v>0.97297297297297303</v>
      </c>
      <c r="L384" s="27">
        <v>0.94736842105263153</v>
      </c>
      <c r="M384" s="26">
        <v>0.9537366548042705</v>
      </c>
      <c r="N384" s="28">
        <v>0.9</v>
      </c>
      <c r="O384" s="26">
        <v>0.97941550190597204</v>
      </c>
      <c r="P384" s="26">
        <v>0.97415818324197334</v>
      </c>
      <c r="Q384" s="26">
        <v>0.97370068879148408</v>
      </c>
      <c r="R384" s="26">
        <v>0.97522129942923541</v>
      </c>
      <c r="S384" s="28">
        <v>0.9</v>
      </c>
      <c r="T384" s="26">
        <v>0.83379923761118169</v>
      </c>
      <c r="U384" s="26">
        <v>0.87052988775776563</v>
      </c>
      <c r="V384" s="26">
        <v>0.86954706741807553</v>
      </c>
      <c r="W384" s="26">
        <v>0.8595304009022865</v>
      </c>
      <c r="X384" s="28">
        <v>0.92</v>
      </c>
      <c r="Y384" s="28">
        <v>0</v>
      </c>
      <c r="Z384" s="28">
        <v>0</v>
      </c>
      <c r="AA384" s="28">
        <v>0</v>
      </c>
      <c r="AB384" s="28">
        <v>0</v>
      </c>
      <c r="AC384" s="28">
        <v>0.92</v>
      </c>
      <c r="AD384" s="26">
        <v>0.99463484945547731</v>
      </c>
      <c r="AE384" s="26">
        <v>0.99471627099015636</v>
      </c>
      <c r="AF384" s="26">
        <v>0.99460819554277502</v>
      </c>
      <c r="AG384" s="26">
        <v>0.93479359032752263</v>
      </c>
      <c r="AH384" s="28">
        <v>0.92</v>
      </c>
      <c r="AI384" s="26">
        <v>0.93326566861202742</v>
      </c>
      <c r="AJ384" s="26">
        <v>0.93689700130378095</v>
      </c>
      <c r="AK384" s="26">
        <v>0.9514279758182197</v>
      </c>
      <c r="AL384" s="26">
        <v>0.94960592309529501</v>
      </c>
      <c r="AM384" s="25">
        <v>0.99</v>
      </c>
      <c r="AN384" s="30">
        <v>1</v>
      </c>
      <c r="AO384" s="30">
        <v>1</v>
      </c>
      <c r="AP384" s="30">
        <v>1</v>
      </c>
      <c r="AQ384" s="30">
        <v>1</v>
      </c>
      <c r="AR384" s="50">
        <v>0.05</v>
      </c>
      <c r="AS384" s="34">
        <v>0</v>
      </c>
      <c r="AT384" s="34">
        <v>0</v>
      </c>
      <c r="AU384" s="34">
        <v>0</v>
      </c>
      <c r="AV384" s="34">
        <v>1.6E-2</v>
      </c>
      <c r="AW384" s="10"/>
      <c r="AX384" s="8"/>
    </row>
    <row r="385" spans="1:50">
      <c r="A385" s="7"/>
      <c r="B385" s="10"/>
      <c r="C385" s="45" t="s">
        <v>396</v>
      </c>
      <c r="D385" s="23" t="s">
        <v>19</v>
      </c>
      <c r="E385" s="46" t="s">
        <v>431</v>
      </c>
      <c r="F385" s="46" t="s">
        <v>431</v>
      </c>
      <c r="G385" s="46" t="s">
        <v>431</v>
      </c>
      <c r="H385" s="46" t="s">
        <v>431</v>
      </c>
      <c r="I385" s="25">
        <v>0.9</v>
      </c>
      <c r="J385" s="26">
        <v>0.96551724137931039</v>
      </c>
      <c r="K385" s="26">
        <v>0.9375</v>
      </c>
      <c r="L385" s="27">
        <v>0.96875</v>
      </c>
      <c r="M385" s="26">
        <v>0.91213389121338917</v>
      </c>
      <c r="N385" s="28">
        <v>0.9</v>
      </c>
      <c r="O385" s="26">
        <v>0</v>
      </c>
      <c r="P385" s="26">
        <v>0</v>
      </c>
      <c r="Q385" s="26">
        <v>0</v>
      </c>
      <c r="R385" s="26">
        <v>0</v>
      </c>
      <c r="S385" s="28">
        <v>0.9</v>
      </c>
      <c r="T385" s="26">
        <v>0</v>
      </c>
      <c r="U385" s="26">
        <v>0</v>
      </c>
      <c r="V385" s="26">
        <v>0</v>
      </c>
      <c r="W385" s="26">
        <v>0</v>
      </c>
      <c r="X385" s="28">
        <v>0.92</v>
      </c>
      <c r="Y385" s="28">
        <v>0</v>
      </c>
      <c r="Z385" s="28">
        <v>0</v>
      </c>
      <c r="AA385" s="28">
        <v>0</v>
      </c>
      <c r="AB385" s="28">
        <v>0</v>
      </c>
      <c r="AC385" s="28">
        <v>0.92</v>
      </c>
      <c r="AD385" s="26">
        <v>0.99641577060931896</v>
      </c>
      <c r="AE385" s="26">
        <v>0.99709618874773143</v>
      </c>
      <c r="AF385" s="26">
        <v>0.99499642601858473</v>
      </c>
      <c r="AG385" s="26">
        <v>0.99503267973856213</v>
      </c>
      <c r="AH385" s="28">
        <v>0.92</v>
      </c>
      <c r="AI385" s="26">
        <v>0.94607694637988493</v>
      </c>
      <c r="AJ385" s="26">
        <v>0.97679180887372019</v>
      </c>
      <c r="AK385" s="26">
        <v>0.97254184100418406</v>
      </c>
      <c r="AL385" s="26">
        <v>0.96667302192564342</v>
      </c>
      <c r="AM385" s="25">
        <v>0.99</v>
      </c>
      <c r="AN385" s="30">
        <v>1</v>
      </c>
      <c r="AO385" s="30">
        <v>1</v>
      </c>
      <c r="AP385" s="30">
        <v>1</v>
      </c>
      <c r="AQ385" s="30">
        <v>1</v>
      </c>
      <c r="AR385" s="50">
        <v>0.05</v>
      </c>
      <c r="AS385" s="34">
        <v>0</v>
      </c>
      <c r="AT385" s="34">
        <v>0</v>
      </c>
      <c r="AU385" s="34">
        <v>0</v>
      </c>
      <c r="AV385" s="34">
        <v>5.0632911392405063E-2</v>
      </c>
      <c r="AW385" s="10"/>
      <c r="AX385" s="8"/>
    </row>
    <row r="386" spans="1:50">
      <c r="A386" s="7"/>
      <c r="B386" s="10"/>
      <c r="C386" s="45" t="s">
        <v>396</v>
      </c>
      <c r="D386" s="23" t="s">
        <v>19</v>
      </c>
      <c r="E386" s="46" t="s">
        <v>432</v>
      </c>
      <c r="F386" s="46" t="s">
        <v>432</v>
      </c>
      <c r="G386" s="46" t="s">
        <v>432</v>
      </c>
      <c r="H386" s="46" t="s">
        <v>432</v>
      </c>
      <c r="I386" s="25">
        <v>0.9</v>
      </c>
      <c r="J386" s="26">
        <v>0.88</v>
      </c>
      <c r="K386" s="26">
        <v>0.88461538461538458</v>
      </c>
      <c r="L386" s="27">
        <v>0.8666666666666667</v>
      </c>
      <c r="M386" s="26">
        <v>0.89719626168224298</v>
      </c>
      <c r="N386" s="28">
        <v>0.9</v>
      </c>
      <c r="O386" s="26">
        <v>0</v>
      </c>
      <c r="P386" s="26">
        <v>0</v>
      </c>
      <c r="Q386" s="26">
        <v>0</v>
      </c>
      <c r="R386" s="26">
        <v>0.25</v>
      </c>
      <c r="S386" s="28">
        <v>0.9</v>
      </c>
      <c r="T386" s="26">
        <v>0</v>
      </c>
      <c r="U386" s="26">
        <v>0</v>
      </c>
      <c r="V386" s="26">
        <v>0</v>
      </c>
      <c r="W386" s="26">
        <v>0.5</v>
      </c>
      <c r="X386" s="28">
        <v>0.92</v>
      </c>
      <c r="Y386" s="28">
        <v>0</v>
      </c>
      <c r="Z386" s="28">
        <v>0</v>
      </c>
      <c r="AA386" s="28">
        <v>0</v>
      </c>
      <c r="AB386" s="28">
        <v>0</v>
      </c>
      <c r="AC386" s="28">
        <v>0.92</v>
      </c>
      <c r="AD386" s="26">
        <v>0.98863636363636365</v>
      </c>
      <c r="AE386" s="26">
        <v>0.98245614035087714</v>
      </c>
      <c r="AF386" s="26">
        <v>0.98611111111111116</v>
      </c>
      <c r="AG386" s="26">
        <v>0.98540145985401462</v>
      </c>
      <c r="AH386" s="28">
        <v>0.92</v>
      </c>
      <c r="AI386" s="26">
        <v>0.82940915148822747</v>
      </c>
      <c r="AJ386" s="26">
        <v>0.87392900856793143</v>
      </c>
      <c r="AK386" s="26">
        <v>0.95219384413883434</v>
      </c>
      <c r="AL386" s="26">
        <v>0.89475030699959068</v>
      </c>
      <c r="AM386" s="25">
        <v>0.99</v>
      </c>
      <c r="AN386" s="30">
        <v>1</v>
      </c>
      <c r="AO386" s="30">
        <v>1</v>
      </c>
      <c r="AP386" s="30">
        <v>1</v>
      </c>
      <c r="AQ386" s="30">
        <v>1</v>
      </c>
      <c r="AR386" s="50">
        <v>0.05</v>
      </c>
      <c r="AS386" s="34">
        <v>0.33333333333333331</v>
      </c>
      <c r="AT386" s="34">
        <v>0</v>
      </c>
      <c r="AU386" s="34">
        <v>0.5</v>
      </c>
      <c r="AV386" s="34">
        <v>0.12121212121212122</v>
      </c>
      <c r="AW386" s="10"/>
      <c r="AX386" s="8"/>
    </row>
    <row r="387" spans="1:50">
      <c r="A387" s="7"/>
      <c r="B387" s="10"/>
      <c r="C387" s="45" t="s">
        <v>396</v>
      </c>
      <c r="D387" s="23" t="s">
        <v>19</v>
      </c>
      <c r="E387" s="46" t="s">
        <v>433</v>
      </c>
      <c r="F387" s="46" t="s">
        <v>433</v>
      </c>
      <c r="G387" s="46" t="s">
        <v>433</v>
      </c>
      <c r="H387" s="46" t="s">
        <v>433</v>
      </c>
      <c r="I387" s="25">
        <v>0.9</v>
      </c>
      <c r="J387" s="26">
        <v>0.9285714285714286</v>
      </c>
      <c r="K387" s="26">
        <v>0.90243902439024393</v>
      </c>
      <c r="L387" s="27">
        <v>0.97560975609756095</v>
      </c>
      <c r="M387" s="26">
        <v>0.93610223642172519</v>
      </c>
      <c r="N387" s="28">
        <v>0.9</v>
      </c>
      <c r="O387" s="26">
        <v>0</v>
      </c>
      <c r="P387" s="26">
        <v>0</v>
      </c>
      <c r="Q387" s="26">
        <v>0</v>
      </c>
      <c r="R387" s="26">
        <v>0.1875</v>
      </c>
      <c r="S387" s="28">
        <v>0.9</v>
      </c>
      <c r="T387" s="26">
        <v>0</v>
      </c>
      <c r="U387" s="26">
        <v>0</v>
      </c>
      <c r="V387" s="26">
        <v>0.2</v>
      </c>
      <c r="W387" s="26">
        <v>0.1875</v>
      </c>
      <c r="X387" s="28">
        <v>0.92</v>
      </c>
      <c r="Y387" s="28">
        <v>0</v>
      </c>
      <c r="Z387" s="28">
        <v>0</v>
      </c>
      <c r="AA387" s="28">
        <v>0</v>
      </c>
      <c r="AB387" s="28">
        <v>0</v>
      </c>
      <c r="AC387" s="28">
        <v>0.92</v>
      </c>
      <c r="AD387" s="26">
        <v>0.97608558842039017</v>
      </c>
      <c r="AE387" s="26">
        <v>0.99246987951807231</v>
      </c>
      <c r="AF387" s="26">
        <v>0.9926108374384236</v>
      </c>
      <c r="AG387" s="26">
        <v>0.99099247996033391</v>
      </c>
      <c r="AH387" s="28">
        <v>0.92</v>
      </c>
      <c r="AI387" s="26">
        <v>0.95132164354880921</v>
      </c>
      <c r="AJ387" s="26">
        <v>0.90805223068552776</v>
      </c>
      <c r="AK387" s="26">
        <v>0.9289204797867614</v>
      </c>
      <c r="AL387" s="26">
        <v>0.9285320535685333</v>
      </c>
      <c r="AM387" s="25">
        <v>0.99</v>
      </c>
      <c r="AN387" s="30">
        <v>1</v>
      </c>
      <c r="AO387" s="30">
        <v>1</v>
      </c>
      <c r="AP387" s="30">
        <v>1</v>
      </c>
      <c r="AQ387" s="30">
        <v>1</v>
      </c>
      <c r="AR387" s="50">
        <v>0.05</v>
      </c>
      <c r="AS387" s="34">
        <v>0.22222222222222221</v>
      </c>
      <c r="AT387" s="34">
        <v>0</v>
      </c>
      <c r="AU387" s="34">
        <v>0</v>
      </c>
      <c r="AV387" s="34">
        <v>5.9701492537313432E-2</v>
      </c>
      <c r="AW387" s="10"/>
      <c r="AX387" s="8"/>
    </row>
    <row r="388" spans="1:50">
      <c r="A388" s="7"/>
      <c r="B388" s="10"/>
      <c r="C388" s="45" t="s">
        <v>396</v>
      </c>
      <c r="D388" s="23" t="s">
        <v>19</v>
      </c>
      <c r="E388" s="46" t="s">
        <v>434</v>
      </c>
      <c r="F388" s="46" t="s">
        <v>434</v>
      </c>
      <c r="G388" s="46" t="s">
        <v>434</v>
      </c>
      <c r="H388" s="46" t="s">
        <v>434</v>
      </c>
      <c r="I388" s="25">
        <v>0.9</v>
      </c>
      <c r="J388" s="26">
        <v>0.95</v>
      </c>
      <c r="K388" s="26">
        <v>0.96721311475409832</v>
      </c>
      <c r="L388" s="27">
        <v>0.953125</v>
      </c>
      <c r="M388" s="26">
        <v>0.97468354430379744</v>
      </c>
      <c r="N388" s="28">
        <v>0.9</v>
      </c>
      <c r="O388" s="26">
        <v>0</v>
      </c>
      <c r="P388" s="26">
        <v>0</v>
      </c>
      <c r="Q388" s="26">
        <v>0.2</v>
      </c>
      <c r="R388" s="26">
        <v>0.13333333333333333</v>
      </c>
      <c r="S388" s="28">
        <v>0.9</v>
      </c>
      <c r="T388" s="26">
        <v>0</v>
      </c>
      <c r="U388" s="26">
        <v>0</v>
      </c>
      <c r="V388" s="26">
        <v>0</v>
      </c>
      <c r="W388" s="26">
        <v>0</v>
      </c>
      <c r="X388" s="28">
        <v>0.92</v>
      </c>
      <c r="Y388" s="28">
        <v>0</v>
      </c>
      <c r="Z388" s="28">
        <v>0</v>
      </c>
      <c r="AA388" s="28">
        <v>0.5</v>
      </c>
      <c r="AB388" s="28">
        <v>0.5714285714285714</v>
      </c>
      <c r="AC388" s="28">
        <v>0.92</v>
      </c>
      <c r="AD388" s="26">
        <v>0.98885555079297038</v>
      </c>
      <c r="AE388" s="26">
        <v>0.98722195929957401</v>
      </c>
      <c r="AF388" s="26">
        <v>0.9971377459749553</v>
      </c>
      <c r="AG388" s="26">
        <v>0.99410258754685932</v>
      </c>
      <c r="AH388" s="28">
        <v>0.92</v>
      </c>
      <c r="AI388" s="26">
        <v>0.9516483516483516</v>
      </c>
      <c r="AJ388" s="26">
        <v>0.9457315800459194</v>
      </c>
      <c r="AK388" s="26">
        <v>0.96168518825675897</v>
      </c>
      <c r="AL388" s="26">
        <v>0.952611912598055</v>
      </c>
      <c r="AM388" s="25">
        <v>0.99</v>
      </c>
      <c r="AN388" s="30">
        <v>1</v>
      </c>
      <c r="AO388" s="30">
        <v>1</v>
      </c>
      <c r="AP388" s="30">
        <v>1</v>
      </c>
      <c r="AQ388" s="30">
        <v>1</v>
      </c>
      <c r="AR388" s="50">
        <v>0.05</v>
      </c>
      <c r="AS388" s="34">
        <v>4.5454545454545456E-2</v>
      </c>
      <c r="AT388" s="34">
        <v>0</v>
      </c>
      <c r="AU388" s="34">
        <v>0.13636363636363635</v>
      </c>
      <c r="AV388" s="34">
        <v>5.5555555555555552E-2</v>
      </c>
      <c r="AW388" s="10"/>
      <c r="AX388" s="8"/>
    </row>
    <row r="389" spans="1:50">
      <c r="A389" s="7"/>
      <c r="B389" s="10"/>
      <c r="C389" s="45" t="s">
        <v>396</v>
      </c>
      <c r="D389" s="23" t="s">
        <v>19</v>
      </c>
      <c r="E389" s="46" t="s">
        <v>435</v>
      </c>
      <c r="F389" s="46" t="s">
        <v>435</v>
      </c>
      <c r="G389" s="46" t="s">
        <v>435</v>
      </c>
      <c r="H389" s="46" t="s">
        <v>435</v>
      </c>
      <c r="I389" s="25">
        <v>0.9</v>
      </c>
      <c r="J389" s="26">
        <v>0.91489361702127658</v>
      </c>
      <c r="K389" s="26">
        <v>0.97872340425531912</v>
      </c>
      <c r="L389" s="27">
        <v>0.95833333333333337</v>
      </c>
      <c r="M389" s="26">
        <v>0.92643051771117169</v>
      </c>
      <c r="N389" s="28">
        <v>0.9</v>
      </c>
      <c r="O389" s="26">
        <v>1</v>
      </c>
      <c r="P389" s="26">
        <v>0</v>
      </c>
      <c r="Q389" s="26">
        <v>0</v>
      </c>
      <c r="R389" s="26">
        <v>0.6</v>
      </c>
      <c r="S389" s="28">
        <v>0.9</v>
      </c>
      <c r="T389" s="26">
        <v>0</v>
      </c>
      <c r="U389" s="26">
        <v>0</v>
      </c>
      <c r="V389" s="26">
        <v>0</v>
      </c>
      <c r="W389" s="26">
        <v>0</v>
      </c>
      <c r="X389" s="28">
        <v>0.92</v>
      </c>
      <c r="Y389" s="28">
        <v>0</v>
      </c>
      <c r="Z389" s="28">
        <v>0</v>
      </c>
      <c r="AA389" s="28">
        <v>1</v>
      </c>
      <c r="AB389" s="28">
        <v>1</v>
      </c>
      <c r="AC389" s="28">
        <v>0.92</v>
      </c>
      <c r="AD389" s="26">
        <v>0.93406593406593408</v>
      </c>
      <c r="AE389" s="26">
        <v>0.967741935483871</v>
      </c>
      <c r="AF389" s="26">
        <v>0.98039215686274506</v>
      </c>
      <c r="AG389" s="26">
        <v>0.98018018018018016</v>
      </c>
      <c r="AH389" s="28">
        <v>0.92</v>
      </c>
      <c r="AI389" s="26">
        <v>0.94898228918847471</v>
      </c>
      <c r="AJ389" s="26">
        <v>0.86585365853658536</v>
      </c>
      <c r="AK389" s="26">
        <v>0.96179437647563859</v>
      </c>
      <c r="AL389" s="26">
        <v>0.92733720180528689</v>
      </c>
      <c r="AM389" s="25">
        <v>0.99</v>
      </c>
      <c r="AN389" s="30">
        <v>1</v>
      </c>
      <c r="AO389" s="30">
        <v>1</v>
      </c>
      <c r="AP389" s="30">
        <v>1</v>
      </c>
      <c r="AQ389" s="30">
        <v>1</v>
      </c>
      <c r="AR389" s="50">
        <v>0.05</v>
      </c>
      <c r="AS389" s="34">
        <v>0</v>
      </c>
      <c r="AT389" s="34">
        <v>0.125</v>
      </c>
      <c r="AU389" s="34">
        <v>5.8823529411764705E-2</v>
      </c>
      <c r="AV389" s="34">
        <v>4.5801526717557252E-2</v>
      </c>
      <c r="AW389" s="10"/>
      <c r="AX389" s="8"/>
    </row>
    <row r="390" spans="1:50">
      <c r="A390" s="7"/>
      <c r="B390" s="10"/>
      <c r="C390" s="45" t="s">
        <v>396</v>
      </c>
      <c r="D390" s="23" t="s">
        <v>19</v>
      </c>
      <c r="E390" s="46" t="s">
        <v>436</v>
      </c>
      <c r="F390" s="46" t="s">
        <v>436</v>
      </c>
      <c r="G390" s="46" t="s">
        <v>436</v>
      </c>
      <c r="H390" s="46" t="s">
        <v>436</v>
      </c>
      <c r="I390" s="25">
        <v>0.9</v>
      </c>
      <c r="J390" s="26">
        <v>0.87179487179487181</v>
      </c>
      <c r="K390" s="26">
        <v>1</v>
      </c>
      <c r="L390" s="27">
        <v>0.91111111111111109</v>
      </c>
      <c r="M390" s="26">
        <v>0.95495495495495497</v>
      </c>
      <c r="N390" s="28">
        <v>0.9</v>
      </c>
      <c r="O390" s="26">
        <v>0</v>
      </c>
      <c r="P390" s="26">
        <v>0</v>
      </c>
      <c r="Q390" s="26">
        <v>0</v>
      </c>
      <c r="R390" s="26">
        <v>0.16666666666666666</v>
      </c>
      <c r="S390" s="28">
        <v>0.9</v>
      </c>
      <c r="T390" s="26">
        <v>0</v>
      </c>
      <c r="U390" s="26">
        <v>0</v>
      </c>
      <c r="V390" s="26">
        <v>0</v>
      </c>
      <c r="W390" s="26">
        <v>0.33333333333333331</v>
      </c>
      <c r="X390" s="28">
        <v>0.92</v>
      </c>
      <c r="Y390" s="28">
        <v>0</v>
      </c>
      <c r="Z390" s="28">
        <v>0</v>
      </c>
      <c r="AA390" s="28">
        <v>0</v>
      </c>
      <c r="AB390" s="28">
        <v>1</v>
      </c>
      <c r="AC390" s="28">
        <v>0.92</v>
      </c>
      <c r="AD390" s="26">
        <v>0.99642588412340105</v>
      </c>
      <c r="AE390" s="26">
        <v>0.99678571428571427</v>
      </c>
      <c r="AF390" s="26">
        <v>0.99856404365307294</v>
      </c>
      <c r="AG390" s="26">
        <v>0.99801476398820421</v>
      </c>
      <c r="AH390" s="28">
        <v>0.92</v>
      </c>
      <c r="AI390" s="26">
        <v>0.93784589186888034</v>
      </c>
      <c r="AJ390" s="26">
        <v>0.93696651346027582</v>
      </c>
      <c r="AK390" s="26">
        <v>0.94305157593123212</v>
      </c>
      <c r="AL390" s="26">
        <v>0.94511382417230905</v>
      </c>
      <c r="AM390" s="25">
        <v>0.99</v>
      </c>
      <c r="AN390" s="30">
        <v>1</v>
      </c>
      <c r="AO390" s="30">
        <v>1</v>
      </c>
      <c r="AP390" s="30">
        <v>1</v>
      </c>
      <c r="AQ390" s="30">
        <v>1</v>
      </c>
      <c r="AR390" s="50">
        <v>0.05</v>
      </c>
      <c r="AS390" s="34">
        <v>0</v>
      </c>
      <c r="AT390" s="34">
        <v>0</v>
      </c>
      <c r="AU390" s="34">
        <v>0</v>
      </c>
      <c r="AV390" s="34">
        <v>4.2735042735042736E-2</v>
      </c>
      <c r="AW390" s="10"/>
      <c r="AX390" s="8"/>
    </row>
    <row r="391" spans="1:50">
      <c r="A391" s="7"/>
      <c r="B391" s="10"/>
      <c r="C391" s="45" t="s">
        <v>396</v>
      </c>
      <c r="D391" s="23" t="s">
        <v>19</v>
      </c>
      <c r="E391" s="46" t="s">
        <v>437</v>
      </c>
      <c r="F391" s="46" t="s">
        <v>437</v>
      </c>
      <c r="G391" s="46" t="s">
        <v>437</v>
      </c>
      <c r="H391" s="46" t="s">
        <v>437</v>
      </c>
      <c r="I391" s="25">
        <v>0.9</v>
      </c>
      <c r="J391" s="26">
        <v>0.95238095238095233</v>
      </c>
      <c r="K391" s="26">
        <v>1</v>
      </c>
      <c r="L391" s="27">
        <v>0.95744680851063835</v>
      </c>
      <c r="M391" s="26">
        <v>0.94721407624633436</v>
      </c>
      <c r="N391" s="28">
        <v>0.9</v>
      </c>
      <c r="O391" s="26">
        <v>0.96716485507246375</v>
      </c>
      <c r="P391" s="26">
        <v>0.96918701114008055</v>
      </c>
      <c r="Q391" s="26">
        <v>0.96467913970973951</v>
      </c>
      <c r="R391" s="26">
        <v>0.95440444001707703</v>
      </c>
      <c r="S391" s="28">
        <v>0.9</v>
      </c>
      <c r="T391" s="26">
        <v>0.89153079710144922</v>
      </c>
      <c r="U391" s="26">
        <v>0.90803507940270212</v>
      </c>
      <c r="V391" s="26">
        <v>0.90330477356181149</v>
      </c>
      <c r="W391" s="26">
        <v>0.88154262131777428</v>
      </c>
      <c r="X391" s="28">
        <v>0.92</v>
      </c>
      <c r="Y391" s="28">
        <v>0</v>
      </c>
      <c r="Z391" s="28">
        <v>1</v>
      </c>
      <c r="AA391" s="28">
        <v>1</v>
      </c>
      <c r="AB391" s="28">
        <v>0.83333333333333337</v>
      </c>
      <c r="AC391" s="28">
        <v>0.92</v>
      </c>
      <c r="AD391" s="26">
        <v>0.97878712253556277</v>
      </c>
      <c r="AE391" s="26">
        <v>0.99468273661822049</v>
      </c>
      <c r="AF391" s="26">
        <v>0.99312271652697182</v>
      </c>
      <c r="AG391" s="26">
        <v>0.97430632955945329</v>
      </c>
      <c r="AH391" s="28">
        <v>0.92</v>
      </c>
      <c r="AI391" s="26">
        <v>0.95132442834503061</v>
      </c>
      <c r="AJ391" s="26">
        <v>0.96422648661454635</v>
      </c>
      <c r="AK391" s="26">
        <v>0.97920670976760438</v>
      </c>
      <c r="AL391" s="26">
        <v>0.96540343689541364</v>
      </c>
      <c r="AM391" s="25">
        <v>0.99</v>
      </c>
      <c r="AN391" s="30">
        <v>1</v>
      </c>
      <c r="AO391" s="30">
        <v>1</v>
      </c>
      <c r="AP391" s="30">
        <v>1</v>
      </c>
      <c r="AQ391" s="30">
        <v>1</v>
      </c>
      <c r="AR391" s="50">
        <v>0.05</v>
      </c>
      <c r="AS391" s="34">
        <v>6.6666666666666666E-2</v>
      </c>
      <c r="AT391" s="34">
        <v>7.1428571428571425E-2</v>
      </c>
      <c r="AU391" s="34">
        <v>0.1</v>
      </c>
      <c r="AV391" s="34">
        <v>3.7499999999999999E-2</v>
      </c>
      <c r="AW391" s="10"/>
      <c r="AX391" s="8"/>
    </row>
    <row r="392" spans="1:50">
      <c r="A392" s="7"/>
      <c r="B392" s="10"/>
      <c r="C392" s="45" t="s">
        <v>396</v>
      </c>
      <c r="D392" s="23" t="s">
        <v>19</v>
      </c>
      <c r="E392" s="46" t="s">
        <v>438</v>
      </c>
      <c r="F392" s="46" t="s">
        <v>438</v>
      </c>
      <c r="G392" s="46" t="s">
        <v>438</v>
      </c>
      <c r="H392" s="46" t="s">
        <v>438</v>
      </c>
      <c r="I392" s="25">
        <v>0.9</v>
      </c>
      <c r="J392" s="26">
        <v>1</v>
      </c>
      <c r="K392" s="26">
        <v>0.97727272727272729</v>
      </c>
      <c r="L392" s="27">
        <v>0.9555555555555556</v>
      </c>
      <c r="M392" s="26">
        <v>0.94817073170731703</v>
      </c>
      <c r="N392" s="28">
        <v>0.9</v>
      </c>
      <c r="O392" s="26">
        <v>0</v>
      </c>
      <c r="P392" s="26">
        <v>0</v>
      </c>
      <c r="Q392" s="26">
        <v>0</v>
      </c>
      <c r="R392" s="26">
        <v>0</v>
      </c>
      <c r="S392" s="28">
        <v>0.9</v>
      </c>
      <c r="T392" s="26">
        <v>0</v>
      </c>
      <c r="U392" s="26">
        <v>0</v>
      </c>
      <c r="V392" s="26">
        <v>0</v>
      </c>
      <c r="W392" s="26">
        <v>0</v>
      </c>
      <c r="X392" s="28">
        <v>0.92</v>
      </c>
      <c r="Y392" s="28">
        <v>0</v>
      </c>
      <c r="Z392" s="28">
        <v>0</v>
      </c>
      <c r="AA392" s="28">
        <v>0</v>
      </c>
      <c r="AB392" s="28">
        <v>0</v>
      </c>
      <c r="AC392" s="28">
        <v>0.92</v>
      </c>
      <c r="AD392" s="26">
        <v>0.97674418604651159</v>
      </c>
      <c r="AE392" s="26">
        <v>0.97560975609756095</v>
      </c>
      <c r="AF392" s="26">
        <v>1</v>
      </c>
      <c r="AG392" s="26">
        <v>0.95798319327731096</v>
      </c>
      <c r="AH392" s="28">
        <v>0.92</v>
      </c>
      <c r="AI392" s="26">
        <v>0.90484186957738599</v>
      </c>
      <c r="AJ392" s="26">
        <v>0.93259767372502234</v>
      </c>
      <c r="AK392" s="26">
        <v>0.94629585231359381</v>
      </c>
      <c r="AL392" s="26">
        <v>0.92459555799287085</v>
      </c>
      <c r="AM392" s="25">
        <v>0.99</v>
      </c>
      <c r="AN392" s="30">
        <v>1</v>
      </c>
      <c r="AO392" s="30">
        <v>1</v>
      </c>
      <c r="AP392" s="30">
        <v>1</v>
      </c>
      <c r="AQ392" s="30">
        <v>1</v>
      </c>
      <c r="AR392" s="50">
        <v>0.05</v>
      </c>
      <c r="AS392" s="34">
        <v>0.23076923076923078</v>
      </c>
      <c r="AT392" s="34">
        <v>0</v>
      </c>
      <c r="AU392" s="34">
        <v>-8.3333333333333329E-2</v>
      </c>
      <c r="AV392" s="34">
        <v>7.5949367088607597E-2</v>
      </c>
      <c r="AW392" s="10"/>
      <c r="AX392" s="8"/>
    </row>
    <row r="393" spans="1:50">
      <c r="A393" s="7"/>
      <c r="B393" s="10"/>
      <c r="C393" s="45" t="s">
        <v>396</v>
      </c>
      <c r="D393" s="23" t="s">
        <v>19</v>
      </c>
      <c r="E393" s="46" t="s">
        <v>439</v>
      </c>
      <c r="F393" s="46" t="s">
        <v>439</v>
      </c>
      <c r="G393" s="46" t="s">
        <v>439</v>
      </c>
      <c r="H393" s="46" t="s">
        <v>439</v>
      </c>
      <c r="I393" s="25">
        <v>0.9</v>
      </c>
      <c r="J393" s="26">
        <v>0.95744680851063835</v>
      </c>
      <c r="K393" s="26">
        <v>0.95238095238095233</v>
      </c>
      <c r="L393" s="27">
        <v>0.93617021276595747</v>
      </c>
      <c r="M393" s="26">
        <v>0.95664739884393069</v>
      </c>
      <c r="N393" s="28">
        <v>0.9</v>
      </c>
      <c r="O393" s="26">
        <v>0</v>
      </c>
      <c r="P393" s="26">
        <v>0</v>
      </c>
      <c r="Q393" s="26">
        <v>0.25</v>
      </c>
      <c r="R393" s="26">
        <v>0.17142857142857143</v>
      </c>
      <c r="S393" s="28">
        <v>0.9</v>
      </c>
      <c r="T393" s="26">
        <v>0</v>
      </c>
      <c r="U393" s="26">
        <v>0</v>
      </c>
      <c r="V393" s="26">
        <v>0.25</v>
      </c>
      <c r="W393" s="26">
        <v>0.2</v>
      </c>
      <c r="X393" s="28">
        <v>0.92</v>
      </c>
      <c r="Y393" s="28">
        <v>1</v>
      </c>
      <c r="Z393" s="28">
        <v>0</v>
      </c>
      <c r="AA393" s="28">
        <v>0</v>
      </c>
      <c r="AB393" s="28">
        <v>1</v>
      </c>
      <c r="AC393" s="28">
        <v>0.92</v>
      </c>
      <c r="AD393" s="26">
        <v>0.99423012411942302</v>
      </c>
      <c r="AE393" s="26">
        <v>0.99677328843995505</v>
      </c>
      <c r="AF393" s="26">
        <v>0.99804104020764972</v>
      </c>
      <c r="AG393" s="26">
        <v>0.95271342638251177</v>
      </c>
      <c r="AH393" s="28">
        <v>0.92</v>
      </c>
      <c r="AI393" s="26">
        <v>0.96231024254056885</v>
      </c>
      <c r="AJ393" s="26">
        <v>0.95704334365325072</v>
      </c>
      <c r="AK393" s="26">
        <v>0.96792515870364182</v>
      </c>
      <c r="AL393" s="26">
        <v>0.96914788177590283</v>
      </c>
      <c r="AM393" s="25">
        <v>0.99</v>
      </c>
      <c r="AN393" s="30">
        <v>1</v>
      </c>
      <c r="AO393" s="30">
        <v>1</v>
      </c>
      <c r="AP393" s="30">
        <v>1</v>
      </c>
      <c r="AQ393" s="30">
        <v>1</v>
      </c>
      <c r="AR393" s="50">
        <v>0.05</v>
      </c>
      <c r="AS393" s="34">
        <v>0.1111111111111111</v>
      </c>
      <c r="AT393" s="34">
        <v>0</v>
      </c>
      <c r="AU393" s="34">
        <v>0</v>
      </c>
      <c r="AV393" s="34">
        <v>4.195804195804196E-2</v>
      </c>
      <c r="AW393" s="10"/>
      <c r="AX393" s="8"/>
    </row>
    <row r="394" spans="1:50">
      <c r="A394" s="7"/>
      <c r="B394" s="10"/>
      <c r="C394" s="45" t="s">
        <v>396</v>
      </c>
      <c r="D394" s="23" t="s">
        <v>19</v>
      </c>
      <c r="E394" s="46" t="s">
        <v>440</v>
      </c>
      <c r="F394" s="46" t="s">
        <v>440</v>
      </c>
      <c r="G394" s="46" t="s">
        <v>440</v>
      </c>
      <c r="H394" s="46" t="s">
        <v>440</v>
      </c>
      <c r="I394" s="25">
        <v>0.9</v>
      </c>
      <c r="J394" s="26">
        <v>0.94444444444444442</v>
      </c>
      <c r="K394" s="26">
        <v>0.97499999999999998</v>
      </c>
      <c r="L394" s="27">
        <v>0.97777777777777775</v>
      </c>
      <c r="M394" s="26">
        <v>0.97029702970297027</v>
      </c>
      <c r="N394" s="28">
        <v>0.9</v>
      </c>
      <c r="O394" s="26">
        <v>0.98107084910762576</v>
      </c>
      <c r="P394" s="26">
        <v>0.9169685149066592</v>
      </c>
      <c r="Q394" s="26">
        <v>0.96363249680986818</v>
      </c>
      <c r="R394" s="26">
        <v>0.95339844661488715</v>
      </c>
      <c r="S394" s="28">
        <v>0.9</v>
      </c>
      <c r="T394" s="26">
        <v>0.91346673877771767</v>
      </c>
      <c r="U394" s="26">
        <v>0.90833101142379491</v>
      </c>
      <c r="V394" s="26">
        <v>0.93726074011059124</v>
      </c>
      <c r="W394" s="26">
        <v>0.89709656988566289</v>
      </c>
      <c r="X394" s="28">
        <v>0.92</v>
      </c>
      <c r="Y394" s="28">
        <v>0</v>
      </c>
      <c r="Z394" s="28">
        <v>1</v>
      </c>
      <c r="AA394" s="28">
        <v>0</v>
      </c>
      <c r="AB394" s="28">
        <v>0.4</v>
      </c>
      <c r="AC394" s="28">
        <v>0.92</v>
      </c>
      <c r="AD394" s="26">
        <v>0.99581764951902974</v>
      </c>
      <c r="AE394" s="26">
        <v>0.99837151232222343</v>
      </c>
      <c r="AF394" s="26">
        <v>0.99956476323119781</v>
      </c>
      <c r="AG394" s="26">
        <v>0.98500652700938651</v>
      </c>
      <c r="AH394" s="28">
        <v>0.92</v>
      </c>
      <c r="AI394" s="26">
        <v>0.95136449608213991</v>
      </c>
      <c r="AJ394" s="26">
        <v>0.94246803779877708</v>
      </c>
      <c r="AK394" s="26">
        <v>0.96515827490970896</v>
      </c>
      <c r="AL394" s="26">
        <v>0.94558774558774561</v>
      </c>
      <c r="AM394" s="25">
        <v>0.99</v>
      </c>
      <c r="AN394" s="30">
        <v>1</v>
      </c>
      <c r="AO394" s="30">
        <v>1</v>
      </c>
      <c r="AP394" s="30">
        <v>1</v>
      </c>
      <c r="AQ394" s="30">
        <v>1</v>
      </c>
      <c r="AR394" s="50">
        <v>0.05</v>
      </c>
      <c r="AS394" s="34">
        <v>2.3255813953488372E-2</v>
      </c>
      <c r="AT394" s="34">
        <v>6.25E-2</v>
      </c>
      <c r="AU394" s="34">
        <v>0</v>
      </c>
      <c r="AV394" s="34">
        <v>2.6022304832713755E-2</v>
      </c>
      <c r="AW394" s="10"/>
      <c r="AX394" s="8"/>
    </row>
    <row r="395" spans="1:50">
      <c r="A395" s="7"/>
      <c r="B395" s="10"/>
      <c r="C395" s="45" t="s">
        <v>396</v>
      </c>
      <c r="D395" s="23" t="s">
        <v>19</v>
      </c>
      <c r="E395" s="46" t="s">
        <v>441</v>
      </c>
      <c r="F395" s="46" t="s">
        <v>441</v>
      </c>
      <c r="G395" s="46" t="s">
        <v>441</v>
      </c>
      <c r="H395" s="46" t="s">
        <v>441</v>
      </c>
      <c r="I395" s="25">
        <v>0.9</v>
      </c>
      <c r="J395" s="26">
        <v>0.967741935483871</v>
      </c>
      <c r="K395" s="26">
        <v>0.967741935483871</v>
      </c>
      <c r="L395" s="27">
        <v>0.96969696969696972</v>
      </c>
      <c r="M395" s="26">
        <v>0.95884773662551437</v>
      </c>
      <c r="N395" s="28">
        <v>0.9</v>
      </c>
      <c r="O395" s="26">
        <v>0.33333333333333331</v>
      </c>
      <c r="P395" s="26">
        <v>0</v>
      </c>
      <c r="Q395" s="26">
        <v>0</v>
      </c>
      <c r="R395" s="26">
        <v>0.5714285714285714</v>
      </c>
      <c r="S395" s="28">
        <v>0.9</v>
      </c>
      <c r="T395" s="26">
        <v>0.33333333333333331</v>
      </c>
      <c r="U395" s="26">
        <v>0</v>
      </c>
      <c r="V395" s="26">
        <v>0</v>
      </c>
      <c r="W395" s="26">
        <v>0.5714285714285714</v>
      </c>
      <c r="X395" s="28">
        <v>0.92</v>
      </c>
      <c r="Y395" s="28">
        <v>0</v>
      </c>
      <c r="Z395" s="28">
        <v>0</v>
      </c>
      <c r="AA395" s="28">
        <v>0</v>
      </c>
      <c r="AB395" s="28">
        <v>0</v>
      </c>
      <c r="AC395" s="28">
        <v>0.92</v>
      </c>
      <c r="AD395" s="26">
        <v>0.99802977232924694</v>
      </c>
      <c r="AE395" s="26">
        <v>0.99851153559910688</v>
      </c>
      <c r="AF395" s="26">
        <v>0.99832775919732442</v>
      </c>
      <c r="AG395" s="26">
        <v>0.99066098204704311</v>
      </c>
      <c r="AH395" s="28">
        <v>0.92</v>
      </c>
      <c r="AI395" s="26">
        <v>0.95479876160990718</v>
      </c>
      <c r="AJ395" s="26">
        <v>0.96250852079072935</v>
      </c>
      <c r="AK395" s="26">
        <v>0.9718389186144748</v>
      </c>
      <c r="AL395" s="26">
        <v>0.96480426009901399</v>
      </c>
      <c r="AM395" s="25">
        <v>0.99</v>
      </c>
      <c r="AN395" s="30">
        <v>1</v>
      </c>
      <c r="AO395" s="30">
        <v>1</v>
      </c>
      <c r="AP395" s="30">
        <v>1</v>
      </c>
      <c r="AQ395" s="30">
        <v>1</v>
      </c>
      <c r="AR395" s="50">
        <v>0.05</v>
      </c>
      <c r="AS395" s="34">
        <v>0</v>
      </c>
      <c r="AT395" s="34">
        <v>0</v>
      </c>
      <c r="AU395" s="34">
        <v>0</v>
      </c>
      <c r="AV395" s="34">
        <v>5.0359712230215826E-2</v>
      </c>
      <c r="AW395" s="10"/>
      <c r="AX395" s="8"/>
    </row>
    <row r="396" spans="1:50">
      <c r="A396" s="7"/>
      <c r="B396" s="10"/>
      <c r="C396" s="45" t="s">
        <v>396</v>
      </c>
      <c r="D396" s="23" t="s">
        <v>19</v>
      </c>
      <c r="E396" s="46" t="s">
        <v>442</v>
      </c>
      <c r="F396" s="46" t="s">
        <v>442</v>
      </c>
      <c r="G396" s="46" t="s">
        <v>442</v>
      </c>
      <c r="H396" s="46" t="s">
        <v>442</v>
      </c>
      <c r="I396" s="25">
        <v>0.9</v>
      </c>
      <c r="J396" s="26">
        <v>0.97674418604651159</v>
      </c>
      <c r="K396" s="26">
        <v>1</v>
      </c>
      <c r="L396" s="27">
        <v>1</v>
      </c>
      <c r="M396" s="26">
        <v>0.98055555555555551</v>
      </c>
      <c r="N396" s="28">
        <v>0.9</v>
      </c>
      <c r="O396" s="26">
        <v>0</v>
      </c>
      <c r="P396" s="26">
        <v>1</v>
      </c>
      <c r="Q396" s="26">
        <v>0.5</v>
      </c>
      <c r="R396" s="26">
        <v>0.375</v>
      </c>
      <c r="S396" s="28">
        <v>0.9</v>
      </c>
      <c r="T396" s="26">
        <v>0</v>
      </c>
      <c r="U396" s="26">
        <v>1</v>
      </c>
      <c r="V396" s="26">
        <v>0.5</v>
      </c>
      <c r="W396" s="26">
        <v>0.3125</v>
      </c>
      <c r="X396" s="28">
        <v>0.92</v>
      </c>
      <c r="Y396" s="28">
        <v>0</v>
      </c>
      <c r="Z396" s="28">
        <v>0</v>
      </c>
      <c r="AA396" s="28">
        <v>0</v>
      </c>
      <c r="AB396" s="28">
        <v>0</v>
      </c>
      <c r="AC396" s="28">
        <v>0.92</v>
      </c>
      <c r="AD396" s="26">
        <v>0.9943820224719101</v>
      </c>
      <c r="AE396" s="26">
        <v>0.99241706161137444</v>
      </c>
      <c r="AF396" s="26">
        <v>0.99455535390199634</v>
      </c>
      <c r="AG396" s="26">
        <v>0.99333483958427471</v>
      </c>
      <c r="AH396" s="28">
        <v>0.92</v>
      </c>
      <c r="AI396" s="26">
        <v>0.94015309672929714</v>
      </c>
      <c r="AJ396" s="26">
        <v>0.94437897713881691</v>
      </c>
      <c r="AK396" s="26">
        <v>0.93721286370597245</v>
      </c>
      <c r="AL396" s="26">
        <v>0.94853066560563859</v>
      </c>
      <c r="AM396" s="25">
        <v>0.99</v>
      </c>
      <c r="AN396" s="30">
        <v>1</v>
      </c>
      <c r="AO396" s="30">
        <v>1</v>
      </c>
      <c r="AP396" s="30">
        <v>1</v>
      </c>
      <c r="AQ396" s="30">
        <v>1</v>
      </c>
      <c r="AR396" s="50">
        <v>0.05</v>
      </c>
      <c r="AS396" s="34">
        <v>5.5555555555555552E-2</v>
      </c>
      <c r="AT396" s="34">
        <v>0</v>
      </c>
      <c r="AU396" s="34">
        <v>0.13333333333333333</v>
      </c>
      <c r="AV396" s="34">
        <v>5.5900621118012424E-2</v>
      </c>
      <c r="AW396" s="10"/>
      <c r="AX396" s="8"/>
    </row>
    <row r="397" spans="1:50">
      <c r="A397" s="7"/>
      <c r="B397" s="10"/>
      <c r="C397" s="45" t="s">
        <v>396</v>
      </c>
      <c r="D397" s="23" t="s">
        <v>19</v>
      </c>
      <c r="E397" s="46" t="s">
        <v>443</v>
      </c>
      <c r="F397" s="46" t="s">
        <v>443</v>
      </c>
      <c r="G397" s="46" t="s">
        <v>443</v>
      </c>
      <c r="H397" s="46" t="s">
        <v>443</v>
      </c>
      <c r="I397" s="25">
        <v>0.9</v>
      </c>
      <c r="J397" s="26">
        <v>0.84</v>
      </c>
      <c r="K397" s="26">
        <v>0.91666666666666663</v>
      </c>
      <c r="L397" s="27">
        <v>0.95652173913043481</v>
      </c>
      <c r="M397" s="26">
        <v>0.89473684210526316</v>
      </c>
      <c r="N397" s="28">
        <v>0.9</v>
      </c>
      <c r="O397" s="26">
        <v>0.99300087489063871</v>
      </c>
      <c r="P397" s="26">
        <v>0.99313009875483038</v>
      </c>
      <c r="Q397" s="26">
        <v>0.99256625727213965</v>
      </c>
      <c r="R397" s="26">
        <v>0.9909139784946237</v>
      </c>
      <c r="S397" s="28">
        <v>0.9</v>
      </c>
      <c r="T397" s="26">
        <v>0.92300962379702534</v>
      </c>
      <c r="U397" s="26">
        <v>0.92357234864748816</v>
      </c>
      <c r="V397" s="26">
        <v>0.88138332255979313</v>
      </c>
      <c r="W397" s="26">
        <v>0.90327956989247316</v>
      </c>
      <c r="X397" s="28">
        <v>0.92</v>
      </c>
      <c r="Y397" s="28">
        <v>0</v>
      </c>
      <c r="Z397" s="28">
        <v>0</v>
      </c>
      <c r="AA397" s="28">
        <v>0</v>
      </c>
      <c r="AB397" s="28">
        <v>0</v>
      </c>
      <c r="AC397" s="28">
        <v>0.92</v>
      </c>
      <c r="AD397" s="26">
        <v>0.99895941727367321</v>
      </c>
      <c r="AE397" s="26">
        <v>0.99869281045751634</v>
      </c>
      <c r="AF397" s="26">
        <v>0.99926542605288937</v>
      </c>
      <c r="AG397" s="26">
        <v>0.98399747328525555</v>
      </c>
      <c r="AH397" s="28">
        <v>0.92</v>
      </c>
      <c r="AI397" s="26">
        <v>0.97554585152838424</v>
      </c>
      <c r="AJ397" s="26">
        <v>0.98072805139186292</v>
      </c>
      <c r="AK397" s="26">
        <v>0.98805295447206976</v>
      </c>
      <c r="AL397" s="26">
        <v>0.9825428371918139</v>
      </c>
      <c r="AM397" s="25">
        <v>0.99</v>
      </c>
      <c r="AN397" s="30">
        <v>1</v>
      </c>
      <c r="AO397" s="30">
        <v>1</v>
      </c>
      <c r="AP397" s="30">
        <v>1</v>
      </c>
      <c r="AQ397" s="30">
        <v>1</v>
      </c>
      <c r="AR397" s="50">
        <v>0.05</v>
      </c>
      <c r="AS397" s="34">
        <v>7.6923076923076927E-2</v>
      </c>
      <c r="AT397" s="34">
        <v>0.14285714285714285</v>
      </c>
      <c r="AU397" s="34">
        <v>0</v>
      </c>
      <c r="AV397" s="34">
        <v>6.9444444444444448E-2</v>
      </c>
      <c r="AW397" s="10"/>
      <c r="AX397" s="8"/>
    </row>
    <row r="398" spans="1:50">
      <c r="A398" s="7"/>
      <c r="B398" s="10"/>
      <c r="C398" s="45" t="s">
        <v>396</v>
      </c>
      <c r="D398" s="23" t="s">
        <v>19</v>
      </c>
      <c r="E398" s="46" t="s">
        <v>444</v>
      </c>
      <c r="F398" s="46" t="s">
        <v>444</v>
      </c>
      <c r="G398" s="46" t="s">
        <v>444</v>
      </c>
      <c r="H398" s="46" t="s">
        <v>444</v>
      </c>
      <c r="I398" s="25">
        <v>0.9</v>
      </c>
      <c r="J398" s="26">
        <v>0.96969696969696972</v>
      </c>
      <c r="K398" s="26">
        <v>1</v>
      </c>
      <c r="L398" s="27">
        <v>0.94871794871794868</v>
      </c>
      <c r="M398" s="26">
        <v>0.95714285714285718</v>
      </c>
      <c r="N398" s="28">
        <v>0.9</v>
      </c>
      <c r="O398" s="26">
        <v>0</v>
      </c>
      <c r="P398" s="26">
        <v>0</v>
      </c>
      <c r="Q398" s="26">
        <v>0</v>
      </c>
      <c r="R398" s="26">
        <v>0</v>
      </c>
      <c r="S398" s="28">
        <v>0.9</v>
      </c>
      <c r="T398" s="26">
        <v>0</v>
      </c>
      <c r="U398" s="26">
        <v>0.33333333333333331</v>
      </c>
      <c r="V398" s="26">
        <v>0</v>
      </c>
      <c r="W398" s="26">
        <v>0.33333333333333331</v>
      </c>
      <c r="X398" s="28">
        <v>0.92</v>
      </c>
      <c r="Y398" s="28">
        <v>0</v>
      </c>
      <c r="Z398" s="28">
        <v>0</v>
      </c>
      <c r="AA398" s="28">
        <v>0</v>
      </c>
      <c r="AB398" s="28">
        <v>0</v>
      </c>
      <c r="AC398" s="28">
        <v>0.92</v>
      </c>
      <c r="AD398" s="26">
        <v>0.98731734215605182</v>
      </c>
      <c r="AE398" s="26">
        <v>0.99641577060931896</v>
      </c>
      <c r="AF398" s="26">
        <v>0.99216950713956698</v>
      </c>
      <c r="AG398" s="26">
        <v>0.97337114174896511</v>
      </c>
      <c r="AH398" s="28">
        <v>0.92</v>
      </c>
      <c r="AI398" s="26">
        <v>0.94200260078023412</v>
      </c>
      <c r="AJ398" s="26">
        <v>0.96758241758241759</v>
      </c>
      <c r="AK398" s="26">
        <v>0.95879000438404205</v>
      </c>
      <c r="AL398" s="26">
        <v>0.95407824933687002</v>
      </c>
      <c r="AM398" s="25">
        <v>0.99</v>
      </c>
      <c r="AN398" s="30">
        <v>1</v>
      </c>
      <c r="AO398" s="30">
        <v>1</v>
      </c>
      <c r="AP398" s="30">
        <v>1</v>
      </c>
      <c r="AQ398" s="30">
        <v>1</v>
      </c>
      <c r="AR398" s="50">
        <v>0.05</v>
      </c>
      <c r="AS398" s="34">
        <v>9.0909090909090912E-2</v>
      </c>
      <c r="AT398" s="34">
        <v>0</v>
      </c>
      <c r="AU398" s="34">
        <v>0</v>
      </c>
      <c r="AV398" s="34">
        <v>7.0921985815602842E-2</v>
      </c>
      <c r="AW398" s="10"/>
      <c r="AX398" s="8"/>
    </row>
    <row r="399" spans="1:50">
      <c r="A399" s="7"/>
      <c r="B399" s="10"/>
      <c r="C399" s="45" t="s">
        <v>396</v>
      </c>
      <c r="D399" s="23" t="s">
        <v>19</v>
      </c>
      <c r="E399" s="46" t="s">
        <v>445</v>
      </c>
      <c r="F399" s="46" t="s">
        <v>445</v>
      </c>
      <c r="G399" s="46" t="s">
        <v>445</v>
      </c>
      <c r="H399" s="46" t="s">
        <v>445</v>
      </c>
      <c r="I399" s="25">
        <v>0.9</v>
      </c>
      <c r="J399" s="26">
        <v>0.91666666666666663</v>
      </c>
      <c r="K399" s="26">
        <v>0.86363636363636365</v>
      </c>
      <c r="L399" s="27">
        <v>0.90476190476190477</v>
      </c>
      <c r="M399" s="26">
        <v>0.8540540540540541</v>
      </c>
      <c r="N399" s="28">
        <v>0.9</v>
      </c>
      <c r="O399" s="26">
        <v>0</v>
      </c>
      <c r="P399" s="26">
        <v>0</v>
      </c>
      <c r="Q399" s="26">
        <v>0</v>
      </c>
      <c r="R399" s="26">
        <v>0</v>
      </c>
      <c r="S399" s="28">
        <v>0.9</v>
      </c>
      <c r="T399" s="26">
        <v>0</v>
      </c>
      <c r="U399" s="26">
        <v>0</v>
      </c>
      <c r="V399" s="26">
        <v>0</v>
      </c>
      <c r="W399" s="26">
        <v>0</v>
      </c>
      <c r="X399" s="28">
        <v>0.92</v>
      </c>
      <c r="Y399" s="28">
        <v>0</v>
      </c>
      <c r="Z399" s="28">
        <v>0</v>
      </c>
      <c r="AA399" s="28">
        <v>0</v>
      </c>
      <c r="AB399" s="28">
        <v>0</v>
      </c>
      <c r="AC399" s="28">
        <v>0.92</v>
      </c>
      <c r="AD399" s="26">
        <v>1</v>
      </c>
      <c r="AE399" s="26">
        <v>1</v>
      </c>
      <c r="AF399" s="26">
        <v>1</v>
      </c>
      <c r="AG399" s="26">
        <v>0.93913043478260871</v>
      </c>
      <c r="AH399" s="28">
        <v>0.92</v>
      </c>
      <c r="AI399" s="26">
        <v>0.94807121661721072</v>
      </c>
      <c r="AJ399" s="26">
        <v>0.93800667620410105</v>
      </c>
      <c r="AK399" s="26">
        <v>0.94294408520349948</v>
      </c>
      <c r="AL399" s="26">
        <v>0.94564497682537774</v>
      </c>
      <c r="AM399" s="25">
        <v>0.99</v>
      </c>
      <c r="AN399" s="30">
        <v>1</v>
      </c>
      <c r="AO399" s="30">
        <v>1</v>
      </c>
      <c r="AP399" s="30">
        <v>1</v>
      </c>
      <c r="AQ399" s="30">
        <v>1</v>
      </c>
      <c r="AR399" s="50">
        <v>0.05</v>
      </c>
      <c r="AS399" s="34">
        <v>0</v>
      </c>
      <c r="AT399" s="34">
        <v>0</v>
      </c>
      <c r="AU399" s="34">
        <v>0</v>
      </c>
      <c r="AV399" s="34">
        <v>4.6511627906976744E-2</v>
      </c>
      <c r="AW399" s="10"/>
      <c r="AX399" s="8"/>
    </row>
    <row r="400" spans="1:50">
      <c r="A400" s="7"/>
      <c r="B400" s="10"/>
      <c r="C400" s="45" t="s">
        <v>396</v>
      </c>
      <c r="D400" s="23" t="s">
        <v>19</v>
      </c>
      <c r="E400" s="46" t="s">
        <v>446</v>
      </c>
      <c r="F400" s="46" t="s">
        <v>446</v>
      </c>
      <c r="G400" s="46" t="s">
        <v>446</v>
      </c>
      <c r="H400" s="46" t="s">
        <v>446</v>
      </c>
      <c r="I400" s="25">
        <v>0.9</v>
      </c>
      <c r="J400" s="26">
        <v>0.7931034482758621</v>
      </c>
      <c r="K400" s="26">
        <v>0.96296296296296291</v>
      </c>
      <c r="L400" s="27">
        <v>0.967741935483871</v>
      </c>
      <c r="M400" s="26">
        <v>0.8973214285714286</v>
      </c>
      <c r="N400" s="28">
        <v>0.9</v>
      </c>
      <c r="O400" s="26">
        <v>0</v>
      </c>
      <c r="P400" s="26">
        <v>0</v>
      </c>
      <c r="Q400" s="26">
        <v>0</v>
      </c>
      <c r="R400" s="26">
        <v>0.5</v>
      </c>
      <c r="S400" s="28">
        <v>0.9</v>
      </c>
      <c r="T400" s="26">
        <v>0</v>
      </c>
      <c r="U400" s="26">
        <v>0</v>
      </c>
      <c r="V400" s="26">
        <v>0</v>
      </c>
      <c r="W400" s="26">
        <v>0</v>
      </c>
      <c r="X400" s="28">
        <v>0.92</v>
      </c>
      <c r="Y400" s="28">
        <v>0</v>
      </c>
      <c r="Z400" s="28">
        <v>0</v>
      </c>
      <c r="AA400" s="28">
        <v>0</v>
      </c>
      <c r="AB400" s="28">
        <v>0</v>
      </c>
      <c r="AC400" s="28">
        <v>0.92</v>
      </c>
      <c r="AD400" s="26">
        <v>1</v>
      </c>
      <c r="AE400" s="26">
        <v>1</v>
      </c>
      <c r="AF400" s="26">
        <v>0.97826086956521741</v>
      </c>
      <c r="AG400" s="26">
        <v>0.99475065616797897</v>
      </c>
      <c r="AH400" s="28">
        <v>0.92</v>
      </c>
      <c r="AI400" s="26">
        <v>0.94197595399895451</v>
      </c>
      <c r="AJ400" s="26">
        <v>0.92947220924801499</v>
      </c>
      <c r="AK400" s="26">
        <v>0.97546243865609661</v>
      </c>
      <c r="AL400" s="26">
        <v>0.95082786629178384</v>
      </c>
      <c r="AM400" s="25">
        <v>0.99</v>
      </c>
      <c r="AN400" s="30">
        <v>1</v>
      </c>
      <c r="AO400" s="30">
        <v>1</v>
      </c>
      <c r="AP400" s="30">
        <v>1</v>
      </c>
      <c r="AQ400" s="30">
        <v>1</v>
      </c>
      <c r="AR400" s="50">
        <v>0.05</v>
      </c>
      <c r="AS400" s="34">
        <v>0</v>
      </c>
      <c r="AT400" s="34">
        <v>0</v>
      </c>
      <c r="AU400" s="34">
        <v>0.2</v>
      </c>
      <c r="AV400" s="34">
        <v>0.05</v>
      </c>
      <c r="AW400" s="10"/>
      <c r="AX400" s="8"/>
    </row>
    <row r="401" spans="1:50">
      <c r="A401" s="7"/>
      <c r="B401" s="10"/>
      <c r="C401" s="45" t="s">
        <v>396</v>
      </c>
      <c r="D401" s="23" t="s">
        <v>19</v>
      </c>
      <c r="E401" s="46" t="s">
        <v>447</v>
      </c>
      <c r="F401" s="46" t="s">
        <v>447</v>
      </c>
      <c r="G401" s="46" t="s">
        <v>447</v>
      </c>
      <c r="H401" s="46" t="s">
        <v>447</v>
      </c>
      <c r="I401" s="25">
        <v>0.9</v>
      </c>
      <c r="J401" s="26">
        <v>0.88888888888888884</v>
      </c>
      <c r="K401" s="26">
        <v>1</v>
      </c>
      <c r="L401" s="27">
        <v>0.65909090909090906</v>
      </c>
      <c r="M401" s="26">
        <v>0.91909385113268605</v>
      </c>
      <c r="N401" s="28">
        <v>0.9</v>
      </c>
      <c r="O401" s="26">
        <v>0.96518824136152659</v>
      </c>
      <c r="P401" s="26">
        <v>0.9921197793538219</v>
      </c>
      <c r="Q401" s="26">
        <v>0.97748170388440603</v>
      </c>
      <c r="R401" s="26">
        <v>0.97761732851985561</v>
      </c>
      <c r="S401" s="28">
        <v>0.9</v>
      </c>
      <c r="T401" s="26">
        <v>0.87570912841670967</v>
      </c>
      <c r="U401" s="26">
        <v>0.91673233517205144</v>
      </c>
      <c r="V401" s="26">
        <v>0.91611934696941266</v>
      </c>
      <c r="W401" s="26">
        <v>0.88770993564589551</v>
      </c>
      <c r="X401" s="28">
        <v>0.92</v>
      </c>
      <c r="Y401" s="28">
        <v>1</v>
      </c>
      <c r="Z401" s="28">
        <v>0</v>
      </c>
      <c r="AA401" s="28">
        <v>1</v>
      </c>
      <c r="AB401" s="28">
        <v>0.8</v>
      </c>
      <c r="AC401" s="28">
        <v>0.92</v>
      </c>
      <c r="AD401" s="26">
        <v>0.99882198952879586</v>
      </c>
      <c r="AE401" s="26">
        <v>0.97156697556866045</v>
      </c>
      <c r="AF401" s="26">
        <v>0.99912955171913531</v>
      </c>
      <c r="AG401" s="26">
        <v>0.96105295847719263</v>
      </c>
      <c r="AH401" s="28">
        <v>0.92</v>
      </c>
      <c r="AI401" s="26">
        <v>0.94896907216494841</v>
      </c>
      <c r="AJ401" s="26">
        <v>0.97819805621224065</v>
      </c>
      <c r="AK401" s="26">
        <v>0.98349277809041458</v>
      </c>
      <c r="AL401" s="26">
        <v>0.96683297248109445</v>
      </c>
      <c r="AM401" s="25">
        <v>0.99</v>
      </c>
      <c r="AN401" s="30">
        <v>1</v>
      </c>
      <c r="AO401" s="30">
        <v>1</v>
      </c>
      <c r="AP401" s="30">
        <v>1</v>
      </c>
      <c r="AQ401" s="30">
        <v>1</v>
      </c>
      <c r="AR401" s="50">
        <v>0.05</v>
      </c>
      <c r="AS401" s="34">
        <v>9.0909090909090912E-2</v>
      </c>
      <c r="AT401" s="34">
        <v>5.5555555555555552E-2</v>
      </c>
      <c r="AU401" s="34">
        <v>0.23809523809523808</v>
      </c>
      <c r="AV401" s="34">
        <v>9.3333333333333338E-2</v>
      </c>
      <c r="AW401" s="10"/>
      <c r="AX401" s="8"/>
    </row>
    <row r="402" spans="1:50">
      <c r="A402" s="7"/>
      <c r="B402" s="10"/>
      <c r="C402" s="45" t="s">
        <v>396</v>
      </c>
      <c r="D402" s="23" t="s">
        <v>19</v>
      </c>
      <c r="E402" s="46" t="s">
        <v>448</v>
      </c>
      <c r="F402" s="46" t="s">
        <v>448</v>
      </c>
      <c r="G402" s="46" t="s">
        <v>448</v>
      </c>
      <c r="H402" s="46" t="s">
        <v>448</v>
      </c>
      <c r="I402" s="25">
        <v>0.9</v>
      </c>
      <c r="J402" s="26">
        <v>0.97297297297297303</v>
      </c>
      <c r="K402" s="26">
        <v>1</v>
      </c>
      <c r="L402" s="27">
        <v>1</v>
      </c>
      <c r="M402" s="26">
        <v>0.97770700636942676</v>
      </c>
      <c r="N402" s="28">
        <v>0.9</v>
      </c>
      <c r="O402" s="26">
        <v>0.22222222222222221</v>
      </c>
      <c r="P402" s="26">
        <v>0.25</v>
      </c>
      <c r="Q402" s="26">
        <v>0.23076923076923078</v>
      </c>
      <c r="R402" s="26">
        <v>0.38961038961038963</v>
      </c>
      <c r="S402" s="28">
        <v>0.9</v>
      </c>
      <c r="T402" s="26">
        <v>0.44444444444444442</v>
      </c>
      <c r="U402" s="26">
        <v>0.5</v>
      </c>
      <c r="V402" s="26">
        <v>0.30769230769230771</v>
      </c>
      <c r="W402" s="26">
        <v>0.4935064935064935</v>
      </c>
      <c r="X402" s="28">
        <v>0.92</v>
      </c>
      <c r="Y402" s="28">
        <v>0</v>
      </c>
      <c r="Z402" s="28">
        <v>0</v>
      </c>
      <c r="AA402" s="28">
        <v>0</v>
      </c>
      <c r="AB402" s="28">
        <v>0.33333333333333331</v>
      </c>
      <c r="AC402" s="28">
        <v>0.92</v>
      </c>
      <c r="AD402" s="26">
        <v>0.96353340883352212</v>
      </c>
      <c r="AE402" s="26">
        <v>0.98541018895001198</v>
      </c>
      <c r="AF402" s="26">
        <v>0.99608938547486037</v>
      </c>
      <c r="AG402" s="26">
        <v>0.93253872508806634</v>
      </c>
      <c r="AH402" s="28">
        <v>0.92</v>
      </c>
      <c r="AI402" s="26">
        <v>0.9448568398727466</v>
      </c>
      <c r="AJ402" s="26">
        <v>0.96009700176366841</v>
      </c>
      <c r="AK402" s="26">
        <v>0.96349032493610809</v>
      </c>
      <c r="AL402" s="26">
        <v>0.95140418502202639</v>
      </c>
      <c r="AM402" s="25">
        <v>0.99</v>
      </c>
      <c r="AN402" s="30">
        <v>1</v>
      </c>
      <c r="AO402" s="30">
        <v>1</v>
      </c>
      <c r="AP402" s="30">
        <v>1</v>
      </c>
      <c r="AQ402" s="30">
        <v>1</v>
      </c>
      <c r="AR402" s="50">
        <v>0.05</v>
      </c>
      <c r="AS402" s="34">
        <v>0.33333333333333331</v>
      </c>
      <c r="AT402" s="34">
        <v>0</v>
      </c>
      <c r="AU402" s="34">
        <v>6.25E-2</v>
      </c>
      <c r="AV402" s="34">
        <v>5.8333333333333334E-2</v>
      </c>
      <c r="AW402" s="10"/>
      <c r="AX402" s="8"/>
    </row>
    <row r="403" spans="1:50">
      <c r="A403" s="7"/>
      <c r="B403" s="10"/>
      <c r="C403" s="45" t="s">
        <v>396</v>
      </c>
      <c r="D403" s="23" t="s">
        <v>19</v>
      </c>
      <c r="E403" s="46" t="s">
        <v>449</v>
      </c>
      <c r="F403" s="46" t="s">
        <v>449</v>
      </c>
      <c r="G403" s="46" t="s">
        <v>449</v>
      </c>
      <c r="H403" s="46" t="s">
        <v>449</v>
      </c>
      <c r="I403" s="25">
        <v>0.9</v>
      </c>
      <c r="J403" s="26">
        <v>1</v>
      </c>
      <c r="K403" s="26">
        <v>1</v>
      </c>
      <c r="L403" s="27">
        <v>1</v>
      </c>
      <c r="M403" s="26">
        <v>0.99710982658959535</v>
      </c>
      <c r="N403" s="28">
        <v>0.9</v>
      </c>
      <c r="O403" s="26">
        <v>0</v>
      </c>
      <c r="P403" s="26">
        <v>0.5</v>
      </c>
      <c r="Q403" s="26">
        <v>1</v>
      </c>
      <c r="R403" s="26">
        <v>0.66666666666666663</v>
      </c>
      <c r="S403" s="28">
        <v>0.9</v>
      </c>
      <c r="T403" s="26">
        <v>0</v>
      </c>
      <c r="U403" s="26">
        <v>0.5</v>
      </c>
      <c r="V403" s="26">
        <v>1</v>
      </c>
      <c r="W403" s="26">
        <v>0.83333333333333337</v>
      </c>
      <c r="X403" s="28">
        <v>0.92</v>
      </c>
      <c r="Y403" s="28">
        <v>0</v>
      </c>
      <c r="Z403" s="28">
        <v>0</v>
      </c>
      <c r="AA403" s="28">
        <v>0</v>
      </c>
      <c r="AB403" s="28">
        <v>0</v>
      </c>
      <c r="AC403" s="28">
        <v>0.92</v>
      </c>
      <c r="AD403" s="26">
        <v>0.98465473145780047</v>
      </c>
      <c r="AE403" s="26">
        <v>0.99164677804295942</v>
      </c>
      <c r="AF403" s="26">
        <v>0.9538310412573674</v>
      </c>
      <c r="AG403" s="26">
        <v>0.96513353115727007</v>
      </c>
      <c r="AH403" s="28">
        <v>0.92</v>
      </c>
      <c r="AI403" s="26">
        <v>0.95665816826828787</v>
      </c>
      <c r="AJ403" s="26">
        <v>0.95893266624973938</v>
      </c>
      <c r="AK403" s="26">
        <v>0.9642738451312729</v>
      </c>
      <c r="AL403" s="26">
        <v>0.9585242343863033</v>
      </c>
      <c r="AM403" s="25">
        <v>0.99</v>
      </c>
      <c r="AN403" s="30">
        <v>1</v>
      </c>
      <c r="AO403" s="30">
        <v>1</v>
      </c>
      <c r="AP403" s="30">
        <v>1</v>
      </c>
      <c r="AQ403" s="30">
        <v>1</v>
      </c>
      <c r="AR403" s="50">
        <v>0.05</v>
      </c>
      <c r="AS403" s="34">
        <v>0</v>
      </c>
      <c r="AT403" s="34">
        <v>0</v>
      </c>
      <c r="AU403" s="34">
        <v>0.14285714285714285</v>
      </c>
      <c r="AV403" s="34">
        <v>5.2631578947368418E-2</v>
      </c>
      <c r="AW403" s="10"/>
      <c r="AX403" s="8"/>
    </row>
    <row r="404" spans="1:50">
      <c r="A404" s="7"/>
      <c r="B404" s="10"/>
      <c r="C404" s="45" t="s">
        <v>396</v>
      </c>
      <c r="D404" s="23" t="s">
        <v>19</v>
      </c>
      <c r="E404" s="46" t="s">
        <v>450</v>
      </c>
      <c r="F404" s="46" t="s">
        <v>450</v>
      </c>
      <c r="G404" s="46" t="s">
        <v>450</v>
      </c>
      <c r="H404" s="46" t="s">
        <v>450</v>
      </c>
      <c r="I404" s="25">
        <v>0.9</v>
      </c>
      <c r="J404" s="26">
        <v>1</v>
      </c>
      <c r="K404" s="26">
        <v>0.96666666666666667</v>
      </c>
      <c r="L404" s="27">
        <v>0.89655172413793105</v>
      </c>
      <c r="M404" s="26">
        <v>0.87441860465116283</v>
      </c>
      <c r="N404" s="28">
        <v>0.9</v>
      </c>
      <c r="O404" s="26">
        <v>0.33333333333333331</v>
      </c>
      <c r="P404" s="26">
        <v>1</v>
      </c>
      <c r="Q404" s="26">
        <v>0</v>
      </c>
      <c r="R404" s="26">
        <v>0.33333333333333331</v>
      </c>
      <c r="S404" s="28">
        <v>0.9</v>
      </c>
      <c r="T404" s="26">
        <v>0.33333333333333331</v>
      </c>
      <c r="U404" s="26">
        <v>1</v>
      </c>
      <c r="V404" s="26">
        <v>0</v>
      </c>
      <c r="W404" s="26">
        <v>0.25</v>
      </c>
      <c r="X404" s="28">
        <v>0.92</v>
      </c>
      <c r="Y404" s="28">
        <v>0</v>
      </c>
      <c r="Z404" s="28">
        <v>0</v>
      </c>
      <c r="AA404" s="28">
        <v>0</v>
      </c>
      <c r="AB404" s="28">
        <v>1</v>
      </c>
      <c r="AC404" s="28">
        <v>0.92</v>
      </c>
      <c r="AD404" s="26">
        <v>0.98677089597113654</v>
      </c>
      <c r="AE404" s="26">
        <v>0.98059454995871176</v>
      </c>
      <c r="AF404" s="26">
        <v>0.99868015838099433</v>
      </c>
      <c r="AG404" s="26">
        <v>0.99518190355640845</v>
      </c>
      <c r="AH404" s="28">
        <v>0.92</v>
      </c>
      <c r="AI404" s="26">
        <v>0.95473537604456826</v>
      </c>
      <c r="AJ404" s="26">
        <v>0.96744345442083624</v>
      </c>
      <c r="AK404" s="26">
        <v>0.96762283442203922</v>
      </c>
      <c r="AL404" s="26">
        <v>0.95357917570498918</v>
      </c>
      <c r="AM404" s="25">
        <v>0.99</v>
      </c>
      <c r="AN404" s="30">
        <v>1</v>
      </c>
      <c r="AO404" s="30">
        <v>1</v>
      </c>
      <c r="AP404" s="30">
        <v>1</v>
      </c>
      <c r="AQ404" s="30">
        <v>1</v>
      </c>
      <c r="AR404" s="50">
        <v>0.05</v>
      </c>
      <c r="AS404" s="34">
        <v>0.1</v>
      </c>
      <c r="AT404" s="34">
        <v>0.1111111111111111</v>
      </c>
      <c r="AU404" s="34">
        <v>0</v>
      </c>
      <c r="AV404" s="34">
        <v>1.1627906976744186E-2</v>
      </c>
      <c r="AW404" s="10"/>
      <c r="AX404" s="8"/>
    </row>
    <row r="405" spans="1:50">
      <c r="A405" s="7"/>
      <c r="B405" s="10"/>
      <c r="C405" s="45" t="s">
        <v>396</v>
      </c>
      <c r="D405" s="23" t="s">
        <v>19</v>
      </c>
      <c r="E405" s="46" t="s">
        <v>451</v>
      </c>
      <c r="F405" s="46" t="s">
        <v>451</v>
      </c>
      <c r="G405" s="46" t="s">
        <v>451</v>
      </c>
      <c r="H405" s="46" t="s">
        <v>451</v>
      </c>
      <c r="I405" s="25">
        <v>0.9</v>
      </c>
      <c r="J405" s="26">
        <v>1</v>
      </c>
      <c r="K405" s="26">
        <v>1</v>
      </c>
      <c r="L405" s="27">
        <v>1</v>
      </c>
      <c r="M405" s="26">
        <v>1</v>
      </c>
      <c r="N405" s="28">
        <v>0.9</v>
      </c>
      <c r="O405" s="26">
        <v>0</v>
      </c>
      <c r="P405" s="26">
        <v>0</v>
      </c>
      <c r="Q405" s="26">
        <v>0</v>
      </c>
      <c r="R405" s="26">
        <v>0</v>
      </c>
      <c r="S405" s="28">
        <v>0.9</v>
      </c>
      <c r="T405" s="26">
        <v>0</v>
      </c>
      <c r="U405" s="26">
        <v>0.5</v>
      </c>
      <c r="V405" s="26">
        <v>0</v>
      </c>
      <c r="W405" s="26">
        <v>0.33333333333333331</v>
      </c>
      <c r="X405" s="28">
        <v>0.92</v>
      </c>
      <c r="Y405" s="28">
        <v>0</v>
      </c>
      <c r="Z405" s="28">
        <v>0</v>
      </c>
      <c r="AA405" s="28">
        <v>0</v>
      </c>
      <c r="AB405" s="28">
        <v>0</v>
      </c>
      <c r="AC405" s="28">
        <v>0.92</v>
      </c>
      <c r="AD405" s="26">
        <v>1</v>
      </c>
      <c r="AE405" s="26">
        <v>0.99052132701421802</v>
      </c>
      <c r="AF405" s="26">
        <v>0.9941860465116279</v>
      </c>
      <c r="AG405" s="26">
        <v>0.97064579256360073</v>
      </c>
      <c r="AH405" s="28">
        <v>0.92</v>
      </c>
      <c r="AI405" s="26">
        <v>0.94517543859649122</v>
      </c>
      <c r="AJ405" s="26">
        <v>0.94603345925526172</v>
      </c>
      <c r="AK405" s="26">
        <v>0.96107266435986161</v>
      </c>
      <c r="AL405" s="26">
        <v>0.9547577910027516</v>
      </c>
      <c r="AM405" s="25">
        <v>0.99</v>
      </c>
      <c r="AN405" s="30">
        <v>1</v>
      </c>
      <c r="AO405" s="30">
        <v>1</v>
      </c>
      <c r="AP405" s="30">
        <v>1</v>
      </c>
      <c r="AQ405" s="30">
        <v>1</v>
      </c>
      <c r="AR405" s="50">
        <v>0.05</v>
      </c>
      <c r="AS405" s="34">
        <v>0</v>
      </c>
      <c r="AT405" s="34">
        <v>0</v>
      </c>
      <c r="AU405" s="34">
        <v>0.33333333333333331</v>
      </c>
      <c r="AV405" s="34">
        <v>0.1875</v>
      </c>
      <c r="AW405" s="10"/>
      <c r="AX405" s="8"/>
    </row>
    <row r="406" spans="1:50">
      <c r="A406" s="7"/>
      <c r="B406" s="10"/>
      <c r="C406" s="45" t="s">
        <v>396</v>
      </c>
      <c r="D406" s="23" t="s">
        <v>19</v>
      </c>
      <c r="E406" s="46" t="s">
        <v>452</v>
      </c>
      <c r="F406" s="46" t="s">
        <v>452</v>
      </c>
      <c r="G406" s="46" t="s">
        <v>452</v>
      </c>
      <c r="H406" s="46" t="s">
        <v>452</v>
      </c>
      <c r="I406" s="25">
        <v>0.9</v>
      </c>
      <c r="J406" s="26">
        <v>1</v>
      </c>
      <c r="K406" s="26">
        <v>1</v>
      </c>
      <c r="L406" s="27">
        <v>1</v>
      </c>
      <c r="M406" s="26">
        <v>1</v>
      </c>
      <c r="N406" s="28">
        <v>0.9</v>
      </c>
      <c r="O406" s="26">
        <v>0</v>
      </c>
      <c r="P406" s="26">
        <v>0</v>
      </c>
      <c r="Q406" s="26">
        <v>0</v>
      </c>
      <c r="R406" s="26">
        <v>0</v>
      </c>
      <c r="S406" s="28">
        <v>0.9</v>
      </c>
      <c r="T406" s="26">
        <v>0</v>
      </c>
      <c r="U406" s="26">
        <v>0</v>
      </c>
      <c r="V406" s="26">
        <v>0</v>
      </c>
      <c r="W406" s="26">
        <v>0</v>
      </c>
      <c r="X406" s="28">
        <v>0.92</v>
      </c>
      <c r="Y406" s="28">
        <v>0</v>
      </c>
      <c r="Z406" s="28">
        <v>0</v>
      </c>
      <c r="AA406" s="28">
        <v>0</v>
      </c>
      <c r="AB406" s="28">
        <v>0</v>
      </c>
      <c r="AC406" s="28">
        <v>0.92</v>
      </c>
      <c r="AD406" s="26">
        <v>0.5</v>
      </c>
      <c r="AE406" s="26">
        <v>0.68421052631578949</v>
      </c>
      <c r="AF406" s="26">
        <v>0.67391304347826086</v>
      </c>
      <c r="AG406" s="26">
        <v>0.69551282051282048</v>
      </c>
      <c r="AH406" s="28">
        <v>0.92</v>
      </c>
      <c r="AI406" s="26">
        <v>0.94894894894894899</v>
      </c>
      <c r="AJ406" s="26">
        <v>0.9699655342195963</v>
      </c>
      <c r="AK406" s="26">
        <v>0.96769170883612299</v>
      </c>
      <c r="AL406" s="26">
        <v>0.95378199930499252</v>
      </c>
      <c r="AM406" s="25">
        <v>0.99</v>
      </c>
      <c r="AN406" s="30">
        <v>1</v>
      </c>
      <c r="AO406" s="30">
        <v>1</v>
      </c>
      <c r="AP406" s="30">
        <v>1</v>
      </c>
      <c r="AQ406" s="30">
        <v>1</v>
      </c>
      <c r="AR406" s="50">
        <v>0.05</v>
      </c>
      <c r="AS406" s="34">
        <v>0</v>
      </c>
      <c r="AT406" s="34">
        <v>0</v>
      </c>
      <c r="AU406" s="34">
        <v>0</v>
      </c>
      <c r="AV406" s="34">
        <v>1.8181818181818181E-2</v>
      </c>
      <c r="AW406" s="10"/>
      <c r="AX406" s="8"/>
    </row>
    <row r="407" spans="1:50">
      <c r="A407" s="7"/>
      <c r="B407" s="10"/>
      <c r="C407" s="45" t="s">
        <v>396</v>
      </c>
      <c r="D407" s="23" t="s">
        <v>19</v>
      </c>
      <c r="E407" s="46" t="s">
        <v>453</v>
      </c>
      <c r="F407" s="46" t="s">
        <v>453</v>
      </c>
      <c r="G407" s="46" t="s">
        <v>453</v>
      </c>
      <c r="H407" s="46" t="s">
        <v>453</v>
      </c>
      <c r="I407" s="25">
        <v>0.9</v>
      </c>
      <c r="J407" s="26">
        <v>0.82758620689655171</v>
      </c>
      <c r="K407" s="26">
        <v>0.84210526315789469</v>
      </c>
      <c r="L407" s="27">
        <v>0.8392857142857143</v>
      </c>
      <c r="M407" s="26">
        <v>0.86353467561521258</v>
      </c>
      <c r="N407" s="28">
        <v>0.9</v>
      </c>
      <c r="O407" s="26">
        <v>0</v>
      </c>
      <c r="P407" s="26">
        <v>0</v>
      </c>
      <c r="Q407" s="26">
        <v>0</v>
      </c>
      <c r="R407" s="26">
        <v>0.18181818181818182</v>
      </c>
      <c r="S407" s="28">
        <v>0.9</v>
      </c>
      <c r="T407" s="26">
        <v>0</v>
      </c>
      <c r="U407" s="26">
        <v>0</v>
      </c>
      <c r="V407" s="26">
        <v>0</v>
      </c>
      <c r="W407" s="26">
        <v>0.27272727272727271</v>
      </c>
      <c r="X407" s="28">
        <v>0.92</v>
      </c>
      <c r="Y407" s="28">
        <v>0</v>
      </c>
      <c r="Z407" s="28">
        <v>0</v>
      </c>
      <c r="AA407" s="28">
        <v>0</v>
      </c>
      <c r="AB407" s="28">
        <v>0.2</v>
      </c>
      <c r="AC407" s="28">
        <v>0.92</v>
      </c>
      <c r="AD407" s="26">
        <v>0.98915009041591317</v>
      </c>
      <c r="AE407" s="26">
        <v>0.97505845674201086</v>
      </c>
      <c r="AF407" s="26">
        <v>0.98417363780239653</v>
      </c>
      <c r="AG407" s="26">
        <v>0.98344783681264758</v>
      </c>
      <c r="AH407" s="28">
        <v>0.92</v>
      </c>
      <c r="AI407" s="26">
        <v>0.92162445676607219</v>
      </c>
      <c r="AJ407" s="26">
        <v>0.93691376701966722</v>
      </c>
      <c r="AK407" s="26">
        <v>0.92529335071707952</v>
      </c>
      <c r="AL407" s="26">
        <v>0.93010102586106014</v>
      </c>
      <c r="AM407" s="25">
        <v>0.99</v>
      </c>
      <c r="AN407" s="30">
        <v>1</v>
      </c>
      <c r="AO407" s="30">
        <v>1</v>
      </c>
      <c r="AP407" s="30">
        <v>1</v>
      </c>
      <c r="AQ407" s="30">
        <v>1</v>
      </c>
      <c r="AR407" s="50">
        <v>0.05</v>
      </c>
      <c r="AS407" s="34">
        <v>0</v>
      </c>
      <c r="AT407" s="34">
        <v>0.05</v>
      </c>
      <c r="AU407" s="34">
        <v>0.1</v>
      </c>
      <c r="AV407" s="34">
        <v>7.2847682119205295E-2</v>
      </c>
      <c r="AW407" s="10"/>
      <c r="AX407" s="8"/>
    </row>
    <row r="408" spans="1:50">
      <c r="A408" s="7"/>
      <c r="B408" s="10"/>
      <c r="C408" s="45" t="s">
        <v>396</v>
      </c>
      <c r="D408" s="23" t="s">
        <v>19</v>
      </c>
      <c r="E408" s="46" t="s">
        <v>454</v>
      </c>
      <c r="F408" s="46" t="s">
        <v>454</v>
      </c>
      <c r="G408" s="46" t="s">
        <v>454</v>
      </c>
      <c r="H408" s="46" t="s">
        <v>454</v>
      </c>
      <c r="I408" s="25">
        <v>0.9</v>
      </c>
      <c r="J408" s="26">
        <v>1</v>
      </c>
      <c r="K408" s="26">
        <v>0.967741935483871</v>
      </c>
      <c r="L408" s="27">
        <v>1</v>
      </c>
      <c r="M408" s="26">
        <v>0.98775510204081629</v>
      </c>
      <c r="N408" s="28">
        <v>0.9</v>
      </c>
      <c r="O408" s="26">
        <v>0.98904443091905048</v>
      </c>
      <c r="P408" s="26">
        <v>0.98621640248104758</v>
      </c>
      <c r="Q408" s="26">
        <v>0.98153662894580107</v>
      </c>
      <c r="R408" s="26">
        <v>0.98858581619806962</v>
      </c>
      <c r="S408" s="28">
        <v>0.9</v>
      </c>
      <c r="T408" s="26">
        <v>0.93365794278758374</v>
      </c>
      <c r="U408" s="26">
        <v>0.93039283252929017</v>
      </c>
      <c r="V408" s="26">
        <v>0.9100655151876117</v>
      </c>
      <c r="W408" s="26">
        <v>0.936634494334872</v>
      </c>
      <c r="X408" s="28">
        <v>0.92</v>
      </c>
      <c r="Y408" s="28">
        <v>0.94907908992416035</v>
      </c>
      <c r="Z408" s="28">
        <v>0.93108108108108112</v>
      </c>
      <c r="AA408" s="28">
        <v>0.9461663947797716</v>
      </c>
      <c r="AB408" s="28">
        <v>0.94798681759564407</v>
      </c>
      <c r="AC408" s="28">
        <v>0.92</v>
      </c>
      <c r="AD408" s="26">
        <v>0.99918831168831168</v>
      </c>
      <c r="AE408" s="26">
        <v>1</v>
      </c>
      <c r="AF408" s="26">
        <v>1</v>
      </c>
      <c r="AG408" s="26">
        <v>0.99903717571543194</v>
      </c>
      <c r="AH408" s="28">
        <v>0.92</v>
      </c>
      <c r="AI408" s="26">
        <v>0.9665044374463212</v>
      </c>
      <c r="AJ408" s="26">
        <v>0.95974070283179802</v>
      </c>
      <c r="AK408" s="26">
        <v>0.96537042293499853</v>
      </c>
      <c r="AL408" s="26">
        <v>0.96741941710094581</v>
      </c>
      <c r="AM408" s="25">
        <v>0.99</v>
      </c>
      <c r="AN408" s="30">
        <v>1</v>
      </c>
      <c r="AO408" s="30">
        <v>1</v>
      </c>
      <c r="AP408" s="30">
        <v>1</v>
      </c>
      <c r="AQ408" s="30">
        <v>1</v>
      </c>
      <c r="AR408" s="50">
        <v>0.05</v>
      </c>
      <c r="AS408" s="34">
        <v>0.1111111111111111</v>
      </c>
      <c r="AT408" s="34">
        <v>0</v>
      </c>
      <c r="AU408" s="34">
        <v>0</v>
      </c>
      <c r="AV408" s="34">
        <v>1.6949152542372881E-2</v>
      </c>
      <c r="AW408" s="10"/>
      <c r="AX408" s="8"/>
    </row>
    <row r="409" spans="1:50">
      <c r="A409" s="7"/>
      <c r="B409" s="10"/>
      <c r="C409" s="45" t="s">
        <v>396</v>
      </c>
      <c r="D409" s="23" t="s">
        <v>19</v>
      </c>
      <c r="E409" s="46" t="s">
        <v>455</v>
      </c>
      <c r="F409" s="46" t="s">
        <v>455</v>
      </c>
      <c r="G409" s="46" t="s">
        <v>455</v>
      </c>
      <c r="H409" s="46" t="s">
        <v>455</v>
      </c>
      <c r="I409" s="25">
        <v>0.9</v>
      </c>
      <c r="J409" s="26">
        <v>1</v>
      </c>
      <c r="K409" s="26">
        <v>0.9152542372881356</v>
      </c>
      <c r="L409" s="27">
        <v>0.96666666666666667</v>
      </c>
      <c r="M409" s="26">
        <v>0.95121951219512191</v>
      </c>
      <c r="N409" s="28">
        <v>0.9</v>
      </c>
      <c r="O409" s="26">
        <v>0.95810991957104563</v>
      </c>
      <c r="P409" s="26">
        <v>0.97001828153564895</v>
      </c>
      <c r="Q409" s="26">
        <v>0.97308868501529056</v>
      </c>
      <c r="R409" s="26">
        <v>0.96606118546845121</v>
      </c>
      <c r="S409" s="28">
        <v>0.9</v>
      </c>
      <c r="T409" s="26">
        <v>0.86092493297587136</v>
      </c>
      <c r="U409" s="26">
        <v>0.89908592321755032</v>
      </c>
      <c r="V409" s="26">
        <v>0.91590214067278286</v>
      </c>
      <c r="W409" s="26">
        <v>0.88540761341908569</v>
      </c>
      <c r="X409" s="28">
        <v>0.92</v>
      </c>
      <c r="Y409" s="28">
        <v>0.88384693532001357</v>
      </c>
      <c r="Z409" s="28">
        <v>0.93036611629576449</v>
      </c>
      <c r="AA409" s="28">
        <v>0.87905511811023618</v>
      </c>
      <c r="AB409" s="28">
        <v>0.89042372194766262</v>
      </c>
      <c r="AC409" s="28">
        <v>0.92</v>
      </c>
      <c r="AD409" s="26">
        <v>0.99920127795527158</v>
      </c>
      <c r="AE409" s="26">
        <v>0.99424214130096478</v>
      </c>
      <c r="AF409" s="26">
        <v>0.59954872676480064</v>
      </c>
      <c r="AG409" s="26">
        <v>0.88427371223946383</v>
      </c>
      <c r="AH409" s="28">
        <v>0.92</v>
      </c>
      <c r="AI409" s="26">
        <v>0.90618157318511028</v>
      </c>
      <c r="AJ409" s="26">
        <v>0.95309670409272007</v>
      </c>
      <c r="AK409" s="26">
        <v>0.92894818492088116</v>
      </c>
      <c r="AL409" s="26">
        <v>0.92470706604900743</v>
      </c>
      <c r="AM409" s="25">
        <v>0.99</v>
      </c>
      <c r="AN409" s="30">
        <v>1</v>
      </c>
      <c r="AO409" s="30">
        <v>1</v>
      </c>
      <c r="AP409" s="30">
        <v>1</v>
      </c>
      <c r="AQ409" s="30">
        <v>1</v>
      </c>
      <c r="AR409" s="50">
        <v>0.05</v>
      </c>
      <c r="AS409" s="34">
        <v>0.10714285714285714</v>
      </c>
      <c r="AT409" s="34">
        <v>0.12903225806451613</v>
      </c>
      <c r="AU409" s="34">
        <v>3.4482758620689655E-2</v>
      </c>
      <c r="AV409" s="34">
        <v>4.4520547945205477E-2</v>
      </c>
      <c r="AW409" s="10"/>
      <c r="AX409" s="8"/>
    </row>
    <row r="410" spans="1:50">
      <c r="A410" s="7"/>
      <c r="B410" s="10"/>
      <c r="C410" s="45" t="s">
        <v>396</v>
      </c>
      <c r="D410" s="23" t="s">
        <v>19</v>
      </c>
      <c r="E410" s="46" t="s">
        <v>456</v>
      </c>
      <c r="F410" s="46" t="s">
        <v>456</v>
      </c>
      <c r="G410" s="46" t="s">
        <v>456</v>
      </c>
      <c r="H410" s="46" t="s">
        <v>456</v>
      </c>
      <c r="I410" s="25">
        <v>0.9</v>
      </c>
      <c r="J410" s="26">
        <v>0.96551724137931039</v>
      </c>
      <c r="K410" s="26">
        <v>0.9464285714285714</v>
      </c>
      <c r="L410" s="27">
        <v>0.98333333333333328</v>
      </c>
      <c r="M410" s="26">
        <v>0.96644295302013428</v>
      </c>
      <c r="N410" s="28">
        <v>0.9</v>
      </c>
      <c r="O410" s="26">
        <v>0.94229137199434232</v>
      </c>
      <c r="P410" s="26">
        <v>0.96977491961414786</v>
      </c>
      <c r="Q410" s="26">
        <v>0.97583770230225664</v>
      </c>
      <c r="R410" s="26">
        <v>0.96391259423673037</v>
      </c>
      <c r="S410" s="28">
        <v>0.9</v>
      </c>
      <c r="T410" s="26">
        <v>0.93041018387553043</v>
      </c>
      <c r="U410" s="26">
        <v>0.9385852090032154</v>
      </c>
      <c r="V410" s="26">
        <v>0.94415317984955549</v>
      </c>
      <c r="W410" s="26">
        <v>0.93081014886533231</v>
      </c>
      <c r="X410" s="28">
        <v>0.92</v>
      </c>
      <c r="Y410" s="28">
        <v>0.90414947828197034</v>
      </c>
      <c r="Z410" s="28">
        <v>0.91106604866743912</v>
      </c>
      <c r="AA410" s="28">
        <v>0.95566132264529058</v>
      </c>
      <c r="AB410" s="28">
        <v>0.92274806124478026</v>
      </c>
      <c r="AC410" s="28">
        <v>0.92</v>
      </c>
      <c r="AD410" s="26">
        <v>0.99959028986991705</v>
      </c>
      <c r="AE410" s="26">
        <v>0.98653669835448532</v>
      </c>
      <c r="AF410" s="26">
        <v>0.99738162775474581</v>
      </c>
      <c r="AG410" s="26">
        <v>0.99273429111581002</v>
      </c>
      <c r="AH410" s="28">
        <v>0.92</v>
      </c>
      <c r="AI410" s="26">
        <v>0.93441126613639325</v>
      </c>
      <c r="AJ410" s="26">
        <v>0.94255675758037483</v>
      </c>
      <c r="AK410" s="26">
        <v>0.97207637231503585</v>
      </c>
      <c r="AL410" s="26">
        <v>0.94808975997727596</v>
      </c>
      <c r="AM410" s="25">
        <v>0.99</v>
      </c>
      <c r="AN410" s="30">
        <v>1</v>
      </c>
      <c r="AO410" s="30">
        <v>1</v>
      </c>
      <c r="AP410" s="30">
        <v>1</v>
      </c>
      <c r="AQ410" s="30">
        <v>1</v>
      </c>
      <c r="AR410" s="50">
        <v>0.05</v>
      </c>
      <c r="AS410" s="34">
        <v>6.25E-2</v>
      </c>
      <c r="AT410" s="34">
        <v>0.1111111111111111</v>
      </c>
      <c r="AU410" s="34">
        <v>7.407407407407407E-2</v>
      </c>
      <c r="AV410" s="34">
        <v>7.7419354838709681E-2</v>
      </c>
      <c r="AW410" s="10"/>
      <c r="AX410" s="8"/>
    </row>
    <row r="411" spans="1:50">
      <c r="A411" s="7"/>
      <c r="B411" s="10"/>
      <c r="C411" s="45" t="s">
        <v>396</v>
      </c>
      <c r="D411" s="23" t="s">
        <v>19</v>
      </c>
      <c r="E411" s="46" t="s">
        <v>457</v>
      </c>
      <c r="F411" s="46" t="s">
        <v>457</v>
      </c>
      <c r="G411" s="46" t="s">
        <v>457</v>
      </c>
      <c r="H411" s="46" t="s">
        <v>457</v>
      </c>
      <c r="I411" s="25">
        <v>0.9</v>
      </c>
      <c r="J411" s="26">
        <v>0.97959183673469385</v>
      </c>
      <c r="K411" s="26">
        <v>0.95744680851063835</v>
      </c>
      <c r="L411" s="27">
        <v>0.98</v>
      </c>
      <c r="M411" s="26">
        <v>0.97082228116710878</v>
      </c>
      <c r="N411" s="28">
        <v>0.9</v>
      </c>
      <c r="O411" s="26">
        <v>0.98284682515798982</v>
      </c>
      <c r="P411" s="26">
        <v>0.9711202792764202</v>
      </c>
      <c r="Q411" s="26">
        <v>0.94852343538336492</v>
      </c>
      <c r="R411" s="26">
        <v>0.94869774074908053</v>
      </c>
      <c r="S411" s="28">
        <v>0.9</v>
      </c>
      <c r="T411" s="26">
        <v>0.92386397833283174</v>
      </c>
      <c r="U411" s="26">
        <v>0.90606156775626789</v>
      </c>
      <c r="V411" s="26">
        <v>0.91411541587645628</v>
      </c>
      <c r="W411" s="26">
        <v>0.90553929295203783</v>
      </c>
      <c r="X411" s="28">
        <v>0.92</v>
      </c>
      <c r="Y411" s="28">
        <v>0.9062905317769131</v>
      </c>
      <c r="Z411" s="28">
        <v>0.91683168316831687</v>
      </c>
      <c r="AA411" s="28">
        <v>0.88761737089201875</v>
      </c>
      <c r="AB411" s="28">
        <v>0.91605428914217157</v>
      </c>
      <c r="AC411" s="28">
        <v>0.92</v>
      </c>
      <c r="AD411" s="26">
        <v>0.95421410025963649</v>
      </c>
      <c r="AE411" s="26">
        <v>0.98633546205860256</v>
      </c>
      <c r="AF411" s="26">
        <v>0.92396593673965932</v>
      </c>
      <c r="AG411" s="26">
        <v>0.92665968297091017</v>
      </c>
      <c r="AH411" s="28">
        <v>0.92</v>
      </c>
      <c r="AI411" s="26">
        <v>0.93648564294631709</v>
      </c>
      <c r="AJ411" s="26">
        <v>0.9409671680414039</v>
      </c>
      <c r="AK411" s="26">
        <v>0.93312684781078414</v>
      </c>
      <c r="AL411" s="26">
        <v>0.94608376138877437</v>
      </c>
      <c r="AM411" s="25">
        <v>0.99</v>
      </c>
      <c r="AN411" s="30">
        <v>1</v>
      </c>
      <c r="AO411" s="30">
        <v>1</v>
      </c>
      <c r="AP411" s="30">
        <v>1</v>
      </c>
      <c r="AQ411" s="30">
        <v>1</v>
      </c>
      <c r="AR411" s="50">
        <v>0.05</v>
      </c>
      <c r="AS411" s="34">
        <v>0.04</v>
      </c>
      <c r="AT411" s="34">
        <v>0.19354838709677419</v>
      </c>
      <c r="AU411" s="34">
        <v>3.7037037037037035E-2</v>
      </c>
      <c r="AV411" s="34">
        <v>5.2631578947368418E-2</v>
      </c>
      <c r="AW411" s="10"/>
      <c r="AX411" s="8"/>
    </row>
    <row r="412" spans="1:50">
      <c r="A412" s="7"/>
      <c r="B412" s="10"/>
      <c r="C412" s="45" t="s">
        <v>396</v>
      </c>
      <c r="D412" s="23" t="s">
        <v>19</v>
      </c>
      <c r="E412" s="46" t="s">
        <v>458</v>
      </c>
      <c r="F412" s="46" t="s">
        <v>458</v>
      </c>
      <c r="G412" s="46" t="s">
        <v>458</v>
      </c>
      <c r="H412" s="46" t="s">
        <v>458</v>
      </c>
      <c r="I412" s="25">
        <v>0.9</v>
      </c>
      <c r="J412" s="26">
        <v>0.94827586206896552</v>
      </c>
      <c r="K412" s="26">
        <v>0.98181818181818181</v>
      </c>
      <c r="L412" s="27">
        <v>1</v>
      </c>
      <c r="M412" s="26">
        <v>0.9753363228699552</v>
      </c>
      <c r="N412" s="28">
        <v>0.9</v>
      </c>
      <c r="O412" s="26">
        <v>0.99289730689553124</v>
      </c>
      <c r="P412" s="26">
        <v>0.9889196675900277</v>
      </c>
      <c r="Q412" s="26">
        <v>0.99356292243321531</v>
      </c>
      <c r="R412" s="26">
        <v>0.99076352022098491</v>
      </c>
      <c r="S412" s="28">
        <v>0.9</v>
      </c>
      <c r="T412" s="26">
        <v>0.94436223734832792</v>
      </c>
      <c r="U412" s="26">
        <v>0.95394736842105265</v>
      </c>
      <c r="V412" s="26">
        <v>0.94206630189893792</v>
      </c>
      <c r="W412" s="26">
        <v>0.94682549958996931</v>
      </c>
      <c r="X412" s="28">
        <v>0.92</v>
      </c>
      <c r="Y412" s="28">
        <v>0.96215561610656974</v>
      </c>
      <c r="Z412" s="28">
        <v>0.96809986130374481</v>
      </c>
      <c r="AA412" s="28">
        <v>0.97367194780987887</v>
      </c>
      <c r="AB412" s="28">
        <v>0.96136997212266029</v>
      </c>
      <c r="AC412" s="28">
        <v>0.92</v>
      </c>
      <c r="AD412" s="26">
        <v>0.99480281259553649</v>
      </c>
      <c r="AE412" s="26">
        <v>0.99770544743774969</v>
      </c>
      <c r="AF412" s="26">
        <v>0.99595792568095176</v>
      </c>
      <c r="AG412" s="26">
        <v>0.99412594365877516</v>
      </c>
      <c r="AH412" s="28">
        <v>0.92</v>
      </c>
      <c r="AI412" s="26">
        <v>0.97158666068491106</v>
      </c>
      <c r="AJ412" s="26">
        <v>0.97748137883249608</v>
      </c>
      <c r="AK412" s="26">
        <v>0.9789416846652268</v>
      </c>
      <c r="AL412" s="26">
        <v>0.97356568259150722</v>
      </c>
      <c r="AM412" s="25">
        <v>0.99</v>
      </c>
      <c r="AN412" s="30">
        <v>1</v>
      </c>
      <c r="AO412" s="30">
        <v>1</v>
      </c>
      <c r="AP412" s="30">
        <v>1</v>
      </c>
      <c r="AQ412" s="30">
        <v>1</v>
      </c>
      <c r="AR412" s="50">
        <v>0.05</v>
      </c>
      <c r="AS412" s="34">
        <v>7.1428571428571425E-2</v>
      </c>
      <c r="AT412" s="34">
        <v>0</v>
      </c>
      <c r="AU412" s="34">
        <v>3.8461538461538464E-2</v>
      </c>
      <c r="AV412" s="34">
        <v>3.7267080745341616E-2</v>
      </c>
      <c r="AW412" s="10"/>
      <c r="AX412" s="8"/>
    </row>
    <row r="413" spans="1:50">
      <c r="A413" s="7"/>
      <c r="B413" s="10"/>
      <c r="C413" s="45" t="s">
        <v>396</v>
      </c>
      <c r="D413" s="23" t="s">
        <v>19</v>
      </c>
      <c r="E413" s="46" t="s">
        <v>459</v>
      </c>
      <c r="F413" s="46" t="s">
        <v>459</v>
      </c>
      <c r="G413" s="46" t="s">
        <v>459</v>
      </c>
      <c r="H413" s="46" t="s">
        <v>459</v>
      </c>
      <c r="I413" s="25">
        <v>0.9</v>
      </c>
      <c r="J413" s="26">
        <v>1</v>
      </c>
      <c r="K413" s="26">
        <v>0.98113207547169812</v>
      </c>
      <c r="L413" s="27">
        <v>0.98148148148148151</v>
      </c>
      <c r="M413" s="26">
        <v>0.99257425742574257</v>
      </c>
      <c r="N413" s="28">
        <v>0.9</v>
      </c>
      <c r="O413" s="26">
        <v>0.99063136456211809</v>
      </c>
      <c r="P413" s="26">
        <v>0.99125632765761618</v>
      </c>
      <c r="Q413" s="26">
        <v>0.99534161490683226</v>
      </c>
      <c r="R413" s="26">
        <v>0.99086581045172717</v>
      </c>
      <c r="S413" s="28">
        <v>0.9</v>
      </c>
      <c r="T413" s="26">
        <v>0.96374745417515273</v>
      </c>
      <c r="U413" s="26">
        <v>0.96916705016106763</v>
      </c>
      <c r="V413" s="26">
        <v>0.96855590062111796</v>
      </c>
      <c r="W413" s="26">
        <v>0.96628653675819309</v>
      </c>
      <c r="X413" s="28">
        <v>0.92</v>
      </c>
      <c r="Y413" s="28">
        <v>0.97005261027923917</v>
      </c>
      <c r="Z413" s="28">
        <v>0.97697974217311234</v>
      </c>
      <c r="AA413" s="28">
        <v>0.97819314641744548</v>
      </c>
      <c r="AB413" s="28">
        <v>0.97865290860036924</v>
      </c>
      <c r="AC413" s="28">
        <v>0.92</v>
      </c>
      <c r="AD413" s="26">
        <v>0.9895953757225433</v>
      </c>
      <c r="AE413" s="26">
        <v>0.99654775604142698</v>
      </c>
      <c r="AF413" s="26">
        <v>0.99835526315789469</v>
      </c>
      <c r="AG413" s="26">
        <v>0.99627871166431414</v>
      </c>
      <c r="AH413" s="28">
        <v>0.92</v>
      </c>
      <c r="AI413" s="26">
        <v>0.97690437601296598</v>
      </c>
      <c r="AJ413" s="26">
        <v>0.98342922899884921</v>
      </c>
      <c r="AK413" s="26">
        <v>0.9871894409937888</v>
      </c>
      <c r="AL413" s="26">
        <v>0.98531735916390517</v>
      </c>
      <c r="AM413" s="25">
        <v>0.99</v>
      </c>
      <c r="AN413" s="30">
        <v>1</v>
      </c>
      <c r="AO413" s="30">
        <v>1</v>
      </c>
      <c r="AP413" s="30">
        <v>1</v>
      </c>
      <c r="AQ413" s="30">
        <v>1</v>
      </c>
      <c r="AR413" s="50">
        <v>0.05</v>
      </c>
      <c r="AS413" s="34">
        <v>0.1</v>
      </c>
      <c r="AT413" s="34">
        <v>0.16666666666666666</v>
      </c>
      <c r="AU413" s="34">
        <v>0.10526315789473684</v>
      </c>
      <c r="AV413" s="34">
        <v>6.2893081761006289E-2</v>
      </c>
      <c r="AW413" s="10"/>
      <c r="AX413" s="8"/>
    </row>
    <row r="414" spans="1:50">
      <c r="A414" s="7"/>
      <c r="B414" s="10"/>
      <c r="C414" s="45" t="s">
        <v>396</v>
      </c>
      <c r="D414" s="23" t="s">
        <v>19</v>
      </c>
      <c r="E414" s="46" t="s">
        <v>460</v>
      </c>
      <c r="F414" s="46" t="s">
        <v>460</v>
      </c>
      <c r="G414" s="46" t="s">
        <v>460</v>
      </c>
      <c r="H414" s="46" t="s">
        <v>460</v>
      </c>
      <c r="I414" s="25">
        <v>0.9</v>
      </c>
      <c r="J414" s="26">
        <v>0.98113207547169812</v>
      </c>
      <c r="K414" s="26">
        <v>0.9285714285714286</v>
      </c>
      <c r="L414" s="27">
        <v>0.94545454545454544</v>
      </c>
      <c r="M414" s="26">
        <v>0.95539906103286387</v>
      </c>
      <c r="N414" s="28">
        <v>0.9</v>
      </c>
      <c r="O414" s="26">
        <v>0.97421281216069489</v>
      </c>
      <c r="P414" s="26">
        <v>0.98141025641025637</v>
      </c>
      <c r="Q414" s="26">
        <v>0.98242530755711777</v>
      </c>
      <c r="R414" s="26">
        <v>0.98121974074652507</v>
      </c>
      <c r="S414" s="28">
        <v>0.9</v>
      </c>
      <c r="T414" s="26">
        <v>0.94109663409337674</v>
      </c>
      <c r="U414" s="26">
        <v>0.95737179487179491</v>
      </c>
      <c r="V414" s="26">
        <v>0.96594903339191562</v>
      </c>
      <c r="W414" s="26">
        <v>0.95478681867874438</v>
      </c>
      <c r="X414" s="28">
        <v>0.92</v>
      </c>
      <c r="Y414" s="28">
        <v>0.94756662804171499</v>
      </c>
      <c r="Z414" s="28">
        <v>0.96101485148514854</v>
      </c>
      <c r="AA414" s="28">
        <v>0.97626499739175798</v>
      </c>
      <c r="AB414" s="28">
        <v>0.96501098223575199</v>
      </c>
      <c r="AC414" s="28">
        <v>0.92</v>
      </c>
      <c r="AD414" s="26">
        <v>0.962156187008258</v>
      </c>
      <c r="AE414" s="26">
        <v>0.9995074538648453</v>
      </c>
      <c r="AF414" s="26">
        <v>0.9943633722940729</v>
      </c>
      <c r="AG414" s="26">
        <v>0.9837164949093361</v>
      </c>
      <c r="AH414" s="28">
        <v>0.92</v>
      </c>
      <c r="AI414" s="26">
        <v>0.95629640005603023</v>
      </c>
      <c r="AJ414" s="26">
        <v>0.96773178026129392</v>
      </c>
      <c r="AK414" s="26">
        <v>0.98212796377933997</v>
      </c>
      <c r="AL414" s="26">
        <v>0.97310546610087389</v>
      </c>
      <c r="AM414" s="25">
        <v>0.99</v>
      </c>
      <c r="AN414" s="30">
        <v>1</v>
      </c>
      <c r="AO414" s="30">
        <v>1</v>
      </c>
      <c r="AP414" s="30">
        <v>1</v>
      </c>
      <c r="AQ414" s="30">
        <v>1</v>
      </c>
      <c r="AR414" s="50">
        <v>0.05</v>
      </c>
      <c r="AS414" s="34">
        <v>3.4482758620689655E-2</v>
      </c>
      <c r="AT414" s="34">
        <v>2.8571428571428571E-2</v>
      </c>
      <c r="AU414" s="34">
        <v>3.0303030303030304E-2</v>
      </c>
      <c r="AV414" s="34">
        <v>3.1746031746031744E-2</v>
      </c>
      <c r="AW414" s="10"/>
      <c r="AX414" s="8"/>
    </row>
    <row r="415" spans="1:50">
      <c r="A415" s="7"/>
      <c r="B415" s="10"/>
      <c r="C415" s="45" t="s">
        <v>396</v>
      </c>
      <c r="D415" s="23" t="s">
        <v>19</v>
      </c>
      <c r="E415" s="46" t="s">
        <v>461</v>
      </c>
      <c r="F415" s="46" t="s">
        <v>461</v>
      </c>
      <c r="G415" s="46" t="s">
        <v>461</v>
      </c>
      <c r="H415" s="46" t="s">
        <v>461</v>
      </c>
      <c r="I415" s="25">
        <v>0.9</v>
      </c>
      <c r="J415" s="26">
        <v>0.92105263157894735</v>
      </c>
      <c r="K415" s="26">
        <v>0.94444444444444442</v>
      </c>
      <c r="L415" s="27">
        <v>0.94736842105263153</v>
      </c>
      <c r="M415" s="26">
        <v>0.96308724832214765</v>
      </c>
      <c r="N415" s="28">
        <v>0.9</v>
      </c>
      <c r="O415" s="26">
        <v>0.97333699835074217</v>
      </c>
      <c r="P415" s="26">
        <v>0.93213367609254494</v>
      </c>
      <c r="Q415" s="26">
        <v>0.8652706440142236</v>
      </c>
      <c r="R415" s="26">
        <v>0.93072682843666532</v>
      </c>
      <c r="S415" s="28">
        <v>0.9</v>
      </c>
      <c r="T415" s="26">
        <v>0.92138537658053876</v>
      </c>
      <c r="U415" s="26">
        <v>0.8946015424164524</v>
      </c>
      <c r="V415" s="26">
        <v>0.83879889371789806</v>
      </c>
      <c r="W415" s="26">
        <v>0.90435869750525655</v>
      </c>
      <c r="X415" s="28">
        <v>0.92</v>
      </c>
      <c r="Y415" s="28">
        <v>0.89224338132837899</v>
      </c>
      <c r="Z415" s="28">
        <v>0.99641577060931896</v>
      </c>
      <c r="AA415" s="28">
        <v>0.96337157987643429</v>
      </c>
      <c r="AB415" s="28">
        <v>0.96312056737588647</v>
      </c>
      <c r="AC415" s="28">
        <v>0.92</v>
      </c>
      <c r="AD415" s="26">
        <v>0.96668132834836151</v>
      </c>
      <c r="AE415" s="26">
        <v>0.9882352941176471</v>
      </c>
      <c r="AF415" s="26">
        <v>0.9940754244046941</v>
      </c>
      <c r="AG415" s="26">
        <v>0.98911235445334944</v>
      </c>
      <c r="AH415" s="28">
        <v>0.92</v>
      </c>
      <c r="AI415" s="26">
        <v>0.93732734806629836</v>
      </c>
      <c r="AJ415" s="26">
        <v>0.96853932584269664</v>
      </c>
      <c r="AK415" s="26">
        <v>0.94268445185493954</v>
      </c>
      <c r="AL415" s="26">
        <v>0.96815964523281595</v>
      </c>
      <c r="AM415" s="25">
        <v>0.99</v>
      </c>
      <c r="AN415" s="30">
        <v>1</v>
      </c>
      <c r="AO415" s="30">
        <v>1</v>
      </c>
      <c r="AP415" s="30">
        <v>1</v>
      </c>
      <c r="AQ415" s="30">
        <v>1</v>
      </c>
      <c r="AR415" s="50">
        <v>0.05</v>
      </c>
      <c r="AS415" s="34">
        <v>9.5238095238095247E-3</v>
      </c>
      <c r="AT415" s="34">
        <v>2.0689655172413793E-2</v>
      </c>
      <c r="AU415" s="34">
        <v>1.6949152542372881E-2</v>
      </c>
      <c r="AV415" s="34">
        <v>9.299442033477991E-3</v>
      </c>
      <c r="AW415" s="10"/>
      <c r="AX415" s="8"/>
    </row>
    <row r="416" spans="1:50">
      <c r="A416" s="7"/>
      <c r="B416" s="10"/>
      <c r="C416" s="45" t="s">
        <v>396</v>
      </c>
      <c r="D416" s="23" t="s">
        <v>19</v>
      </c>
      <c r="E416" s="46" t="s">
        <v>462</v>
      </c>
      <c r="F416" s="46" t="s">
        <v>462</v>
      </c>
      <c r="G416" s="46" t="s">
        <v>462</v>
      </c>
      <c r="H416" s="46" t="s">
        <v>462</v>
      </c>
      <c r="I416" s="25">
        <v>0.9</v>
      </c>
      <c r="J416" s="26">
        <v>0.95348837209302328</v>
      </c>
      <c r="K416" s="26">
        <v>0.96153846153846156</v>
      </c>
      <c r="L416" s="27">
        <v>0.88235294117647056</v>
      </c>
      <c r="M416" s="26">
        <v>0.91105121293800539</v>
      </c>
      <c r="N416" s="28">
        <v>0.9</v>
      </c>
      <c r="O416" s="26">
        <v>0.98096992019643958</v>
      </c>
      <c r="P416" s="26">
        <v>0.99442119944211993</v>
      </c>
      <c r="Q416" s="26">
        <v>0.97376464595007639</v>
      </c>
      <c r="R416" s="26">
        <v>0.97682161608400564</v>
      </c>
      <c r="S416" s="28">
        <v>0.9</v>
      </c>
      <c r="T416" s="26">
        <v>0.92081031307550643</v>
      </c>
      <c r="U416" s="26">
        <v>0.93340306834030684</v>
      </c>
      <c r="V416" s="26">
        <v>0.95185939887926641</v>
      </c>
      <c r="W416" s="26">
        <v>0.92286677764972036</v>
      </c>
      <c r="X416" s="28">
        <v>0.92</v>
      </c>
      <c r="Y416" s="28">
        <v>0.90915468256752019</v>
      </c>
      <c r="Z416" s="28">
        <v>0.94419060052219317</v>
      </c>
      <c r="AA416" s="28">
        <v>0.95816618911174789</v>
      </c>
      <c r="AB416" s="28">
        <v>0.93061963692811867</v>
      </c>
      <c r="AC416" s="28">
        <v>0.92</v>
      </c>
      <c r="AD416" s="26">
        <v>0.9979538300104932</v>
      </c>
      <c r="AE416" s="26">
        <v>0.98167652967044894</v>
      </c>
      <c r="AF416" s="26">
        <v>0.97928069847542254</v>
      </c>
      <c r="AG416" s="26">
        <v>0.98507129832478457</v>
      </c>
      <c r="AH416" s="28">
        <v>0.92</v>
      </c>
      <c r="AI416" s="26">
        <v>0.94241779813512183</v>
      </c>
      <c r="AJ416" s="26">
        <v>0.95787700084245997</v>
      </c>
      <c r="AK416" s="26">
        <v>0.97344297654354273</v>
      </c>
      <c r="AL416" s="26">
        <v>0.953118638983523</v>
      </c>
      <c r="AM416" s="25">
        <v>0.99</v>
      </c>
      <c r="AN416" s="30">
        <v>1</v>
      </c>
      <c r="AO416" s="30">
        <v>1</v>
      </c>
      <c r="AP416" s="30">
        <v>1</v>
      </c>
      <c r="AQ416" s="30">
        <v>1</v>
      </c>
      <c r="AR416" s="50">
        <v>0.05</v>
      </c>
      <c r="AS416" s="34">
        <v>3.2258064516129031E-2</v>
      </c>
      <c r="AT416" s="34">
        <v>9.5238095238095233E-2</v>
      </c>
      <c r="AU416" s="34">
        <v>8.3333333333333329E-2</v>
      </c>
      <c r="AV416" s="34">
        <v>5.3511705685618728E-2</v>
      </c>
      <c r="AW416" s="10"/>
      <c r="AX416" s="8"/>
    </row>
    <row r="417" spans="1:50">
      <c r="A417" s="7"/>
      <c r="B417" s="10"/>
      <c r="C417" s="45" t="s">
        <v>396</v>
      </c>
      <c r="D417" s="23" t="s">
        <v>19</v>
      </c>
      <c r="E417" s="46" t="s">
        <v>463</v>
      </c>
      <c r="F417" s="46" t="s">
        <v>463</v>
      </c>
      <c r="G417" s="46" t="s">
        <v>463</v>
      </c>
      <c r="H417" s="46" t="s">
        <v>463</v>
      </c>
      <c r="I417" s="25">
        <v>0.9</v>
      </c>
      <c r="J417" s="26">
        <v>0.96875</v>
      </c>
      <c r="K417" s="26">
        <v>0.99038461538461542</v>
      </c>
      <c r="L417" s="27">
        <v>0.97272727272727277</v>
      </c>
      <c r="M417" s="26">
        <v>0.97361809045226133</v>
      </c>
      <c r="N417" s="28">
        <v>0.9</v>
      </c>
      <c r="O417" s="26">
        <v>0.97863845078858058</v>
      </c>
      <c r="P417" s="26">
        <v>0.9739347234814143</v>
      </c>
      <c r="Q417" s="26">
        <v>0.98219291014014842</v>
      </c>
      <c r="R417" s="26">
        <v>0.98101074292631263</v>
      </c>
      <c r="S417" s="28">
        <v>0.9</v>
      </c>
      <c r="T417" s="26">
        <v>0.95428229187462565</v>
      </c>
      <c r="U417" s="26">
        <v>0.95716228467815045</v>
      </c>
      <c r="V417" s="26">
        <v>0.96669414674361087</v>
      </c>
      <c r="W417" s="26">
        <v>0.95869269178393102</v>
      </c>
      <c r="X417" s="28">
        <v>0.92</v>
      </c>
      <c r="Y417" s="28">
        <v>0.94555572266506238</v>
      </c>
      <c r="Z417" s="28">
        <v>0.962678936605317</v>
      </c>
      <c r="AA417" s="28">
        <v>0.97242701268062515</v>
      </c>
      <c r="AB417" s="28">
        <v>0.96219303699098535</v>
      </c>
      <c r="AC417" s="28">
        <v>0.92</v>
      </c>
      <c r="AD417" s="26">
        <v>0.99325241894415206</v>
      </c>
      <c r="AE417" s="26">
        <v>0.98907668794390002</v>
      </c>
      <c r="AF417" s="26">
        <v>0.98739986312950367</v>
      </c>
      <c r="AG417" s="26">
        <v>0.98128916641622421</v>
      </c>
      <c r="AH417" s="28">
        <v>0.92</v>
      </c>
      <c r="AI417" s="26">
        <v>0.96005143591941711</v>
      </c>
      <c r="AJ417" s="26">
        <v>0.97140077821011672</v>
      </c>
      <c r="AK417" s="26">
        <v>0.98203453103126459</v>
      </c>
      <c r="AL417" s="26">
        <v>0.97400276309730049</v>
      </c>
      <c r="AM417" s="25">
        <v>0.99</v>
      </c>
      <c r="AN417" s="30">
        <v>1</v>
      </c>
      <c r="AO417" s="30">
        <v>1</v>
      </c>
      <c r="AP417" s="30">
        <v>1</v>
      </c>
      <c r="AQ417" s="30">
        <v>1</v>
      </c>
      <c r="AR417" s="50">
        <v>0.05</v>
      </c>
      <c r="AS417" s="34">
        <v>0</v>
      </c>
      <c r="AT417" s="34">
        <v>2.1739130434782608E-2</v>
      </c>
      <c r="AU417" s="34">
        <v>6.25E-2</v>
      </c>
      <c r="AV417" s="34">
        <v>2.557544757033248E-2</v>
      </c>
      <c r="AW417" s="10"/>
      <c r="AX417" s="8"/>
    </row>
    <row r="418" spans="1:50">
      <c r="A418" s="7"/>
      <c r="B418" s="10"/>
      <c r="C418" s="45" t="s">
        <v>396</v>
      </c>
      <c r="D418" s="23" t="s">
        <v>19</v>
      </c>
      <c r="E418" s="46" t="s">
        <v>464</v>
      </c>
      <c r="F418" s="46" t="s">
        <v>464</v>
      </c>
      <c r="G418" s="46" t="s">
        <v>464</v>
      </c>
      <c r="H418" s="46" t="s">
        <v>464</v>
      </c>
      <c r="I418" s="25">
        <v>0.9</v>
      </c>
      <c r="J418" s="26">
        <v>0.98684210526315785</v>
      </c>
      <c r="K418" s="26">
        <v>1</v>
      </c>
      <c r="L418" s="27">
        <v>1</v>
      </c>
      <c r="M418" s="26">
        <v>0.98835274542429286</v>
      </c>
      <c r="N418" s="28">
        <v>0.9</v>
      </c>
      <c r="O418" s="26">
        <v>0.98738343390016459</v>
      </c>
      <c r="P418" s="26">
        <v>0.99072356215213353</v>
      </c>
      <c r="Q418" s="26">
        <v>0.98885862837335969</v>
      </c>
      <c r="R418" s="26">
        <v>0.99030419658056401</v>
      </c>
      <c r="S418" s="28">
        <v>0.9</v>
      </c>
      <c r="T418" s="26">
        <v>0.9651673066374109</v>
      </c>
      <c r="U418" s="26">
        <v>0.95980210265924548</v>
      </c>
      <c r="V418" s="26">
        <v>0.967813815300817</v>
      </c>
      <c r="W418" s="26">
        <v>0.96432536451780027</v>
      </c>
      <c r="X418" s="28">
        <v>0.92</v>
      </c>
      <c r="Y418" s="28">
        <v>0.9743067921648435</v>
      </c>
      <c r="Z418" s="28">
        <v>0.97810002959455455</v>
      </c>
      <c r="AA418" s="28">
        <v>0.98769230769230765</v>
      </c>
      <c r="AB418" s="28">
        <v>0.98272868500411226</v>
      </c>
      <c r="AC418" s="28">
        <v>0.92</v>
      </c>
      <c r="AD418" s="26">
        <v>0.99399038461538458</v>
      </c>
      <c r="AE418" s="26">
        <v>0.99184149184149184</v>
      </c>
      <c r="AF418" s="26">
        <v>0.98589894242068155</v>
      </c>
      <c r="AG418" s="26">
        <v>0.99285918309054555</v>
      </c>
      <c r="AH418" s="28">
        <v>0.92</v>
      </c>
      <c r="AI418" s="26">
        <v>0.98048523206751059</v>
      </c>
      <c r="AJ418" s="26">
        <v>0.98533192197187358</v>
      </c>
      <c r="AK418" s="26">
        <v>0.99194360523665659</v>
      </c>
      <c r="AL418" s="26">
        <v>0.98792867399071693</v>
      </c>
      <c r="AM418" s="25">
        <v>0.99</v>
      </c>
      <c r="AN418" s="30">
        <v>1</v>
      </c>
      <c r="AO418" s="30">
        <v>1</v>
      </c>
      <c r="AP418" s="30">
        <v>1</v>
      </c>
      <c r="AQ418" s="30">
        <v>1</v>
      </c>
      <c r="AR418" s="50">
        <v>0.05</v>
      </c>
      <c r="AS418" s="34">
        <v>2.6315789473684209E-2</v>
      </c>
      <c r="AT418" s="34">
        <v>5.4054054054054057E-2</v>
      </c>
      <c r="AU418" s="34">
        <v>2.564102564102564E-2</v>
      </c>
      <c r="AV418" s="34">
        <v>3.7453183520599252E-2</v>
      </c>
      <c r="AW418" s="10"/>
      <c r="AX418" s="8"/>
    </row>
    <row r="419" spans="1:50">
      <c r="A419" s="7"/>
      <c r="B419" s="10"/>
      <c r="C419" s="45" t="s">
        <v>396</v>
      </c>
      <c r="D419" s="23" t="s">
        <v>19</v>
      </c>
      <c r="E419" s="46" t="s">
        <v>465</v>
      </c>
      <c r="F419" s="46" t="s">
        <v>465</v>
      </c>
      <c r="G419" s="46" t="s">
        <v>465</v>
      </c>
      <c r="H419" s="46" t="s">
        <v>465</v>
      </c>
      <c r="I419" s="25">
        <v>0.9</v>
      </c>
      <c r="J419" s="26">
        <v>0.98461538461538467</v>
      </c>
      <c r="K419" s="26">
        <v>1</v>
      </c>
      <c r="L419" s="27">
        <v>0.97014925373134331</v>
      </c>
      <c r="M419" s="26">
        <v>0.98399999999999999</v>
      </c>
      <c r="N419" s="28">
        <v>0.9</v>
      </c>
      <c r="O419" s="26">
        <v>0.96295148039063716</v>
      </c>
      <c r="P419" s="26">
        <v>0.96950271950271949</v>
      </c>
      <c r="Q419" s="26">
        <v>0.96922536859349406</v>
      </c>
      <c r="R419" s="26">
        <v>0.96620950579333176</v>
      </c>
      <c r="S419" s="28">
        <v>0.9</v>
      </c>
      <c r="T419" s="26">
        <v>0.94962021392032248</v>
      </c>
      <c r="U419" s="26">
        <v>0.95318570318570317</v>
      </c>
      <c r="V419" s="26">
        <v>0.96747016147905451</v>
      </c>
      <c r="W419" s="26">
        <v>0.94428943012532518</v>
      </c>
      <c r="X419" s="28">
        <v>0.92</v>
      </c>
      <c r="Y419" s="28">
        <v>0.92743009320905456</v>
      </c>
      <c r="Z419" s="28">
        <v>0.96432341144184086</v>
      </c>
      <c r="AA419" s="28">
        <v>0.97161778618732264</v>
      </c>
      <c r="AB419" s="28">
        <v>0.94413498022119968</v>
      </c>
      <c r="AC419" s="28">
        <v>0.92</v>
      </c>
      <c r="AD419" s="26">
        <v>0.99589800636156645</v>
      </c>
      <c r="AE419" s="26">
        <v>0.95709124531274081</v>
      </c>
      <c r="AF419" s="26">
        <v>0.97083536288358496</v>
      </c>
      <c r="AG419" s="26">
        <v>0.95195108052241895</v>
      </c>
      <c r="AH419" s="28">
        <v>0.92</v>
      </c>
      <c r="AI419" s="26">
        <v>0.9567636595822312</v>
      </c>
      <c r="AJ419" s="26">
        <v>0.97380133522152534</v>
      </c>
      <c r="AK419" s="26">
        <v>0.98187919463087248</v>
      </c>
      <c r="AL419" s="26">
        <v>0.96375553542673109</v>
      </c>
      <c r="AM419" s="25">
        <v>0.99</v>
      </c>
      <c r="AN419" s="30">
        <v>1</v>
      </c>
      <c r="AO419" s="30">
        <v>1</v>
      </c>
      <c r="AP419" s="30">
        <v>1</v>
      </c>
      <c r="AQ419" s="30">
        <v>1</v>
      </c>
      <c r="AR419" s="50">
        <v>0.05</v>
      </c>
      <c r="AS419" s="34">
        <v>5.2631578947368418E-2</v>
      </c>
      <c r="AT419" s="34">
        <v>9.6153846153846159E-3</v>
      </c>
      <c r="AU419" s="34">
        <v>9.3457943925233638E-3</v>
      </c>
      <c r="AV419" s="34">
        <v>1.5544041450777202E-2</v>
      </c>
      <c r="AW419" s="10"/>
      <c r="AX419" s="8"/>
    </row>
    <row r="420" spans="1:50">
      <c r="A420" s="7"/>
      <c r="B420" s="10"/>
      <c r="C420" s="45" t="s">
        <v>396</v>
      </c>
      <c r="D420" s="23" t="s">
        <v>19</v>
      </c>
      <c r="E420" s="46" t="s">
        <v>466</v>
      </c>
      <c r="F420" s="46" t="s">
        <v>466</v>
      </c>
      <c r="G420" s="46" t="s">
        <v>466</v>
      </c>
      <c r="H420" s="46" t="s">
        <v>466</v>
      </c>
      <c r="I420" s="25">
        <v>0.9</v>
      </c>
      <c r="J420" s="26">
        <v>0.93478260869565222</v>
      </c>
      <c r="K420" s="26">
        <v>0.94117647058823528</v>
      </c>
      <c r="L420" s="27">
        <v>0.94339622641509435</v>
      </c>
      <c r="M420" s="26">
        <v>0.9342465753424658</v>
      </c>
      <c r="N420" s="28">
        <v>0.9</v>
      </c>
      <c r="O420" s="26">
        <v>0.96499846484494933</v>
      </c>
      <c r="P420" s="26">
        <v>0.97281879194630871</v>
      </c>
      <c r="Q420" s="26">
        <v>0.97425583266291227</v>
      </c>
      <c r="R420" s="26">
        <v>0.9210281244179549</v>
      </c>
      <c r="S420" s="28">
        <v>0.9</v>
      </c>
      <c r="T420" s="26">
        <v>0.86766963463309799</v>
      </c>
      <c r="U420" s="26">
        <v>0.89664429530201339</v>
      </c>
      <c r="V420" s="26">
        <v>0.91284526682756773</v>
      </c>
      <c r="W420" s="26">
        <v>0.87118644067796613</v>
      </c>
      <c r="X420" s="28">
        <v>0.92</v>
      </c>
      <c r="Y420" s="28">
        <v>0.87465094632330131</v>
      </c>
      <c r="Z420" s="28">
        <v>0.92273590880303991</v>
      </c>
      <c r="AA420" s="28">
        <v>0.9208553179672313</v>
      </c>
      <c r="AB420" s="28">
        <v>0.91196006911115379</v>
      </c>
      <c r="AC420" s="28">
        <v>0.92</v>
      </c>
      <c r="AD420" s="26">
        <v>0.99812441387933726</v>
      </c>
      <c r="AE420" s="26">
        <v>0.99635047689146505</v>
      </c>
      <c r="AF420" s="26">
        <v>0.99717794455126219</v>
      </c>
      <c r="AG420" s="26">
        <v>0.99131673106063611</v>
      </c>
      <c r="AH420" s="28">
        <v>0.92</v>
      </c>
      <c r="AI420" s="26">
        <v>0.90067859346082668</v>
      </c>
      <c r="AJ420" s="26">
        <v>0.94429967426710093</v>
      </c>
      <c r="AK420" s="26">
        <v>0.94723206981183528</v>
      </c>
      <c r="AL420" s="26">
        <v>0.93622439355641907</v>
      </c>
      <c r="AM420" s="25">
        <v>0.99</v>
      </c>
      <c r="AN420" s="30">
        <v>1</v>
      </c>
      <c r="AO420" s="30">
        <v>1</v>
      </c>
      <c r="AP420" s="30">
        <v>1</v>
      </c>
      <c r="AQ420" s="30">
        <v>1</v>
      </c>
      <c r="AR420" s="50">
        <v>0.05</v>
      </c>
      <c r="AS420" s="34">
        <v>3.5714285714285712E-2</v>
      </c>
      <c r="AT420" s="34">
        <v>0</v>
      </c>
      <c r="AU420" s="34">
        <v>0.02</v>
      </c>
      <c r="AV420" s="34">
        <v>2.3454157782515993E-2</v>
      </c>
      <c r="AW420" s="10"/>
      <c r="AX420" s="8"/>
    </row>
    <row r="421" spans="1:50">
      <c r="A421" s="7"/>
      <c r="B421" s="10"/>
      <c r="C421" s="45" t="s">
        <v>396</v>
      </c>
      <c r="D421" s="23" t="s">
        <v>19</v>
      </c>
      <c r="E421" s="46" t="s">
        <v>467</v>
      </c>
      <c r="F421" s="46" t="s">
        <v>467</v>
      </c>
      <c r="G421" s="46" t="s">
        <v>467</v>
      </c>
      <c r="H421" s="46" t="s">
        <v>467</v>
      </c>
      <c r="I421" s="25">
        <v>0.9</v>
      </c>
      <c r="J421" s="26">
        <v>0.95348837209302328</v>
      </c>
      <c r="K421" s="26">
        <v>0.95652173913043481</v>
      </c>
      <c r="L421" s="27">
        <v>1</v>
      </c>
      <c r="M421" s="26">
        <v>0.97428571428571431</v>
      </c>
      <c r="N421" s="28">
        <v>0.9</v>
      </c>
      <c r="O421" s="26">
        <v>0.98906386701662297</v>
      </c>
      <c r="P421" s="26">
        <v>0.98866855524079322</v>
      </c>
      <c r="Q421" s="26">
        <v>0.99043443603029091</v>
      </c>
      <c r="R421" s="26">
        <v>0.98949252352635531</v>
      </c>
      <c r="S421" s="28">
        <v>0.9</v>
      </c>
      <c r="T421" s="26">
        <v>0.96762904636920388</v>
      </c>
      <c r="U421" s="26">
        <v>0.97544853635505191</v>
      </c>
      <c r="V421" s="26">
        <v>0.97489039457951376</v>
      </c>
      <c r="W421" s="26">
        <v>0.97078690606777895</v>
      </c>
      <c r="X421" s="28">
        <v>0.92</v>
      </c>
      <c r="Y421" s="28">
        <v>0.97631779984721156</v>
      </c>
      <c r="Z421" s="28">
        <v>0.97862453531598514</v>
      </c>
      <c r="AA421" s="28">
        <v>0.98478345688646118</v>
      </c>
      <c r="AB421" s="28">
        <v>0.97873981584148873</v>
      </c>
      <c r="AC421" s="28">
        <v>0.92</v>
      </c>
      <c r="AD421" s="26">
        <v>0.99561403508771928</v>
      </c>
      <c r="AE421" s="26">
        <v>0.99538461538461542</v>
      </c>
      <c r="AF421" s="26">
        <v>0.99401848830886352</v>
      </c>
      <c r="AG421" s="26">
        <v>0.9954355477342719</v>
      </c>
      <c r="AH421" s="28">
        <v>0.92</v>
      </c>
      <c r="AI421" s="26">
        <v>0.97984937919804604</v>
      </c>
      <c r="AJ421" s="26">
        <v>0.98313817330210773</v>
      </c>
      <c r="AK421" s="26">
        <v>0.98995865327820443</v>
      </c>
      <c r="AL421" s="26">
        <v>0.98417405910450895</v>
      </c>
      <c r="AM421" s="25">
        <v>0.99</v>
      </c>
      <c r="AN421" s="30">
        <v>1</v>
      </c>
      <c r="AO421" s="30">
        <v>1</v>
      </c>
      <c r="AP421" s="30">
        <v>1</v>
      </c>
      <c r="AQ421" s="30">
        <v>1</v>
      </c>
      <c r="AR421" s="50">
        <v>0.05</v>
      </c>
      <c r="AS421" s="34">
        <v>0</v>
      </c>
      <c r="AT421" s="34">
        <v>0</v>
      </c>
      <c r="AU421" s="34">
        <v>0</v>
      </c>
      <c r="AV421" s="34">
        <v>1.680672268907563E-2</v>
      </c>
      <c r="AW421" s="10"/>
      <c r="AX421" s="8"/>
    </row>
    <row r="422" spans="1:50">
      <c r="A422" s="7"/>
      <c r="B422" s="10"/>
      <c r="C422" s="45" t="s">
        <v>396</v>
      </c>
      <c r="D422" s="23" t="s">
        <v>19</v>
      </c>
      <c r="E422" s="46" t="s">
        <v>468</v>
      </c>
      <c r="F422" s="46" t="s">
        <v>468</v>
      </c>
      <c r="G422" s="46" t="s">
        <v>468</v>
      </c>
      <c r="H422" s="46" t="s">
        <v>468</v>
      </c>
      <c r="I422" s="25">
        <v>0.9</v>
      </c>
      <c r="J422" s="26">
        <v>1</v>
      </c>
      <c r="K422" s="26">
        <v>0.95238095238095233</v>
      </c>
      <c r="L422" s="27">
        <v>1</v>
      </c>
      <c r="M422" s="26">
        <v>0.99038461538461542</v>
      </c>
      <c r="N422" s="28">
        <v>0.9</v>
      </c>
      <c r="O422" s="26">
        <v>0.99364575059571092</v>
      </c>
      <c r="P422" s="26">
        <v>0.99171539961013644</v>
      </c>
      <c r="Q422" s="26">
        <v>0.99276287782034911</v>
      </c>
      <c r="R422" s="26">
        <v>0.9917491749174917</v>
      </c>
      <c r="S422" s="28">
        <v>0.9</v>
      </c>
      <c r="T422" s="26">
        <v>0.96584590945194604</v>
      </c>
      <c r="U422" s="26">
        <v>0.96247563352826515</v>
      </c>
      <c r="V422" s="26">
        <v>0.98212005108556832</v>
      </c>
      <c r="W422" s="26">
        <v>0.97132127005804025</v>
      </c>
      <c r="X422" s="28">
        <v>0.92</v>
      </c>
      <c r="Y422" s="28">
        <v>0.97401039584166338</v>
      </c>
      <c r="Z422" s="28">
        <v>0.9757688723205965</v>
      </c>
      <c r="AA422" s="28">
        <v>0.98303425774877651</v>
      </c>
      <c r="AB422" s="28">
        <v>0.97810395775807779</v>
      </c>
      <c r="AC422" s="28">
        <v>0.92</v>
      </c>
      <c r="AD422" s="26">
        <v>0.99867291869415198</v>
      </c>
      <c r="AE422" s="26">
        <v>0.98963730569948183</v>
      </c>
      <c r="AF422" s="26">
        <v>0.99914536555046229</v>
      </c>
      <c r="AG422" s="26">
        <v>0.9890752387607733</v>
      </c>
      <c r="AH422" s="28">
        <v>0.92</v>
      </c>
      <c r="AI422" s="26">
        <v>0.98068883137567187</v>
      </c>
      <c r="AJ422" s="26">
        <v>0.98213434969032876</v>
      </c>
      <c r="AK422" s="26">
        <v>0.98894009216589862</v>
      </c>
      <c r="AL422" s="26">
        <v>0.984892048721836</v>
      </c>
      <c r="AM422" s="25">
        <v>0.99</v>
      </c>
      <c r="AN422" s="30">
        <v>1</v>
      </c>
      <c r="AO422" s="30">
        <v>1</v>
      </c>
      <c r="AP422" s="30">
        <v>1</v>
      </c>
      <c r="AQ422" s="30">
        <v>1</v>
      </c>
      <c r="AR422" s="50">
        <v>0.05</v>
      </c>
      <c r="AS422" s="34">
        <v>0</v>
      </c>
      <c r="AT422" s="34">
        <v>0.16666666666666666</v>
      </c>
      <c r="AU422" s="34">
        <v>0</v>
      </c>
      <c r="AV422" s="34">
        <v>3.7735849056603772E-2</v>
      </c>
      <c r="AW422" s="10"/>
      <c r="AX422" s="8"/>
    </row>
    <row r="423" spans="1:50">
      <c r="A423" s="7"/>
      <c r="B423" s="10"/>
      <c r="C423" s="45" t="s">
        <v>396</v>
      </c>
      <c r="D423" s="23" t="s">
        <v>19</v>
      </c>
      <c r="E423" s="46" t="s">
        <v>469</v>
      </c>
      <c r="F423" s="46" t="s">
        <v>469</v>
      </c>
      <c r="G423" s="46" t="s">
        <v>469</v>
      </c>
      <c r="H423" s="46" t="s">
        <v>469</v>
      </c>
      <c r="I423" s="25">
        <v>0.9</v>
      </c>
      <c r="J423" s="26">
        <v>0.8666666666666667</v>
      </c>
      <c r="K423" s="26">
        <v>0.90625</v>
      </c>
      <c r="L423" s="27">
        <v>1</v>
      </c>
      <c r="M423" s="26">
        <v>0.92244897959183669</v>
      </c>
      <c r="N423" s="28">
        <v>0.9</v>
      </c>
      <c r="O423" s="26">
        <v>0.91828040278853607</v>
      </c>
      <c r="P423" s="26">
        <v>0.95941123996431754</v>
      </c>
      <c r="Q423" s="26">
        <v>0.96736980883322343</v>
      </c>
      <c r="R423" s="26">
        <v>0.94933908522758692</v>
      </c>
      <c r="S423" s="28">
        <v>0.9</v>
      </c>
      <c r="T423" s="26">
        <v>0.93764523625096829</v>
      </c>
      <c r="U423" s="26">
        <v>0.94380017841213204</v>
      </c>
      <c r="V423" s="26">
        <v>0.9528675016479895</v>
      </c>
      <c r="W423" s="26">
        <v>0.9248935346496322</v>
      </c>
      <c r="X423" s="28">
        <v>0.92</v>
      </c>
      <c r="Y423" s="28">
        <v>0.93971468016566961</v>
      </c>
      <c r="Z423" s="28">
        <v>0.9549240568348849</v>
      </c>
      <c r="AA423" s="28">
        <v>0.96441947565543074</v>
      </c>
      <c r="AB423" s="28">
        <v>0.93420975063373224</v>
      </c>
      <c r="AC423" s="28">
        <v>0.92</v>
      </c>
      <c r="AD423" s="26">
        <v>0.99392802719493611</v>
      </c>
      <c r="AE423" s="26">
        <v>0.99571550985432733</v>
      </c>
      <c r="AF423" s="26">
        <v>0.99658972276998026</v>
      </c>
      <c r="AG423" s="26">
        <v>0.99578118156710038</v>
      </c>
      <c r="AH423" s="28">
        <v>0.92</v>
      </c>
      <c r="AI423" s="26">
        <v>0.95126050420168062</v>
      </c>
      <c r="AJ423" s="26">
        <v>0.96575023299161233</v>
      </c>
      <c r="AK423" s="26">
        <v>0.97514005602240894</v>
      </c>
      <c r="AL423" s="26">
        <v>0.95267958950969212</v>
      </c>
      <c r="AM423" s="25">
        <v>0.99</v>
      </c>
      <c r="AN423" s="30">
        <v>1</v>
      </c>
      <c r="AO423" s="30">
        <v>1</v>
      </c>
      <c r="AP423" s="30">
        <v>1</v>
      </c>
      <c r="AQ423" s="30">
        <v>1</v>
      </c>
      <c r="AR423" s="50">
        <v>0.05</v>
      </c>
      <c r="AS423" s="34">
        <v>0</v>
      </c>
      <c r="AT423" s="34">
        <v>0</v>
      </c>
      <c r="AU423" s="34">
        <v>0</v>
      </c>
      <c r="AV423" s="34">
        <v>1.2722646310432571E-3</v>
      </c>
      <c r="AW423" s="10"/>
      <c r="AX423" s="8"/>
    </row>
    <row r="424" spans="1:50">
      <c r="A424" s="7"/>
      <c r="B424" s="10"/>
      <c r="C424" s="45" t="s">
        <v>396</v>
      </c>
      <c r="D424" s="23" t="s">
        <v>19</v>
      </c>
      <c r="E424" s="46" t="s">
        <v>470</v>
      </c>
      <c r="F424" s="46" t="s">
        <v>470</v>
      </c>
      <c r="G424" s="46" t="s">
        <v>470</v>
      </c>
      <c r="H424" s="46" t="s">
        <v>470</v>
      </c>
      <c r="I424" s="25">
        <v>0.9</v>
      </c>
      <c r="J424" s="26">
        <v>0.9</v>
      </c>
      <c r="K424" s="26">
        <v>0.8</v>
      </c>
      <c r="L424" s="27">
        <v>0.81632653061224492</v>
      </c>
      <c r="M424" s="26">
        <v>0.8597560975609756</v>
      </c>
      <c r="N424" s="28">
        <v>0.9</v>
      </c>
      <c r="O424" s="26">
        <v>0.97306750612102133</v>
      </c>
      <c r="P424" s="26">
        <v>0.96804431188751594</v>
      </c>
      <c r="Q424" s="26">
        <v>0.97183942480527263</v>
      </c>
      <c r="R424" s="26">
        <v>0.96125686394142773</v>
      </c>
      <c r="S424" s="28">
        <v>0.9</v>
      </c>
      <c r="T424" s="26">
        <v>0.94053864987757962</v>
      </c>
      <c r="U424" s="26">
        <v>0.92756710694503619</v>
      </c>
      <c r="V424" s="26">
        <v>0.9304973037747154</v>
      </c>
      <c r="W424" s="26">
        <v>0.91671751067724228</v>
      </c>
      <c r="X424" s="28">
        <v>0.92</v>
      </c>
      <c r="Y424" s="28">
        <v>0.93446379468377638</v>
      </c>
      <c r="Z424" s="28">
        <v>0.949560388708931</v>
      </c>
      <c r="AA424" s="28">
        <v>0.95910780669144979</v>
      </c>
      <c r="AB424" s="28">
        <v>0.93307388730541552</v>
      </c>
      <c r="AC424" s="28">
        <v>0.92</v>
      </c>
      <c r="AD424" s="26">
        <v>0.9994367783722895</v>
      </c>
      <c r="AE424" s="26">
        <v>0.99914206730005406</v>
      </c>
      <c r="AF424" s="26">
        <v>0.99855481836694471</v>
      </c>
      <c r="AG424" s="26">
        <v>0.99884861319571516</v>
      </c>
      <c r="AH424" s="28">
        <v>0.92</v>
      </c>
      <c r="AI424" s="26">
        <v>0.95361744301288409</v>
      </c>
      <c r="AJ424" s="26">
        <v>0.95962732919254656</v>
      </c>
      <c r="AK424" s="26">
        <v>0.97086092715231787</v>
      </c>
      <c r="AL424" s="26">
        <v>0.95361707734879431</v>
      </c>
      <c r="AM424" s="25">
        <v>0.99</v>
      </c>
      <c r="AN424" s="30">
        <v>1</v>
      </c>
      <c r="AO424" s="30">
        <v>1</v>
      </c>
      <c r="AP424" s="30">
        <v>1</v>
      </c>
      <c r="AQ424" s="30">
        <v>1</v>
      </c>
      <c r="AR424" s="50">
        <v>0.05</v>
      </c>
      <c r="AS424" s="34">
        <v>0</v>
      </c>
      <c r="AT424" s="34">
        <v>4.7619047619047616E-2</v>
      </c>
      <c r="AU424" s="34">
        <v>0</v>
      </c>
      <c r="AV424" s="34">
        <v>6.0606060606060608E-2</v>
      </c>
      <c r="AW424" s="10"/>
      <c r="AX424" s="8"/>
    </row>
    <row r="425" spans="1:50">
      <c r="A425" s="7"/>
      <c r="B425" s="10"/>
      <c r="C425" s="45" t="s">
        <v>396</v>
      </c>
      <c r="D425" s="23" t="s">
        <v>19</v>
      </c>
      <c r="E425" s="46" t="s">
        <v>471</v>
      </c>
      <c r="F425" s="46" t="s">
        <v>471</v>
      </c>
      <c r="G425" s="46" t="s">
        <v>471</v>
      </c>
      <c r="H425" s="46" t="s">
        <v>471</v>
      </c>
      <c r="I425" s="25">
        <v>0.9</v>
      </c>
      <c r="J425" s="26">
        <v>0.94736842105263153</v>
      </c>
      <c r="K425" s="26">
        <v>0.92307692307692313</v>
      </c>
      <c r="L425" s="27">
        <v>0.97368421052631582</v>
      </c>
      <c r="M425" s="26">
        <v>0.95578231292517002</v>
      </c>
      <c r="N425" s="28">
        <v>0.9</v>
      </c>
      <c r="O425" s="26">
        <v>0.98539042821158696</v>
      </c>
      <c r="P425" s="26">
        <v>0.99333333333333329</v>
      </c>
      <c r="Q425" s="26">
        <v>0.99219664455715961</v>
      </c>
      <c r="R425" s="26">
        <v>0.99122751656674035</v>
      </c>
      <c r="S425" s="28">
        <v>0.9</v>
      </c>
      <c r="T425" s="26">
        <v>0.94659949622166251</v>
      </c>
      <c r="U425" s="26">
        <v>0.9523076923076923</v>
      </c>
      <c r="V425" s="26">
        <v>0.95942255169722979</v>
      </c>
      <c r="W425" s="26">
        <v>0.95146733985484377</v>
      </c>
      <c r="X425" s="28">
        <v>0.92</v>
      </c>
      <c r="Y425" s="28">
        <v>0.92826321467098161</v>
      </c>
      <c r="Z425" s="28">
        <v>0.9145952836201402</v>
      </c>
      <c r="AA425" s="28">
        <v>0.95863395863395862</v>
      </c>
      <c r="AB425" s="28">
        <v>0.92999864992574588</v>
      </c>
      <c r="AC425" s="28">
        <v>0.92</v>
      </c>
      <c r="AD425" s="26">
        <v>0.99828858701465395</v>
      </c>
      <c r="AE425" s="26">
        <v>0.98034452296819785</v>
      </c>
      <c r="AF425" s="26">
        <v>0.95760408740080438</v>
      </c>
      <c r="AG425" s="26">
        <v>0.98551763100963197</v>
      </c>
      <c r="AH425" s="28">
        <v>0.92</v>
      </c>
      <c r="AI425" s="26">
        <v>0.95368201925578977</v>
      </c>
      <c r="AJ425" s="26">
        <v>0.94971590909090908</v>
      </c>
      <c r="AK425" s="26">
        <v>0.97482788296041312</v>
      </c>
      <c r="AL425" s="26">
        <v>0.95609231371015058</v>
      </c>
      <c r="AM425" s="25">
        <v>0.99</v>
      </c>
      <c r="AN425" s="30">
        <v>1</v>
      </c>
      <c r="AO425" s="30">
        <v>1</v>
      </c>
      <c r="AP425" s="30">
        <v>1</v>
      </c>
      <c r="AQ425" s="30">
        <v>1</v>
      </c>
      <c r="AR425" s="50">
        <v>0.05</v>
      </c>
      <c r="AS425" s="34">
        <v>7.4999999999999997E-2</v>
      </c>
      <c r="AT425" s="34">
        <v>0</v>
      </c>
      <c r="AU425" s="34">
        <v>2.0408163265306121E-2</v>
      </c>
      <c r="AV425" s="34">
        <v>4.9180327868852458E-2</v>
      </c>
      <c r="AW425" s="10"/>
      <c r="AX425" s="8"/>
    </row>
    <row r="426" spans="1:50">
      <c r="A426" s="7"/>
      <c r="B426" s="10"/>
      <c r="C426" s="45" t="s">
        <v>396</v>
      </c>
      <c r="D426" s="23" t="s">
        <v>19</v>
      </c>
      <c r="E426" s="46" t="s">
        <v>472</v>
      </c>
      <c r="F426" s="46" t="s">
        <v>472</v>
      </c>
      <c r="G426" s="46" t="s">
        <v>472</v>
      </c>
      <c r="H426" s="46" t="s">
        <v>472</v>
      </c>
      <c r="I426" s="25">
        <v>0.9</v>
      </c>
      <c r="J426" s="26">
        <v>0.93023255813953487</v>
      </c>
      <c r="K426" s="26">
        <v>1</v>
      </c>
      <c r="L426" s="27">
        <v>0.95121951219512191</v>
      </c>
      <c r="M426" s="26">
        <v>0.93710691823899372</v>
      </c>
      <c r="N426" s="28">
        <v>0.9</v>
      </c>
      <c r="O426" s="26">
        <v>0.97814207650273222</v>
      </c>
      <c r="P426" s="26">
        <v>0.98859825620388997</v>
      </c>
      <c r="Q426" s="26">
        <v>0.98834262544348706</v>
      </c>
      <c r="R426" s="26">
        <v>0.98796264268419232</v>
      </c>
      <c r="S426" s="28">
        <v>0.9</v>
      </c>
      <c r="T426" s="26">
        <v>0.93920765027322406</v>
      </c>
      <c r="U426" s="26">
        <v>0.92823608316566064</v>
      </c>
      <c r="V426" s="26">
        <v>0.92752154080081095</v>
      </c>
      <c r="W426" s="26">
        <v>0.93386371497751641</v>
      </c>
      <c r="X426" s="28">
        <v>0.92</v>
      </c>
      <c r="Y426" s="28">
        <v>0.96133622022888954</v>
      </c>
      <c r="Z426" s="28">
        <v>0.94953519256308105</v>
      </c>
      <c r="AA426" s="28">
        <v>0.96215334420880916</v>
      </c>
      <c r="AB426" s="28">
        <v>0.95718499789296252</v>
      </c>
      <c r="AC426" s="28">
        <v>0.92</v>
      </c>
      <c r="AD426" s="26">
        <v>0.96296296296296291</v>
      </c>
      <c r="AE426" s="26">
        <v>0.95833333333333337</v>
      </c>
      <c r="AF426" s="26">
        <v>0.92553191489361697</v>
      </c>
      <c r="AG426" s="26">
        <v>0.95266990291262132</v>
      </c>
      <c r="AH426" s="28">
        <v>0.92</v>
      </c>
      <c r="AI426" s="26">
        <v>0.96700021290185223</v>
      </c>
      <c r="AJ426" s="26">
        <v>0.95514101709971133</v>
      </c>
      <c r="AK426" s="26">
        <v>0.97161572052401746</v>
      </c>
      <c r="AL426" s="26">
        <v>0.96711180937418173</v>
      </c>
      <c r="AM426" s="25">
        <v>0.99</v>
      </c>
      <c r="AN426" s="30">
        <v>1</v>
      </c>
      <c r="AO426" s="30">
        <v>1</v>
      </c>
      <c r="AP426" s="30">
        <v>1</v>
      </c>
      <c r="AQ426" s="30">
        <v>1</v>
      </c>
      <c r="AR426" s="50">
        <v>0.05</v>
      </c>
      <c r="AS426" s="34">
        <v>0</v>
      </c>
      <c r="AT426" s="34">
        <v>9.0909090909090912E-2</v>
      </c>
      <c r="AU426" s="34">
        <v>0</v>
      </c>
      <c r="AV426" s="34">
        <v>2.7397260273972601E-2</v>
      </c>
      <c r="AW426" s="10"/>
      <c r="AX426" s="8"/>
    </row>
    <row r="427" spans="1:50">
      <c r="A427" s="7"/>
      <c r="B427" s="10"/>
      <c r="C427" s="45" t="s">
        <v>396</v>
      </c>
      <c r="D427" s="23" t="s">
        <v>19</v>
      </c>
      <c r="E427" s="46" t="s">
        <v>473</v>
      </c>
      <c r="F427" s="46" t="s">
        <v>473</v>
      </c>
      <c r="G427" s="46" t="s">
        <v>473</v>
      </c>
      <c r="H427" s="46" t="s">
        <v>473</v>
      </c>
      <c r="I427" s="25">
        <v>0.9</v>
      </c>
      <c r="J427" s="26">
        <v>1</v>
      </c>
      <c r="K427" s="26">
        <v>0.98734177215189878</v>
      </c>
      <c r="L427" s="27">
        <v>0.98780487804878048</v>
      </c>
      <c r="M427" s="26">
        <v>0.98664440734557601</v>
      </c>
      <c r="N427" s="28">
        <v>0.9</v>
      </c>
      <c r="O427" s="26">
        <v>0.98239436619718312</v>
      </c>
      <c r="P427" s="26">
        <v>0.98339294839039348</v>
      </c>
      <c r="Q427" s="26">
        <v>0.98318341806804854</v>
      </c>
      <c r="R427" s="26">
        <v>0.98472939591286768</v>
      </c>
      <c r="S427" s="28">
        <v>0.9</v>
      </c>
      <c r="T427" s="26">
        <v>0.90763813651137593</v>
      </c>
      <c r="U427" s="26">
        <v>0.92309657639243736</v>
      </c>
      <c r="V427" s="26">
        <v>0.92901838091513489</v>
      </c>
      <c r="W427" s="26">
        <v>0.90666404671008305</v>
      </c>
      <c r="X427" s="28">
        <v>0.92</v>
      </c>
      <c r="Y427" s="28">
        <v>0.90938611411782899</v>
      </c>
      <c r="Z427" s="28">
        <v>0.94491894718493985</v>
      </c>
      <c r="AA427" s="28">
        <v>0.95851566602485561</v>
      </c>
      <c r="AB427" s="28">
        <v>0.93032152492149833</v>
      </c>
      <c r="AC427" s="28">
        <v>0.92</v>
      </c>
      <c r="AD427" s="26">
        <v>0.98140495867768596</v>
      </c>
      <c r="AE427" s="26">
        <v>0.9887640449438202</v>
      </c>
      <c r="AF427" s="26">
        <v>0.99065420560747663</v>
      </c>
      <c r="AG427" s="26">
        <v>0.9837527875119465</v>
      </c>
      <c r="AH427" s="28">
        <v>0.92</v>
      </c>
      <c r="AI427" s="26">
        <v>0.92858548101514848</v>
      </c>
      <c r="AJ427" s="26">
        <v>0.9604268103180359</v>
      </c>
      <c r="AK427" s="26">
        <v>0.97229916897506929</v>
      </c>
      <c r="AL427" s="26">
        <v>0.9517409367426678</v>
      </c>
      <c r="AM427" s="25">
        <v>0.99</v>
      </c>
      <c r="AN427" s="30">
        <v>1</v>
      </c>
      <c r="AO427" s="30">
        <v>1</v>
      </c>
      <c r="AP427" s="30">
        <v>1</v>
      </c>
      <c r="AQ427" s="30">
        <v>1</v>
      </c>
      <c r="AR427" s="50">
        <v>0.05</v>
      </c>
      <c r="AS427" s="34">
        <v>3.3333333333333333E-2</v>
      </c>
      <c r="AT427" s="34">
        <v>0.11538461538461539</v>
      </c>
      <c r="AU427" s="34">
        <v>5.2631578947368418E-2</v>
      </c>
      <c r="AV427" s="34">
        <v>3.896103896103896E-2</v>
      </c>
      <c r="AW427" s="10"/>
      <c r="AX427" s="8"/>
    </row>
    <row r="428" spans="1:50">
      <c r="A428" s="7"/>
      <c r="B428" s="10"/>
      <c r="C428" s="45" t="s">
        <v>396</v>
      </c>
      <c r="D428" s="23" t="s">
        <v>19</v>
      </c>
      <c r="E428" s="46" t="s">
        <v>474</v>
      </c>
      <c r="F428" s="46" t="s">
        <v>474</v>
      </c>
      <c r="G428" s="46" t="s">
        <v>474</v>
      </c>
      <c r="H428" s="46" t="s">
        <v>474</v>
      </c>
      <c r="I428" s="25">
        <v>0.9</v>
      </c>
      <c r="J428" s="26">
        <v>0.76595744680851063</v>
      </c>
      <c r="K428" s="26">
        <v>0.73469387755102045</v>
      </c>
      <c r="L428" s="27">
        <v>0.79591836734693877</v>
      </c>
      <c r="M428" s="26">
        <v>0.81842818428184283</v>
      </c>
      <c r="N428" s="28">
        <v>0.9</v>
      </c>
      <c r="O428" s="26">
        <v>0.9872325121381047</v>
      </c>
      <c r="P428" s="26">
        <v>0.98869323447636703</v>
      </c>
      <c r="Q428" s="26">
        <v>0.97888582101672894</v>
      </c>
      <c r="R428" s="26">
        <v>0.97835507406588551</v>
      </c>
      <c r="S428" s="28">
        <v>0.9</v>
      </c>
      <c r="T428" s="26">
        <v>0.8581190433375292</v>
      </c>
      <c r="U428" s="26">
        <v>0.83558850787766448</v>
      </c>
      <c r="V428" s="26">
        <v>0.78820854312165012</v>
      </c>
      <c r="W428" s="26">
        <v>0.79294715896528856</v>
      </c>
      <c r="X428" s="28">
        <v>0.92</v>
      </c>
      <c r="Y428" s="28">
        <v>0</v>
      </c>
      <c r="Z428" s="28">
        <v>0</v>
      </c>
      <c r="AA428" s="28">
        <v>0</v>
      </c>
      <c r="AB428" s="28">
        <v>0.2</v>
      </c>
      <c r="AC428" s="28">
        <v>0.92</v>
      </c>
      <c r="AD428" s="26">
        <v>0.9850746268656716</v>
      </c>
      <c r="AE428" s="26">
        <v>0.98611111111111116</v>
      </c>
      <c r="AF428" s="26">
        <v>0.96551724137931039</v>
      </c>
      <c r="AG428" s="26">
        <v>0.97769516728624539</v>
      </c>
      <c r="AH428" s="28">
        <v>0.92</v>
      </c>
      <c r="AI428" s="26">
        <v>0.965318957771788</v>
      </c>
      <c r="AJ428" s="26">
        <v>0.97886932344763666</v>
      </c>
      <c r="AK428" s="26">
        <v>0.98050998863082672</v>
      </c>
      <c r="AL428" s="26">
        <v>0.97499723665303417</v>
      </c>
      <c r="AM428" s="25">
        <v>0.99</v>
      </c>
      <c r="AN428" s="30">
        <v>1</v>
      </c>
      <c r="AO428" s="30">
        <v>1</v>
      </c>
      <c r="AP428" s="30">
        <v>1</v>
      </c>
      <c r="AQ428" s="30">
        <v>1</v>
      </c>
      <c r="AR428" s="50">
        <v>0.05</v>
      </c>
      <c r="AS428" s="34">
        <v>0.14285714285714285</v>
      </c>
      <c r="AT428" s="34">
        <v>0</v>
      </c>
      <c r="AU428" s="34">
        <v>0.14285714285714285</v>
      </c>
      <c r="AV428" s="34">
        <v>0.11258278145695365</v>
      </c>
      <c r="AW428" s="10"/>
      <c r="AX428" s="8"/>
    </row>
    <row r="429" spans="1:50">
      <c r="A429" s="7"/>
      <c r="B429" s="10"/>
      <c r="C429" s="45" t="s">
        <v>396</v>
      </c>
      <c r="D429" s="23" t="s">
        <v>19</v>
      </c>
      <c r="E429" s="46" t="s">
        <v>475</v>
      </c>
      <c r="F429" s="46" t="s">
        <v>475</v>
      </c>
      <c r="G429" s="46" t="s">
        <v>475</v>
      </c>
      <c r="H429" s="46" t="s">
        <v>475</v>
      </c>
      <c r="I429" s="25">
        <v>0.9</v>
      </c>
      <c r="J429" s="26">
        <v>0.95652173913043481</v>
      </c>
      <c r="K429" s="26">
        <v>1</v>
      </c>
      <c r="L429" s="27">
        <v>1</v>
      </c>
      <c r="M429" s="26">
        <v>0.94974874371859297</v>
      </c>
      <c r="N429" s="28">
        <v>0.9</v>
      </c>
      <c r="O429" s="26">
        <v>0.97304347826086957</v>
      </c>
      <c r="P429" s="26">
        <v>0.98436278342455041</v>
      </c>
      <c r="Q429" s="26">
        <v>0.9789972899728997</v>
      </c>
      <c r="R429" s="26">
        <v>0.97526501766784457</v>
      </c>
      <c r="S429" s="28">
        <v>0.9</v>
      </c>
      <c r="T429" s="26">
        <v>0.92260869565217396</v>
      </c>
      <c r="U429" s="26">
        <v>0.94839718530101647</v>
      </c>
      <c r="V429" s="26">
        <v>0.93021680216802172</v>
      </c>
      <c r="W429" s="26">
        <v>0.92180846244450487</v>
      </c>
      <c r="X429" s="28">
        <v>0.92</v>
      </c>
      <c r="Y429" s="28">
        <v>0.93940563489000384</v>
      </c>
      <c r="Z429" s="28">
        <v>0.96131202691337259</v>
      </c>
      <c r="AA429" s="28">
        <v>0.96726320384111741</v>
      </c>
      <c r="AB429" s="28">
        <v>0.96002635624862731</v>
      </c>
      <c r="AC429" s="28">
        <v>0.92</v>
      </c>
      <c r="AD429" s="26">
        <v>0.99004975124378114</v>
      </c>
      <c r="AE429" s="26">
        <v>0.98305084745762716</v>
      </c>
      <c r="AF429" s="26">
        <v>0.94117647058823528</v>
      </c>
      <c r="AG429" s="26">
        <v>0.96909090909090911</v>
      </c>
      <c r="AH429" s="28">
        <v>0.92</v>
      </c>
      <c r="AI429" s="26">
        <v>0.95008008542445277</v>
      </c>
      <c r="AJ429" s="26">
        <v>0.97020229633679611</v>
      </c>
      <c r="AK429" s="26">
        <v>0.97533810660302311</v>
      </c>
      <c r="AL429" s="26">
        <v>0.96969386360530274</v>
      </c>
      <c r="AM429" s="25">
        <v>0.99</v>
      </c>
      <c r="AN429" s="30">
        <v>1</v>
      </c>
      <c r="AO429" s="30">
        <v>1</v>
      </c>
      <c r="AP429" s="30">
        <v>1</v>
      </c>
      <c r="AQ429" s="30">
        <v>1</v>
      </c>
      <c r="AR429" s="50">
        <v>0.05</v>
      </c>
      <c r="AS429" s="34">
        <v>4.5454545454545456E-2</v>
      </c>
      <c r="AT429" s="34">
        <v>3.5714285714285712E-2</v>
      </c>
      <c r="AU429" s="34">
        <v>4.7619047619047616E-2</v>
      </c>
      <c r="AV429" s="34">
        <v>3.5175879396984924E-2</v>
      </c>
      <c r="AW429" s="10"/>
      <c r="AX429" s="8"/>
    </row>
    <row r="430" spans="1:50">
      <c r="A430" s="7"/>
      <c r="B430" s="10"/>
      <c r="C430" s="45" t="s">
        <v>396</v>
      </c>
      <c r="D430" s="23" t="s">
        <v>19</v>
      </c>
      <c r="E430" s="46" t="s">
        <v>476</v>
      </c>
      <c r="F430" s="46" t="s">
        <v>476</v>
      </c>
      <c r="G430" s="46" t="s">
        <v>476</v>
      </c>
      <c r="H430" s="46" t="s">
        <v>476</v>
      </c>
      <c r="I430" s="25">
        <v>0.9</v>
      </c>
      <c r="J430" s="26">
        <v>0.81395348837209303</v>
      </c>
      <c r="K430" s="26">
        <v>0.83720930232558144</v>
      </c>
      <c r="L430" s="27">
        <v>0.80487804878048785</v>
      </c>
      <c r="M430" s="26">
        <v>0.77272727272727271</v>
      </c>
      <c r="N430" s="28">
        <v>0.9</v>
      </c>
      <c r="O430" s="26">
        <v>0.95112359550561798</v>
      </c>
      <c r="P430" s="26">
        <v>0.96278575225943652</v>
      </c>
      <c r="Q430" s="26">
        <v>0.90641601961585616</v>
      </c>
      <c r="R430" s="26">
        <v>0.91116159850867995</v>
      </c>
      <c r="S430" s="28">
        <v>0.9</v>
      </c>
      <c r="T430" s="26">
        <v>0.83876404494382018</v>
      </c>
      <c r="U430" s="26">
        <v>0.86124401913875603</v>
      </c>
      <c r="V430" s="26">
        <v>0.80220678381691868</v>
      </c>
      <c r="W430" s="26">
        <v>0.81131306070138642</v>
      </c>
      <c r="X430" s="28">
        <v>0.92</v>
      </c>
      <c r="Y430" s="28">
        <v>0.8214285714285714</v>
      </c>
      <c r="Z430" s="28">
        <v>0.85134393856280854</v>
      </c>
      <c r="AA430" s="28">
        <v>0.82840236686390534</v>
      </c>
      <c r="AB430" s="28">
        <v>0.85201924478786994</v>
      </c>
      <c r="AC430" s="28">
        <v>0.92</v>
      </c>
      <c r="AD430" s="26">
        <v>0.9898605830164765</v>
      </c>
      <c r="AE430" s="26">
        <v>0.94423320659062104</v>
      </c>
      <c r="AF430" s="26">
        <v>0.95378151260504207</v>
      </c>
      <c r="AG430" s="26">
        <v>0.95885982956215099</v>
      </c>
      <c r="AH430" s="28">
        <v>0.92</v>
      </c>
      <c r="AI430" s="26">
        <v>0.85690204158082039</v>
      </c>
      <c r="AJ430" s="26">
        <v>0.88569361548200398</v>
      </c>
      <c r="AK430" s="26">
        <v>0.87337554148617125</v>
      </c>
      <c r="AL430" s="26">
        <v>0.88490126718309225</v>
      </c>
      <c r="AM430" s="25">
        <v>0.99</v>
      </c>
      <c r="AN430" s="30">
        <v>1</v>
      </c>
      <c r="AO430" s="30">
        <v>1</v>
      </c>
      <c r="AP430" s="30">
        <v>1</v>
      </c>
      <c r="AQ430" s="30">
        <v>1</v>
      </c>
      <c r="AR430" s="50">
        <v>0.05</v>
      </c>
      <c r="AS430" s="34">
        <v>0</v>
      </c>
      <c r="AT430" s="34">
        <v>4.3478260869565216E-2</v>
      </c>
      <c r="AU430" s="34">
        <v>4.5454545454545456E-2</v>
      </c>
      <c r="AV430" s="34">
        <v>1.7964071856287425E-2</v>
      </c>
      <c r="AW430" s="10"/>
      <c r="AX430" s="8"/>
    </row>
    <row r="431" spans="1:50">
      <c r="A431" s="7"/>
      <c r="B431" s="10"/>
      <c r="C431" s="45" t="s">
        <v>396</v>
      </c>
      <c r="D431" s="23" t="s">
        <v>19</v>
      </c>
      <c r="E431" s="46" t="s">
        <v>477</v>
      </c>
      <c r="F431" s="46" t="s">
        <v>477</v>
      </c>
      <c r="G431" s="46" t="s">
        <v>477</v>
      </c>
      <c r="H431" s="46" t="s">
        <v>477</v>
      </c>
      <c r="I431" s="25">
        <v>0.9</v>
      </c>
      <c r="J431" s="26">
        <v>0.96875</v>
      </c>
      <c r="K431" s="26">
        <v>0.9838709677419355</v>
      </c>
      <c r="L431" s="27">
        <v>0.95454545454545459</v>
      </c>
      <c r="M431" s="26">
        <v>0.9285714285714286</v>
      </c>
      <c r="N431" s="28">
        <v>0.9</v>
      </c>
      <c r="O431" s="26">
        <v>0.98111624003357112</v>
      </c>
      <c r="P431" s="26">
        <v>0.98635235732009929</v>
      </c>
      <c r="Q431" s="26">
        <v>0.98482142857142863</v>
      </c>
      <c r="R431" s="26">
        <v>0.9650979706088173</v>
      </c>
      <c r="S431" s="28">
        <v>0.9</v>
      </c>
      <c r="T431" s="26">
        <v>0.92278640369282416</v>
      </c>
      <c r="U431" s="26">
        <v>0.9011579818031431</v>
      </c>
      <c r="V431" s="26">
        <v>0.91041666666666665</v>
      </c>
      <c r="W431" s="26">
        <v>0.89306333100069979</v>
      </c>
      <c r="X431" s="28">
        <v>0.92</v>
      </c>
      <c r="Y431" s="28">
        <v>0.91039878849066125</v>
      </c>
      <c r="Z431" s="28">
        <v>0.91004672897196259</v>
      </c>
      <c r="AA431" s="28">
        <v>0.9496021220159151</v>
      </c>
      <c r="AB431" s="28">
        <v>0.92165023731288787</v>
      </c>
      <c r="AC431" s="28">
        <v>0.92</v>
      </c>
      <c r="AD431" s="26">
        <v>0.98275862068965514</v>
      </c>
      <c r="AE431" s="26">
        <v>0.99431818181818177</v>
      </c>
      <c r="AF431" s="26">
        <v>0.98492462311557794</v>
      </c>
      <c r="AG431" s="26">
        <v>0.98001537279016138</v>
      </c>
      <c r="AH431" s="28">
        <v>0.92</v>
      </c>
      <c r="AI431" s="26">
        <v>0.93509766855702581</v>
      </c>
      <c r="AJ431" s="26">
        <v>0.9362284151136947</v>
      </c>
      <c r="AK431" s="26">
        <v>0.96771805123648746</v>
      </c>
      <c r="AL431" s="26">
        <v>0.9468859370028635</v>
      </c>
      <c r="AM431" s="25">
        <v>0.99</v>
      </c>
      <c r="AN431" s="30">
        <v>1</v>
      </c>
      <c r="AO431" s="30">
        <v>1</v>
      </c>
      <c r="AP431" s="30">
        <v>1</v>
      </c>
      <c r="AQ431" s="30">
        <v>1</v>
      </c>
      <c r="AR431" s="50">
        <v>0.05</v>
      </c>
      <c r="AS431" s="34">
        <v>0.15</v>
      </c>
      <c r="AT431" s="34">
        <v>5.2631578947368418E-2</v>
      </c>
      <c r="AU431" s="34">
        <v>5.5555555555555552E-2</v>
      </c>
      <c r="AV431" s="34">
        <v>6.7073170731707321E-2</v>
      </c>
      <c r="AW431" s="10"/>
      <c r="AX431" s="8"/>
    </row>
    <row r="432" spans="1:50">
      <c r="A432" s="7"/>
      <c r="B432" s="10"/>
      <c r="C432" s="45" t="s">
        <v>396</v>
      </c>
      <c r="D432" s="23" t="s">
        <v>19</v>
      </c>
      <c r="E432" s="46" t="s">
        <v>478</v>
      </c>
      <c r="F432" s="46" t="s">
        <v>478</v>
      </c>
      <c r="G432" s="46" t="s">
        <v>478</v>
      </c>
      <c r="H432" s="46" t="s">
        <v>478</v>
      </c>
      <c r="I432" s="25">
        <v>0.9</v>
      </c>
      <c r="J432" s="26">
        <v>0.95454545454545459</v>
      </c>
      <c r="K432" s="26">
        <v>0.97872340425531912</v>
      </c>
      <c r="L432" s="27">
        <v>0.98113207547169812</v>
      </c>
      <c r="M432" s="26">
        <v>0.95867768595041325</v>
      </c>
      <c r="N432" s="28">
        <v>0.9</v>
      </c>
      <c r="O432" s="26">
        <v>0.96640879478827357</v>
      </c>
      <c r="P432" s="26">
        <v>0.9479297365119197</v>
      </c>
      <c r="Q432" s="26">
        <v>0.96112460951058665</v>
      </c>
      <c r="R432" s="26">
        <v>0.96274390860378123</v>
      </c>
      <c r="S432" s="28">
        <v>0.9</v>
      </c>
      <c r="T432" s="26">
        <v>0.90594462540716614</v>
      </c>
      <c r="U432" s="26">
        <v>0.93391886240066913</v>
      </c>
      <c r="V432" s="26">
        <v>0.90767094758764322</v>
      </c>
      <c r="W432" s="26">
        <v>0.89882216156101502</v>
      </c>
      <c r="X432" s="28">
        <v>0.92</v>
      </c>
      <c r="Y432" s="28">
        <v>0</v>
      </c>
      <c r="Z432" s="28">
        <v>0</v>
      </c>
      <c r="AA432" s="28">
        <v>0</v>
      </c>
      <c r="AB432" s="28">
        <v>0</v>
      </c>
      <c r="AC432" s="28">
        <v>0.92</v>
      </c>
      <c r="AD432" s="26">
        <v>0.98283261802575106</v>
      </c>
      <c r="AE432" s="26">
        <v>0.98255813953488369</v>
      </c>
      <c r="AF432" s="26">
        <v>0.9689119170984456</v>
      </c>
      <c r="AG432" s="26">
        <v>0.98195697432338658</v>
      </c>
      <c r="AH432" s="28">
        <v>0.92</v>
      </c>
      <c r="AI432" s="26">
        <v>0.96681596091205213</v>
      </c>
      <c r="AJ432" s="26">
        <v>0.97720618987871188</v>
      </c>
      <c r="AK432" s="26">
        <v>0.98490107601527244</v>
      </c>
      <c r="AL432" s="26">
        <v>0.97482623530898527</v>
      </c>
      <c r="AM432" s="25">
        <v>0.99</v>
      </c>
      <c r="AN432" s="30">
        <v>1</v>
      </c>
      <c r="AO432" s="30">
        <v>1</v>
      </c>
      <c r="AP432" s="30">
        <v>1</v>
      </c>
      <c r="AQ432" s="30">
        <v>1</v>
      </c>
      <c r="AR432" s="50">
        <v>0.05</v>
      </c>
      <c r="AS432" s="34">
        <v>0</v>
      </c>
      <c r="AT432" s="34">
        <v>0</v>
      </c>
      <c r="AU432" s="34">
        <v>0</v>
      </c>
      <c r="AV432" s="34">
        <v>3.4090909090909088E-2</v>
      </c>
      <c r="AW432" s="10"/>
      <c r="AX432" s="8"/>
    </row>
    <row r="433" spans="1:50">
      <c r="A433" s="7"/>
      <c r="B433" s="10"/>
      <c r="C433" s="45" t="s">
        <v>396</v>
      </c>
      <c r="D433" s="23" t="s">
        <v>19</v>
      </c>
      <c r="E433" s="46" t="s">
        <v>479</v>
      </c>
      <c r="F433" s="46" t="s">
        <v>479</v>
      </c>
      <c r="G433" s="46" t="s">
        <v>479</v>
      </c>
      <c r="H433" s="46" t="s">
        <v>479</v>
      </c>
      <c r="I433" s="25">
        <v>0.9</v>
      </c>
      <c r="J433" s="26">
        <v>0.87931034482758619</v>
      </c>
      <c r="K433" s="26">
        <v>0.91379310344827591</v>
      </c>
      <c r="L433" s="27">
        <v>0.8833333333333333</v>
      </c>
      <c r="M433" s="26">
        <v>0.90022172949002222</v>
      </c>
      <c r="N433" s="28">
        <v>0.9</v>
      </c>
      <c r="O433" s="26">
        <v>0.96357713947290491</v>
      </c>
      <c r="P433" s="26">
        <v>0.96721311475409832</v>
      </c>
      <c r="Q433" s="26">
        <v>0.91978021978021973</v>
      </c>
      <c r="R433" s="26">
        <v>0.92379589890319502</v>
      </c>
      <c r="S433" s="28">
        <v>0.9</v>
      </c>
      <c r="T433" s="26">
        <v>0.84957062481492451</v>
      </c>
      <c r="U433" s="26">
        <v>0.88020176544766704</v>
      </c>
      <c r="V433" s="26">
        <v>0.88439560439560438</v>
      </c>
      <c r="W433" s="26">
        <v>0.85255126371006196</v>
      </c>
      <c r="X433" s="28">
        <v>0.92</v>
      </c>
      <c r="Y433" s="28">
        <v>0.93037249283667622</v>
      </c>
      <c r="Z433" s="28">
        <v>0.95413109535523077</v>
      </c>
      <c r="AA433" s="28">
        <v>0.95219240357823731</v>
      </c>
      <c r="AB433" s="28">
        <v>0.9419199692189304</v>
      </c>
      <c r="AC433" s="28">
        <v>0.92</v>
      </c>
      <c r="AD433" s="26">
        <v>0.9826086956521739</v>
      </c>
      <c r="AE433" s="26">
        <v>0.98722931704608552</v>
      </c>
      <c r="AF433" s="26">
        <v>0.99282296650717705</v>
      </c>
      <c r="AG433" s="26">
        <v>0.98932384341637014</v>
      </c>
      <c r="AH433" s="28">
        <v>0.92</v>
      </c>
      <c r="AI433" s="26">
        <v>0.93865149030577799</v>
      </c>
      <c r="AJ433" s="26">
        <v>0.9619151251360174</v>
      </c>
      <c r="AK433" s="26">
        <v>0.96291088064686237</v>
      </c>
      <c r="AL433" s="26">
        <v>0.95408419692219326</v>
      </c>
      <c r="AM433" s="25">
        <v>0.99</v>
      </c>
      <c r="AN433" s="30">
        <v>1</v>
      </c>
      <c r="AO433" s="30">
        <v>1</v>
      </c>
      <c r="AP433" s="30">
        <v>1</v>
      </c>
      <c r="AQ433" s="30">
        <v>1</v>
      </c>
      <c r="AR433" s="50">
        <v>0.05</v>
      </c>
      <c r="AS433" s="34">
        <v>7.407407407407407E-2</v>
      </c>
      <c r="AT433" s="34">
        <v>3.3898305084745763E-2</v>
      </c>
      <c r="AU433" s="34">
        <v>4.878048780487805E-2</v>
      </c>
      <c r="AV433" s="34">
        <v>4.6666666666666669E-2</v>
      </c>
      <c r="AW433" s="10"/>
      <c r="AX433" s="8"/>
    </row>
    <row r="434" spans="1:50">
      <c r="A434" s="7"/>
      <c r="B434" s="10"/>
      <c r="C434" s="45" t="s">
        <v>396</v>
      </c>
      <c r="D434" s="23" t="s">
        <v>19</v>
      </c>
      <c r="E434" s="46" t="s">
        <v>480</v>
      </c>
      <c r="F434" s="46" t="s">
        <v>480</v>
      </c>
      <c r="G434" s="46" t="s">
        <v>480</v>
      </c>
      <c r="H434" s="46" t="s">
        <v>480</v>
      </c>
      <c r="I434" s="25">
        <v>0.9</v>
      </c>
      <c r="J434" s="26">
        <v>0.87179487179487181</v>
      </c>
      <c r="K434" s="26">
        <v>0.85365853658536583</v>
      </c>
      <c r="L434" s="27">
        <v>0.85</v>
      </c>
      <c r="M434" s="26">
        <v>0.8108974358974359</v>
      </c>
      <c r="N434" s="28">
        <v>0.9</v>
      </c>
      <c r="O434" s="26">
        <v>0.97288503253796099</v>
      </c>
      <c r="P434" s="26">
        <v>0.91706795077581593</v>
      </c>
      <c r="Q434" s="26">
        <v>0.97637164597517023</v>
      </c>
      <c r="R434" s="26">
        <v>0.90776530494155772</v>
      </c>
      <c r="S434" s="28">
        <v>0.9</v>
      </c>
      <c r="T434" s="26">
        <v>0.85140997830802601</v>
      </c>
      <c r="U434" s="26">
        <v>0.87854467629748534</v>
      </c>
      <c r="V434" s="26">
        <v>0.80056067280736887</v>
      </c>
      <c r="W434" s="26">
        <v>0.7985765536396251</v>
      </c>
      <c r="X434" s="28">
        <v>0.92</v>
      </c>
      <c r="Y434" s="28">
        <v>0.88231797919762256</v>
      </c>
      <c r="Z434" s="28">
        <v>0.91505902677800177</v>
      </c>
      <c r="AA434" s="28">
        <v>0.88378220140515218</v>
      </c>
      <c r="AB434" s="28">
        <v>0.8969979489091926</v>
      </c>
      <c r="AC434" s="28">
        <v>0.92</v>
      </c>
      <c r="AD434" s="26">
        <v>0.97544475068905034</v>
      </c>
      <c r="AE434" s="26">
        <v>0.97951635846372687</v>
      </c>
      <c r="AF434" s="26">
        <v>0.99047485642246813</v>
      </c>
      <c r="AG434" s="26">
        <v>0.98529524100527077</v>
      </c>
      <c r="AH434" s="28">
        <v>0.92</v>
      </c>
      <c r="AI434" s="26">
        <v>0.90719079578139983</v>
      </c>
      <c r="AJ434" s="26">
        <v>0.9355381165919282</v>
      </c>
      <c r="AK434" s="26">
        <v>0.92262206453792872</v>
      </c>
      <c r="AL434" s="26">
        <v>0.92115036231884062</v>
      </c>
      <c r="AM434" s="25">
        <v>0.99</v>
      </c>
      <c r="AN434" s="30">
        <v>1</v>
      </c>
      <c r="AO434" s="30">
        <v>1</v>
      </c>
      <c r="AP434" s="30">
        <v>1</v>
      </c>
      <c r="AQ434" s="30">
        <v>1</v>
      </c>
      <c r="AR434" s="50">
        <v>0.05</v>
      </c>
      <c r="AS434" s="34">
        <v>4.5454545454545456E-2</v>
      </c>
      <c r="AT434" s="34">
        <v>3.2258064516129031E-2</v>
      </c>
      <c r="AU434" s="34">
        <v>0</v>
      </c>
      <c r="AV434" s="34">
        <v>2.7322404371584699E-2</v>
      </c>
      <c r="AW434" s="10"/>
      <c r="AX434" s="8"/>
    </row>
    <row r="435" spans="1:50">
      <c r="A435" s="7"/>
      <c r="B435" s="10"/>
      <c r="C435" s="45" t="s">
        <v>396</v>
      </c>
      <c r="D435" s="23" t="s">
        <v>19</v>
      </c>
      <c r="E435" s="46" t="s">
        <v>481</v>
      </c>
      <c r="F435" s="46" t="s">
        <v>481</v>
      </c>
      <c r="G435" s="46" t="s">
        <v>481</v>
      </c>
      <c r="H435" s="46" t="s">
        <v>481</v>
      </c>
      <c r="I435" s="25">
        <v>0.9</v>
      </c>
      <c r="J435" s="26">
        <v>0.85185185185185186</v>
      </c>
      <c r="K435" s="26">
        <v>0.88135593220338981</v>
      </c>
      <c r="L435" s="27">
        <v>0.88888888888888884</v>
      </c>
      <c r="M435" s="26">
        <v>0.8643326039387309</v>
      </c>
      <c r="N435" s="28">
        <v>0.9</v>
      </c>
      <c r="O435" s="26">
        <v>0.94554030874785588</v>
      </c>
      <c r="P435" s="26">
        <v>0.92218543046357615</v>
      </c>
      <c r="Q435" s="26">
        <v>0.90711220110361745</v>
      </c>
      <c r="R435" s="26">
        <v>0.84938216131206468</v>
      </c>
      <c r="S435" s="28">
        <v>0.9</v>
      </c>
      <c r="T435" s="26">
        <v>0.92024013722126929</v>
      </c>
      <c r="U435" s="26">
        <v>0.92425496688741726</v>
      </c>
      <c r="V435" s="26">
        <v>0.92090741876149607</v>
      </c>
      <c r="W435" s="26">
        <v>0.88712648842956643</v>
      </c>
      <c r="X435" s="28">
        <v>0.92</v>
      </c>
      <c r="Y435" s="28">
        <v>0.87875690042936005</v>
      </c>
      <c r="Z435" s="28">
        <v>0.94575770367243561</v>
      </c>
      <c r="AA435" s="28">
        <v>0.97117422636710471</v>
      </c>
      <c r="AB435" s="28">
        <v>0.91712902523933859</v>
      </c>
      <c r="AC435" s="28">
        <v>0.92</v>
      </c>
      <c r="AD435" s="26">
        <v>0.99522102747909202</v>
      </c>
      <c r="AE435" s="26">
        <v>0.98511383537653241</v>
      </c>
      <c r="AF435" s="26">
        <v>0.98991507430997872</v>
      </c>
      <c r="AG435" s="26">
        <v>0.99186427850655901</v>
      </c>
      <c r="AH435" s="28">
        <v>0.92</v>
      </c>
      <c r="AI435" s="26">
        <v>0.90273934698395131</v>
      </c>
      <c r="AJ435" s="26">
        <v>0.95214176084833269</v>
      </c>
      <c r="AK435" s="26">
        <v>0.97734668335419272</v>
      </c>
      <c r="AL435" s="26">
        <v>0.93596250803640912</v>
      </c>
      <c r="AM435" s="25">
        <v>0.99</v>
      </c>
      <c r="AN435" s="30">
        <v>1</v>
      </c>
      <c r="AO435" s="30">
        <v>1</v>
      </c>
      <c r="AP435" s="30">
        <v>1</v>
      </c>
      <c r="AQ435" s="30">
        <v>1</v>
      </c>
      <c r="AR435" s="50">
        <v>0.05</v>
      </c>
      <c r="AS435" s="34">
        <v>0.15384615384615385</v>
      </c>
      <c r="AT435" s="34">
        <v>4.1666666666666664E-2</v>
      </c>
      <c r="AU435" s="34">
        <v>0</v>
      </c>
      <c r="AV435" s="34">
        <v>4.4444444444444446E-2</v>
      </c>
      <c r="AW435" s="10"/>
      <c r="AX435" s="8"/>
    </row>
    <row r="436" spans="1:50">
      <c r="A436" s="7"/>
      <c r="B436" s="10"/>
      <c r="C436" s="45" t="s">
        <v>396</v>
      </c>
      <c r="D436" s="23" t="s">
        <v>19</v>
      </c>
      <c r="E436" s="46" t="s">
        <v>482</v>
      </c>
      <c r="F436" s="46" t="s">
        <v>482</v>
      </c>
      <c r="G436" s="46" t="s">
        <v>482</v>
      </c>
      <c r="H436" s="46" t="s">
        <v>482</v>
      </c>
      <c r="I436" s="25">
        <v>0.9</v>
      </c>
      <c r="J436" s="26">
        <v>0.63043478260869568</v>
      </c>
      <c r="K436" s="26">
        <v>0.65853658536585369</v>
      </c>
      <c r="L436" s="27">
        <v>0.73170731707317072</v>
      </c>
      <c r="M436" s="26">
        <v>0.59687500000000004</v>
      </c>
      <c r="N436" s="28">
        <v>0.9</v>
      </c>
      <c r="O436" s="26">
        <v>0.80182648401826484</v>
      </c>
      <c r="P436" s="26">
        <v>0.64007252946509519</v>
      </c>
      <c r="Q436" s="26">
        <v>0.67931034482758623</v>
      </c>
      <c r="R436" s="26">
        <v>0.66906849964446546</v>
      </c>
      <c r="S436" s="28">
        <v>0.9</v>
      </c>
      <c r="T436" s="26">
        <v>0.79406392694063932</v>
      </c>
      <c r="U436" s="26">
        <v>0.76201269265639171</v>
      </c>
      <c r="V436" s="26">
        <v>0.76802507836990597</v>
      </c>
      <c r="W436" s="26">
        <v>0.70917278976060683</v>
      </c>
      <c r="X436" s="28">
        <v>0.92</v>
      </c>
      <c r="Y436" s="28">
        <v>0.78048090523338043</v>
      </c>
      <c r="Z436" s="28">
        <v>0.8217679239850274</v>
      </c>
      <c r="AA436" s="28">
        <v>0.7629476176383545</v>
      </c>
      <c r="AB436" s="28">
        <v>0.72405072846682272</v>
      </c>
      <c r="AC436" s="28">
        <v>0.92</v>
      </c>
      <c r="AD436" s="26">
        <v>0.94434137291280151</v>
      </c>
      <c r="AE436" s="26">
        <v>0.8481481481481481</v>
      </c>
      <c r="AF436" s="26">
        <v>0.83067484662576685</v>
      </c>
      <c r="AG436" s="26">
        <v>0.89809580481999407</v>
      </c>
      <c r="AH436" s="28">
        <v>0.92</v>
      </c>
      <c r="AI436" s="26">
        <v>0.8369982547993019</v>
      </c>
      <c r="AJ436" s="26">
        <v>0.86679570649304949</v>
      </c>
      <c r="AK436" s="26">
        <v>0.85440438156093113</v>
      </c>
      <c r="AL436" s="26">
        <v>0.80299754402905188</v>
      </c>
      <c r="AM436" s="25">
        <v>0.99</v>
      </c>
      <c r="AN436" s="30">
        <v>1</v>
      </c>
      <c r="AO436" s="30">
        <v>1</v>
      </c>
      <c r="AP436" s="30">
        <v>1</v>
      </c>
      <c r="AQ436" s="30">
        <v>0.99887260428410374</v>
      </c>
      <c r="AR436" s="50">
        <v>0.05</v>
      </c>
      <c r="AS436" s="34">
        <v>6.6666666666666666E-2</v>
      </c>
      <c r="AT436" s="34">
        <v>0</v>
      </c>
      <c r="AU436" s="34">
        <v>0</v>
      </c>
      <c r="AV436" s="34">
        <v>3.2679738562091505E-2</v>
      </c>
      <c r="AW436" s="10"/>
      <c r="AX436" s="8"/>
    </row>
    <row r="437" spans="1:50">
      <c r="A437" s="7"/>
      <c r="B437" s="10"/>
      <c r="C437" s="45" t="s">
        <v>396</v>
      </c>
      <c r="D437" s="23" t="s">
        <v>19</v>
      </c>
      <c r="E437" s="46" t="s">
        <v>483</v>
      </c>
      <c r="F437" s="46" t="s">
        <v>483</v>
      </c>
      <c r="G437" s="46" t="s">
        <v>483</v>
      </c>
      <c r="H437" s="46" t="s">
        <v>483</v>
      </c>
      <c r="I437" s="25">
        <v>0.9</v>
      </c>
      <c r="J437" s="26">
        <v>0.70909090909090911</v>
      </c>
      <c r="K437" s="26">
        <v>0.8</v>
      </c>
      <c r="L437" s="27">
        <v>0.85185185185185186</v>
      </c>
      <c r="M437" s="26">
        <v>0.78921568627450978</v>
      </c>
      <c r="N437" s="28">
        <v>0.9</v>
      </c>
      <c r="O437" s="26">
        <v>0.86466165413533835</v>
      </c>
      <c r="P437" s="26">
        <v>0.90885860306643951</v>
      </c>
      <c r="Q437" s="26">
        <v>0.91567428387512073</v>
      </c>
      <c r="R437" s="26">
        <v>0.84896733691201898</v>
      </c>
      <c r="S437" s="28">
        <v>0.9</v>
      </c>
      <c r="T437" s="26">
        <v>0.85463659147869675</v>
      </c>
      <c r="U437" s="26">
        <v>0.84667802385008517</v>
      </c>
      <c r="V437" s="26">
        <v>0.89636305117476667</v>
      </c>
      <c r="W437" s="26">
        <v>0.8301337457920116</v>
      </c>
      <c r="X437" s="28">
        <v>0.92</v>
      </c>
      <c r="Y437" s="28">
        <v>0.91180625630676082</v>
      </c>
      <c r="Z437" s="28">
        <v>0.8986710963455149</v>
      </c>
      <c r="AA437" s="28">
        <v>0.94582975064488395</v>
      </c>
      <c r="AB437" s="28">
        <v>0.89228493961054967</v>
      </c>
      <c r="AC437" s="28">
        <v>0.92</v>
      </c>
      <c r="AD437" s="26">
        <v>0.99662731871838106</v>
      </c>
      <c r="AE437" s="26">
        <v>0.99392958316471069</v>
      </c>
      <c r="AF437" s="26">
        <v>0.99370370370370376</v>
      </c>
      <c r="AG437" s="26">
        <v>0.99498026428694009</v>
      </c>
      <c r="AH437" s="28">
        <v>0.92</v>
      </c>
      <c r="AI437" s="26">
        <v>0.92640457080669292</v>
      </c>
      <c r="AJ437" s="26">
        <v>0.92281926029309147</v>
      </c>
      <c r="AK437" s="26">
        <v>0.95966494845360828</v>
      </c>
      <c r="AL437" s="26">
        <v>0.91396195457109164</v>
      </c>
      <c r="AM437" s="25">
        <v>0.99</v>
      </c>
      <c r="AN437" s="30">
        <v>1</v>
      </c>
      <c r="AO437" s="30">
        <v>1</v>
      </c>
      <c r="AP437" s="30">
        <v>1</v>
      </c>
      <c r="AQ437" s="30">
        <v>1</v>
      </c>
      <c r="AR437" s="50">
        <v>0.05</v>
      </c>
      <c r="AS437" s="34">
        <v>0</v>
      </c>
      <c r="AT437" s="34">
        <v>4.3478260869565216E-2</v>
      </c>
      <c r="AU437" s="34">
        <v>0</v>
      </c>
      <c r="AV437" s="34">
        <v>5.128205128205128E-2</v>
      </c>
      <c r="AW437" s="10"/>
      <c r="AX437" s="8"/>
    </row>
    <row r="438" spans="1:50">
      <c r="A438" s="7"/>
      <c r="B438" s="10"/>
      <c r="C438" s="45" t="s">
        <v>396</v>
      </c>
      <c r="D438" s="23" t="s">
        <v>19</v>
      </c>
      <c r="E438" s="46" t="s">
        <v>484</v>
      </c>
      <c r="F438" s="46" t="s">
        <v>484</v>
      </c>
      <c r="G438" s="46" t="s">
        <v>484</v>
      </c>
      <c r="H438" s="46" t="s">
        <v>484</v>
      </c>
      <c r="I438" s="25">
        <v>0.9</v>
      </c>
      <c r="J438" s="26">
        <v>0.88888888888888884</v>
      </c>
      <c r="K438" s="26">
        <v>0.86206896551724133</v>
      </c>
      <c r="L438" s="27">
        <v>0.95161290322580649</v>
      </c>
      <c r="M438" s="26">
        <v>0.93905191873589167</v>
      </c>
      <c r="N438" s="28">
        <v>0.9</v>
      </c>
      <c r="O438" s="26">
        <v>0.96908089792460816</v>
      </c>
      <c r="P438" s="26">
        <v>0.9851000425713069</v>
      </c>
      <c r="Q438" s="26">
        <v>0.98925431455551938</v>
      </c>
      <c r="R438" s="26">
        <v>0.98011884019121653</v>
      </c>
      <c r="S438" s="28">
        <v>0.9</v>
      </c>
      <c r="T438" s="26">
        <v>0.89919525624735286</v>
      </c>
      <c r="U438" s="26">
        <v>0.91485738612175393</v>
      </c>
      <c r="V438" s="26">
        <v>0.9244545750569847</v>
      </c>
      <c r="W438" s="26">
        <v>0.90608944288075777</v>
      </c>
      <c r="X438" s="28">
        <v>0.92</v>
      </c>
      <c r="Y438" s="28">
        <v>0.92860065466448449</v>
      </c>
      <c r="Z438" s="28">
        <v>0.93483287786420011</v>
      </c>
      <c r="AA438" s="28">
        <v>0.95653086938261234</v>
      </c>
      <c r="AB438" s="28">
        <v>0.93345816711443996</v>
      </c>
      <c r="AC438" s="28">
        <v>0.92</v>
      </c>
      <c r="AD438" s="26">
        <v>0.9831460674157303</v>
      </c>
      <c r="AE438" s="26">
        <v>0.91144708423326137</v>
      </c>
      <c r="AF438" s="26">
        <v>0.95481335952848723</v>
      </c>
      <c r="AG438" s="26">
        <v>0.95862228386500237</v>
      </c>
      <c r="AH438" s="28">
        <v>0.92</v>
      </c>
      <c r="AI438" s="26">
        <v>0.93827500688895016</v>
      </c>
      <c r="AJ438" s="26">
        <v>0.94858828487147073</v>
      </c>
      <c r="AK438" s="26">
        <v>0.97002168643959685</v>
      </c>
      <c r="AL438" s="26">
        <v>0.95077545515846262</v>
      </c>
      <c r="AM438" s="25">
        <v>0.99</v>
      </c>
      <c r="AN438" s="30">
        <v>1</v>
      </c>
      <c r="AO438" s="30">
        <v>1</v>
      </c>
      <c r="AP438" s="30">
        <v>1</v>
      </c>
      <c r="AQ438" s="30">
        <v>1</v>
      </c>
      <c r="AR438" s="50">
        <v>0.05</v>
      </c>
      <c r="AS438" s="34">
        <v>0.16666666666666666</v>
      </c>
      <c r="AT438" s="34">
        <v>3.3333333333333333E-2</v>
      </c>
      <c r="AU438" s="34">
        <v>0</v>
      </c>
      <c r="AV438" s="34">
        <v>3.8167938931297711E-2</v>
      </c>
      <c r="AW438" s="10"/>
      <c r="AX438" s="8"/>
    </row>
    <row r="439" spans="1:50">
      <c r="A439" s="7"/>
      <c r="B439" s="10"/>
      <c r="C439" s="45" t="s">
        <v>396</v>
      </c>
      <c r="D439" s="23" t="s">
        <v>19</v>
      </c>
      <c r="E439" s="46" t="s">
        <v>485</v>
      </c>
      <c r="F439" s="46" t="s">
        <v>485</v>
      </c>
      <c r="G439" s="46" t="s">
        <v>485</v>
      </c>
      <c r="H439" s="46" t="s">
        <v>485</v>
      </c>
      <c r="I439" s="25">
        <v>0.9</v>
      </c>
      <c r="J439" s="26">
        <v>0.75</v>
      </c>
      <c r="K439" s="26">
        <v>0.66</v>
      </c>
      <c r="L439" s="27">
        <v>0.76363636363636367</v>
      </c>
      <c r="M439" s="26">
        <v>0.74358974358974361</v>
      </c>
      <c r="N439" s="28">
        <v>0.9</v>
      </c>
      <c r="O439" s="26">
        <v>0.95969972342947452</v>
      </c>
      <c r="P439" s="26">
        <v>0.96158663883089768</v>
      </c>
      <c r="Q439" s="26">
        <v>0.95104075051304604</v>
      </c>
      <c r="R439" s="26">
        <v>0.96127093173035638</v>
      </c>
      <c r="S439" s="28">
        <v>0.9</v>
      </c>
      <c r="T439" s="26">
        <v>0.84512050572896091</v>
      </c>
      <c r="U439" s="26">
        <v>0.85553235908141967</v>
      </c>
      <c r="V439" s="26">
        <v>0.82732336558194075</v>
      </c>
      <c r="W439" s="26">
        <v>0.81541434091884935</v>
      </c>
      <c r="X439" s="28">
        <v>0.92</v>
      </c>
      <c r="Y439" s="28">
        <v>0.91497411389884509</v>
      </c>
      <c r="Z439" s="28">
        <v>0.89523995317986738</v>
      </c>
      <c r="AA439" s="28">
        <v>0.91415490270888977</v>
      </c>
      <c r="AB439" s="28">
        <v>0.91462795655263429</v>
      </c>
      <c r="AC439" s="28">
        <v>0.92</v>
      </c>
      <c r="AD439" s="26">
        <v>0.99737729486699134</v>
      </c>
      <c r="AE439" s="26">
        <v>0.99421519475510989</v>
      </c>
      <c r="AF439" s="26">
        <v>0.99463806970509383</v>
      </c>
      <c r="AG439" s="26">
        <v>0.99500774660010327</v>
      </c>
      <c r="AH439" s="28">
        <v>0.92</v>
      </c>
      <c r="AI439" s="26">
        <v>0.92419632226484982</v>
      </c>
      <c r="AJ439" s="26">
        <v>0.91020191285866103</v>
      </c>
      <c r="AK439" s="26">
        <v>0.92489890236857308</v>
      </c>
      <c r="AL439" s="26">
        <v>0.92680555334172821</v>
      </c>
      <c r="AM439" s="25">
        <v>0.99</v>
      </c>
      <c r="AN439" s="30">
        <v>1</v>
      </c>
      <c r="AO439" s="30">
        <v>1</v>
      </c>
      <c r="AP439" s="30">
        <v>1</v>
      </c>
      <c r="AQ439" s="30">
        <v>1</v>
      </c>
      <c r="AR439" s="50">
        <v>0.05</v>
      </c>
      <c r="AS439" s="34">
        <v>5.5555555555555552E-2</v>
      </c>
      <c r="AT439" s="34">
        <v>7.4999999999999997E-2</v>
      </c>
      <c r="AU439" s="34">
        <v>1.9230769230769232E-2</v>
      </c>
      <c r="AV439" s="34">
        <v>3.608247422680412E-2</v>
      </c>
      <c r="AW439" s="10"/>
      <c r="AX439" s="8"/>
    </row>
    <row r="440" spans="1:50">
      <c r="A440" s="7"/>
      <c r="B440" s="10"/>
      <c r="C440" s="45" t="s">
        <v>396</v>
      </c>
      <c r="D440" s="23" t="s">
        <v>19</v>
      </c>
      <c r="E440" s="46" t="s">
        <v>486</v>
      </c>
      <c r="F440" s="46" t="s">
        <v>486</v>
      </c>
      <c r="G440" s="46" t="s">
        <v>486</v>
      </c>
      <c r="H440" s="46" t="s">
        <v>486</v>
      </c>
      <c r="I440" s="25">
        <v>0.9</v>
      </c>
      <c r="J440" s="26">
        <v>0.53191489361702127</v>
      </c>
      <c r="K440" s="26">
        <v>0.52941176470588236</v>
      </c>
      <c r="L440" s="27">
        <v>0.68085106382978722</v>
      </c>
      <c r="M440" s="26">
        <v>0.53749999999999998</v>
      </c>
      <c r="N440" s="28">
        <v>0.9</v>
      </c>
      <c r="O440" s="26">
        <v>0.74192015209125473</v>
      </c>
      <c r="P440" s="26">
        <v>0.64241071428571428</v>
      </c>
      <c r="Q440" s="26">
        <v>0.62478892266126307</v>
      </c>
      <c r="R440" s="26">
        <v>0.58940078868904489</v>
      </c>
      <c r="S440" s="28">
        <v>0.9</v>
      </c>
      <c r="T440" s="26">
        <v>0.74192015209125473</v>
      </c>
      <c r="U440" s="26">
        <v>0.70669642857142856</v>
      </c>
      <c r="V440" s="26">
        <v>0.67274569402228979</v>
      </c>
      <c r="W440" s="26">
        <v>0.68043666442242956</v>
      </c>
      <c r="X440" s="28">
        <v>0.92</v>
      </c>
      <c r="Y440" s="28">
        <v>0.78013713780137139</v>
      </c>
      <c r="Z440" s="28">
        <v>0.75836177474402733</v>
      </c>
      <c r="AA440" s="28">
        <v>0.7270727952496151</v>
      </c>
      <c r="AB440" s="28">
        <v>0.72779427451206502</v>
      </c>
      <c r="AC440" s="28">
        <v>0.92</v>
      </c>
      <c r="AD440" s="26">
        <v>0.99255181347150256</v>
      </c>
      <c r="AE440" s="26">
        <v>0.98331346841477951</v>
      </c>
      <c r="AF440" s="26">
        <v>0.98633540372670803</v>
      </c>
      <c r="AG440" s="26">
        <v>0.99157925838380856</v>
      </c>
      <c r="AH440" s="28">
        <v>0.92</v>
      </c>
      <c r="AI440" s="26">
        <v>0.80892103676913807</v>
      </c>
      <c r="AJ440" s="26">
        <v>0.81451370069256246</v>
      </c>
      <c r="AK440" s="26">
        <v>0.77106348995075202</v>
      </c>
      <c r="AL440" s="26">
        <v>0.78202218860312656</v>
      </c>
      <c r="AM440" s="25">
        <v>0.99</v>
      </c>
      <c r="AN440" s="30">
        <v>1</v>
      </c>
      <c r="AO440" s="30">
        <v>1</v>
      </c>
      <c r="AP440" s="30">
        <v>1</v>
      </c>
      <c r="AQ440" s="30">
        <v>1</v>
      </c>
      <c r="AR440" s="50">
        <v>0.05</v>
      </c>
      <c r="AS440" s="34">
        <v>0</v>
      </c>
      <c r="AT440" s="34">
        <v>2.9411764705882353E-2</v>
      </c>
      <c r="AU440" s="34">
        <v>0</v>
      </c>
      <c r="AV440" s="34">
        <v>1.3333333333333334E-2</v>
      </c>
      <c r="AW440" s="10"/>
      <c r="AX440" s="8"/>
    </row>
    <row r="441" spans="1:50">
      <c r="A441" s="7"/>
      <c r="B441" s="10"/>
      <c r="C441" s="45" t="s">
        <v>396</v>
      </c>
      <c r="D441" s="23" t="s">
        <v>19</v>
      </c>
      <c r="E441" s="46" t="s">
        <v>487</v>
      </c>
      <c r="F441" s="46" t="s">
        <v>487</v>
      </c>
      <c r="G441" s="46" t="s">
        <v>487</v>
      </c>
      <c r="H441" s="46" t="s">
        <v>487</v>
      </c>
      <c r="I441" s="25">
        <v>0.9</v>
      </c>
      <c r="J441" s="26">
        <v>0.96739130434782605</v>
      </c>
      <c r="K441" s="26">
        <v>0.95918367346938771</v>
      </c>
      <c r="L441" s="27">
        <v>0.97894736842105268</v>
      </c>
      <c r="M441" s="26">
        <v>0.95336076817558302</v>
      </c>
      <c r="N441" s="28">
        <v>0.9</v>
      </c>
      <c r="O441" s="26">
        <v>0.978923311325546</v>
      </c>
      <c r="P441" s="26">
        <v>0.97707528957528955</v>
      </c>
      <c r="Q441" s="26">
        <v>0.97344088136927009</v>
      </c>
      <c r="R441" s="26">
        <v>0.97946084724005134</v>
      </c>
      <c r="S441" s="28">
        <v>0.9</v>
      </c>
      <c r="T441" s="26">
        <v>0.91874047739969533</v>
      </c>
      <c r="U441" s="26">
        <v>0.92205598455598459</v>
      </c>
      <c r="V441" s="26">
        <v>0.92543773362187687</v>
      </c>
      <c r="W441" s="26">
        <v>0.9221967963386728</v>
      </c>
      <c r="X441" s="28">
        <v>0.92</v>
      </c>
      <c r="Y441" s="28">
        <v>0.92969271877087512</v>
      </c>
      <c r="Z441" s="28">
        <v>0.94865525672371642</v>
      </c>
      <c r="AA441" s="28">
        <v>0.94956658786446024</v>
      </c>
      <c r="AB441" s="28">
        <v>0.94268304071722075</v>
      </c>
      <c r="AC441" s="28">
        <v>0.92</v>
      </c>
      <c r="AD441" s="26">
        <v>0.99687010954616584</v>
      </c>
      <c r="AE441" s="26">
        <v>0.99268738574040216</v>
      </c>
      <c r="AF441" s="26">
        <v>0.99007092198581559</v>
      </c>
      <c r="AG441" s="26">
        <v>0.91728180633955714</v>
      </c>
      <c r="AH441" s="28">
        <v>0.92</v>
      </c>
      <c r="AI441" s="26">
        <v>0.94541242824050764</v>
      </c>
      <c r="AJ441" s="26">
        <v>0.96378035902851111</v>
      </c>
      <c r="AK441" s="26">
        <v>0.9671259842519685</v>
      </c>
      <c r="AL441" s="26">
        <v>0.96116566521424307</v>
      </c>
      <c r="AM441" s="25">
        <v>0.99</v>
      </c>
      <c r="AN441" s="30">
        <v>1</v>
      </c>
      <c r="AO441" s="30">
        <v>1</v>
      </c>
      <c r="AP441" s="30">
        <v>1</v>
      </c>
      <c r="AQ441" s="30">
        <v>1</v>
      </c>
      <c r="AR441" s="50">
        <v>0.05</v>
      </c>
      <c r="AS441" s="34">
        <v>0</v>
      </c>
      <c r="AT441" s="34">
        <v>0.04</v>
      </c>
      <c r="AU441" s="34">
        <v>0</v>
      </c>
      <c r="AV441" s="34">
        <v>3.484320557491289E-2</v>
      </c>
      <c r="AW441" s="10"/>
      <c r="AX441" s="8"/>
    </row>
    <row r="442" spans="1:50">
      <c r="A442" s="7"/>
      <c r="B442" s="10"/>
      <c r="C442" s="45" t="s">
        <v>396</v>
      </c>
      <c r="D442" s="23" t="s">
        <v>19</v>
      </c>
      <c r="E442" s="63" t="s">
        <v>488</v>
      </c>
      <c r="F442" s="63" t="s">
        <v>488</v>
      </c>
      <c r="G442" s="63" t="s">
        <v>488</v>
      </c>
      <c r="H442" s="63" t="s">
        <v>488</v>
      </c>
      <c r="I442" s="25">
        <v>0.9</v>
      </c>
      <c r="J442" s="26">
        <v>0.88888888888888884</v>
      </c>
      <c r="K442" s="26">
        <v>0.89473684210526316</v>
      </c>
      <c r="L442" s="27">
        <v>0.9</v>
      </c>
      <c r="M442" s="26">
        <v>0.87323943661971826</v>
      </c>
      <c r="N442" s="28">
        <v>0.9</v>
      </c>
      <c r="O442" s="26">
        <v>0.98312972658522402</v>
      </c>
      <c r="P442" s="26">
        <v>0.97974217311233891</v>
      </c>
      <c r="Q442" s="26">
        <v>0.97842079450711128</v>
      </c>
      <c r="R442" s="26">
        <v>0.97830474268415746</v>
      </c>
      <c r="S442" s="28">
        <v>0.9</v>
      </c>
      <c r="T442" s="26">
        <v>0.95287958115183247</v>
      </c>
      <c r="U442" s="26">
        <v>0.97053406998158376</v>
      </c>
      <c r="V442" s="26">
        <v>0.94458067680235414</v>
      </c>
      <c r="W442" s="26">
        <v>0.95105953582240166</v>
      </c>
      <c r="X442" s="28">
        <v>0.92</v>
      </c>
      <c r="Y442" s="28">
        <v>0</v>
      </c>
      <c r="Z442" s="28">
        <v>0</v>
      </c>
      <c r="AA442" s="28">
        <v>0</v>
      </c>
      <c r="AB442" s="28">
        <v>0</v>
      </c>
      <c r="AC442" s="28">
        <v>0.92</v>
      </c>
      <c r="AD442" s="26">
        <v>1</v>
      </c>
      <c r="AE442" s="26">
        <v>1</v>
      </c>
      <c r="AF442" s="26">
        <v>0.98765432098765427</v>
      </c>
      <c r="AG442" s="26">
        <v>0.97938144329896903</v>
      </c>
      <c r="AH442" s="28">
        <v>0.92</v>
      </c>
      <c r="AI442" s="26">
        <v>0.9755671902268761</v>
      </c>
      <c r="AJ442" s="26">
        <v>0.98956414978514429</v>
      </c>
      <c r="AK442" s="26">
        <v>0.99019127023050513</v>
      </c>
      <c r="AL442" s="26">
        <v>0.98746126684441882</v>
      </c>
      <c r="AM442" s="25">
        <v>0.99</v>
      </c>
      <c r="AN442" s="30">
        <v>1</v>
      </c>
      <c r="AO442" s="30">
        <v>1</v>
      </c>
      <c r="AP442" s="30">
        <v>1</v>
      </c>
      <c r="AQ442" s="30">
        <v>1</v>
      </c>
      <c r="AR442" s="50">
        <v>0.05</v>
      </c>
      <c r="AS442" s="34">
        <v>0</v>
      </c>
      <c r="AT442" s="34">
        <v>0.5</v>
      </c>
      <c r="AU442" s="34">
        <v>0.16666666666666666</v>
      </c>
      <c r="AV442" s="34">
        <v>0.1111111111111111</v>
      </c>
      <c r="AW442" s="10"/>
      <c r="AX442" s="8"/>
    </row>
    <row r="443" spans="1:50">
      <c r="A443" s="7"/>
      <c r="B443" s="10"/>
      <c r="C443" s="45" t="s">
        <v>396</v>
      </c>
      <c r="D443" s="23" t="s">
        <v>19</v>
      </c>
      <c r="E443" s="46" t="s">
        <v>489</v>
      </c>
      <c r="F443" s="46" t="s">
        <v>489</v>
      </c>
      <c r="G443" s="46" t="s">
        <v>489</v>
      </c>
      <c r="H443" s="46" t="s">
        <v>489</v>
      </c>
      <c r="I443" s="25">
        <v>0.9</v>
      </c>
      <c r="J443" s="26">
        <v>0.85964912280701755</v>
      </c>
      <c r="K443" s="26">
        <v>0.7857142857142857</v>
      </c>
      <c r="L443" s="27">
        <v>0.95161290322580649</v>
      </c>
      <c r="M443" s="26">
        <v>0.87662337662337664</v>
      </c>
      <c r="N443" s="28">
        <v>0.9</v>
      </c>
      <c r="O443" s="26">
        <v>0.95697074010327021</v>
      </c>
      <c r="P443" s="26">
        <v>0.91342905405405406</v>
      </c>
      <c r="Q443" s="26">
        <v>0.9373808010171647</v>
      </c>
      <c r="R443" s="26">
        <v>0.93046028880866427</v>
      </c>
      <c r="S443" s="28">
        <v>0.9</v>
      </c>
      <c r="T443" s="26">
        <v>0.86919104991394147</v>
      </c>
      <c r="U443" s="26">
        <v>0.87542229729729726</v>
      </c>
      <c r="V443" s="26">
        <v>0.8849332485696122</v>
      </c>
      <c r="W443" s="26">
        <v>0.85054151624548735</v>
      </c>
      <c r="X443" s="28">
        <v>0.92</v>
      </c>
      <c r="Y443" s="28">
        <v>0.89563106796116509</v>
      </c>
      <c r="Z443" s="28">
        <v>0.89888841385207352</v>
      </c>
      <c r="AA443" s="28">
        <v>0.91639662994167204</v>
      </c>
      <c r="AB443" s="28">
        <v>0.88730746734256194</v>
      </c>
      <c r="AC443" s="28">
        <v>0.92</v>
      </c>
      <c r="AD443" s="26">
        <v>0.99517684887459812</v>
      </c>
      <c r="AE443" s="26">
        <v>0.99595141700404854</v>
      </c>
      <c r="AF443" s="26">
        <v>0.99105545617173529</v>
      </c>
      <c r="AG443" s="26">
        <v>0.99580072532926134</v>
      </c>
      <c r="AH443" s="28">
        <v>0.92</v>
      </c>
      <c r="AI443" s="26">
        <v>0.91310325862780151</v>
      </c>
      <c r="AJ443" s="26">
        <v>0.92546407822020693</v>
      </c>
      <c r="AK443" s="26">
        <v>0.94076072988948856</v>
      </c>
      <c r="AL443" s="26">
        <v>0.91747539403950717</v>
      </c>
      <c r="AM443" s="25">
        <v>0.99</v>
      </c>
      <c r="AN443" s="30">
        <v>1</v>
      </c>
      <c r="AO443" s="30">
        <v>1</v>
      </c>
      <c r="AP443" s="30">
        <v>1</v>
      </c>
      <c r="AQ443" s="30">
        <v>1</v>
      </c>
      <c r="AR443" s="50">
        <v>0.05</v>
      </c>
      <c r="AS443" s="34">
        <v>0</v>
      </c>
      <c r="AT443" s="34">
        <v>0</v>
      </c>
      <c r="AU443" s="34">
        <v>0.04</v>
      </c>
      <c r="AV443" s="34">
        <v>1.0101010101010102E-2</v>
      </c>
      <c r="AW443" s="10"/>
      <c r="AX443" s="8"/>
    </row>
    <row r="444" spans="1:50">
      <c r="A444" s="7"/>
      <c r="B444" s="10"/>
      <c r="C444" s="45" t="s">
        <v>396</v>
      </c>
      <c r="D444" s="23" t="s">
        <v>19</v>
      </c>
      <c r="E444" s="46" t="s">
        <v>490</v>
      </c>
      <c r="F444" s="46" t="s">
        <v>490</v>
      </c>
      <c r="G444" s="46" t="s">
        <v>490</v>
      </c>
      <c r="H444" s="46" t="s">
        <v>490</v>
      </c>
      <c r="I444" s="25">
        <v>0.9</v>
      </c>
      <c r="J444" s="26">
        <v>0.78431372549019607</v>
      </c>
      <c r="K444" s="26">
        <v>0.81632653061224492</v>
      </c>
      <c r="L444" s="27">
        <v>0.86</v>
      </c>
      <c r="M444" s="26">
        <v>0.85025380710659904</v>
      </c>
      <c r="N444" s="28">
        <v>0.9</v>
      </c>
      <c r="O444" s="26">
        <v>0.92945036915504509</v>
      </c>
      <c r="P444" s="26">
        <v>0.95141065830721006</v>
      </c>
      <c r="Q444" s="26">
        <v>0.92393265183403483</v>
      </c>
      <c r="R444" s="26">
        <v>0.94922540006809675</v>
      </c>
      <c r="S444" s="28">
        <v>0.9</v>
      </c>
      <c r="T444" s="26">
        <v>0.89540607054963084</v>
      </c>
      <c r="U444" s="26">
        <v>0.90360501567398122</v>
      </c>
      <c r="V444" s="26">
        <v>0.88574864702345157</v>
      </c>
      <c r="W444" s="26">
        <v>0.89998297582567244</v>
      </c>
      <c r="X444" s="28">
        <v>0.92</v>
      </c>
      <c r="Y444" s="28">
        <v>0.94648764351041059</v>
      </c>
      <c r="Z444" s="28">
        <v>0.94307968843618939</v>
      </c>
      <c r="AA444" s="28">
        <v>0.95481020285197826</v>
      </c>
      <c r="AB444" s="28">
        <v>0.95255197001074787</v>
      </c>
      <c r="AC444" s="28">
        <v>0.92</v>
      </c>
      <c r="AD444" s="26">
        <v>0.99601275917065391</v>
      </c>
      <c r="AE444" s="26">
        <v>0.99156829679595282</v>
      </c>
      <c r="AF444" s="26">
        <v>0.99383350462487152</v>
      </c>
      <c r="AG444" s="26">
        <v>0.99446515305546146</v>
      </c>
      <c r="AH444" s="28">
        <v>0.92</v>
      </c>
      <c r="AI444" s="26">
        <v>0.95646437994722955</v>
      </c>
      <c r="AJ444" s="26">
        <v>0.95517651725505748</v>
      </c>
      <c r="AK444" s="26">
        <v>0.96219145093317282</v>
      </c>
      <c r="AL444" s="26">
        <v>0.96343855894417696</v>
      </c>
      <c r="AM444" s="25">
        <v>0.99</v>
      </c>
      <c r="AN444" s="30">
        <v>1</v>
      </c>
      <c r="AO444" s="30">
        <v>1</v>
      </c>
      <c r="AP444" s="30">
        <v>1</v>
      </c>
      <c r="AQ444" s="30">
        <v>1</v>
      </c>
      <c r="AR444" s="50">
        <v>0.05</v>
      </c>
      <c r="AS444" s="34">
        <v>7.6923076923076927E-2</v>
      </c>
      <c r="AT444" s="34">
        <v>6.6666666666666666E-2</v>
      </c>
      <c r="AU444" s="34">
        <v>3.8461538461538464E-2</v>
      </c>
      <c r="AV444" s="34">
        <v>4.912280701754386E-2</v>
      </c>
      <c r="AW444" s="10"/>
      <c r="AX444" s="8"/>
    </row>
    <row r="445" spans="1:50">
      <c r="A445" s="7"/>
      <c r="B445" s="10"/>
      <c r="C445" s="45" t="s">
        <v>396</v>
      </c>
      <c r="D445" s="23" t="s">
        <v>19</v>
      </c>
      <c r="E445" s="46" t="s">
        <v>491</v>
      </c>
      <c r="F445" s="46" t="s">
        <v>491</v>
      </c>
      <c r="G445" s="46" t="s">
        <v>491</v>
      </c>
      <c r="H445" s="46" t="s">
        <v>491</v>
      </c>
      <c r="I445" s="25">
        <v>0.9</v>
      </c>
      <c r="J445" s="26">
        <v>0.92307692307692313</v>
      </c>
      <c r="K445" s="26">
        <v>0.94117647058823528</v>
      </c>
      <c r="L445" s="27">
        <v>0.98113207547169812</v>
      </c>
      <c r="M445" s="26">
        <v>0.91727493917274938</v>
      </c>
      <c r="N445" s="28">
        <v>0.9</v>
      </c>
      <c r="O445" s="26">
        <v>0.97585071350164654</v>
      </c>
      <c r="P445" s="26">
        <v>0.97797513321492002</v>
      </c>
      <c r="Q445" s="26">
        <v>0.971830985915493</v>
      </c>
      <c r="R445" s="26">
        <v>0.9772856562373019</v>
      </c>
      <c r="S445" s="28">
        <v>0.9</v>
      </c>
      <c r="T445" s="26">
        <v>0.90706183680936703</v>
      </c>
      <c r="U445" s="26">
        <v>0.91047957371225574</v>
      </c>
      <c r="V445" s="26">
        <v>0.8890845070422535</v>
      </c>
      <c r="W445" s="26">
        <v>0.90280373831775695</v>
      </c>
      <c r="X445" s="28">
        <v>0.92</v>
      </c>
      <c r="Y445" s="28">
        <v>0.92112729336107435</v>
      </c>
      <c r="Z445" s="28">
        <v>0.95002962670353541</v>
      </c>
      <c r="AA445" s="28">
        <v>0.97286350749291206</v>
      </c>
      <c r="AB445" s="28">
        <v>0.95611594956453916</v>
      </c>
      <c r="AC445" s="28">
        <v>0.92</v>
      </c>
      <c r="AD445" s="26">
        <v>0.9538461538461539</v>
      </c>
      <c r="AE445" s="26">
        <v>0.96202531645569622</v>
      </c>
      <c r="AF445" s="26">
        <v>0.96350364963503654</v>
      </c>
      <c r="AG445" s="26">
        <v>0.95896946564885499</v>
      </c>
      <c r="AH445" s="28">
        <v>0.92</v>
      </c>
      <c r="AI445" s="26">
        <v>0.93660480757254949</v>
      </c>
      <c r="AJ445" s="26">
        <v>0.96044624746450302</v>
      </c>
      <c r="AK445" s="26">
        <v>0.97903940591687633</v>
      </c>
      <c r="AL445" s="26">
        <v>0.96750451106397795</v>
      </c>
      <c r="AM445" s="25">
        <v>0.99</v>
      </c>
      <c r="AN445" s="30">
        <v>1</v>
      </c>
      <c r="AO445" s="30">
        <v>1</v>
      </c>
      <c r="AP445" s="30">
        <v>1</v>
      </c>
      <c r="AQ445" s="30">
        <v>1</v>
      </c>
      <c r="AR445" s="50">
        <v>0.05</v>
      </c>
      <c r="AS445" s="34">
        <v>0</v>
      </c>
      <c r="AT445" s="34">
        <v>0</v>
      </c>
      <c r="AU445" s="34">
        <v>0</v>
      </c>
      <c r="AV445" s="34">
        <v>2.4154589371980676E-2</v>
      </c>
      <c r="AW445" s="10"/>
      <c r="AX445" s="8"/>
    </row>
    <row r="446" spans="1:50">
      <c r="A446" s="7"/>
      <c r="B446" s="10"/>
      <c r="C446" s="45" t="s">
        <v>396</v>
      </c>
      <c r="D446" s="23" t="s">
        <v>19</v>
      </c>
      <c r="E446" s="46" t="s">
        <v>492</v>
      </c>
      <c r="F446" s="46" t="s">
        <v>492</v>
      </c>
      <c r="G446" s="46" t="s">
        <v>492</v>
      </c>
      <c r="H446" s="46" t="s">
        <v>492</v>
      </c>
      <c r="I446" s="25">
        <v>0.9</v>
      </c>
      <c r="J446" s="26">
        <v>0.93243243243243246</v>
      </c>
      <c r="K446" s="26">
        <v>0.95121951219512191</v>
      </c>
      <c r="L446" s="27">
        <v>0.91954022988505746</v>
      </c>
      <c r="M446" s="26">
        <v>0.93848580441640383</v>
      </c>
      <c r="N446" s="28">
        <v>0.9</v>
      </c>
      <c r="O446" s="26">
        <v>0.98589012308616031</v>
      </c>
      <c r="P446" s="26">
        <v>0.98915325402379284</v>
      </c>
      <c r="Q446" s="26">
        <v>0.97719250610915009</v>
      </c>
      <c r="R446" s="26">
        <v>0.98413720911506564</v>
      </c>
      <c r="S446" s="28">
        <v>0.9</v>
      </c>
      <c r="T446" s="26">
        <v>0.90873611528069653</v>
      </c>
      <c r="U446" s="26">
        <v>0.91217634709587125</v>
      </c>
      <c r="V446" s="26">
        <v>0.9006244909041542</v>
      </c>
      <c r="W446" s="26">
        <v>0.909533778887189</v>
      </c>
      <c r="X446" s="28">
        <v>0.92</v>
      </c>
      <c r="Y446" s="28">
        <v>0.88006061918164102</v>
      </c>
      <c r="Z446" s="28">
        <v>0.91290057518488088</v>
      </c>
      <c r="AA446" s="28">
        <v>0.91957796014067994</v>
      </c>
      <c r="AB446" s="28">
        <v>0.90716963310605392</v>
      </c>
      <c r="AC446" s="28">
        <v>0.92</v>
      </c>
      <c r="AD446" s="26">
        <v>0.99859088774072335</v>
      </c>
      <c r="AE446" s="26">
        <v>0.99832335329341315</v>
      </c>
      <c r="AF446" s="26">
        <v>0.98842750170183802</v>
      </c>
      <c r="AG446" s="26">
        <v>0.9956717929827793</v>
      </c>
      <c r="AH446" s="28">
        <v>0.92</v>
      </c>
      <c r="AI446" s="26">
        <v>0.91498993963782693</v>
      </c>
      <c r="AJ446" s="26">
        <v>0.94240516049761947</v>
      </c>
      <c r="AK446" s="26">
        <v>0.95044648471890325</v>
      </c>
      <c r="AL446" s="26">
        <v>0.93668493990261836</v>
      </c>
      <c r="AM446" s="25">
        <v>0.99</v>
      </c>
      <c r="AN446" s="30">
        <v>1</v>
      </c>
      <c r="AO446" s="30">
        <v>1</v>
      </c>
      <c r="AP446" s="30">
        <v>1</v>
      </c>
      <c r="AQ446" s="30">
        <v>1</v>
      </c>
      <c r="AR446" s="50">
        <v>0.05</v>
      </c>
      <c r="AS446" s="34">
        <v>8.3333333333333329E-2</v>
      </c>
      <c r="AT446" s="34">
        <v>8.3333333333333329E-2</v>
      </c>
      <c r="AU446" s="34">
        <v>9.0909090909090912E-2</v>
      </c>
      <c r="AV446" s="34">
        <v>4.1176470588235294E-2</v>
      </c>
      <c r="AW446" s="10"/>
      <c r="AX446" s="8"/>
    </row>
    <row r="447" spans="1:50">
      <c r="A447" s="7"/>
      <c r="B447" s="10"/>
      <c r="C447" s="45" t="s">
        <v>396</v>
      </c>
      <c r="D447" s="23" t="s">
        <v>19</v>
      </c>
      <c r="E447" s="46" t="s">
        <v>493</v>
      </c>
      <c r="F447" s="46" t="s">
        <v>493</v>
      </c>
      <c r="G447" s="46" t="s">
        <v>493</v>
      </c>
      <c r="H447" s="46" t="s">
        <v>493</v>
      </c>
      <c r="I447" s="25">
        <v>0.9</v>
      </c>
      <c r="J447" s="26">
        <v>0.93442622950819676</v>
      </c>
      <c r="K447" s="26">
        <v>0.8529411764705882</v>
      </c>
      <c r="L447" s="27">
        <v>0.88059701492537312</v>
      </c>
      <c r="M447" s="26">
        <v>0.86734693877551017</v>
      </c>
      <c r="N447" s="28">
        <v>0.9</v>
      </c>
      <c r="O447" s="26">
        <v>0.97664359861591699</v>
      </c>
      <c r="P447" s="26">
        <v>0.9953214347600069</v>
      </c>
      <c r="Q447" s="26">
        <v>0.99415717207128251</v>
      </c>
      <c r="R447" s="26">
        <v>0.98771063758878541</v>
      </c>
      <c r="S447" s="28">
        <v>0.9</v>
      </c>
      <c r="T447" s="26">
        <v>0.94065743944636682</v>
      </c>
      <c r="U447" s="26">
        <v>0.91162710102235311</v>
      </c>
      <c r="V447" s="26">
        <v>0.90359333917616125</v>
      </c>
      <c r="W447" s="26">
        <v>0.8971026265908475</v>
      </c>
      <c r="X447" s="28">
        <v>0.92</v>
      </c>
      <c r="Y447" s="28">
        <v>0.66666666666666663</v>
      </c>
      <c r="Z447" s="28">
        <v>1</v>
      </c>
      <c r="AA447" s="28">
        <v>1</v>
      </c>
      <c r="AB447" s="28">
        <v>0.77777777777777779</v>
      </c>
      <c r="AC447" s="28">
        <v>0.92</v>
      </c>
      <c r="AD447" s="26">
        <v>0.98479087452471481</v>
      </c>
      <c r="AE447" s="26">
        <v>0.98650927487352447</v>
      </c>
      <c r="AF447" s="26">
        <v>0.99652777777777779</v>
      </c>
      <c r="AG447" s="26">
        <v>0.98902439024390243</v>
      </c>
      <c r="AH447" s="28">
        <v>0.92</v>
      </c>
      <c r="AI447" s="26">
        <v>0.97873076257997582</v>
      </c>
      <c r="AJ447" s="26">
        <v>0.98284823284823286</v>
      </c>
      <c r="AK447" s="26">
        <v>0.98452328807125122</v>
      </c>
      <c r="AL447" s="26">
        <v>0.98107038733860896</v>
      </c>
      <c r="AM447" s="25">
        <v>0.99</v>
      </c>
      <c r="AN447" s="30">
        <v>1</v>
      </c>
      <c r="AO447" s="30">
        <v>1</v>
      </c>
      <c r="AP447" s="30">
        <v>1</v>
      </c>
      <c r="AQ447" s="30">
        <v>1</v>
      </c>
      <c r="AR447" s="50">
        <v>0.05</v>
      </c>
      <c r="AS447" s="34">
        <v>0</v>
      </c>
      <c r="AT447" s="34">
        <v>6.6666666666666666E-2</v>
      </c>
      <c r="AU447" s="34">
        <v>0</v>
      </c>
      <c r="AV447" s="34">
        <v>0</v>
      </c>
      <c r="AW447" s="10"/>
      <c r="AX447" s="8"/>
    </row>
    <row r="448" spans="1:50">
      <c r="A448" s="7"/>
      <c r="B448" s="10"/>
      <c r="C448" s="45" t="s">
        <v>396</v>
      </c>
      <c r="D448" s="23" t="s">
        <v>19</v>
      </c>
      <c r="E448" s="46" t="s">
        <v>494</v>
      </c>
      <c r="F448" s="46" t="s">
        <v>494</v>
      </c>
      <c r="G448" s="46" t="s">
        <v>494</v>
      </c>
      <c r="H448" s="46" t="s">
        <v>494</v>
      </c>
      <c r="I448" s="25">
        <v>0.9</v>
      </c>
      <c r="J448" s="26">
        <v>0.94545454545454544</v>
      </c>
      <c r="K448" s="26">
        <v>0.96226415094339623</v>
      </c>
      <c r="L448" s="27">
        <v>0.94736842105263153</v>
      </c>
      <c r="M448" s="26">
        <v>0.94430992736077479</v>
      </c>
      <c r="N448" s="28">
        <v>0.9</v>
      </c>
      <c r="O448" s="26">
        <v>0.97283638660770688</v>
      </c>
      <c r="P448" s="26">
        <v>0.97700729927007302</v>
      </c>
      <c r="Q448" s="26">
        <v>0.97589125416773537</v>
      </c>
      <c r="R448" s="26">
        <v>0.95780803496385947</v>
      </c>
      <c r="S448" s="28">
        <v>0.9</v>
      </c>
      <c r="T448" s="26">
        <v>0.94914718888186989</v>
      </c>
      <c r="U448" s="26">
        <v>0.95729927007299265</v>
      </c>
      <c r="V448" s="26">
        <v>0.95691202872531422</v>
      </c>
      <c r="W448" s="26">
        <v>0.94234325096654903</v>
      </c>
      <c r="X448" s="28">
        <v>0.92</v>
      </c>
      <c r="Y448" s="28">
        <v>0.95056667470460576</v>
      </c>
      <c r="Z448" s="28">
        <v>0.95387554585152834</v>
      </c>
      <c r="AA448" s="28">
        <v>0.9695663200608674</v>
      </c>
      <c r="AB448" s="28">
        <v>0.93819004801663763</v>
      </c>
      <c r="AC448" s="28">
        <v>0.92</v>
      </c>
      <c r="AD448" s="26">
        <v>0.99896420761882843</v>
      </c>
      <c r="AE448" s="26">
        <v>0.99727216367017979</v>
      </c>
      <c r="AF448" s="26">
        <v>0.99771573604060915</v>
      </c>
      <c r="AG448" s="26">
        <v>0.99517328691248619</v>
      </c>
      <c r="AH448" s="28">
        <v>0.92</v>
      </c>
      <c r="AI448" s="26">
        <v>0.96199589883800407</v>
      </c>
      <c r="AJ448" s="26">
        <v>0.9676764522173642</v>
      </c>
      <c r="AK448" s="26">
        <v>0.97972972972972971</v>
      </c>
      <c r="AL448" s="26">
        <v>0.95659405800435293</v>
      </c>
      <c r="AM448" s="25">
        <v>0.99</v>
      </c>
      <c r="AN448" s="30">
        <v>1</v>
      </c>
      <c r="AO448" s="30">
        <v>1</v>
      </c>
      <c r="AP448" s="30">
        <v>1</v>
      </c>
      <c r="AQ448" s="30">
        <v>1</v>
      </c>
      <c r="AR448" s="50">
        <v>0.05</v>
      </c>
      <c r="AS448" s="34">
        <v>6.0606060606060608E-2</v>
      </c>
      <c r="AT448" s="34">
        <v>2.4390243902439025E-2</v>
      </c>
      <c r="AU448" s="34">
        <v>4.7619047619047616E-2</v>
      </c>
      <c r="AV448" s="34">
        <v>3.125E-2</v>
      </c>
      <c r="AW448" s="10"/>
      <c r="AX448" s="8"/>
    </row>
    <row r="449" spans="1:50">
      <c r="A449" s="7"/>
      <c r="B449" s="10"/>
      <c r="C449" s="45" t="s">
        <v>396</v>
      </c>
      <c r="D449" s="23" t="s">
        <v>19</v>
      </c>
      <c r="E449" s="46" t="s">
        <v>495</v>
      </c>
      <c r="F449" s="46" t="s">
        <v>495</v>
      </c>
      <c r="G449" s="46" t="s">
        <v>495</v>
      </c>
      <c r="H449" s="46" t="s">
        <v>495</v>
      </c>
      <c r="I449" s="25">
        <v>0.9</v>
      </c>
      <c r="J449" s="26">
        <v>0.93333333333333335</v>
      </c>
      <c r="K449" s="26">
        <v>1</v>
      </c>
      <c r="L449" s="27">
        <v>0.94117647058823528</v>
      </c>
      <c r="M449" s="26">
        <v>0.94776119402985071</v>
      </c>
      <c r="N449" s="28">
        <v>0.9</v>
      </c>
      <c r="O449" s="26">
        <v>0.89530892448512589</v>
      </c>
      <c r="P449" s="26">
        <v>0.96593406593406594</v>
      </c>
      <c r="Q449" s="26">
        <v>0.98992322456813819</v>
      </c>
      <c r="R449" s="26">
        <v>0.96931826160219059</v>
      </c>
      <c r="S449" s="28">
        <v>0.9</v>
      </c>
      <c r="T449" s="26">
        <v>0.77745995423340963</v>
      </c>
      <c r="U449" s="26">
        <v>0.92472527472527477</v>
      </c>
      <c r="V449" s="26">
        <v>0.94337811900191937</v>
      </c>
      <c r="W449" s="26">
        <v>0.92908797303938773</v>
      </c>
      <c r="X449" s="28">
        <v>0.92</v>
      </c>
      <c r="Y449" s="28">
        <v>0</v>
      </c>
      <c r="Z449" s="28">
        <v>0</v>
      </c>
      <c r="AA449" s="28">
        <v>0</v>
      </c>
      <c r="AB449" s="28">
        <v>0.5</v>
      </c>
      <c r="AC449" s="28">
        <v>0.92</v>
      </c>
      <c r="AD449" s="26">
        <v>1</v>
      </c>
      <c r="AE449" s="26">
        <v>1</v>
      </c>
      <c r="AF449" s="26">
        <v>0.99350649350649356</v>
      </c>
      <c r="AG449" s="26">
        <v>0.99503968253968256</v>
      </c>
      <c r="AH449" s="28">
        <v>0.92</v>
      </c>
      <c r="AI449" s="26">
        <v>0.93020594965675052</v>
      </c>
      <c r="AJ449" s="26">
        <v>0.94615384615384612</v>
      </c>
      <c r="AK449" s="26">
        <v>0.9908872901678657</v>
      </c>
      <c r="AL449" s="26">
        <v>0.97746577746577745</v>
      </c>
      <c r="AM449" s="25">
        <v>0.99</v>
      </c>
      <c r="AN449" s="30">
        <v>1</v>
      </c>
      <c r="AO449" s="30">
        <v>1</v>
      </c>
      <c r="AP449" s="30">
        <v>1</v>
      </c>
      <c r="AQ449" s="30">
        <v>1</v>
      </c>
      <c r="AR449" s="50">
        <v>0.05</v>
      </c>
      <c r="AS449" s="34">
        <v>0</v>
      </c>
      <c r="AT449" s="34">
        <v>0</v>
      </c>
      <c r="AU449" s="34">
        <v>0</v>
      </c>
      <c r="AV449" s="34">
        <v>4.3478260869565216E-2</v>
      </c>
      <c r="AW449" s="10"/>
      <c r="AX449" s="8"/>
    </row>
    <row r="450" spans="1:50">
      <c r="A450" s="7"/>
      <c r="B450" s="10"/>
      <c r="C450" s="45" t="s">
        <v>396</v>
      </c>
      <c r="D450" s="23" t="s">
        <v>19</v>
      </c>
      <c r="E450" s="46" t="s">
        <v>496</v>
      </c>
      <c r="F450" s="46" t="s">
        <v>496</v>
      </c>
      <c r="G450" s="46" t="s">
        <v>496</v>
      </c>
      <c r="H450" s="46" t="s">
        <v>496</v>
      </c>
      <c r="I450" s="25">
        <v>0.9</v>
      </c>
      <c r="J450" s="26">
        <v>0.91891891891891897</v>
      </c>
      <c r="K450" s="26">
        <v>0.9285714285714286</v>
      </c>
      <c r="L450" s="27">
        <v>0.95</v>
      </c>
      <c r="M450" s="26">
        <v>0.909967845659164</v>
      </c>
      <c r="N450" s="28">
        <v>0.9</v>
      </c>
      <c r="O450" s="26">
        <v>0.9644602398933807</v>
      </c>
      <c r="P450" s="26">
        <v>0.98306575764240156</v>
      </c>
      <c r="Q450" s="26">
        <v>0.98228933631618198</v>
      </c>
      <c r="R450" s="26">
        <v>0.97535363351689885</v>
      </c>
      <c r="S450" s="28">
        <v>0.9</v>
      </c>
      <c r="T450" s="26">
        <v>0.92047978676143938</v>
      </c>
      <c r="U450" s="26">
        <v>0.96283263690345278</v>
      </c>
      <c r="V450" s="26">
        <v>0.93624161073825507</v>
      </c>
      <c r="W450" s="26">
        <v>0.93888348990389803</v>
      </c>
      <c r="X450" s="28">
        <v>0.92</v>
      </c>
      <c r="Y450" s="28">
        <v>0</v>
      </c>
      <c r="Z450" s="28">
        <v>0</v>
      </c>
      <c r="AA450" s="28">
        <v>0</v>
      </c>
      <c r="AB450" s="28">
        <v>0.33333333333333331</v>
      </c>
      <c r="AC450" s="28">
        <v>0.92</v>
      </c>
      <c r="AD450" s="26">
        <v>0.99739098024599326</v>
      </c>
      <c r="AE450" s="26">
        <v>0.99711649365628607</v>
      </c>
      <c r="AF450" s="26">
        <v>0.99868189806678387</v>
      </c>
      <c r="AG450" s="26">
        <v>0.99680593477924884</v>
      </c>
      <c r="AH450" s="28">
        <v>0.92</v>
      </c>
      <c r="AI450" s="26">
        <v>0.94425938263379972</v>
      </c>
      <c r="AJ450" s="26">
        <v>0.97802680729509994</v>
      </c>
      <c r="AK450" s="26">
        <v>0.97819198508853678</v>
      </c>
      <c r="AL450" s="26">
        <v>0.96877530091218222</v>
      </c>
      <c r="AM450" s="25">
        <v>0.99</v>
      </c>
      <c r="AN450" s="30">
        <v>1</v>
      </c>
      <c r="AO450" s="30">
        <v>1</v>
      </c>
      <c r="AP450" s="30">
        <v>1</v>
      </c>
      <c r="AQ450" s="30">
        <v>1</v>
      </c>
      <c r="AR450" s="50">
        <v>0.05</v>
      </c>
      <c r="AS450" s="34">
        <v>0</v>
      </c>
      <c r="AT450" s="34">
        <v>0.2</v>
      </c>
      <c r="AU450" s="34">
        <v>0</v>
      </c>
      <c r="AV450" s="34">
        <v>4.3956043956043959E-2</v>
      </c>
      <c r="AW450" s="10"/>
      <c r="AX450" s="8"/>
    </row>
    <row r="451" spans="1:50">
      <c r="A451" s="7"/>
      <c r="B451" s="10"/>
      <c r="C451" s="45" t="s">
        <v>396</v>
      </c>
      <c r="D451" s="23" t="s">
        <v>19</v>
      </c>
      <c r="E451" s="46" t="s">
        <v>497</v>
      </c>
      <c r="F451" s="46" t="s">
        <v>497</v>
      </c>
      <c r="G451" s="46" t="s">
        <v>497</v>
      </c>
      <c r="H451" s="46" t="s">
        <v>497</v>
      </c>
      <c r="I451" s="25">
        <v>0.9</v>
      </c>
      <c r="J451" s="26">
        <v>0.97058823529411764</v>
      </c>
      <c r="K451" s="26">
        <v>0.96721311475409832</v>
      </c>
      <c r="L451" s="27">
        <v>0.98529411764705888</v>
      </c>
      <c r="M451" s="26">
        <v>0.98499061913696062</v>
      </c>
      <c r="N451" s="28">
        <v>0.9</v>
      </c>
      <c r="O451" s="26">
        <v>0.98038819247877074</v>
      </c>
      <c r="P451" s="26">
        <v>0.99114173228346458</v>
      </c>
      <c r="Q451" s="26">
        <v>0.99021047479197255</v>
      </c>
      <c r="R451" s="26">
        <v>0.98820539866711421</v>
      </c>
      <c r="S451" s="28">
        <v>0.9</v>
      </c>
      <c r="T451" s="26">
        <v>0.94035584310553988</v>
      </c>
      <c r="U451" s="26">
        <v>0.91811023622047239</v>
      </c>
      <c r="V451" s="26">
        <v>0.94224180127263824</v>
      </c>
      <c r="W451" s="26">
        <v>0.94416742580428636</v>
      </c>
      <c r="X451" s="28">
        <v>0.92</v>
      </c>
      <c r="Y451" s="28">
        <v>0.5</v>
      </c>
      <c r="Z451" s="28">
        <v>1</v>
      </c>
      <c r="AA451" s="28">
        <v>0</v>
      </c>
      <c r="AB451" s="28">
        <v>0.8</v>
      </c>
      <c r="AC451" s="28">
        <v>0.92</v>
      </c>
      <c r="AD451" s="26">
        <v>0.99468085106382975</v>
      </c>
      <c r="AE451" s="26">
        <v>0.98996655518394649</v>
      </c>
      <c r="AF451" s="26">
        <v>0.98860398860398857</v>
      </c>
      <c r="AG451" s="26">
        <v>0.98823133826496301</v>
      </c>
      <c r="AH451" s="28">
        <v>0.92</v>
      </c>
      <c r="AI451" s="26">
        <v>0.97050505050505054</v>
      </c>
      <c r="AJ451" s="26">
        <v>0.98091302636757183</v>
      </c>
      <c r="AK451" s="26">
        <v>0.98352634154297836</v>
      </c>
      <c r="AL451" s="26">
        <v>0.98123607083802633</v>
      </c>
      <c r="AM451" s="25">
        <v>0.99</v>
      </c>
      <c r="AN451" s="30">
        <v>1</v>
      </c>
      <c r="AO451" s="30">
        <v>1</v>
      </c>
      <c r="AP451" s="30">
        <v>1</v>
      </c>
      <c r="AQ451" s="30">
        <v>1</v>
      </c>
      <c r="AR451" s="50">
        <v>0.05</v>
      </c>
      <c r="AS451" s="34">
        <v>0</v>
      </c>
      <c r="AT451" s="34">
        <v>0</v>
      </c>
      <c r="AU451" s="34">
        <v>0</v>
      </c>
      <c r="AV451" s="34">
        <v>7.0588235294117646E-2</v>
      </c>
      <c r="AW451" s="10"/>
      <c r="AX451" s="8"/>
    </row>
    <row r="452" spans="1:50">
      <c r="A452" s="7"/>
      <c r="B452" s="10"/>
      <c r="C452" s="45" t="s">
        <v>396</v>
      </c>
      <c r="D452" s="23" t="s">
        <v>19</v>
      </c>
      <c r="E452" s="46" t="s">
        <v>498</v>
      </c>
      <c r="F452" s="46" t="s">
        <v>498</v>
      </c>
      <c r="G452" s="46" t="s">
        <v>498</v>
      </c>
      <c r="H452" s="46" t="s">
        <v>498</v>
      </c>
      <c r="I452" s="25">
        <v>0.9</v>
      </c>
      <c r="J452" s="26">
        <v>0.7816091954022989</v>
      </c>
      <c r="K452" s="26">
        <v>0.88749999999999996</v>
      </c>
      <c r="L452" s="27">
        <v>0.93902439024390238</v>
      </c>
      <c r="M452" s="26">
        <v>0.8922345483359746</v>
      </c>
      <c r="N452" s="28">
        <v>0.9</v>
      </c>
      <c r="O452" s="26">
        <v>0.94640783142525298</v>
      </c>
      <c r="P452" s="26">
        <v>0.95362595419847329</v>
      </c>
      <c r="Q452" s="26">
        <v>0.95985060690943047</v>
      </c>
      <c r="R452" s="26">
        <v>0.95563637996452711</v>
      </c>
      <c r="S452" s="28">
        <v>0.9</v>
      </c>
      <c r="T452" s="26">
        <v>0.90940766550522645</v>
      </c>
      <c r="U452" s="26">
        <v>0.91087786259541981</v>
      </c>
      <c r="V452" s="26">
        <v>0.8694366635543106</v>
      </c>
      <c r="W452" s="26">
        <v>0.88316382658674031</v>
      </c>
      <c r="X452" s="28">
        <v>0.92</v>
      </c>
      <c r="Y452" s="28">
        <v>0.93092698933552087</v>
      </c>
      <c r="Z452" s="28">
        <v>0.92817781043350478</v>
      </c>
      <c r="AA452" s="28">
        <v>0.92128454070201649</v>
      </c>
      <c r="AB452" s="28">
        <v>0.89289997837157631</v>
      </c>
      <c r="AC452" s="28">
        <v>0.92</v>
      </c>
      <c r="AD452" s="26">
        <v>0.99537928378898732</v>
      </c>
      <c r="AE452" s="26">
        <v>0.98685978796476037</v>
      </c>
      <c r="AF452" s="26">
        <v>0.98107295061418898</v>
      </c>
      <c r="AG452" s="26">
        <v>0.97043528799975531</v>
      </c>
      <c r="AH452" s="28">
        <v>0.92</v>
      </c>
      <c r="AI452" s="26">
        <v>0.95469149023807565</v>
      </c>
      <c r="AJ452" s="26">
        <v>0.94930789375233815</v>
      </c>
      <c r="AK452" s="26">
        <v>0.94754872107186361</v>
      </c>
      <c r="AL452" s="26">
        <v>0.93118468723168102</v>
      </c>
      <c r="AM452" s="25">
        <v>0.99</v>
      </c>
      <c r="AN452" s="30">
        <v>1</v>
      </c>
      <c r="AO452" s="30">
        <v>1</v>
      </c>
      <c r="AP452" s="30">
        <v>1</v>
      </c>
      <c r="AQ452" s="30">
        <v>1</v>
      </c>
      <c r="AR452" s="50">
        <v>0.05</v>
      </c>
      <c r="AS452" s="34">
        <v>0</v>
      </c>
      <c r="AT452" s="34">
        <v>6.9767441860465115E-2</v>
      </c>
      <c r="AU452" s="34">
        <v>4.6511627906976744E-2</v>
      </c>
      <c r="AV452" s="34">
        <v>3.4666666666666665E-2</v>
      </c>
      <c r="AW452" s="10"/>
      <c r="AX452" s="8"/>
    </row>
    <row r="453" spans="1:50">
      <c r="A453" s="7"/>
      <c r="B453" s="10"/>
      <c r="C453" s="45" t="s">
        <v>396</v>
      </c>
      <c r="D453" s="23" t="s">
        <v>19</v>
      </c>
      <c r="E453" s="46" t="s">
        <v>499</v>
      </c>
      <c r="F453" s="46" t="s">
        <v>499</v>
      </c>
      <c r="G453" s="46" t="s">
        <v>499</v>
      </c>
      <c r="H453" s="46" t="s">
        <v>499</v>
      </c>
      <c r="I453" s="25">
        <v>0.9</v>
      </c>
      <c r="J453" s="26">
        <v>0.98076923076923073</v>
      </c>
      <c r="K453" s="26">
        <v>0.9821428571428571</v>
      </c>
      <c r="L453" s="27">
        <v>0.9464285714285714</v>
      </c>
      <c r="M453" s="26">
        <v>0.98356807511737088</v>
      </c>
      <c r="N453" s="28">
        <v>0.9</v>
      </c>
      <c r="O453" s="26">
        <v>0.96759124087591242</v>
      </c>
      <c r="P453" s="26">
        <v>0.97228562112813821</v>
      </c>
      <c r="Q453" s="26">
        <v>0.97227168659374208</v>
      </c>
      <c r="R453" s="26">
        <v>0.96608805609840209</v>
      </c>
      <c r="S453" s="28">
        <v>0.9</v>
      </c>
      <c r="T453" s="26">
        <v>0.93664233576642331</v>
      </c>
      <c r="U453" s="26">
        <v>0.94978806651450931</v>
      </c>
      <c r="V453" s="26">
        <v>0.94988552531162551</v>
      </c>
      <c r="W453" s="26">
        <v>0.94244549181898307</v>
      </c>
      <c r="X453" s="28">
        <v>0.92</v>
      </c>
      <c r="Y453" s="28">
        <v>0.95006150061500616</v>
      </c>
      <c r="Z453" s="28">
        <v>0.95666759854626782</v>
      </c>
      <c r="AA453" s="28">
        <v>0.95018495684340321</v>
      </c>
      <c r="AB453" s="28">
        <v>0.94607858267230471</v>
      </c>
      <c r="AC453" s="28">
        <v>0.92</v>
      </c>
      <c r="AD453" s="26">
        <v>0.99762817004196314</v>
      </c>
      <c r="AE453" s="26">
        <v>0.99508651997436448</v>
      </c>
      <c r="AF453" s="26">
        <v>0.99648985959438374</v>
      </c>
      <c r="AG453" s="26">
        <v>0.99600321692296445</v>
      </c>
      <c r="AH453" s="28">
        <v>0.92</v>
      </c>
      <c r="AI453" s="26">
        <v>0.96090205497731518</v>
      </c>
      <c r="AJ453" s="26">
        <v>0.97110174593618304</v>
      </c>
      <c r="AK453" s="26">
        <v>0.96671255162057312</v>
      </c>
      <c r="AL453" s="26">
        <v>0.96188149261891742</v>
      </c>
      <c r="AM453" s="25">
        <v>0.99</v>
      </c>
      <c r="AN453" s="30">
        <v>1</v>
      </c>
      <c r="AO453" s="30">
        <v>1</v>
      </c>
      <c r="AP453" s="30">
        <v>1</v>
      </c>
      <c r="AQ453" s="30">
        <v>1</v>
      </c>
      <c r="AR453" s="50">
        <v>0.05</v>
      </c>
      <c r="AS453" s="34">
        <v>0</v>
      </c>
      <c r="AT453" s="34">
        <v>3.4482758620689655E-2</v>
      </c>
      <c r="AU453" s="34">
        <v>0</v>
      </c>
      <c r="AV453" s="34">
        <v>1.953125E-2</v>
      </c>
      <c r="AW453" s="10"/>
      <c r="AX453" s="8"/>
    </row>
    <row r="454" spans="1:50">
      <c r="A454" s="7"/>
      <c r="B454" s="10"/>
      <c r="C454" s="45" t="s">
        <v>396</v>
      </c>
      <c r="D454" s="23" t="s">
        <v>19</v>
      </c>
      <c r="E454" s="46" t="s">
        <v>500</v>
      </c>
      <c r="F454" s="46" t="s">
        <v>500</v>
      </c>
      <c r="G454" s="46" t="s">
        <v>500</v>
      </c>
      <c r="H454" s="46" t="s">
        <v>500</v>
      </c>
      <c r="I454" s="25">
        <v>0.9</v>
      </c>
      <c r="J454" s="26">
        <v>0.97674418604651159</v>
      </c>
      <c r="K454" s="26">
        <v>0.90243902439024393</v>
      </c>
      <c r="L454" s="27">
        <v>0.9375</v>
      </c>
      <c r="M454" s="26">
        <v>0.93767705382436262</v>
      </c>
      <c r="N454" s="28">
        <v>0.9</v>
      </c>
      <c r="O454" s="26">
        <v>0.97027741083223251</v>
      </c>
      <c r="P454" s="26">
        <v>0.98349834983498352</v>
      </c>
      <c r="Q454" s="26">
        <v>0.98460423836261546</v>
      </c>
      <c r="R454" s="26">
        <v>0.97251819812216478</v>
      </c>
      <c r="S454" s="28">
        <v>0.9</v>
      </c>
      <c r="T454" s="26">
        <v>0.87428445618670192</v>
      </c>
      <c r="U454" s="26">
        <v>0.89878987898789875</v>
      </c>
      <c r="V454" s="26">
        <v>0.93370766165549723</v>
      </c>
      <c r="W454" s="26">
        <v>0.92976579807996629</v>
      </c>
      <c r="X454" s="28">
        <v>0.92</v>
      </c>
      <c r="Y454" s="28">
        <v>1</v>
      </c>
      <c r="Z454" s="28">
        <v>0</v>
      </c>
      <c r="AA454" s="28">
        <v>1</v>
      </c>
      <c r="AB454" s="28">
        <v>0.91304347826086951</v>
      </c>
      <c r="AC454" s="28">
        <v>0.92</v>
      </c>
      <c r="AD454" s="26">
        <v>0.99766173031956351</v>
      </c>
      <c r="AE454" s="26">
        <v>0.99863481228668938</v>
      </c>
      <c r="AF454" s="26">
        <v>0.99422632794457277</v>
      </c>
      <c r="AG454" s="26">
        <v>0.99542894457595299</v>
      </c>
      <c r="AH454" s="28">
        <v>0.92</v>
      </c>
      <c r="AI454" s="26">
        <v>0.97930882676645392</v>
      </c>
      <c r="AJ454" s="26">
        <v>0.96261271167802942</v>
      </c>
      <c r="AK454" s="26">
        <v>0.982262443438914</v>
      </c>
      <c r="AL454" s="26">
        <v>0.98218286286602885</v>
      </c>
      <c r="AM454" s="25">
        <v>0.99</v>
      </c>
      <c r="AN454" s="30">
        <v>1</v>
      </c>
      <c r="AO454" s="30">
        <v>1</v>
      </c>
      <c r="AP454" s="30">
        <v>1</v>
      </c>
      <c r="AQ454" s="30">
        <v>1</v>
      </c>
      <c r="AR454" s="50">
        <v>0.05</v>
      </c>
      <c r="AS454" s="34">
        <v>0</v>
      </c>
      <c r="AT454" s="34">
        <v>0</v>
      </c>
      <c r="AU454" s="34">
        <v>5.8823529411764705E-2</v>
      </c>
      <c r="AV454" s="34">
        <v>8.5470085470085479E-3</v>
      </c>
      <c r="AW454" s="10"/>
      <c r="AX454" s="8"/>
    </row>
    <row r="455" spans="1:50">
      <c r="A455" s="7"/>
      <c r="B455" s="10"/>
      <c r="C455" s="45" t="s">
        <v>396</v>
      </c>
      <c r="D455" s="23" t="s">
        <v>19</v>
      </c>
      <c r="E455" s="46" t="s">
        <v>501</v>
      </c>
      <c r="F455" s="46" t="s">
        <v>501</v>
      </c>
      <c r="G455" s="46" t="s">
        <v>501</v>
      </c>
      <c r="H455" s="46" t="s">
        <v>501</v>
      </c>
      <c r="I455" s="25">
        <v>0.9</v>
      </c>
      <c r="J455" s="26">
        <v>1</v>
      </c>
      <c r="K455" s="26">
        <v>0.97560975609756095</v>
      </c>
      <c r="L455" s="27">
        <v>1</v>
      </c>
      <c r="M455" s="26">
        <v>0.98571428571428577</v>
      </c>
      <c r="N455" s="28">
        <v>0.9</v>
      </c>
      <c r="O455" s="26">
        <v>0.98668818071803144</v>
      </c>
      <c r="P455" s="26">
        <v>0.9855577689243028</v>
      </c>
      <c r="Q455" s="26">
        <v>0.98446876103070946</v>
      </c>
      <c r="R455" s="26">
        <v>0.9861456684008143</v>
      </c>
      <c r="S455" s="28">
        <v>0.9</v>
      </c>
      <c r="T455" s="26">
        <v>0.9394917305365067</v>
      </c>
      <c r="U455" s="26">
        <v>0.95816733067729087</v>
      </c>
      <c r="V455" s="26">
        <v>0.969643487469114</v>
      </c>
      <c r="W455" s="26">
        <v>0.95826736032571813</v>
      </c>
      <c r="X455" s="28">
        <v>0.92</v>
      </c>
      <c r="Y455" s="28">
        <v>0.9686377000980072</v>
      </c>
      <c r="Z455" s="28">
        <v>0.97458333333333336</v>
      </c>
      <c r="AA455" s="28">
        <v>0.98519948519948519</v>
      </c>
      <c r="AB455" s="28">
        <v>0.96838485124720308</v>
      </c>
      <c r="AC455" s="28">
        <v>0.92</v>
      </c>
      <c r="AD455" s="26">
        <v>0.99778691116029083</v>
      </c>
      <c r="AE455" s="26">
        <v>0.99639249639249639</v>
      </c>
      <c r="AF455" s="26">
        <v>0.99854571896018907</v>
      </c>
      <c r="AG455" s="26">
        <v>0.99549651831668184</v>
      </c>
      <c r="AH455" s="28">
        <v>0.92</v>
      </c>
      <c r="AI455" s="26">
        <v>0.9760489825319647</v>
      </c>
      <c r="AJ455" s="26">
        <v>0.98231693493538885</v>
      </c>
      <c r="AK455" s="26">
        <v>0.99024226110363389</v>
      </c>
      <c r="AL455" s="26">
        <v>0.97886415743217425</v>
      </c>
      <c r="AM455" s="25">
        <v>0.99</v>
      </c>
      <c r="AN455" s="30">
        <v>1</v>
      </c>
      <c r="AO455" s="30">
        <v>1</v>
      </c>
      <c r="AP455" s="30">
        <v>1</v>
      </c>
      <c r="AQ455" s="30">
        <v>1</v>
      </c>
      <c r="AR455" s="50">
        <v>0.05</v>
      </c>
      <c r="AS455" s="34">
        <v>5.8823529411764705E-2</v>
      </c>
      <c r="AT455" s="34">
        <v>0.125</v>
      </c>
      <c r="AU455" s="34">
        <v>0</v>
      </c>
      <c r="AV455" s="34">
        <v>3.669724770642202E-2</v>
      </c>
      <c r="AW455" s="10"/>
      <c r="AX455" s="8"/>
    </row>
    <row r="456" spans="1:50">
      <c r="A456" s="7"/>
      <c r="B456" s="10"/>
      <c r="C456" s="45" t="s">
        <v>396</v>
      </c>
      <c r="D456" s="23" t="s">
        <v>19</v>
      </c>
      <c r="E456" s="46" t="s">
        <v>502</v>
      </c>
      <c r="F456" s="46" t="s">
        <v>502</v>
      </c>
      <c r="G456" s="46" t="s">
        <v>502</v>
      </c>
      <c r="H456" s="46" t="s">
        <v>502</v>
      </c>
      <c r="I456" s="25">
        <v>0.9</v>
      </c>
      <c r="J456" s="26">
        <v>1</v>
      </c>
      <c r="K456" s="26">
        <v>1</v>
      </c>
      <c r="L456" s="27">
        <v>1</v>
      </c>
      <c r="M456" s="26">
        <v>0.9963503649635036</v>
      </c>
      <c r="N456" s="28">
        <v>0.9</v>
      </c>
      <c r="O456" s="26">
        <v>0.99542829643888353</v>
      </c>
      <c r="P456" s="26">
        <v>0.99698655540101988</v>
      </c>
      <c r="Q456" s="26">
        <v>0.99870773206978247</v>
      </c>
      <c r="R456" s="26">
        <v>0.99543841865179927</v>
      </c>
      <c r="S456" s="28">
        <v>0.9</v>
      </c>
      <c r="T456" s="26">
        <v>0.94995187680461979</v>
      </c>
      <c r="U456" s="26">
        <v>0.95873898933704216</v>
      </c>
      <c r="V456" s="26">
        <v>0.97006245961662718</v>
      </c>
      <c r="W456" s="26">
        <v>0.9690528010494619</v>
      </c>
      <c r="X456" s="28">
        <v>0.92</v>
      </c>
      <c r="Y456" s="28">
        <v>0.75</v>
      </c>
      <c r="Z456" s="28">
        <v>1</v>
      </c>
      <c r="AA456" s="28">
        <v>0</v>
      </c>
      <c r="AB456" s="28">
        <v>0.88888888888888884</v>
      </c>
      <c r="AC456" s="28">
        <v>0.92</v>
      </c>
      <c r="AD456" s="26">
        <v>0.99853587115666176</v>
      </c>
      <c r="AE456" s="26">
        <v>0.99898296465802183</v>
      </c>
      <c r="AF456" s="26">
        <v>0.99590058929028957</v>
      </c>
      <c r="AG456" s="26">
        <v>0.97261184814615453</v>
      </c>
      <c r="AH456" s="28">
        <v>0.92</v>
      </c>
      <c r="AI456" s="26">
        <v>0.99183085055261888</v>
      </c>
      <c r="AJ456" s="26">
        <v>0.99559777571825769</v>
      </c>
      <c r="AK456" s="26">
        <v>0.99763084212793451</v>
      </c>
      <c r="AL456" s="26">
        <v>0.99654350417163284</v>
      </c>
      <c r="AM456" s="25">
        <v>0.99</v>
      </c>
      <c r="AN456" s="30">
        <v>1</v>
      </c>
      <c r="AO456" s="30">
        <v>1</v>
      </c>
      <c r="AP456" s="30">
        <v>1</v>
      </c>
      <c r="AQ456" s="30">
        <v>1</v>
      </c>
      <c r="AR456" s="50">
        <v>0.05</v>
      </c>
      <c r="AS456" s="34">
        <v>0</v>
      </c>
      <c r="AT456" s="34">
        <v>0</v>
      </c>
      <c r="AU456" s="34">
        <v>0</v>
      </c>
      <c r="AV456" s="34">
        <v>0</v>
      </c>
      <c r="AW456" s="10"/>
      <c r="AX456" s="8"/>
    </row>
    <row r="457" spans="1:50">
      <c r="A457" s="7"/>
      <c r="B457" s="10"/>
      <c r="C457" s="45" t="s">
        <v>396</v>
      </c>
      <c r="D457" s="23" t="s">
        <v>19</v>
      </c>
      <c r="E457" s="46" t="s">
        <v>503</v>
      </c>
      <c r="F457" s="46" t="s">
        <v>503</v>
      </c>
      <c r="G457" s="46" t="s">
        <v>503</v>
      </c>
      <c r="H457" s="46" t="s">
        <v>503</v>
      </c>
      <c r="I457" s="25">
        <v>0.9</v>
      </c>
      <c r="J457" s="26">
        <v>0.875</v>
      </c>
      <c r="K457" s="26">
        <v>0.91025641025641024</v>
      </c>
      <c r="L457" s="27">
        <v>0.91463414634146345</v>
      </c>
      <c r="M457" s="26">
        <v>0.91681109185441945</v>
      </c>
      <c r="N457" s="28">
        <v>0.9</v>
      </c>
      <c r="O457" s="26">
        <v>0.5</v>
      </c>
      <c r="P457" s="26">
        <v>0</v>
      </c>
      <c r="Q457" s="26">
        <v>0.75</v>
      </c>
      <c r="R457" s="26">
        <v>0.66666666666666663</v>
      </c>
      <c r="S457" s="28">
        <v>0.9</v>
      </c>
      <c r="T457" s="26">
        <v>0.5</v>
      </c>
      <c r="U457" s="26">
        <v>0</v>
      </c>
      <c r="V457" s="26">
        <v>0.75</v>
      </c>
      <c r="W457" s="26">
        <v>0.66666666666666663</v>
      </c>
      <c r="X457" s="28">
        <v>0.92</v>
      </c>
      <c r="Y457" s="28">
        <v>0</v>
      </c>
      <c r="Z457" s="28">
        <v>0</v>
      </c>
      <c r="AA457" s="28">
        <v>0</v>
      </c>
      <c r="AB457" s="28">
        <v>0</v>
      </c>
      <c r="AC457" s="28">
        <v>0.92</v>
      </c>
      <c r="AD457" s="26">
        <v>0.99937106918238994</v>
      </c>
      <c r="AE457" s="26">
        <v>0.98911465892597972</v>
      </c>
      <c r="AF457" s="26">
        <v>0.99379738111647142</v>
      </c>
      <c r="AG457" s="26">
        <v>0.99544168500471553</v>
      </c>
      <c r="AH457" s="28">
        <v>0.92</v>
      </c>
      <c r="AI457" s="26">
        <v>0.9639344262295082</v>
      </c>
      <c r="AJ457" s="26">
        <v>0.97493811881188119</v>
      </c>
      <c r="AK457" s="26">
        <v>0.97527942143326762</v>
      </c>
      <c r="AL457" s="26">
        <v>0.97265395894428153</v>
      </c>
      <c r="AM457" s="25">
        <v>0.99</v>
      </c>
      <c r="AN457" s="30">
        <v>1</v>
      </c>
      <c r="AO457" s="30">
        <v>1</v>
      </c>
      <c r="AP457" s="30">
        <v>1</v>
      </c>
      <c r="AQ457" s="30">
        <v>1</v>
      </c>
      <c r="AR457" s="50">
        <v>0.05</v>
      </c>
      <c r="AS457" s="34">
        <v>0</v>
      </c>
      <c r="AT457" s="34">
        <v>6.6666666666666666E-2</v>
      </c>
      <c r="AU457" s="34">
        <v>3.5714285714285712E-2</v>
      </c>
      <c r="AV457" s="34">
        <v>4.1916167664670656E-2</v>
      </c>
      <c r="AW457" s="10"/>
      <c r="AX457" s="8"/>
    </row>
    <row r="458" spans="1:50">
      <c r="A458" s="7"/>
      <c r="B458" s="10"/>
      <c r="C458" s="45" t="s">
        <v>396</v>
      </c>
      <c r="D458" s="23" t="s">
        <v>19</v>
      </c>
      <c r="E458" s="46" t="s">
        <v>504</v>
      </c>
      <c r="F458" s="46" t="s">
        <v>504</v>
      </c>
      <c r="G458" s="46" t="s">
        <v>504</v>
      </c>
      <c r="H458" s="46" t="s">
        <v>504</v>
      </c>
      <c r="I458" s="25">
        <v>0.9</v>
      </c>
      <c r="J458" s="26">
        <v>0.90769230769230769</v>
      </c>
      <c r="K458" s="26">
        <v>0.95652173913043481</v>
      </c>
      <c r="L458" s="27">
        <v>0.91891891891891897</v>
      </c>
      <c r="M458" s="26">
        <v>0.89852398523985244</v>
      </c>
      <c r="N458" s="28">
        <v>0.9</v>
      </c>
      <c r="O458" s="26">
        <v>0.96529219816078315</v>
      </c>
      <c r="P458" s="26">
        <v>0.96223776223776225</v>
      </c>
      <c r="Q458" s="26">
        <v>0.97184514831573654</v>
      </c>
      <c r="R458" s="26">
        <v>0.9660977681674261</v>
      </c>
      <c r="S458" s="28">
        <v>0.9</v>
      </c>
      <c r="T458" s="26">
        <v>0.92049836843666566</v>
      </c>
      <c r="U458" s="26">
        <v>0.93531468531468531</v>
      </c>
      <c r="V458" s="26">
        <v>0.94922071392659624</v>
      </c>
      <c r="W458" s="26">
        <v>0.92543825778052358</v>
      </c>
      <c r="X458" s="28">
        <v>0.92</v>
      </c>
      <c r="Y458" s="28">
        <v>0.91440640284570918</v>
      </c>
      <c r="Z458" s="28">
        <v>0.92352474199523682</v>
      </c>
      <c r="AA458" s="28">
        <v>0.94148471615720519</v>
      </c>
      <c r="AB458" s="28">
        <v>0.92112707932556293</v>
      </c>
      <c r="AC458" s="28">
        <v>0.92</v>
      </c>
      <c r="AD458" s="26">
        <v>0.97878759309889696</v>
      </c>
      <c r="AE458" s="26">
        <v>0.99130170931526251</v>
      </c>
      <c r="AF458" s="26">
        <v>0.99089642359498376</v>
      </c>
      <c r="AG458" s="26">
        <v>0.98725430525222868</v>
      </c>
      <c r="AH458" s="28">
        <v>0.92</v>
      </c>
      <c r="AI458" s="26">
        <v>0.93854748603351956</v>
      </c>
      <c r="AJ458" s="26">
        <v>0.94503012048192769</v>
      </c>
      <c r="AK458" s="26">
        <v>0.95971978984238182</v>
      </c>
      <c r="AL458" s="26">
        <v>0.9436022128298438</v>
      </c>
      <c r="AM458" s="25">
        <v>0.99</v>
      </c>
      <c r="AN458" s="30">
        <v>1</v>
      </c>
      <c r="AO458" s="30">
        <v>1</v>
      </c>
      <c r="AP458" s="30">
        <v>1</v>
      </c>
      <c r="AQ458" s="30">
        <v>1</v>
      </c>
      <c r="AR458" s="50">
        <v>0.05</v>
      </c>
      <c r="AS458" s="34">
        <v>0.1</v>
      </c>
      <c r="AT458" s="34">
        <v>0.1</v>
      </c>
      <c r="AU458" s="34">
        <v>0</v>
      </c>
      <c r="AV458" s="34">
        <v>4.2452830188679243E-2</v>
      </c>
      <c r="AW458" s="10"/>
      <c r="AX458" s="8"/>
    </row>
    <row r="459" spans="1:50">
      <c r="A459" s="7"/>
      <c r="B459" s="10"/>
      <c r="C459" s="45" t="s">
        <v>396</v>
      </c>
      <c r="D459" s="23" t="s">
        <v>19</v>
      </c>
      <c r="E459" s="46" t="s">
        <v>505</v>
      </c>
      <c r="F459" s="46" t="s">
        <v>505</v>
      </c>
      <c r="G459" s="46" t="s">
        <v>505</v>
      </c>
      <c r="H459" s="46" t="s">
        <v>505</v>
      </c>
      <c r="I459" s="25">
        <v>0.9</v>
      </c>
      <c r="J459" s="26">
        <v>0.96363636363636362</v>
      </c>
      <c r="K459" s="26">
        <v>0.96721311475409832</v>
      </c>
      <c r="L459" s="27">
        <v>0.95081967213114749</v>
      </c>
      <c r="M459" s="26">
        <v>0.9312638580931264</v>
      </c>
      <c r="N459" s="28">
        <v>0.9</v>
      </c>
      <c r="O459" s="26">
        <v>0.9677313677313677</v>
      </c>
      <c r="P459" s="26">
        <v>0.96734305643627139</v>
      </c>
      <c r="Q459" s="26">
        <v>0.9682151589242054</v>
      </c>
      <c r="R459" s="26">
        <v>0.96547515257192673</v>
      </c>
      <c r="S459" s="28">
        <v>0.9</v>
      </c>
      <c r="T459" s="26">
        <v>0.93349713349713348</v>
      </c>
      <c r="U459" s="26">
        <v>0.94720989220038043</v>
      </c>
      <c r="V459" s="26">
        <v>0.94132029339853296</v>
      </c>
      <c r="W459" s="26">
        <v>0.93265523588104238</v>
      </c>
      <c r="X459" s="28">
        <v>0.92</v>
      </c>
      <c r="Y459" s="28">
        <v>0</v>
      </c>
      <c r="Z459" s="28">
        <v>0.66666666666666663</v>
      </c>
      <c r="AA459" s="28">
        <v>0</v>
      </c>
      <c r="AB459" s="28">
        <v>0.42857142857142855</v>
      </c>
      <c r="AC459" s="28">
        <v>0.92</v>
      </c>
      <c r="AD459" s="26">
        <v>0.99698535745047367</v>
      </c>
      <c r="AE459" s="26">
        <v>0.99081726354453625</v>
      </c>
      <c r="AF459" s="26">
        <v>0.99432066404543473</v>
      </c>
      <c r="AG459" s="26">
        <v>0.98698769105910999</v>
      </c>
      <c r="AH459" s="28">
        <v>0.92</v>
      </c>
      <c r="AI459" s="26">
        <v>0.96364231903046182</v>
      </c>
      <c r="AJ459" s="26">
        <v>0.97322135953097766</v>
      </c>
      <c r="AK459" s="26">
        <v>0.97066392177045802</v>
      </c>
      <c r="AL459" s="26">
        <v>0.96854176352084298</v>
      </c>
      <c r="AM459" s="25">
        <v>0.99</v>
      </c>
      <c r="AN459" s="30">
        <v>1</v>
      </c>
      <c r="AO459" s="30">
        <v>1</v>
      </c>
      <c r="AP459" s="30">
        <v>1</v>
      </c>
      <c r="AQ459" s="30">
        <v>1</v>
      </c>
      <c r="AR459" s="50">
        <v>0.05</v>
      </c>
      <c r="AS459" s="34">
        <v>5.5555555555555552E-2</v>
      </c>
      <c r="AT459" s="34">
        <v>6.6666666666666666E-2</v>
      </c>
      <c r="AU459" s="34">
        <v>0</v>
      </c>
      <c r="AV459" s="34">
        <v>2.9126213592233011E-2</v>
      </c>
      <c r="AW459" s="10"/>
      <c r="AX459" s="8"/>
    </row>
    <row r="460" spans="1:50">
      <c r="A460" s="7"/>
      <c r="B460" s="10"/>
      <c r="C460" s="45" t="s">
        <v>396</v>
      </c>
      <c r="D460" s="23" t="s">
        <v>19</v>
      </c>
      <c r="E460" s="46" t="s">
        <v>506</v>
      </c>
      <c r="F460" s="46" t="s">
        <v>506</v>
      </c>
      <c r="G460" s="46" t="s">
        <v>506</v>
      </c>
      <c r="H460" s="46" t="s">
        <v>506</v>
      </c>
      <c r="I460" s="25">
        <v>0.9</v>
      </c>
      <c r="J460" s="26">
        <v>1</v>
      </c>
      <c r="K460" s="26">
        <v>1</v>
      </c>
      <c r="L460" s="27">
        <v>1</v>
      </c>
      <c r="M460" s="26">
        <v>0.98584905660377353</v>
      </c>
      <c r="N460" s="28">
        <v>0.9</v>
      </c>
      <c r="O460" s="26">
        <v>0.98245614035087714</v>
      </c>
      <c r="P460" s="26">
        <v>0.98488464598249803</v>
      </c>
      <c r="Q460" s="26">
        <v>0.98320413436692511</v>
      </c>
      <c r="R460" s="26">
        <v>0.98537198241048196</v>
      </c>
      <c r="S460" s="28">
        <v>0.9</v>
      </c>
      <c r="T460" s="26">
        <v>0.96210526315789469</v>
      </c>
      <c r="U460" s="26">
        <v>0.96658711217183768</v>
      </c>
      <c r="V460" s="26">
        <v>0.97286821705426352</v>
      </c>
      <c r="W460" s="26">
        <v>0.97083370726016338</v>
      </c>
      <c r="X460" s="28">
        <v>0.92</v>
      </c>
      <c r="Y460" s="28">
        <v>0.96371398078975457</v>
      </c>
      <c r="Z460" s="28">
        <v>0.97916666666666663</v>
      </c>
      <c r="AA460" s="28">
        <v>0.98049052396878489</v>
      </c>
      <c r="AB460" s="28">
        <v>0.9785038693035254</v>
      </c>
      <c r="AC460" s="28">
        <v>0.92</v>
      </c>
      <c r="AD460" s="26">
        <v>0.99454545454545451</v>
      </c>
      <c r="AE460" s="26">
        <v>0.98330241187384049</v>
      </c>
      <c r="AF460" s="26">
        <v>0.95921985815602839</v>
      </c>
      <c r="AG460" s="26">
        <v>0.9844676067852034</v>
      </c>
      <c r="AH460" s="28">
        <v>0.92</v>
      </c>
      <c r="AI460" s="26">
        <v>0.97244094488188981</v>
      </c>
      <c r="AJ460" s="26">
        <v>0.98506375227686704</v>
      </c>
      <c r="AK460" s="26">
        <v>0.98685782556750301</v>
      </c>
      <c r="AL460" s="26">
        <v>0.98400145772594749</v>
      </c>
      <c r="AM460" s="25">
        <v>0.99</v>
      </c>
      <c r="AN460" s="30">
        <v>1</v>
      </c>
      <c r="AO460" s="30">
        <v>1</v>
      </c>
      <c r="AP460" s="30">
        <v>1</v>
      </c>
      <c r="AQ460" s="30">
        <v>1</v>
      </c>
      <c r="AR460" s="50">
        <v>0.05</v>
      </c>
      <c r="AS460" s="34">
        <v>0</v>
      </c>
      <c r="AT460" s="34">
        <v>0.18181818181818182</v>
      </c>
      <c r="AU460" s="34">
        <v>9.0909090909090912E-2</v>
      </c>
      <c r="AV460" s="34">
        <v>1.9867549668874173E-2</v>
      </c>
      <c r="AW460" s="10"/>
      <c r="AX460" s="8"/>
    </row>
    <row r="461" spans="1:50">
      <c r="A461" s="7"/>
      <c r="B461" s="10"/>
      <c r="C461" s="45" t="s">
        <v>396</v>
      </c>
      <c r="D461" s="23" t="s">
        <v>19</v>
      </c>
      <c r="E461" s="46" t="s">
        <v>507</v>
      </c>
      <c r="F461" s="46" t="s">
        <v>507</v>
      </c>
      <c r="G461" s="46" t="s">
        <v>507</v>
      </c>
      <c r="H461" s="46" t="s">
        <v>507</v>
      </c>
      <c r="I461" s="25">
        <v>0.9</v>
      </c>
      <c r="J461" s="26">
        <v>1</v>
      </c>
      <c r="K461" s="26">
        <v>1</v>
      </c>
      <c r="L461" s="27">
        <v>1</v>
      </c>
      <c r="M461" s="26">
        <v>1</v>
      </c>
      <c r="N461" s="28">
        <v>0.9</v>
      </c>
      <c r="O461" s="26">
        <v>0.98873873873873874</v>
      </c>
      <c r="P461" s="26">
        <v>0.98974072001492264</v>
      </c>
      <c r="Q461" s="26">
        <v>0.99025091897075279</v>
      </c>
      <c r="R461" s="26">
        <v>0.9895756105232415</v>
      </c>
      <c r="S461" s="28">
        <v>0.9</v>
      </c>
      <c r="T461" s="26">
        <v>0.94538288288288286</v>
      </c>
      <c r="U461" s="26">
        <v>0.95187465025181872</v>
      </c>
      <c r="V461" s="26">
        <v>0.94214479782643434</v>
      </c>
      <c r="W461" s="26">
        <v>0.9283772550605468</v>
      </c>
      <c r="X461" s="28">
        <v>0.92</v>
      </c>
      <c r="Y461" s="28">
        <v>0.89099099099099099</v>
      </c>
      <c r="Z461" s="28">
        <v>0.89989989989989994</v>
      </c>
      <c r="AA461" s="28">
        <v>0.91145833333333337</v>
      </c>
      <c r="AB461" s="28">
        <v>0.89430192402565367</v>
      </c>
      <c r="AC461" s="28">
        <v>0.92</v>
      </c>
      <c r="AD461" s="26">
        <v>0.99860853432282004</v>
      </c>
      <c r="AE461" s="26">
        <v>0.98931623931623935</v>
      </c>
      <c r="AF461" s="26">
        <v>0.9993606138107417</v>
      </c>
      <c r="AG461" s="26">
        <v>0.99206513489270687</v>
      </c>
      <c r="AH461" s="28">
        <v>0.92</v>
      </c>
      <c r="AI461" s="26">
        <v>0.96582789686237958</v>
      </c>
      <c r="AJ461" s="26">
        <v>0.9712264150943396</v>
      </c>
      <c r="AK461" s="26">
        <v>0.97408895663017869</v>
      </c>
      <c r="AL461" s="26">
        <v>0.97111309602995111</v>
      </c>
      <c r="AM461" s="25">
        <v>0.99</v>
      </c>
      <c r="AN461" s="30">
        <v>1</v>
      </c>
      <c r="AO461" s="30">
        <v>1</v>
      </c>
      <c r="AP461" s="30">
        <v>1</v>
      </c>
      <c r="AQ461" s="30">
        <v>1</v>
      </c>
      <c r="AR461" s="50">
        <v>0.05</v>
      </c>
      <c r="AS461" s="34">
        <v>6.25E-2</v>
      </c>
      <c r="AT461" s="34">
        <v>9.5238095238095233E-2</v>
      </c>
      <c r="AU461" s="34">
        <v>5.5555555555555552E-2</v>
      </c>
      <c r="AV461" s="34">
        <v>7.5342465753424653E-2</v>
      </c>
      <c r="AW461" s="10"/>
      <c r="AX461" s="8"/>
    </row>
    <row r="462" spans="1:50">
      <c r="A462" s="7"/>
      <c r="B462" s="10"/>
      <c r="C462" s="45" t="s">
        <v>396</v>
      </c>
      <c r="D462" s="23" t="s">
        <v>19</v>
      </c>
      <c r="E462" s="46" t="s">
        <v>508</v>
      </c>
      <c r="F462" s="46" t="s">
        <v>508</v>
      </c>
      <c r="G462" s="46" t="s">
        <v>508</v>
      </c>
      <c r="H462" s="46" t="s">
        <v>508</v>
      </c>
      <c r="I462" s="25">
        <v>0.9</v>
      </c>
      <c r="J462" s="26">
        <v>1</v>
      </c>
      <c r="K462" s="26">
        <v>1</v>
      </c>
      <c r="L462" s="27">
        <v>0.98550724637681164</v>
      </c>
      <c r="M462" s="26">
        <v>0.99816176470588236</v>
      </c>
      <c r="N462" s="28">
        <v>0.9</v>
      </c>
      <c r="O462" s="26">
        <v>0.99100679973678441</v>
      </c>
      <c r="P462" s="26">
        <v>0.99675394936160999</v>
      </c>
      <c r="Q462" s="26">
        <v>0.99285982713265686</v>
      </c>
      <c r="R462" s="26">
        <v>0.99131060722916342</v>
      </c>
      <c r="S462" s="28">
        <v>0.9</v>
      </c>
      <c r="T462" s="26">
        <v>0.93551217372230755</v>
      </c>
      <c r="U462" s="26">
        <v>0.93897424799826879</v>
      </c>
      <c r="V462" s="26">
        <v>0.93423524990605034</v>
      </c>
      <c r="W462" s="26">
        <v>0.9374775052701938</v>
      </c>
      <c r="X462" s="28">
        <v>0.92</v>
      </c>
      <c r="Y462" s="28">
        <v>0.84766584766584763</v>
      </c>
      <c r="Z462" s="28">
        <v>0.87906371911573467</v>
      </c>
      <c r="AA462" s="28">
        <v>0.87322121604139713</v>
      </c>
      <c r="AB462" s="28">
        <v>0.87235684519215928</v>
      </c>
      <c r="AC462" s="28">
        <v>0.92</v>
      </c>
      <c r="AD462" s="26">
        <v>1</v>
      </c>
      <c r="AE462" s="26">
        <v>0.99707602339181289</v>
      </c>
      <c r="AF462" s="26">
        <v>0.99325842696629218</v>
      </c>
      <c r="AG462" s="26">
        <v>0.99206152319523688</v>
      </c>
      <c r="AH462" s="28">
        <v>0.92</v>
      </c>
      <c r="AI462" s="26">
        <v>0.96203944919985118</v>
      </c>
      <c r="AJ462" s="26">
        <v>0.96808905380333954</v>
      </c>
      <c r="AK462" s="26">
        <v>0.96817585301837272</v>
      </c>
      <c r="AL462" s="26">
        <v>0.96835680130451074</v>
      </c>
      <c r="AM462" s="25">
        <v>0.99</v>
      </c>
      <c r="AN462" s="30">
        <v>1</v>
      </c>
      <c r="AO462" s="30">
        <v>1</v>
      </c>
      <c r="AP462" s="30">
        <v>1</v>
      </c>
      <c r="AQ462" s="30">
        <v>1</v>
      </c>
      <c r="AR462" s="50">
        <v>0.05</v>
      </c>
      <c r="AS462" s="34">
        <v>0</v>
      </c>
      <c r="AT462" s="34">
        <v>0</v>
      </c>
      <c r="AU462" s="34">
        <v>7.6923076923076927E-2</v>
      </c>
      <c r="AV462" s="34">
        <v>6.2992125984251968E-2</v>
      </c>
      <c r="AW462" s="10"/>
      <c r="AX462" s="8"/>
    </row>
    <row r="463" spans="1:50">
      <c r="A463" s="7"/>
      <c r="B463" s="10"/>
      <c r="C463" s="45" t="s">
        <v>396</v>
      </c>
      <c r="D463" s="23" t="s">
        <v>19</v>
      </c>
      <c r="E463" s="46" t="s">
        <v>509</v>
      </c>
      <c r="F463" s="46" t="s">
        <v>509</v>
      </c>
      <c r="G463" s="46" t="s">
        <v>509</v>
      </c>
      <c r="H463" s="46" t="s">
        <v>509</v>
      </c>
      <c r="I463" s="25">
        <v>0.9</v>
      </c>
      <c r="J463" s="26">
        <v>0.98</v>
      </c>
      <c r="K463" s="26">
        <v>1</v>
      </c>
      <c r="L463" s="27">
        <v>0.98275862068965514</v>
      </c>
      <c r="M463" s="26">
        <v>0.99292452830188682</v>
      </c>
      <c r="N463" s="28">
        <v>0.9</v>
      </c>
      <c r="O463" s="26">
        <v>0.98781298471083534</v>
      </c>
      <c r="P463" s="26">
        <v>0.98936405938400174</v>
      </c>
      <c r="Q463" s="26">
        <v>0.98888675991569264</v>
      </c>
      <c r="R463" s="26">
        <v>0.97773536895674296</v>
      </c>
      <c r="S463" s="28">
        <v>0.9</v>
      </c>
      <c r="T463" s="26">
        <v>0.94305340128517612</v>
      </c>
      <c r="U463" s="26">
        <v>0.95945047640150671</v>
      </c>
      <c r="V463" s="26">
        <v>0.96206169764322669</v>
      </c>
      <c r="W463" s="26">
        <v>0.952475614927905</v>
      </c>
      <c r="X463" s="28">
        <v>0.92</v>
      </c>
      <c r="Y463" s="28">
        <v>0.86386898669396106</v>
      </c>
      <c r="Z463" s="28">
        <v>0.86102403343782652</v>
      </c>
      <c r="AA463" s="28">
        <v>0.8910891089108911</v>
      </c>
      <c r="AB463" s="28">
        <v>0.87397147558968735</v>
      </c>
      <c r="AC463" s="28">
        <v>0.92</v>
      </c>
      <c r="AD463" s="26">
        <v>0.9984067976633032</v>
      </c>
      <c r="AE463" s="26">
        <v>0.99563742123121668</v>
      </c>
      <c r="AF463" s="26">
        <v>0.9944598337950139</v>
      </c>
      <c r="AG463" s="26">
        <v>0.98682598039215685</v>
      </c>
      <c r="AH463" s="28">
        <v>0.92</v>
      </c>
      <c r="AI463" s="26">
        <v>0.96029143897996361</v>
      </c>
      <c r="AJ463" s="26">
        <v>0.96471663619744064</v>
      </c>
      <c r="AK463" s="26">
        <v>0.97677119628339137</v>
      </c>
      <c r="AL463" s="26">
        <v>0.96957043223313044</v>
      </c>
      <c r="AM463" s="25">
        <v>0.99</v>
      </c>
      <c r="AN463" s="30">
        <v>1</v>
      </c>
      <c r="AO463" s="30">
        <v>1</v>
      </c>
      <c r="AP463" s="30">
        <v>1</v>
      </c>
      <c r="AQ463" s="30">
        <v>1</v>
      </c>
      <c r="AR463" s="50">
        <v>0.05</v>
      </c>
      <c r="AS463" s="34">
        <v>0</v>
      </c>
      <c r="AT463" s="34">
        <v>0</v>
      </c>
      <c r="AU463" s="34">
        <v>0</v>
      </c>
      <c r="AV463" s="34">
        <v>5.0314465408805034E-2</v>
      </c>
      <c r="AW463" s="10"/>
      <c r="AX463" s="8"/>
    </row>
    <row r="464" spans="1:50">
      <c r="A464" s="7"/>
      <c r="B464" s="10"/>
      <c r="C464" s="45" t="s">
        <v>396</v>
      </c>
      <c r="D464" s="23" t="s">
        <v>19</v>
      </c>
      <c r="E464" s="46" t="s">
        <v>510</v>
      </c>
      <c r="F464" s="46" t="s">
        <v>510</v>
      </c>
      <c r="G464" s="46" t="s">
        <v>510</v>
      </c>
      <c r="H464" s="46" t="s">
        <v>510</v>
      </c>
      <c r="I464" s="25">
        <v>0.9</v>
      </c>
      <c r="J464" s="26">
        <v>1</v>
      </c>
      <c r="K464" s="26">
        <v>1</v>
      </c>
      <c r="L464" s="27">
        <v>0.96610169491525422</v>
      </c>
      <c r="M464" s="26">
        <v>0.99076212471131642</v>
      </c>
      <c r="N464" s="28">
        <v>0.9</v>
      </c>
      <c r="O464" s="26">
        <v>0.98236092265943009</v>
      </c>
      <c r="P464" s="26">
        <v>0.98074398249452954</v>
      </c>
      <c r="Q464" s="26">
        <v>0.98237274707862943</v>
      </c>
      <c r="R464" s="26">
        <v>0.97884259762863046</v>
      </c>
      <c r="S464" s="28">
        <v>0.9</v>
      </c>
      <c r="T464" s="26">
        <v>0.94843962008141114</v>
      </c>
      <c r="U464" s="26">
        <v>0.91838074398249447</v>
      </c>
      <c r="V464" s="26">
        <v>0.93840364428599721</v>
      </c>
      <c r="W464" s="26">
        <v>0.93448819754160772</v>
      </c>
      <c r="X464" s="28">
        <v>0.92</v>
      </c>
      <c r="Y464" s="28">
        <v>0.87454764776839566</v>
      </c>
      <c r="Z464" s="28">
        <v>0.84918793503480283</v>
      </c>
      <c r="AA464" s="28">
        <v>0.89159561510353225</v>
      </c>
      <c r="AB464" s="28">
        <v>0.8779516358463727</v>
      </c>
      <c r="AC464" s="28">
        <v>0.92</v>
      </c>
      <c r="AD464" s="26">
        <v>0.99931506849315066</v>
      </c>
      <c r="AE464" s="26">
        <v>0.99211469534050178</v>
      </c>
      <c r="AF464" s="26">
        <v>0.994413407821229</v>
      </c>
      <c r="AG464" s="26">
        <v>0.98705673758865253</v>
      </c>
      <c r="AH464" s="28">
        <v>0.92</v>
      </c>
      <c r="AI464" s="26">
        <v>0.96248333650733198</v>
      </c>
      <c r="AJ464" s="26">
        <v>0.96133308782912907</v>
      </c>
      <c r="AK464" s="26">
        <v>0.97121444387668199</v>
      </c>
      <c r="AL464" s="26">
        <v>0.96781042394356553</v>
      </c>
      <c r="AM464" s="25">
        <v>0.99</v>
      </c>
      <c r="AN464" s="30">
        <v>1</v>
      </c>
      <c r="AO464" s="30">
        <v>1</v>
      </c>
      <c r="AP464" s="30">
        <v>1</v>
      </c>
      <c r="AQ464" s="30">
        <v>1</v>
      </c>
      <c r="AR464" s="50">
        <v>0.05</v>
      </c>
      <c r="AS464" s="34">
        <v>4.7619047619047616E-2</v>
      </c>
      <c r="AT464" s="34">
        <v>0.125</v>
      </c>
      <c r="AU464" s="34">
        <v>0</v>
      </c>
      <c r="AV464" s="34">
        <v>6.358381502890173E-2</v>
      </c>
      <c r="AW464" s="10"/>
      <c r="AX464" s="8"/>
    </row>
    <row r="465" spans="1:50">
      <c r="A465" s="7"/>
      <c r="B465" s="10"/>
      <c r="C465" s="45" t="s">
        <v>396</v>
      </c>
      <c r="D465" s="23" t="s">
        <v>19</v>
      </c>
      <c r="E465" s="46" t="s">
        <v>511</v>
      </c>
      <c r="F465" s="46" t="s">
        <v>511</v>
      </c>
      <c r="G465" s="46" t="s">
        <v>511</v>
      </c>
      <c r="H465" s="46" t="s">
        <v>511</v>
      </c>
      <c r="I465" s="25">
        <v>0.9</v>
      </c>
      <c r="J465" s="26">
        <v>0.97826086956521741</v>
      </c>
      <c r="K465" s="26">
        <v>1</v>
      </c>
      <c r="L465" s="27">
        <v>1</v>
      </c>
      <c r="M465" s="26">
        <v>0.98955613577023493</v>
      </c>
      <c r="N465" s="28">
        <v>0.9</v>
      </c>
      <c r="O465" s="26">
        <v>0.98336616327423942</v>
      </c>
      <c r="P465" s="26">
        <v>0.98598130841121501</v>
      </c>
      <c r="Q465" s="26">
        <v>0.98668392824116891</v>
      </c>
      <c r="R465" s="26">
        <v>0.98472116119174946</v>
      </c>
      <c r="S465" s="28">
        <v>0.9</v>
      </c>
      <c r="T465" s="26">
        <v>0.93893630991464216</v>
      </c>
      <c r="U465" s="26">
        <v>0.95749888740542943</v>
      </c>
      <c r="V465" s="26">
        <v>0.95912705751803218</v>
      </c>
      <c r="W465" s="26">
        <v>0.93438002160111688</v>
      </c>
      <c r="X465" s="28">
        <v>0.92</v>
      </c>
      <c r="Y465" s="28">
        <v>0.94140249759846306</v>
      </c>
      <c r="Z465" s="28">
        <v>0.96250000000000002</v>
      </c>
      <c r="AA465" s="28">
        <v>0.95976447497546613</v>
      </c>
      <c r="AB465" s="28">
        <v>0.96034311287916463</v>
      </c>
      <c r="AC465" s="28">
        <v>0.92</v>
      </c>
      <c r="AD465" s="26">
        <v>0.99753593429158116</v>
      </c>
      <c r="AE465" s="26">
        <v>0.99355116079105765</v>
      </c>
      <c r="AF465" s="26">
        <v>0.99782431329888499</v>
      </c>
      <c r="AG465" s="26">
        <v>0.99688033276450516</v>
      </c>
      <c r="AH465" s="28">
        <v>0.92</v>
      </c>
      <c r="AI465" s="26">
        <v>0.97290552584670231</v>
      </c>
      <c r="AJ465" s="26">
        <v>0.98313164649798312</v>
      </c>
      <c r="AK465" s="26">
        <v>0.98646125116713357</v>
      </c>
      <c r="AL465" s="26">
        <v>0.98111280156487723</v>
      </c>
      <c r="AM465" s="25">
        <v>0.99</v>
      </c>
      <c r="AN465" s="30">
        <v>1</v>
      </c>
      <c r="AO465" s="30">
        <v>1</v>
      </c>
      <c r="AP465" s="30">
        <v>1</v>
      </c>
      <c r="AQ465" s="30">
        <v>1</v>
      </c>
      <c r="AR465" s="50">
        <v>0.05</v>
      </c>
      <c r="AS465" s="34">
        <v>4.5454545454545456E-2</v>
      </c>
      <c r="AT465" s="34">
        <v>6.6666666666666666E-2</v>
      </c>
      <c r="AU465" s="34">
        <v>9.0909090909090912E-2</v>
      </c>
      <c r="AV465" s="34">
        <v>5.8201058201058198E-2</v>
      </c>
      <c r="AW465" s="10"/>
      <c r="AX465" s="8"/>
    </row>
    <row r="466" spans="1:50">
      <c r="A466" s="7"/>
      <c r="B466" s="10"/>
      <c r="C466" s="45" t="s">
        <v>396</v>
      </c>
      <c r="D466" s="23" t="s">
        <v>19</v>
      </c>
      <c r="E466" s="46" t="s">
        <v>512</v>
      </c>
      <c r="F466" s="46" t="s">
        <v>512</v>
      </c>
      <c r="G466" s="46" t="s">
        <v>512</v>
      </c>
      <c r="H466" s="46" t="s">
        <v>512</v>
      </c>
      <c r="I466" s="25">
        <v>0.9</v>
      </c>
      <c r="J466" s="26">
        <v>1</v>
      </c>
      <c r="K466" s="26">
        <v>1</v>
      </c>
      <c r="L466" s="27">
        <v>1</v>
      </c>
      <c r="M466" s="26">
        <v>0.97835497835497831</v>
      </c>
      <c r="N466" s="28">
        <v>0.9</v>
      </c>
      <c r="O466" s="26">
        <v>0.99464138499587795</v>
      </c>
      <c r="P466" s="26">
        <v>0.98608349900596426</v>
      </c>
      <c r="Q466" s="26">
        <v>0.99513888888888891</v>
      </c>
      <c r="R466" s="26">
        <v>0.99445692168012612</v>
      </c>
      <c r="S466" s="28">
        <v>0.9</v>
      </c>
      <c r="T466" s="26">
        <v>0.948474855729596</v>
      </c>
      <c r="U466" s="26">
        <v>0.95904572564612323</v>
      </c>
      <c r="V466" s="26">
        <v>0.96875</v>
      </c>
      <c r="W466" s="26">
        <v>0.95952597123333494</v>
      </c>
      <c r="X466" s="28">
        <v>0.92</v>
      </c>
      <c r="Y466" s="28">
        <v>0.94718309859154926</v>
      </c>
      <c r="Z466" s="28">
        <v>0.95855855855855854</v>
      </c>
      <c r="AA466" s="28">
        <v>0.97478991596638653</v>
      </c>
      <c r="AB466" s="28">
        <v>0.96513966480446922</v>
      </c>
      <c r="AC466" s="28">
        <v>0.92</v>
      </c>
      <c r="AD466" s="26">
        <v>0.99856321839080464</v>
      </c>
      <c r="AE466" s="26">
        <v>0.9988917620982638</v>
      </c>
      <c r="AF466" s="26">
        <v>0.99721254355400701</v>
      </c>
      <c r="AG466" s="26">
        <v>0.99705308775731316</v>
      </c>
      <c r="AH466" s="28">
        <v>0.92</v>
      </c>
      <c r="AI466" s="26">
        <v>0.97262103505843067</v>
      </c>
      <c r="AJ466" s="26">
        <v>0.9817589576547231</v>
      </c>
      <c r="AK466" s="26">
        <v>0.98957091775923722</v>
      </c>
      <c r="AL466" s="26">
        <v>0.98429443023026963</v>
      </c>
      <c r="AM466" s="25">
        <v>0.99</v>
      </c>
      <c r="AN466" s="30">
        <v>1</v>
      </c>
      <c r="AO466" s="30">
        <v>1</v>
      </c>
      <c r="AP466" s="30">
        <v>1</v>
      </c>
      <c r="AQ466" s="30">
        <v>1</v>
      </c>
      <c r="AR466" s="50">
        <v>0.05</v>
      </c>
      <c r="AS466" s="34">
        <v>0</v>
      </c>
      <c r="AT466" s="34">
        <v>0</v>
      </c>
      <c r="AU466" s="34">
        <v>0</v>
      </c>
      <c r="AV466" s="34">
        <v>2.34375E-2</v>
      </c>
      <c r="AW466" s="10"/>
      <c r="AX466" s="8"/>
    </row>
    <row r="467" spans="1:50">
      <c r="A467" s="7"/>
      <c r="B467" s="10"/>
      <c r="C467" s="45" t="s">
        <v>396</v>
      </c>
      <c r="D467" s="23" t="s">
        <v>19</v>
      </c>
      <c r="E467" s="46" t="s">
        <v>513</v>
      </c>
      <c r="F467" s="46" t="s">
        <v>513</v>
      </c>
      <c r="G467" s="46" t="s">
        <v>513</v>
      </c>
      <c r="H467" s="46" t="s">
        <v>513</v>
      </c>
      <c r="I467" s="25">
        <v>0.9</v>
      </c>
      <c r="J467" s="26">
        <v>1</v>
      </c>
      <c r="K467" s="26">
        <v>1</v>
      </c>
      <c r="L467" s="27">
        <v>1</v>
      </c>
      <c r="M467" s="26">
        <v>0.99186991869918695</v>
      </c>
      <c r="N467" s="28">
        <v>0.9</v>
      </c>
      <c r="O467" s="26">
        <v>0.98421186656480775</v>
      </c>
      <c r="P467" s="26">
        <v>0.98809825272220819</v>
      </c>
      <c r="Q467" s="26">
        <v>0.9844874100719424</v>
      </c>
      <c r="R467" s="26">
        <v>0.98291568260589512</v>
      </c>
      <c r="S467" s="28">
        <v>0.9</v>
      </c>
      <c r="T467" s="26">
        <v>0.89763177998472121</v>
      </c>
      <c r="U467" s="26">
        <v>0.89440364649278303</v>
      </c>
      <c r="V467" s="26">
        <v>0.91704136690647486</v>
      </c>
      <c r="W467" s="26">
        <v>0.88902861699843572</v>
      </c>
      <c r="X467" s="28">
        <v>0.92</v>
      </c>
      <c r="Y467" s="28">
        <v>0.82539682539682535</v>
      </c>
      <c r="Z467" s="28">
        <v>0.81904761904761902</v>
      </c>
      <c r="AA467" s="28">
        <v>0.84</v>
      </c>
      <c r="AB467" s="28">
        <v>0.81251056635672025</v>
      </c>
      <c r="AC467" s="28">
        <v>0.92</v>
      </c>
      <c r="AD467" s="26">
        <v>0.99924471299093653</v>
      </c>
      <c r="AE467" s="26">
        <v>0.99104143337066064</v>
      </c>
      <c r="AF467" s="26">
        <v>0.99625187406296856</v>
      </c>
      <c r="AG467" s="26">
        <v>0.99592025961984232</v>
      </c>
      <c r="AH467" s="28">
        <v>0.92</v>
      </c>
      <c r="AI467" s="26">
        <v>0.94502948609941029</v>
      </c>
      <c r="AJ467" s="26">
        <v>0.95772843723313406</v>
      </c>
      <c r="AK467" s="26">
        <v>0.95767602924201611</v>
      </c>
      <c r="AL467" s="26">
        <v>0.94927837192399545</v>
      </c>
      <c r="AM467" s="25">
        <v>0.99</v>
      </c>
      <c r="AN467" s="30">
        <v>1</v>
      </c>
      <c r="AO467" s="30">
        <v>1</v>
      </c>
      <c r="AP467" s="30">
        <v>1</v>
      </c>
      <c r="AQ467" s="30">
        <v>1</v>
      </c>
      <c r="AR467" s="50">
        <v>0.05</v>
      </c>
      <c r="AS467" s="34">
        <v>0</v>
      </c>
      <c r="AT467" s="34">
        <v>0</v>
      </c>
      <c r="AU467" s="34">
        <v>4.3478260869565216E-2</v>
      </c>
      <c r="AV467" s="34">
        <v>3.5087719298245612E-2</v>
      </c>
      <c r="AW467" s="10"/>
      <c r="AX467" s="8"/>
    </row>
    <row r="468" spans="1:50">
      <c r="A468" s="7"/>
      <c r="B468" s="10"/>
      <c r="C468" s="45" t="s">
        <v>396</v>
      </c>
      <c r="D468" s="23" t="s">
        <v>19</v>
      </c>
      <c r="E468" s="46" t="s">
        <v>514</v>
      </c>
      <c r="F468" s="46" t="s">
        <v>514</v>
      </c>
      <c r="G468" s="46" t="s">
        <v>514</v>
      </c>
      <c r="H468" s="46" t="s">
        <v>514</v>
      </c>
      <c r="I468" s="25">
        <v>0.9</v>
      </c>
      <c r="J468" s="26">
        <v>0.98</v>
      </c>
      <c r="K468" s="26">
        <v>0.98148148148148151</v>
      </c>
      <c r="L468" s="27">
        <v>1</v>
      </c>
      <c r="M468" s="26">
        <v>0.98756218905472637</v>
      </c>
      <c r="N468" s="28">
        <v>0.9</v>
      </c>
      <c r="O468" s="26">
        <v>0.98886414253897548</v>
      </c>
      <c r="P468" s="26">
        <v>0.99117882919005618</v>
      </c>
      <c r="Q468" s="26">
        <v>0.98647072544903192</v>
      </c>
      <c r="R468" s="26">
        <v>0.98775866116644861</v>
      </c>
      <c r="S468" s="28">
        <v>0.9</v>
      </c>
      <c r="T468" s="26">
        <v>0.94292873051224946</v>
      </c>
      <c r="U468" s="26">
        <v>0.95215183106121359</v>
      </c>
      <c r="V468" s="26">
        <v>0.9360858409143924</v>
      </c>
      <c r="W468" s="26">
        <v>0.93446691484723476</v>
      </c>
      <c r="X468" s="28">
        <v>0.92</v>
      </c>
      <c r="Y468" s="28">
        <v>0.94402035623409675</v>
      </c>
      <c r="Z468" s="28">
        <v>0.92610837438423643</v>
      </c>
      <c r="AA468" s="28">
        <v>0.93158660844250363</v>
      </c>
      <c r="AB468" s="28">
        <v>0.8973607038123167</v>
      </c>
      <c r="AC468" s="28">
        <v>0.92</v>
      </c>
      <c r="AD468" s="26">
        <v>0.99249624812406201</v>
      </c>
      <c r="AE468" s="26">
        <v>0.99530516431924887</v>
      </c>
      <c r="AF468" s="26">
        <v>0.99560878243512974</v>
      </c>
      <c r="AG468" s="26">
        <v>0.98934224962123196</v>
      </c>
      <c r="AH468" s="28">
        <v>0.92</v>
      </c>
      <c r="AI468" s="26">
        <v>0.97784882393240469</v>
      </c>
      <c r="AJ468" s="26">
        <v>0.98114942528735627</v>
      </c>
      <c r="AK468" s="26">
        <v>0.980104501607717</v>
      </c>
      <c r="AL468" s="26">
        <v>0.97241907137592831</v>
      </c>
      <c r="AM468" s="25">
        <v>0.99</v>
      </c>
      <c r="AN468" s="30">
        <v>1</v>
      </c>
      <c r="AO468" s="30">
        <v>1</v>
      </c>
      <c r="AP468" s="30">
        <v>1</v>
      </c>
      <c r="AQ468" s="30">
        <v>1</v>
      </c>
      <c r="AR468" s="50">
        <v>0.05</v>
      </c>
      <c r="AS468" s="34">
        <v>0</v>
      </c>
      <c r="AT468" s="34">
        <v>0</v>
      </c>
      <c r="AU468" s="34">
        <v>0</v>
      </c>
      <c r="AV468" s="34">
        <v>1.6666666666666666E-2</v>
      </c>
      <c r="AW468" s="10"/>
      <c r="AX468" s="8"/>
    </row>
    <row r="469" spans="1:50">
      <c r="A469" s="7"/>
      <c r="B469" s="10"/>
      <c r="C469" s="45" t="s">
        <v>396</v>
      </c>
      <c r="D469" s="23" t="s">
        <v>19</v>
      </c>
      <c r="E469" s="46" t="s">
        <v>515</v>
      </c>
      <c r="F469" s="46" t="s">
        <v>515</v>
      </c>
      <c r="G469" s="46" t="s">
        <v>515</v>
      </c>
      <c r="H469" s="46" t="s">
        <v>515</v>
      </c>
      <c r="I469" s="25">
        <v>0.9</v>
      </c>
      <c r="J469" s="26">
        <v>0.98076923076923073</v>
      </c>
      <c r="K469" s="26">
        <v>0.96551724137931039</v>
      </c>
      <c r="L469" s="27">
        <v>0.98333333333333328</v>
      </c>
      <c r="M469" s="26">
        <v>0.98423423423423428</v>
      </c>
      <c r="N469" s="28">
        <v>0.9</v>
      </c>
      <c r="O469" s="26">
        <v>0.98879084187932265</v>
      </c>
      <c r="P469" s="26">
        <v>0.98359519408502771</v>
      </c>
      <c r="Q469" s="26">
        <v>0.9920456863145013</v>
      </c>
      <c r="R469" s="26">
        <v>0.98849156239237745</v>
      </c>
      <c r="S469" s="28">
        <v>0.9</v>
      </c>
      <c r="T469" s="26">
        <v>0.93966134032911997</v>
      </c>
      <c r="U469" s="26">
        <v>0.94269870609981521</v>
      </c>
      <c r="V469" s="26">
        <v>0.93983275545584333</v>
      </c>
      <c r="W469" s="26">
        <v>0.94090804729652167</v>
      </c>
      <c r="X469" s="28">
        <v>0.92</v>
      </c>
      <c r="Y469" s="28">
        <v>0.91087169441723803</v>
      </c>
      <c r="Z469" s="28">
        <v>0.90618556701030928</v>
      </c>
      <c r="AA469" s="28">
        <v>0.9160621761658031</v>
      </c>
      <c r="AB469" s="28">
        <v>0.92705447830101573</v>
      </c>
      <c r="AC469" s="28">
        <v>0.92</v>
      </c>
      <c r="AD469" s="26">
        <v>0.99815195071868579</v>
      </c>
      <c r="AE469" s="26">
        <v>0.99545351216185496</v>
      </c>
      <c r="AF469" s="26">
        <v>0.99350517556322304</v>
      </c>
      <c r="AG469" s="26">
        <v>0.99525068672502759</v>
      </c>
      <c r="AH469" s="28">
        <v>0.92</v>
      </c>
      <c r="AI469" s="26">
        <v>0.96413502109704641</v>
      </c>
      <c r="AJ469" s="26">
        <v>0.96885617214043041</v>
      </c>
      <c r="AK469" s="26">
        <v>0.97699386503067487</v>
      </c>
      <c r="AL469" s="26">
        <v>0.9750159096801565</v>
      </c>
      <c r="AM469" s="25">
        <v>0.99</v>
      </c>
      <c r="AN469" s="30">
        <v>1</v>
      </c>
      <c r="AO469" s="30">
        <v>1</v>
      </c>
      <c r="AP469" s="30">
        <v>1</v>
      </c>
      <c r="AQ469" s="30">
        <v>1</v>
      </c>
      <c r="AR469" s="50">
        <v>0.05</v>
      </c>
      <c r="AS469" s="34">
        <v>0</v>
      </c>
      <c r="AT469" s="34">
        <v>0</v>
      </c>
      <c r="AU469" s="34">
        <v>0</v>
      </c>
      <c r="AV469" s="34">
        <v>4.6242774566473986E-2</v>
      </c>
      <c r="AW469" s="10"/>
      <c r="AX469" s="8"/>
    </row>
    <row r="470" spans="1:50">
      <c r="A470" s="7"/>
      <c r="B470" s="10"/>
      <c r="C470" s="45" t="s">
        <v>396</v>
      </c>
      <c r="D470" s="23" t="s">
        <v>19</v>
      </c>
      <c r="E470" s="46" t="s">
        <v>516</v>
      </c>
      <c r="F470" s="46" t="s">
        <v>516</v>
      </c>
      <c r="G470" s="46" t="s">
        <v>516</v>
      </c>
      <c r="H470" s="46" t="s">
        <v>516</v>
      </c>
      <c r="I470" s="25">
        <v>0.9</v>
      </c>
      <c r="J470" s="26">
        <v>0.96969696969696972</v>
      </c>
      <c r="K470" s="26">
        <v>0.95454545454545459</v>
      </c>
      <c r="L470" s="27">
        <v>0.98571428571428577</v>
      </c>
      <c r="M470" s="26">
        <v>0.97120921305182339</v>
      </c>
      <c r="N470" s="28">
        <v>0.9</v>
      </c>
      <c r="O470" s="26">
        <v>0.98973607038123168</v>
      </c>
      <c r="P470" s="26">
        <v>0.98957103502558053</v>
      </c>
      <c r="Q470" s="26">
        <v>0.98974177573399358</v>
      </c>
      <c r="R470" s="26">
        <v>0.98908868501529057</v>
      </c>
      <c r="S470" s="28">
        <v>0.9</v>
      </c>
      <c r="T470" s="26">
        <v>0.9346459991621282</v>
      </c>
      <c r="U470" s="26">
        <v>0.94923258559622192</v>
      </c>
      <c r="V470" s="26">
        <v>0.92801556420233466</v>
      </c>
      <c r="W470" s="26">
        <v>0.92557798165137617</v>
      </c>
      <c r="X470" s="28">
        <v>0.92</v>
      </c>
      <c r="Y470" s="28">
        <v>0.89587426326129671</v>
      </c>
      <c r="Z470" s="28">
        <v>0.91595744680851066</v>
      </c>
      <c r="AA470" s="28">
        <v>0.92059838895281931</v>
      </c>
      <c r="AB470" s="28">
        <v>0.90935595017227666</v>
      </c>
      <c r="AC470" s="28">
        <v>0.92</v>
      </c>
      <c r="AD470" s="26">
        <v>0.99721137757947576</v>
      </c>
      <c r="AE470" s="26">
        <v>0.99888101454681089</v>
      </c>
      <c r="AF470" s="26">
        <v>0.99699097291875627</v>
      </c>
      <c r="AG470" s="26">
        <v>0.95175841391604987</v>
      </c>
      <c r="AH470" s="28">
        <v>0.92</v>
      </c>
      <c r="AI470" s="26">
        <v>0.96132596685082872</v>
      </c>
      <c r="AJ470" s="26">
        <v>0.9737628694785786</v>
      </c>
      <c r="AK470" s="26">
        <v>0.97240533496857273</v>
      </c>
      <c r="AL470" s="26">
        <v>0.97261688418965797</v>
      </c>
      <c r="AM470" s="25">
        <v>0.99</v>
      </c>
      <c r="AN470" s="30">
        <v>1</v>
      </c>
      <c r="AO470" s="30">
        <v>1</v>
      </c>
      <c r="AP470" s="30">
        <v>1</v>
      </c>
      <c r="AQ470" s="30">
        <v>1</v>
      </c>
      <c r="AR470" s="50">
        <v>0.05</v>
      </c>
      <c r="AS470" s="34">
        <v>0</v>
      </c>
      <c r="AT470" s="34">
        <v>0</v>
      </c>
      <c r="AU470" s="34">
        <v>0</v>
      </c>
      <c r="AV470" s="34">
        <v>2.4590163934426229E-2</v>
      </c>
      <c r="AW470" s="10"/>
      <c r="AX470" s="8"/>
    </row>
    <row r="471" spans="1:50">
      <c r="A471" s="7"/>
      <c r="B471" s="10"/>
      <c r="C471" s="45" t="s">
        <v>396</v>
      </c>
      <c r="D471" s="23" t="s">
        <v>19</v>
      </c>
      <c r="E471" s="46" t="s">
        <v>517</v>
      </c>
      <c r="F471" s="46" t="s">
        <v>517</v>
      </c>
      <c r="G471" s="46" t="s">
        <v>517</v>
      </c>
      <c r="H471" s="46" t="s">
        <v>517</v>
      </c>
      <c r="I471" s="25">
        <v>0.9</v>
      </c>
      <c r="J471" s="26">
        <v>1</v>
      </c>
      <c r="K471" s="26">
        <v>1</v>
      </c>
      <c r="L471" s="27">
        <v>1</v>
      </c>
      <c r="M471" s="26">
        <v>0.98399999999999999</v>
      </c>
      <c r="N471" s="28">
        <v>0.9</v>
      </c>
      <c r="O471" s="26">
        <v>0.98800959232613905</v>
      </c>
      <c r="P471" s="26">
        <v>0.99843993759750393</v>
      </c>
      <c r="Q471" s="26">
        <v>0.99931647300068349</v>
      </c>
      <c r="R471" s="26">
        <v>0.99628924833491916</v>
      </c>
      <c r="S471" s="28">
        <v>0.9</v>
      </c>
      <c r="T471" s="26">
        <v>0.95923261390887293</v>
      </c>
      <c r="U471" s="26">
        <v>0.94929797191887677</v>
      </c>
      <c r="V471" s="26">
        <v>0.97402597402597402</v>
      </c>
      <c r="W471" s="26">
        <v>0.95394862036156047</v>
      </c>
      <c r="X471" s="28">
        <v>0.92</v>
      </c>
      <c r="Y471" s="28">
        <v>0.92181069958847739</v>
      </c>
      <c r="Z471" s="28">
        <v>0.94420600858369097</v>
      </c>
      <c r="AA471" s="28">
        <v>0.93181818181818177</v>
      </c>
      <c r="AB471" s="28">
        <v>0.92413793103448272</v>
      </c>
      <c r="AC471" s="28">
        <v>0.92</v>
      </c>
      <c r="AD471" s="26">
        <v>1</v>
      </c>
      <c r="AE471" s="26">
        <v>1</v>
      </c>
      <c r="AF471" s="26">
        <v>0.99024390243902438</v>
      </c>
      <c r="AG471" s="26">
        <v>0.99396226415094335</v>
      </c>
      <c r="AH471" s="28">
        <v>0.92</v>
      </c>
      <c r="AI471" s="26">
        <v>0.97724230254350741</v>
      </c>
      <c r="AJ471" s="26">
        <v>0.98151815181518154</v>
      </c>
      <c r="AK471" s="26">
        <v>0.98752228163992872</v>
      </c>
      <c r="AL471" s="26">
        <v>0.98265429608713195</v>
      </c>
      <c r="AM471" s="25">
        <v>0.99</v>
      </c>
      <c r="AN471" s="30">
        <v>1</v>
      </c>
      <c r="AO471" s="30">
        <v>1</v>
      </c>
      <c r="AP471" s="30">
        <v>1</v>
      </c>
      <c r="AQ471" s="30">
        <v>1</v>
      </c>
      <c r="AR471" s="50">
        <v>0.05</v>
      </c>
      <c r="AS471" s="34">
        <v>0</v>
      </c>
      <c r="AT471" s="34">
        <v>0</v>
      </c>
      <c r="AU471" s="34">
        <v>0</v>
      </c>
      <c r="AV471" s="34">
        <v>2.4390243902439025E-2</v>
      </c>
      <c r="AW471" s="10"/>
      <c r="AX471" s="8"/>
    </row>
    <row r="472" spans="1:50">
      <c r="A472" s="7"/>
      <c r="B472" s="10"/>
      <c r="C472" s="45" t="s">
        <v>396</v>
      </c>
      <c r="D472" s="23" t="s">
        <v>19</v>
      </c>
      <c r="E472" s="46" t="s">
        <v>518</v>
      </c>
      <c r="F472" s="46" t="s">
        <v>518</v>
      </c>
      <c r="G472" s="46" t="s">
        <v>518</v>
      </c>
      <c r="H472" s="46" t="s">
        <v>518</v>
      </c>
      <c r="I472" s="25">
        <v>0.9</v>
      </c>
      <c r="J472" s="26">
        <v>1</v>
      </c>
      <c r="K472" s="26">
        <v>1</v>
      </c>
      <c r="L472" s="27">
        <v>0.98666666666666669</v>
      </c>
      <c r="M472" s="26">
        <v>0.98233215547703179</v>
      </c>
      <c r="N472" s="28">
        <v>0.9</v>
      </c>
      <c r="O472" s="26">
        <v>0.98009848173984404</v>
      </c>
      <c r="P472" s="26">
        <v>0.98563447725458897</v>
      </c>
      <c r="Q472" s="26">
        <v>0.98581805603597372</v>
      </c>
      <c r="R472" s="26">
        <v>0.98297112810246268</v>
      </c>
      <c r="S472" s="28">
        <v>0.9</v>
      </c>
      <c r="T472" s="26">
        <v>0.94029544521953223</v>
      </c>
      <c r="U472" s="26">
        <v>0.94752593774940141</v>
      </c>
      <c r="V472" s="26">
        <v>0.94967139398132139</v>
      </c>
      <c r="W472" s="26">
        <v>0.93569550640391708</v>
      </c>
      <c r="X472" s="28">
        <v>0.92</v>
      </c>
      <c r="Y472" s="28">
        <v>0.78535606820461379</v>
      </c>
      <c r="Z472" s="28">
        <v>0.85159362549800799</v>
      </c>
      <c r="AA472" s="28">
        <v>0.87842669845053634</v>
      </c>
      <c r="AB472" s="28">
        <v>0.83197903014416774</v>
      </c>
      <c r="AC472" s="28">
        <v>0.92</v>
      </c>
      <c r="AD472" s="26">
        <v>0.99720893141945777</v>
      </c>
      <c r="AE472" s="26">
        <v>0.99447295696802207</v>
      </c>
      <c r="AF472" s="26">
        <v>0.99634146341463414</v>
      </c>
      <c r="AG472" s="26">
        <v>0.99154675404853498</v>
      </c>
      <c r="AH472" s="28">
        <v>0.92</v>
      </c>
      <c r="AI472" s="26">
        <v>0.94193768091265107</v>
      </c>
      <c r="AJ472" s="26">
        <v>0.95631954824779941</v>
      </c>
      <c r="AK472" s="26">
        <v>0.96737652922519257</v>
      </c>
      <c r="AL472" s="26">
        <v>0.95390850951158912</v>
      </c>
      <c r="AM472" s="25">
        <v>0.99</v>
      </c>
      <c r="AN472" s="30">
        <v>1</v>
      </c>
      <c r="AO472" s="30">
        <v>1</v>
      </c>
      <c r="AP472" s="30">
        <v>1</v>
      </c>
      <c r="AQ472" s="30">
        <v>1</v>
      </c>
      <c r="AR472" s="50">
        <v>0.05</v>
      </c>
      <c r="AS472" s="34">
        <v>3.3333333333333333E-2</v>
      </c>
      <c r="AT472" s="34">
        <v>4.3478260869565216E-2</v>
      </c>
      <c r="AU472" s="34">
        <v>0</v>
      </c>
      <c r="AV472" s="34">
        <v>4.4444444444444446E-2</v>
      </c>
      <c r="AW472" s="10"/>
      <c r="AX472" s="8"/>
    </row>
    <row r="473" spans="1:50">
      <c r="A473" s="7"/>
      <c r="B473" s="10"/>
      <c r="C473" s="45" t="s">
        <v>396</v>
      </c>
      <c r="D473" s="23" t="s">
        <v>19</v>
      </c>
      <c r="E473" s="46" t="s">
        <v>519</v>
      </c>
      <c r="F473" s="46" t="s">
        <v>519</v>
      </c>
      <c r="G473" s="46" t="s">
        <v>519</v>
      </c>
      <c r="H473" s="46" t="s">
        <v>519</v>
      </c>
      <c r="I473" s="25">
        <v>0.9</v>
      </c>
      <c r="J473" s="26">
        <v>1</v>
      </c>
      <c r="K473" s="26">
        <v>1</v>
      </c>
      <c r="L473" s="27">
        <v>1</v>
      </c>
      <c r="M473" s="26">
        <v>0.99278846153846156</v>
      </c>
      <c r="N473" s="28">
        <v>0.9</v>
      </c>
      <c r="O473" s="26">
        <v>0.98839544744476682</v>
      </c>
      <c r="P473" s="26">
        <v>0.99074952561669827</v>
      </c>
      <c r="Q473" s="26">
        <v>0.99057196731615338</v>
      </c>
      <c r="R473" s="26">
        <v>0.98534477725229175</v>
      </c>
      <c r="S473" s="28">
        <v>0.9</v>
      </c>
      <c r="T473" s="26">
        <v>0.95425128319571528</v>
      </c>
      <c r="U473" s="26">
        <v>0.96347248576850097</v>
      </c>
      <c r="V473" s="26">
        <v>0.93966059082338149</v>
      </c>
      <c r="W473" s="26">
        <v>0.93294213814445026</v>
      </c>
      <c r="X473" s="28">
        <v>0.92</v>
      </c>
      <c r="Y473" s="28">
        <v>0.92772667542706966</v>
      </c>
      <c r="Z473" s="28">
        <v>0.92907801418439717</v>
      </c>
      <c r="AA473" s="28">
        <v>0.94762684124386254</v>
      </c>
      <c r="AB473" s="28">
        <v>0.90920288579975361</v>
      </c>
      <c r="AC473" s="28">
        <v>0.92</v>
      </c>
      <c r="AD473" s="26">
        <v>0.99915611814345995</v>
      </c>
      <c r="AE473" s="26">
        <v>0.98396793587174347</v>
      </c>
      <c r="AF473" s="26">
        <v>0.99196787148594379</v>
      </c>
      <c r="AG473" s="26">
        <v>0.992056856187291</v>
      </c>
      <c r="AH473" s="28">
        <v>0.92</v>
      </c>
      <c r="AI473" s="26">
        <v>0.97768027470431129</v>
      </c>
      <c r="AJ473" s="26">
        <v>0.97927250558829504</v>
      </c>
      <c r="AK473" s="26">
        <v>0.98421248142644868</v>
      </c>
      <c r="AL473" s="26">
        <v>0.97676340235871495</v>
      </c>
      <c r="AM473" s="25">
        <v>0.99</v>
      </c>
      <c r="AN473" s="30">
        <v>1</v>
      </c>
      <c r="AO473" s="30">
        <v>1</v>
      </c>
      <c r="AP473" s="30">
        <v>1</v>
      </c>
      <c r="AQ473" s="30">
        <v>1</v>
      </c>
      <c r="AR473" s="50">
        <v>0.05</v>
      </c>
      <c r="AS473" s="34">
        <v>9.0909090909090912E-2</v>
      </c>
      <c r="AT473" s="34">
        <v>0.2</v>
      </c>
      <c r="AU473" s="34">
        <v>0</v>
      </c>
      <c r="AV473" s="34">
        <v>7.3170731707317069E-2</v>
      </c>
      <c r="AW473" s="10"/>
      <c r="AX473" s="8"/>
    </row>
    <row r="474" spans="1:50">
      <c r="A474" s="7"/>
      <c r="B474" s="10"/>
      <c r="C474" s="45" t="s">
        <v>396</v>
      </c>
      <c r="D474" s="23" t="s">
        <v>19</v>
      </c>
      <c r="E474" s="46" t="s">
        <v>520</v>
      </c>
      <c r="F474" s="46" t="s">
        <v>520</v>
      </c>
      <c r="G474" s="46" t="s">
        <v>520</v>
      </c>
      <c r="H474" s="46" t="s">
        <v>520</v>
      </c>
      <c r="I474" s="25">
        <v>0.9</v>
      </c>
      <c r="J474" s="26">
        <v>0.97435897435897434</v>
      </c>
      <c r="K474" s="26">
        <v>0.92105263157894735</v>
      </c>
      <c r="L474" s="27">
        <v>0.94871794871794868</v>
      </c>
      <c r="M474" s="26">
        <v>0.95</v>
      </c>
      <c r="N474" s="28">
        <v>0.9</v>
      </c>
      <c r="O474" s="26">
        <v>0.98624338624338626</v>
      </c>
      <c r="P474" s="26">
        <v>0.98034564554388348</v>
      </c>
      <c r="Q474" s="26">
        <v>0.98677089597113654</v>
      </c>
      <c r="R474" s="26">
        <v>0.9831876260928043</v>
      </c>
      <c r="S474" s="28">
        <v>0.9</v>
      </c>
      <c r="T474" s="26">
        <v>0.90088183421516754</v>
      </c>
      <c r="U474" s="26">
        <v>0.9322263639444256</v>
      </c>
      <c r="V474" s="26">
        <v>0.92242934455802761</v>
      </c>
      <c r="W474" s="26">
        <v>0.91896435776731678</v>
      </c>
      <c r="X474" s="28">
        <v>0.92</v>
      </c>
      <c r="Y474" s="28">
        <v>0.7857142857142857</v>
      </c>
      <c r="Z474" s="28">
        <v>0.72857142857142854</v>
      </c>
      <c r="AA474" s="28">
        <v>0.64214711729622265</v>
      </c>
      <c r="AB474" s="28">
        <v>0.72159090909090906</v>
      </c>
      <c r="AC474" s="28">
        <v>0.92</v>
      </c>
      <c r="AD474" s="26">
        <v>0.93103448275862066</v>
      </c>
      <c r="AE474" s="26">
        <v>0.81666666666666665</v>
      </c>
      <c r="AF474" s="26">
        <v>0.96923076923076923</v>
      </c>
      <c r="AG474" s="26">
        <v>0.91702786377708978</v>
      </c>
      <c r="AH474" s="28">
        <v>0.92</v>
      </c>
      <c r="AI474" s="26">
        <v>0.93164630599185572</v>
      </c>
      <c r="AJ474" s="26">
        <v>0.93751816332461491</v>
      </c>
      <c r="AK474" s="26">
        <v>0.93470880125359102</v>
      </c>
      <c r="AL474" s="26">
        <v>0.9368659998581258</v>
      </c>
      <c r="AM474" s="25">
        <v>0.99</v>
      </c>
      <c r="AN474" s="30">
        <v>1</v>
      </c>
      <c r="AO474" s="30">
        <v>1</v>
      </c>
      <c r="AP474" s="30">
        <v>1</v>
      </c>
      <c r="AQ474" s="30">
        <v>1</v>
      </c>
      <c r="AR474" s="50">
        <v>0.05</v>
      </c>
      <c r="AS474" s="34">
        <v>0</v>
      </c>
      <c r="AT474" s="34">
        <v>5.8823529411764705E-2</v>
      </c>
      <c r="AU474" s="34">
        <v>5.8823529411764705E-2</v>
      </c>
      <c r="AV474" s="34">
        <v>3.9473684210526314E-2</v>
      </c>
      <c r="AW474" s="10"/>
      <c r="AX474" s="8"/>
    </row>
    <row r="475" spans="1:50">
      <c r="A475" s="7"/>
      <c r="B475" s="10"/>
      <c r="C475" s="45" t="s">
        <v>396</v>
      </c>
      <c r="D475" s="23" t="s">
        <v>19</v>
      </c>
      <c r="E475" s="46" t="s">
        <v>521</v>
      </c>
      <c r="F475" s="46" t="s">
        <v>521</v>
      </c>
      <c r="G475" s="46" t="s">
        <v>521</v>
      </c>
      <c r="H475" s="46" t="s">
        <v>521</v>
      </c>
      <c r="I475" s="25">
        <v>0.9</v>
      </c>
      <c r="J475" s="26">
        <v>1</v>
      </c>
      <c r="K475" s="26">
        <v>0.92</v>
      </c>
      <c r="L475" s="27">
        <v>1</v>
      </c>
      <c r="M475" s="26">
        <v>0.98514851485148514</v>
      </c>
      <c r="N475" s="28">
        <v>0.9</v>
      </c>
      <c r="O475" s="26">
        <v>0.98455377574370706</v>
      </c>
      <c r="P475" s="26">
        <v>0.98484848484848486</v>
      </c>
      <c r="Q475" s="26">
        <v>0.98327305605786619</v>
      </c>
      <c r="R475" s="26">
        <v>0.97771292119925712</v>
      </c>
      <c r="S475" s="28">
        <v>0.9</v>
      </c>
      <c r="T475" s="26">
        <v>0.89702517162471396</v>
      </c>
      <c r="U475" s="26">
        <v>0.88664421997755327</v>
      </c>
      <c r="V475" s="26">
        <v>0.88517179023508141</v>
      </c>
      <c r="W475" s="26">
        <v>0.8586495091536217</v>
      </c>
      <c r="X475" s="28">
        <v>0.92</v>
      </c>
      <c r="Y475" s="28">
        <v>0</v>
      </c>
      <c r="Z475" s="28">
        <v>0</v>
      </c>
      <c r="AA475" s="28">
        <v>0</v>
      </c>
      <c r="AB475" s="28">
        <v>1</v>
      </c>
      <c r="AC475" s="28">
        <v>0.92</v>
      </c>
      <c r="AD475" s="26">
        <v>0.99537393986121825</v>
      </c>
      <c r="AE475" s="26">
        <v>0.98194050991501414</v>
      </c>
      <c r="AF475" s="26">
        <v>0.98880597014925375</v>
      </c>
      <c r="AG475" s="26">
        <v>0.98592413607946916</v>
      </c>
      <c r="AH475" s="28">
        <v>0.92</v>
      </c>
      <c r="AI475" s="26">
        <v>0.95251716247139584</v>
      </c>
      <c r="AJ475" s="26">
        <v>0.96632996632996637</v>
      </c>
      <c r="AK475" s="26">
        <v>0.96247739602169979</v>
      </c>
      <c r="AL475" s="26">
        <v>0.95935282806179967</v>
      </c>
      <c r="AM475" s="25">
        <v>0.99</v>
      </c>
      <c r="AN475" s="30">
        <v>1</v>
      </c>
      <c r="AO475" s="30">
        <v>1</v>
      </c>
      <c r="AP475" s="30">
        <v>1</v>
      </c>
      <c r="AQ475" s="30">
        <v>1</v>
      </c>
      <c r="AR475" s="50">
        <v>0.05</v>
      </c>
      <c r="AS475" s="34">
        <v>0.125</v>
      </c>
      <c r="AT475" s="34">
        <v>7.6923076923076927E-2</v>
      </c>
      <c r="AU475" s="34">
        <v>0</v>
      </c>
      <c r="AV475" s="34">
        <v>0.09</v>
      </c>
      <c r="AW475" s="10"/>
      <c r="AX475" s="8"/>
    </row>
    <row r="476" spans="1:50">
      <c r="A476" s="7"/>
      <c r="B476" s="10"/>
      <c r="C476" s="45" t="s">
        <v>396</v>
      </c>
      <c r="D476" s="23" t="s">
        <v>19</v>
      </c>
      <c r="E476" s="46" t="s">
        <v>522</v>
      </c>
      <c r="F476" s="46" t="s">
        <v>522</v>
      </c>
      <c r="G476" s="46" t="s">
        <v>522</v>
      </c>
      <c r="H476" s="46" t="s">
        <v>522</v>
      </c>
      <c r="I476" s="25">
        <v>0.9</v>
      </c>
      <c r="J476" s="26">
        <v>1</v>
      </c>
      <c r="K476" s="26">
        <v>1</v>
      </c>
      <c r="L476" s="27">
        <v>1</v>
      </c>
      <c r="M476" s="26">
        <v>1</v>
      </c>
      <c r="N476" s="28">
        <v>0.9</v>
      </c>
      <c r="O476" s="26">
        <v>0.99520697167755989</v>
      </c>
      <c r="P476" s="26">
        <v>0.99686379928315416</v>
      </c>
      <c r="Q476" s="26">
        <v>0.99472295514511877</v>
      </c>
      <c r="R476" s="26">
        <v>0.99507019612045866</v>
      </c>
      <c r="S476" s="28">
        <v>0.9</v>
      </c>
      <c r="T476" s="26">
        <v>0.95206971677559915</v>
      </c>
      <c r="U476" s="26">
        <v>0.96281362007168458</v>
      </c>
      <c r="V476" s="26">
        <v>0.96192989068978518</v>
      </c>
      <c r="W476" s="26">
        <v>0.95263101489658131</v>
      </c>
      <c r="X476" s="28">
        <v>0.92</v>
      </c>
      <c r="Y476" s="28">
        <v>0.96254681647940077</v>
      </c>
      <c r="Z476" s="28">
        <v>0.95809523809523811</v>
      </c>
      <c r="AA476" s="28">
        <v>0.95948827292110872</v>
      </c>
      <c r="AB476" s="28">
        <v>0.95885509838998206</v>
      </c>
      <c r="AC476" s="28">
        <v>0.92</v>
      </c>
      <c r="AD476" s="26">
        <v>0.99800772008467187</v>
      </c>
      <c r="AE476" s="26">
        <v>0.99699197860962563</v>
      </c>
      <c r="AF476" s="26">
        <v>0.99764521193092626</v>
      </c>
      <c r="AG476" s="26">
        <v>0.9959325198373008</v>
      </c>
      <c r="AH476" s="28">
        <v>0.92</v>
      </c>
      <c r="AI476" s="26">
        <v>0.97314487632508839</v>
      </c>
      <c r="AJ476" s="26">
        <v>0.98113891911498008</v>
      </c>
      <c r="AK476" s="26">
        <v>0.98847631241997436</v>
      </c>
      <c r="AL476" s="26">
        <v>0.98441029274990033</v>
      </c>
      <c r="AM476" s="25">
        <v>0.99</v>
      </c>
      <c r="AN476" s="30">
        <v>1</v>
      </c>
      <c r="AO476" s="30">
        <v>1</v>
      </c>
      <c r="AP476" s="30">
        <v>1</v>
      </c>
      <c r="AQ476" s="30">
        <v>1</v>
      </c>
      <c r="AR476" s="50">
        <v>0.05</v>
      </c>
      <c r="AS476" s="34">
        <v>0.16666666666666666</v>
      </c>
      <c r="AT476" s="34">
        <v>0</v>
      </c>
      <c r="AU476" s="34">
        <v>6.25E-2</v>
      </c>
      <c r="AV476" s="34">
        <v>4.3478260869565216E-2</v>
      </c>
      <c r="AW476" s="10"/>
      <c r="AX476" s="8"/>
    </row>
    <row r="477" spans="1:50">
      <c r="A477" s="7"/>
      <c r="B477" s="10"/>
      <c r="C477" s="45" t="s">
        <v>396</v>
      </c>
      <c r="D477" s="23" t="s">
        <v>19</v>
      </c>
      <c r="E477" s="46" t="s">
        <v>523</v>
      </c>
      <c r="F477" s="46" t="s">
        <v>523</v>
      </c>
      <c r="G477" s="46" t="s">
        <v>523</v>
      </c>
      <c r="H477" s="46" t="s">
        <v>523</v>
      </c>
      <c r="I477" s="25">
        <v>0.9</v>
      </c>
      <c r="J477" s="26">
        <v>0.85</v>
      </c>
      <c r="K477" s="26">
        <v>0.86046511627906974</v>
      </c>
      <c r="L477" s="27">
        <v>0.9285714285714286</v>
      </c>
      <c r="M477" s="26">
        <v>0.90476190476190477</v>
      </c>
      <c r="N477" s="28">
        <v>0.9</v>
      </c>
      <c r="O477" s="26">
        <v>0.98693293885601574</v>
      </c>
      <c r="P477" s="26">
        <v>0.98524788391777507</v>
      </c>
      <c r="Q477" s="26">
        <v>0.97965538717043799</v>
      </c>
      <c r="R477" s="26">
        <v>0.98470511218234835</v>
      </c>
      <c r="S477" s="28">
        <v>0.9</v>
      </c>
      <c r="T477" s="26">
        <v>0.89571005917159763</v>
      </c>
      <c r="U477" s="26">
        <v>0.91318016928657797</v>
      </c>
      <c r="V477" s="26">
        <v>0.85654971974257832</v>
      </c>
      <c r="W477" s="26">
        <v>0.87698625245491879</v>
      </c>
      <c r="X477" s="28">
        <v>0.92</v>
      </c>
      <c r="Y477" s="28">
        <v>0</v>
      </c>
      <c r="Z477" s="28">
        <v>0</v>
      </c>
      <c r="AA477" s="28">
        <v>0</v>
      </c>
      <c r="AB477" s="28">
        <v>0</v>
      </c>
      <c r="AC477" s="28">
        <v>0.92</v>
      </c>
      <c r="AD477" s="26">
        <v>1</v>
      </c>
      <c r="AE477" s="26">
        <v>0.9915373765867419</v>
      </c>
      <c r="AF477" s="26">
        <v>0.99559471365638763</v>
      </c>
      <c r="AG477" s="26">
        <v>0.99220509267278711</v>
      </c>
      <c r="AH477" s="28">
        <v>0.92</v>
      </c>
      <c r="AI477" s="26">
        <v>0.97460552268244571</v>
      </c>
      <c r="AJ477" s="26">
        <v>0.97388149939540503</v>
      </c>
      <c r="AK477" s="26">
        <v>0.97425783682790124</v>
      </c>
      <c r="AL477" s="26">
        <v>0.97664107599833361</v>
      </c>
      <c r="AM477" s="25">
        <v>0.99</v>
      </c>
      <c r="AN477" s="30">
        <v>1</v>
      </c>
      <c r="AO477" s="30">
        <v>1</v>
      </c>
      <c r="AP477" s="30">
        <v>1</v>
      </c>
      <c r="AQ477" s="30">
        <v>1</v>
      </c>
      <c r="AR477" s="50">
        <v>0.05</v>
      </c>
      <c r="AS477" s="34">
        <v>6.25E-2</v>
      </c>
      <c r="AT477" s="34">
        <v>0.11764705882352941</v>
      </c>
      <c r="AU477" s="34">
        <v>0</v>
      </c>
      <c r="AV477" s="34">
        <v>4.3795620437956206E-2</v>
      </c>
      <c r="AW477" s="10"/>
      <c r="AX477" s="8"/>
    </row>
    <row r="478" spans="1:50">
      <c r="A478" s="7"/>
      <c r="B478" s="10"/>
      <c r="C478" s="45" t="s">
        <v>396</v>
      </c>
      <c r="D478" s="23" t="s">
        <v>19</v>
      </c>
      <c r="E478" s="46" t="s">
        <v>524</v>
      </c>
      <c r="F478" s="46" t="s">
        <v>524</v>
      </c>
      <c r="G478" s="46" t="s">
        <v>524</v>
      </c>
      <c r="H478" s="46" t="s">
        <v>524</v>
      </c>
      <c r="I478" s="25">
        <v>0.9</v>
      </c>
      <c r="J478" s="26">
        <v>1</v>
      </c>
      <c r="K478" s="26">
        <v>0.93103448275862066</v>
      </c>
      <c r="L478" s="27">
        <v>0.93333333333333335</v>
      </c>
      <c r="M478" s="26">
        <v>0.9553571428571429</v>
      </c>
      <c r="N478" s="28">
        <v>0.9</v>
      </c>
      <c r="O478" s="26">
        <v>0.98898963730569944</v>
      </c>
      <c r="P478" s="26">
        <v>0.97720075997466749</v>
      </c>
      <c r="Q478" s="26">
        <v>0.99351351351351347</v>
      </c>
      <c r="R478" s="26">
        <v>0.98970030202121895</v>
      </c>
      <c r="S478" s="28">
        <v>0.9</v>
      </c>
      <c r="T478" s="26">
        <v>0.90284974093264247</v>
      </c>
      <c r="U478" s="26">
        <v>0.88853704876504114</v>
      </c>
      <c r="V478" s="26">
        <v>0.88108108108108107</v>
      </c>
      <c r="W478" s="26">
        <v>0.85859211647177258</v>
      </c>
      <c r="X478" s="28">
        <v>0.92</v>
      </c>
      <c r="Y478" s="28">
        <v>0.91508951406649619</v>
      </c>
      <c r="Z478" s="28">
        <v>0.85863552550706823</v>
      </c>
      <c r="AA478" s="28">
        <v>0.91681312243702406</v>
      </c>
      <c r="AB478" s="28">
        <v>0.90126371337314259</v>
      </c>
      <c r="AC478" s="28">
        <v>0.92</v>
      </c>
      <c r="AD478" s="26">
        <v>1</v>
      </c>
      <c r="AE478" s="26">
        <v>0.99559471365638763</v>
      </c>
      <c r="AF478" s="26">
        <v>1</v>
      </c>
      <c r="AG478" s="26">
        <v>0.9978969505783386</v>
      </c>
      <c r="AH478" s="28">
        <v>0.92</v>
      </c>
      <c r="AI478" s="26">
        <v>0.94115966866609535</v>
      </c>
      <c r="AJ478" s="26">
        <v>0.91609482220835936</v>
      </c>
      <c r="AK478" s="26">
        <v>0.94798987911161092</v>
      </c>
      <c r="AL478" s="26">
        <v>0.93722777350755826</v>
      </c>
      <c r="AM478" s="25">
        <v>0.99</v>
      </c>
      <c r="AN478" s="30">
        <v>1</v>
      </c>
      <c r="AO478" s="30">
        <v>1</v>
      </c>
      <c r="AP478" s="30">
        <v>1</v>
      </c>
      <c r="AQ478" s="30">
        <v>1</v>
      </c>
      <c r="AR478" s="50">
        <v>0.05</v>
      </c>
      <c r="AS478" s="34">
        <v>0</v>
      </c>
      <c r="AT478" s="34">
        <v>0</v>
      </c>
      <c r="AU478" s="34">
        <v>0.16666666666666666</v>
      </c>
      <c r="AV478" s="34">
        <v>1.2987012987012988E-2</v>
      </c>
      <c r="AW478" s="10"/>
      <c r="AX478" s="8"/>
    </row>
    <row r="479" spans="1:50">
      <c r="A479" s="7"/>
      <c r="B479" s="10"/>
      <c r="C479" s="45" t="s">
        <v>396</v>
      </c>
      <c r="D479" s="23" t="s">
        <v>19</v>
      </c>
      <c r="E479" s="46" t="s">
        <v>525</v>
      </c>
      <c r="F479" s="46" t="s">
        <v>525</v>
      </c>
      <c r="G479" s="46" t="s">
        <v>525</v>
      </c>
      <c r="H479" s="46" t="s">
        <v>525</v>
      </c>
      <c r="I479" s="25">
        <v>0.9</v>
      </c>
      <c r="J479" s="26">
        <v>0.96551724137931039</v>
      </c>
      <c r="K479" s="26">
        <v>0.88</v>
      </c>
      <c r="L479" s="27">
        <v>0.93333333333333335</v>
      </c>
      <c r="M479" s="26">
        <v>0.85972850678733037</v>
      </c>
      <c r="N479" s="28">
        <v>0.9</v>
      </c>
      <c r="O479" s="26">
        <v>0.99274836838288616</v>
      </c>
      <c r="P479" s="26">
        <v>0.994341757827235</v>
      </c>
      <c r="Q479" s="26">
        <v>0.99322396576319538</v>
      </c>
      <c r="R479" s="26">
        <v>0.99383067577828399</v>
      </c>
      <c r="S479" s="28">
        <v>0.9</v>
      </c>
      <c r="T479" s="26">
        <v>0.95866569978245109</v>
      </c>
      <c r="U479" s="26">
        <v>0.91097698981516406</v>
      </c>
      <c r="V479" s="26">
        <v>0.92332382310984307</v>
      </c>
      <c r="W479" s="26">
        <v>0.91638192862566437</v>
      </c>
      <c r="X479" s="28">
        <v>0.92</v>
      </c>
      <c r="Y479" s="28">
        <v>0</v>
      </c>
      <c r="Z479" s="28">
        <v>0</v>
      </c>
      <c r="AA479" s="28">
        <v>0</v>
      </c>
      <c r="AB479" s="28">
        <v>0</v>
      </c>
      <c r="AC479" s="28">
        <v>0.92</v>
      </c>
      <c r="AD479" s="26">
        <v>1</v>
      </c>
      <c r="AE479" s="26">
        <v>1</v>
      </c>
      <c r="AF479" s="26">
        <v>0.99572649572649574</v>
      </c>
      <c r="AG479" s="26">
        <v>0.98938547486033523</v>
      </c>
      <c r="AH479" s="28">
        <v>0.92</v>
      </c>
      <c r="AI479" s="26">
        <v>0.98696596669080372</v>
      </c>
      <c r="AJ479" s="26">
        <v>0.98302527348170499</v>
      </c>
      <c r="AK479" s="26">
        <v>0.99393723252496435</v>
      </c>
      <c r="AL479" s="26">
        <v>0.98979882330613023</v>
      </c>
      <c r="AM479" s="25">
        <v>0.99</v>
      </c>
      <c r="AN479" s="30">
        <v>1</v>
      </c>
      <c r="AO479" s="30">
        <v>1</v>
      </c>
      <c r="AP479" s="30">
        <v>1</v>
      </c>
      <c r="AQ479" s="30">
        <v>1</v>
      </c>
      <c r="AR479" s="50">
        <v>0.05</v>
      </c>
      <c r="AS479" s="34">
        <v>0</v>
      </c>
      <c r="AT479" s="34">
        <v>0.1</v>
      </c>
      <c r="AU479" s="34">
        <v>0.13333333333333333</v>
      </c>
      <c r="AV479" s="34">
        <v>4.1095890410958902E-2</v>
      </c>
      <c r="AW479" s="10"/>
      <c r="AX479" s="8"/>
    </row>
    <row r="480" spans="1:50">
      <c r="A480" s="7"/>
      <c r="B480" s="10"/>
      <c r="C480" s="45" t="s">
        <v>396</v>
      </c>
      <c r="D480" s="23" t="s">
        <v>19</v>
      </c>
      <c r="E480" s="46" t="s">
        <v>526</v>
      </c>
      <c r="F480" s="46" t="s">
        <v>526</v>
      </c>
      <c r="G480" s="46" t="s">
        <v>526</v>
      </c>
      <c r="H480" s="46" t="s">
        <v>526</v>
      </c>
      <c r="I480" s="25">
        <v>0.9</v>
      </c>
      <c r="J480" s="26">
        <v>0.73333333333333328</v>
      </c>
      <c r="K480" s="26">
        <v>0.65306122448979587</v>
      </c>
      <c r="L480" s="27">
        <v>0.84782608695652173</v>
      </c>
      <c r="M480" s="26">
        <v>0.76630434782608692</v>
      </c>
      <c r="N480" s="28">
        <v>0.9</v>
      </c>
      <c r="O480" s="26">
        <v>0.98966704936854188</v>
      </c>
      <c r="P480" s="26">
        <v>0.98709315375982043</v>
      </c>
      <c r="Q480" s="26">
        <v>0.98865546218487399</v>
      </c>
      <c r="R480" s="26">
        <v>0.98863205759757489</v>
      </c>
      <c r="S480" s="28">
        <v>0.9</v>
      </c>
      <c r="T480" s="26">
        <v>0.87715269804822049</v>
      </c>
      <c r="U480" s="26">
        <v>0.88945005611672279</v>
      </c>
      <c r="V480" s="26">
        <v>0.90924369747899159</v>
      </c>
      <c r="W480" s="26">
        <v>0.89080459770114939</v>
      </c>
      <c r="X480" s="28">
        <v>0.92</v>
      </c>
      <c r="Y480" s="28">
        <v>0.81395348837209303</v>
      </c>
      <c r="Z480" s="28">
        <v>0.84932869219293883</v>
      </c>
      <c r="AA480" s="28">
        <v>0.84325581395348836</v>
      </c>
      <c r="AB480" s="28">
        <v>0.84359749012316987</v>
      </c>
      <c r="AC480" s="28">
        <v>0.92</v>
      </c>
      <c r="AD480" s="26">
        <v>0.98606271777003485</v>
      </c>
      <c r="AE480" s="26">
        <v>0.99401197604790414</v>
      </c>
      <c r="AF480" s="26">
        <v>0.99746835443037973</v>
      </c>
      <c r="AG480" s="26">
        <v>0.99371277299801453</v>
      </c>
      <c r="AH480" s="28">
        <v>0.92</v>
      </c>
      <c r="AI480" s="26">
        <v>0.8780722891566265</v>
      </c>
      <c r="AJ480" s="26">
        <v>0.91117554032683179</v>
      </c>
      <c r="AK480" s="26">
        <v>0.9167770419426049</v>
      </c>
      <c r="AL480" s="26">
        <v>0.90753963451530917</v>
      </c>
      <c r="AM480" s="25">
        <v>0.99</v>
      </c>
      <c r="AN480" s="30">
        <v>1</v>
      </c>
      <c r="AO480" s="30">
        <v>1</v>
      </c>
      <c r="AP480" s="30">
        <v>1</v>
      </c>
      <c r="AQ480" s="30">
        <v>1</v>
      </c>
      <c r="AR480" s="50">
        <v>0.05</v>
      </c>
      <c r="AS480" s="34">
        <v>0</v>
      </c>
      <c r="AT480" s="34">
        <v>0</v>
      </c>
      <c r="AU480" s="34">
        <v>0</v>
      </c>
      <c r="AV480" s="34">
        <v>2.1505376344086023E-2</v>
      </c>
      <c r="AW480" s="10"/>
      <c r="AX480" s="8"/>
    </row>
    <row r="481" spans="1:50">
      <c r="A481" s="7"/>
      <c r="B481" s="10"/>
      <c r="C481" s="45" t="s">
        <v>396</v>
      </c>
      <c r="D481" s="23" t="s">
        <v>19</v>
      </c>
      <c r="E481" s="46" t="s">
        <v>527</v>
      </c>
      <c r="F481" s="46" t="s">
        <v>527</v>
      </c>
      <c r="G481" s="46" t="s">
        <v>527</v>
      </c>
      <c r="H481" s="46" t="s">
        <v>527</v>
      </c>
      <c r="I481" s="25">
        <v>0.9</v>
      </c>
      <c r="J481" s="26">
        <v>1</v>
      </c>
      <c r="K481" s="26">
        <v>0.97142857142857142</v>
      </c>
      <c r="L481" s="27">
        <v>0.97142857142857142</v>
      </c>
      <c r="M481" s="26">
        <v>0.97857142857142854</v>
      </c>
      <c r="N481" s="28">
        <v>0.9</v>
      </c>
      <c r="O481" s="26">
        <v>0.99607586657946368</v>
      </c>
      <c r="P481" s="26">
        <v>0.99653259361997226</v>
      </c>
      <c r="Q481" s="26">
        <v>0.99723145071982278</v>
      </c>
      <c r="R481" s="26">
        <v>0.99722111949186187</v>
      </c>
      <c r="S481" s="28">
        <v>0.9</v>
      </c>
      <c r="T481" s="26">
        <v>0.9274035317200785</v>
      </c>
      <c r="U481" s="26">
        <v>0.91608876560332875</v>
      </c>
      <c r="V481" s="26">
        <v>0.92248062015503873</v>
      </c>
      <c r="W481" s="26">
        <v>0.923302897975387</v>
      </c>
      <c r="X481" s="28">
        <v>0.92</v>
      </c>
      <c r="Y481" s="28">
        <v>0.94426649583600253</v>
      </c>
      <c r="Z481" s="28">
        <v>0.95083102493074789</v>
      </c>
      <c r="AA481" s="28">
        <v>0.94274560832791154</v>
      </c>
      <c r="AB481" s="28">
        <v>0.9490180360721443</v>
      </c>
      <c r="AC481" s="28">
        <v>0.92</v>
      </c>
      <c r="AD481" s="26">
        <v>0.99301675977653636</v>
      </c>
      <c r="AE481" s="26">
        <v>0.96590909090909094</v>
      </c>
      <c r="AF481" s="26">
        <v>0.99456099456099456</v>
      </c>
      <c r="AG481" s="26">
        <v>0.99150765359614179</v>
      </c>
      <c r="AH481" s="28">
        <v>0.92</v>
      </c>
      <c r="AI481" s="26">
        <v>0.95889967637540452</v>
      </c>
      <c r="AJ481" s="26">
        <v>0.9643104643104643</v>
      </c>
      <c r="AK481" s="26">
        <v>0.96590909090909094</v>
      </c>
      <c r="AL481" s="26">
        <v>0.96537970644543714</v>
      </c>
      <c r="AM481" s="25">
        <v>0.99</v>
      </c>
      <c r="AN481" s="30">
        <v>1</v>
      </c>
      <c r="AO481" s="30">
        <v>1</v>
      </c>
      <c r="AP481" s="30">
        <v>1</v>
      </c>
      <c r="AQ481" s="30">
        <v>1</v>
      </c>
      <c r="AR481" s="50">
        <v>0.05</v>
      </c>
      <c r="AS481" s="34">
        <v>5.5555555555555552E-2</v>
      </c>
      <c r="AT481" s="34">
        <v>0</v>
      </c>
      <c r="AU481" s="34">
        <v>0</v>
      </c>
      <c r="AV481" s="34">
        <v>2.7972027972027972E-2</v>
      </c>
      <c r="AW481" s="10"/>
      <c r="AX481" s="8"/>
    </row>
    <row r="482" spans="1:50">
      <c r="A482" s="7"/>
      <c r="B482" s="10"/>
      <c r="C482" s="45" t="s">
        <v>396</v>
      </c>
      <c r="D482" s="23" t="s">
        <v>19</v>
      </c>
      <c r="E482" s="46" t="s">
        <v>528</v>
      </c>
      <c r="F482" s="46" t="s">
        <v>528</v>
      </c>
      <c r="G482" s="46" t="s">
        <v>528</v>
      </c>
      <c r="H482" s="46" t="s">
        <v>528</v>
      </c>
      <c r="I482" s="25">
        <v>0.9</v>
      </c>
      <c r="J482" s="26">
        <v>0.9</v>
      </c>
      <c r="K482" s="26">
        <v>0.9</v>
      </c>
      <c r="L482" s="27">
        <v>1</v>
      </c>
      <c r="M482" s="26">
        <v>0.94666666666666666</v>
      </c>
      <c r="N482" s="28">
        <v>0.9</v>
      </c>
      <c r="O482" s="26">
        <v>0.99750000000000005</v>
      </c>
      <c r="P482" s="26">
        <v>0.99408983451536648</v>
      </c>
      <c r="Q482" s="26">
        <v>0.99474789915966388</v>
      </c>
      <c r="R482" s="26">
        <v>0.99485861182519275</v>
      </c>
      <c r="S482" s="28">
        <v>0.9</v>
      </c>
      <c r="T482" s="26">
        <v>0.94750000000000001</v>
      </c>
      <c r="U482" s="26">
        <v>0.92671394799054374</v>
      </c>
      <c r="V482" s="26">
        <v>0.92752100840336138</v>
      </c>
      <c r="W482" s="26">
        <v>0.92569469947361982</v>
      </c>
      <c r="X482" s="28">
        <v>0.92</v>
      </c>
      <c r="Y482" s="28">
        <v>0.96206896551724141</v>
      </c>
      <c r="Z482" s="28">
        <v>0.96721311475409832</v>
      </c>
      <c r="AA482" s="28">
        <v>0.97112299465240637</v>
      </c>
      <c r="AB482" s="28">
        <v>0.96084851936218674</v>
      </c>
      <c r="AC482" s="28">
        <v>0.92</v>
      </c>
      <c r="AD482" s="26">
        <v>0.99528301886792447</v>
      </c>
      <c r="AE482" s="26">
        <v>1</v>
      </c>
      <c r="AF482" s="26">
        <v>0.98399999999999999</v>
      </c>
      <c r="AG482" s="26">
        <v>0.98534031413612566</v>
      </c>
      <c r="AH482" s="28">
        <v>0.92</v>
      </c>
      <c r="AI482" s="26">
        <v>0.97485029940119761</v>
      </c>
      <c r="AJ482" s="26">
        <v>0.97925564368517393</v>
      </c>
      <c r="AK482" s="26">
        <v>0.98198198198198194</v>
      </c>
      <c r="AL482" s="26">
        <v>0.97683448502796977</v>
      </c>
      <c r="AM482" s="25">
        <v>0.99</v>
      </c>
      <c r="AN482" s="30">
        <v>1</v>
      </c>
      <c r="AO482" s="30">
        <v>1</v>
      </c>
      <c r="AP482" s="30">
        <v>1</v>
      </c>
      <c r="AQ482" s="30">
        <v>1</v>
      </c>
      <c r="AR482" s="50">
        <v>0.05</v>
      </c>
      <c r="AS482" s="34">
        <v>0</v>
      </c>
      <c r="AT482" s="34">
        <v>0</v>
      </c>
      <c r="AU482" s="34">
        <v>0</v>
      </c>
      <c r="AV482" s="34">
        <v>6.8181818181818177E-2</v>
      </c>
      <c r="AW482" s="10"/>
      <c r="AX482" s="8"/>
    </row>
    <row r="483" spans="1:50">
      <c r="A483" s="7"/>
      <c r="B483" s="10"/>
      <c r="C483" s="45" t="s">
        <v>396</v>
      </c>
      <c r="D483" s="23" t="s">
        <v>19</v>
      </c>
      <c r="E483" s="46" t="s">
        <v>529</v>
      </c>
      <c r="F483" s="46" t="s">
        <v>529</v>
      </c>
      <c r="G483" s="46" t="s">
        <v>529</v>
      </c>
      <c r="H483" s="46" t="s">
        <v>529</v>
      </c>
      <c r="I483" s="25">
        <v>0.9</v>
      </c>
      <c r="J483" s="26">
        <v>0.875</v>
      </c>
      <c r="K483" s="26">
        <v>0.86274509803921573</v>
      </c>
      <c r="L483" s="27">
        <v>0.92727272727272725</v>
      </c>
      <c r="M483" s="26">
        <v>0.84382871536523929</v>
      </c>
      <c r="N483" s="28">
        <v>0.9</v>
      </c>
      <c r="O483" s="26">
        <v>0.96278701504354713</v>
      </c>
      <c r="P483" s="26">
        <v>0.95307917888563054</v>
      </c>
      <c r="Q483" s="26">
        <v>0.96372514823857691</v>
      </c>
      <c r="R483" s="26">
        <v>0.93599109777928302</v>
      </c>
      <c r="S483" s="28">
        <v>0.9</v>
      </c>
      <c r="T483" s="26">
        <v>0.88361045130641325</v>
      </c>
      <c r="U483" s="26">
        <v>0.88479262672811065</v>
      </c>
      <c r="V483" s="26">
        <v>0.87931635856295776</v>
      </c>
      <c r="W483" s="26">
        <v>0.85001693357201602</v>
      </c>
      <c r="X483" s="28">
        <v>0.92</v>
      </c>
      <c r="Y483" s="28">
        <v>0.90166358595194085</v>
      </c>
      <c r="Z483" s="28">
        <v>0.9078525641025641</v>
      </c>
      <c r="AA483" s="28">
        <v>0.91837509491268032</v>
      </c>
      <c r="AB483" s="28">
        <v>0.87985638004050815</v>
      </c>
      <c r="AC483" s="28">
        <v>0.92</v>
      </c>
      <c r="AD483" s="26">
        <v>0.99515738498789341</v>
      </c>
      <c r="AE483" s="26">
        <v>0.98841800473808894</v>
      </c>
      <c r="AF483" s="26">
        <v>0.99589901320005125</v>
      </c>
      <c r="AG483" s="26">
        <v>0.92943792964011318</v>
      </c>
      <c r="AH483" s="28">
        <v>0.92</v>
      </c>
      <c r="AI483" s="26">
        <v>0.93557637163066332</v>
      </c>
      <c r="AJ483" s="26">
        <v>0.94020069629326231</v>
      </c>
      <c r="AK483" s="26">
        <v>0.94856415848782261</v>
      </c>
      <c r="AL483" s="26">
        <v>0.92334363280420784</v>
      </c>
      <c r="AM483" s="25">
        <v>0.99</v>
      </c>
      <c r="AN483" s="30">
        <v>1</v>
      </c>
      <c r="AO483" s="30">
        <v>1</v>
      </c>
      <c r="AP483" s="30">
        <v>1</v>
      </c>
      <c r="AQ483" s="30">
        <v>1</v>
      </c>
      <c r="AR483" s="50">
        <v>0.05</v>
      </c>
      <c r="AS483" s="34">
        <v>3.7037037037037035E-2</v>
      </c>
      <c r="AT483" s="34">
        <v>0.11764705882352941</v>
      </c>
      <c r="AU483" s="34">
        <v>2.7777777777777776E-2</v>
      </c>
      <c r="AV483" s="34">
        <v>4.2635658914728682E-2</v>
      </c>
      <c r="AW483" s="10"/>
      <c r="AX483" s="8"/>
    </row>
    <row r="484" spans="1:50">
      <c r="A484" s="7"/>
      <c r="B484" s="10"/>
      <c r="C484" s="45" t="s">
        <v>396</v>
      </c>
      <c r="D484" s="23" t="s">
        <v>19</v>
      </c>
      <c r="E484" s="46" t="s">
        <v>530</v>
      </c>
      <c r="F484" s="46" t="s">
        <v>530</v>
      </c>
      <c r="G484" s="46" t="s">
        <v>530</v>
      </c>
      <c r="H484" s="46" t="s">
        <v>530</v>
      </c>
      <c r="I484" s="25">
        <v>0.9</v>
      </c>
      <c r="J484" s="26">
        <v>0.82352941176470584</v>
      </c>
      <c r="K484" s="26">
        <v>0.72972972972972971</v>
      </c>
      <c r="L484" s="27">
        <v>0.85</v>
      </c>
      <c r="M484" s="26">
        <v>0.83745583038869253</v>
      </c>
      <c r="N484" s="28">
        <v>0.9</v>
      </c>
      <c r="O484" s="26">
        <v>0.88868613138686137</v>
      </c>
      <c r="P484" s="26">
        <v>0.91362530413625309</v>
      </c>
      <c r="Q484" s="26">
        <v>0.94211123723042001</v>
      </c>
      <c r="R484" s="26">
        <v>0.92965779467680609</v>
      </c>
      <c r="S484" s="28">
        <v>0.9</v>
      </c>
      <c r="T484" s="26">
        <v>0.86982968369829683</v>
      </c>
      <c r="U484" s="26">
        <v>0.87712895377128952</v>
      </c>
      <c r="V484" s="26">
        <v>0.91543700340522138</v>
      </c>
      <c r="W484" s="26">
        <v>0.88466413181242076</v>
      </c>
      <c r="X484" s="28">
        <v>0.92</v>
      </c>
      <c r="Y484" s="28">
        <v>0.88580246913580252</v>
      </c>
      <c r="Z484" s="28">
        <v>0.89128919860627176</v>
      </c>
      <c r="AA484" s="28">
        <v>0.90031545741324925</v>
      </c>
      <c r="AB484" s="28">
        <v>0.87477371113734748</v>
      </c>
      <c r="AC484" s="28">
        <v>0.92</v>
      </c>
      <c r="AD484" s="26">
        <v>0.9990880072959416</v>
      </c>
      <c r="AE484" s="26">
        <v>0.99265536723163839</v>
      </c>
      <c r="AF484" s="26">
        <v>0.99875435974090687</v>
      </c>
      <c r="AG484" s="26">
        <v>0.9971227510659687</v>
      </c>
      <c r="AH484" s="28">
        <v>0.92</v>
      </c>
      <c r="AI484" s="26">
        <v>0.91641151255358233</v>
      </c>
      <c r="AJ484" s="26">
        <v>0.9217278337122442</v>
      </c>
      <c r="AK484" s="26">
        <v>0.93815357036151781</v>
      </c>
      <c r="AL484" s="26">
        <v>0.91695610988317022</v>
      </c>
      <c r="AM484" s="25">
        <v>0.99</v>
      </c>
      <c r="AN484" s="30">
        <v>1</v>
      </c>
      <c r="AO484" s="30">
        <v>1</v>
      </c>
      <c r="AP484" s="30">
        <v>1</v>
      </c>
      <c r="AQ484" s="30">
        <v>1</v>
      </c>
      <c r="AR484" s="50">
        <v>0.05</v>
      </c>
      <c r="AS484" s="34">
        <v>0.16666666666666666</v>
      </c>
      <c r="AT484" s="34">
        <v>0</v>
      </c>
      <c r="AU484" s="34">
        <v>0.1111111111111111</v>
      </c>
      <c r="AV484" s="34">
        <v>6.0869565217391307E-2</v>
      </c>
      <c r="AW484" s="10"/>
      <c r="AX484" s="8"/>
    </row>
    <row r="485" spans="1:50">
      <c r="A485" s="7"/>
      <c r="B485" s="10"/>
      <c r="C485" s="45" t="s">
        <v>396</v>
      </c>
      <c r="D485" s="23" t="s">
        <v>19</v>
      </c>
      <c r="E485" s="46" t="s">
        <v>531</v>
      </c>
      <c r="F485" s="46" t="s">
        <v>531</v>
      </c>
      <c r="G485" s="46" t="s">
        <v>531</v>
      </c>
      <c r="H485" s="46" t="s">
        <v>531</v>
      </c>
      <c r="I485" s="25">
        <v>0.9</v>
      </c>
      <c r="J485" s="26">
        <v>0.68292682926829273</v>
      </c>
      <c r="K485" s="26">
        <v>0.73170731707317072</v>
      </c>
      <c r="L485" s="27">
        <v>0.72727272727272729</v>
      </c>
      <c r="M485" s="26">
        <v>0.72755417956656343</v>
      </c>
      <c r="N485" s="28">
        <v>0.9</v>
      </c>
      <c r="O485" s="26">
        <v>0.92998417721518989</v>
      </c>
      <c r="P485" s="26">
        <v>0.93685624720107474</v>
      </c>
      <c r="Q485" s="26">
        <v>0.97397769516728627</v>
      </c>
      <c r="R485" s="26">
        <v>0.9357396632511199</v>
      </c>
      <c r="S485" s="28">
        <v>0.9</v>
      </c>
      <c r="T485" s="26">
        <v>0.83386075949367089</v>
      </c>
      <c r="U485" s="26">
        <v>0.85311240483654271</v>
      </c>
      <c r="V485" s="26">
        <v>0.84275092936802976</v>
      </c>
      <c r="W485" s="26">
        <v>0.81504556922918492</v>
      </c>
      <c r="X485" s="28">
        <v>0.92</v>
      </c>
      <c r="Y485" s="28">
        <v>0.87768014059753952</v>
      </c>
      <c r="Z485" s="28">
        <v>0.86926790024135159</v>
      </c>
      <c r="AA485" s="28">
        <v>0.89166360631656261</v>
      </c>
      <c r="AB485" s="28">
        <v>0.84571974696218088</v>
      </c>
      <c r="AC485" s="28">
        <v>0.92</v>
      </c>
      <c r="AD485" s="26">
        <v>0.9798081776880363</v>
      </c>
      <c r="AE485" s="26">
        <v>0.97131147540983609</v>
      </c>
      <c r="AF485" s="26">
        <v>0.99403147042864892</v>
      </c>
      <c r="AG485" s="26">
        <v>0.98169086001896566</v>
      </c>
      <c r="AH485" s="28">
        <v>0.92</v>
      </c>
      <c r="AI485" s="26">
        <v>0.91271170668155588</v>
      </c>
      <c r="AJ485" s="26">
        <v>0.9044491525423729</v>
      </c>
      <c r="AK485" s="26">
        <v>0.93387513852973769</v>
      </c>
      <c r="AL485" s="26">
        <v>0.89670329670329674</v>
      </c>
      <c r="AM485" s="25">
        <v>0.99</v>
      </c>
      <c r="AN485" s="30">
        <v>1</v>
      </c>
      <c r="AO485" s="30">
        <v>1</v>
      </c>
      <c r="AP485" s="30">
        <v>1</v>
      </c>
      <c r="AQ485" s="30">
        <v>1</v>
      </c>
      <c r="AR485" s="50">
        <v>0.05</v>
      </c>
      <c r="AS485" s="34">
        <v>0</v>
      </c>
      <c r="AT485" s="34">
        <v>1.2711864406779662E-2</v>
      </c>
      <c r="AU485" s="34">
        <v>0</v>
      </c>
      <c r="AV485" s="34">
        <v>5.6294779938587513E-3</v>
      </c>
      <c r="AW485" s="10"/>
      <c r="AX485" s="8"/>
    </row>
    <row r="486" spans="1:50">
      <c r="A486" s="7"/>
      <c r="B486" s="10"/>
      <c r="C486" s="45" t="s">
        <v>396</v>
      </c>
      <c r="D486" s="23" t="s">
        <v>19</v>
      </c>
      <c r="E486" s="46" t="s">
        <v>532</v>
      </c>
      <c r="F486" s="46" t="s">
        <v>532</v>
      </c>
      <c r="G486" s="46" t="s">
        <v>532</v>
      </c>
      <c r="H486" s="46" t="s">
        <v>532</v>
      </c>
      <c r="I486" s="25">
        <v>0.9</v>
      </c>
      <c r="J486" s="26">
        <v>1</v>
      </c>
      <c r="K486" s="26">
        <v>1</v>
      </c>
      <c r="L486" s="27">
        <v>0.97435897435897434</v>
      </c>
      <c r="M486" s="26">
        <v>0.98615916955017302</v>
      </c>
      <c r="N486" s="28">
        <v>0.9</v>
      </c>
      <c r="O486" s="26">
        <v>0.99733617474693659</v>
      </c>
      <c r="P486" s="26">
        <v>0.99730458221024254</v>
      </c>
      <c r="Q486" s="26">
        <v>0.98832866479925308</v>
      </c>
      <c r="R486" s="26">
        <v>0.99286548190426771</v>
      </c>
      <c r="S486" s="28">
        <v>0.9</v>
      </c>
      <c r="T486" s="26">
        <v>0.92594565796483752</v>
      </c>
      <c r="U486" s="26">
        <v>0.93854447439353095</v>
      </c>
      <c r="V486" s="26">
        <v>0.93230625583566762</v>
      </c>
      <c r="W486" s="26">
        <v>0.92807108574393571</v>
      </c>
      <c r="X486" s="28">
        <v>0.92</v>
      </c>
      <c r="Y486" s="28">
        <v>0.93762993762993763</v>
      </c>
      <c r="Z486" s="28">
        <v>0.95305744286596661</v>
      </c>
      <c r="AA486" s="28">
        <v>0.94546466332776846</v>
      </c>
      <c r="AB486" s="28">
        <v>0.93689574078912985</v>
      </c>
      <c r="AC486" s="28">
        <v>0.92</v>
      </c>
      <c r="AD486" s="26">
        <v>0.99846272098385858</v>
      </c>
      <c r="AE486" s="26">
        <v>0.99924642049736245</v>
      </c>
      <c r="AF486" s="26">
        <v>0.99722222222222223</v>
      </c>
      <c r="AG486" s="26">
        <v>0.99773982923154192</v>
      </c>
      <c r="AH486" s="28">
        <v>0.92</v>
      </c>
      <c r="AI486" s="26">
        <v>0.95948434622467771</v>
      </c>
      <c r="AJ486" s="26">
        <v>0.97092688543465744</v>
      </c>
      <c r="AK486" s="26">
        <v>0.97131251586697132</v>
      </c>
      <c r="AL486" s="26">
        <v>0.96224818563478376</v>
      </c>
      <c r="AM486" s="25">
        <v>0.99</v>
      </c>
      <c r="AN486" s="30">
        <v>1</v>
      </c>
      <c r="AO486" s="30">
        <v>1</v>
      </c>
      <c r="AP486" s="30">
        <v>1</v>
      </c>
      <c r="AQ486" s="30">
        <v>1</v>
      </c>
      <c r="AR486" s="50">
        <v>0.05</v>
      </c>
      <c r="AS486" s="34">
        <v>0</v>
      </c>
      <c r="AT486" s="34">
        <v>0.15789473684210525</v>
      </c>
      <c r="AU486" s="34">
        <v>6.25E-2</v>
      </c>
      <c r="AV486" s="34">
        <v>4.4776119402985072E-2</v>
      </c>
      <c r="AW486" s="10"/>
      <c r="AX486" s="8"/>
    </row>
    <row r="487" spans="1:50">
      <c r="A487" s="7"/>
      <c r="B487" s="10"/>
      <c r="C487" s="45" t="s">
        <v>396</v>
      </c>
      <c r="D487" s="23" t="s">
        <v>19</v>
      </c>
      <c r="E487" s="46" t="s">
        <v>533</v>
      </c>
      <c r="F487" s="46" t="s">
        <v>533</v>
      </c>
      <c r="G487" s="46" t="s">
        <v>533</v>
      </c>
      <c r="H487" s="46" t="s">
        <v>533</v>
      </c>
      <c r="I487" s="25">
        <v>0.9</v>
      </c>
      <c r="J487" s="26">
        <v>1</v>
      </c>
      <c r="K487" s="26">
        <v>0.95652173913043481</v>
      </c>
      <c r="L487" s="27">
        <v>0.8928571428571429</v>
      </c>
      <c r="M487" s="26">
        <v>0.95238095238095233</v>
      </c>
      <c r="N487" s="28">
        <v>0.9</v>
      </c>
      <c r="O487" s="26">
        <v>0.92448759439050698</v>
      </c>
      <c r="P487" s="26">
        <v>0.95557851239669422</v>
      </c>
      <c r="Q487" s="26">
        <v>0.91458153580672996</v>
      </c>
      <c r="R487" s="26">
        <v>0.92957078491818823</v>
      </c>
      <c r="S487" s="28">
        <v>0.9</v>
      </c>
      <c r="T487" s="26">
        <v>0.81769147788565266</v>
      </c>
      <c r="U487" s="26">
        <v>0.88739669421487599</v>
      </c>
      <c r="V487" s="26">
        <v>0.89646246764452109</v>
      </c>
      <c r="W487" s="26">
        <v>0.8624614654967987</v>
      </c>
      <c r="X487" s="28">
        <v>0.92</v>
      </c>
      <c r="Y487" s="28">
        <v>0.87398739873987397</v>
      </c>
      <c r="Z487" s="28">
        <v>0.86504854368932038</v>
      </c>
      <c r="AA487" s="28">
        <v>0.93644488579940421</v>
      </c>
      <c r="AB487" s="28">
        <v>0.88481091134531931</v>
      </c>
      <c r="AC487" s="28">
        <v>0.92</v>
      </c>
      <c r="AD487" s="26">
        <v>0.98058252427184467</v>
      </c>
      <c r="AE487" s="26">
        <v>1</v>
      </c>
      <c r="AF487" s="26">
        <v>0.97959183673469385</v>
      </c>
      <c r="AG487" s="26">
        <v>0.99163679808841099</v>
      </c>
      <c r="AH487" s="28">
        <v>0.92</v>
      </c>
      <c r="AI487" s="26">
        <v>0.91069676153091261</v>
      </c>
      <c r="AJ487" s="26">
        <v>0.90645322661330663</v>
      </c>
      <c r="AK487" s="26">
        <v>0.95937211449676829</v>
      </c>
      <c r="AL487" s="26">
        <v>0.92607404714294372</v>
      </c>
      <c r="AM487" s="25">
        <v>0.99</v>
      </c>
      <c r="AN487" s="30">
        <v>1</v>
      </c>
      <c r="AO487" s="30">
        <v>1</v>
      </c>
      <c r="AP487" s="30">
        <v>1</v>
      </c>
      <c r="AQ487" s="30">
        <v>1</v>
      </c>
      <c r="AR487" s="50">
        <v>0.05</v>
      </c>
      <c r="AS487" s="34">
        <v>0</v>
      </c>
      <c r="AT487" s="34">
        <v>0</v>
      </c>
      <c r="AU487" s="34">
        <v>0</v>
      </c>
      <c r="AV487" s="34">
        <v>1.4534883720930232E-3</v>
      </c>
      <c r="AW487" s="10"/>
      <c r="AX487" s="8"/>
    </row>
    <row r="488" spans="1:50">
      <c r="A488" s="7"/>
      <c r="B488" s="10"/>
      <c r="C488" s="45" t="s">
        <v>396</v>
      </c>
      <c r="D488" s="23" t="s">
        <v>19</v>
      </c>
      <c r="E488" s="46" t="s">
        <v>534</v>
      </c>
      <c r="F488" s="46" t="s">
        <v>534</v>
      </c>
      <c r="G488" s="46" t="s">
        <v>534</v>
      </c>
      <c r="H488" s="46" t="s">
        <v>534</v>
      </c>
      <c r="I488" s="25">
        <v>0.9</v>
      </c>
      <c r="J488" s="26">
        <v>0.54545454545454541</v>
      </c>
      <c r="K488" s="26">
        <v>0.59459459459459463</v>
      </c>
      <c r="L488" s="27">
        <v>0.86486486486486491</v>
      </c>
      <c r="M488" s="26">
        <v>0.76296296296296295</v>
      </c>
      <c r="N488" s="28">
        <v>0.9</v>
      </c>
      <c r="O488" s="26">
        <v>0.93659180977542933</v>
      </c>
      <c r="P488" s="26">
        <v>0.99651081646894624</v>
      </c>
      <c r="Q488" s="26">
        <v>0.98330640818524506</v>
      </c>
      <c r="R488" s="26">
        <v>0.95152492893907969</v>
      </c>
      <c r="S488" s="28">
        <v>0.9</v>
      </c>
      <c r="T488" s="26">
        <v>0.86459709379128136</v>
      </c>
      <c r="U488" s="26">
        <v>0.91277041172365669</v>
      </c>
      <c r="V488" s="26">
        <v>0.85137318255250405</v>
      </c>
      <c r="W488" s="26">
        <v>0.80748252285472844</v>
      </c>
      <c r="X488" s="28">
        <v>0.92</v>
      </c>
      <c r="Y488" s="28">
        <v>0.85256049521665733</v>
      </c>
      <c r="Z488" s="28">
        <v>0.90536068828590333</v>
      </c>
      <c r="AA488" s="28">
        <v>0.86579572446555819</v>
      </c>
      <c r="AB488" s="28">
        <v>0.8531610655440226</v>
      </c>
      <c r="AC488" s="28">
        <v>0.92</v>
      </c>
      <c r="AD488" s="26">
        <v>0.99739583333333337</v>
      </c>
      <c r="AE488" s="26">
        <v>0.98857142857142855</v>
      </c>
      <c r="AF488" s="26">
        <v>0.98421052631578942</v>
      </c>
      <c r="AG488" s="26">
        <v>0.9827067669172932</v>
      </c>
      <c r="AH488" s="28">
        <v>0.92</v>
      </c>
      <c r="AI488" s="26">
        <v>0.90312784694807169</v>
      </c>
      <c r="AJ488" s="26">
        <v>0.93718166383701185</v>
      </c>
      <c r="AK488" s="26">
        <v>0.91417278373800115</v>
      </c>
      <c r="AL488" s="26">
        <v>0.90608208955223879</v>
      </c>
      <c r="AM488" s="25">
        <v>0.99</v>
      </c>
      <c r="AN488" s="30">
        <v>1</v>
      </c>
      <c r="AO488" s="30">
        <v>1</v>
      </c>
      <c r="AP488" s="30">
        <v>1</v>
      </c>
      <c r="AQ488" s="30">
        <v>1</v>
      </c>
      <c r="AR488" s="50">
        <v>0.05</v>
      </c>
      <c r="AS488" s="34">
        <v>0</v>
      </c>
      <c r="AT488" s="34">
        <v>0</v>
      </c>
      <c r="AU488" s="34">
        <v>0</v>
      </c>
      <c r="AV488" s="34">
        <v>5.7971014492753624E-2</v>
      </c>
      <c r="AW488" s="10"/>
      <c r="AX488" s="8"/>
    </row>
    <row r="489" spans="1:50">
      <c r="A489" s="7"/>
      <c r="B489" s="10"/>
      <c r="C489" s="45" t="s">
        <v>396</v>
      </c>
      <c r="D489" s="23" t="s">
        <v>19</v>
      </c>
      <c r="E489" s="46" t="s">
        <v>535</v>
      </c>
      <c r="F489" s="46" t="s">
        <v>535</v>
      </c>
      <c r="G489" s="46" t="s">
        <v>535</v>
      </c>
      <c r="H489" s="46" t="s">
        <v>535</v>
      </c>
      <c r="I489" s="25">
        <v>0.9</v>
      </c>
      <c r="J489" s="26">
        <v>0.97222222222222221</v>
      </c>
      <c r="K489" s="26">
        <v>0.97560975609756095</v>
      </c>
      <c r="L489" s="27">
        <v>0.97560975609756095</v>
      </c>
      <c r="M489" s="26">
        <v>0.95512820512820518</v>
      </c>
      <c r="N489" s="28">
        <v>0.9</v>
      </c>
      <c r="O489" s="26">
        <v>0.98673740053050396</v>
      </c>
      <c r="P489" s="26">
        <v>0.97006651884700668</v>
      </c>
      <c r="Q489" s="26">
        <v>0.95049934867564045</v>
      </c>
      <c r="R489" s="26">
        <v>0.97862723574610966</v>
      </c>
      <c r="S489" s="28">
        <v>0.9</v>
      </c>
      <c r="T489" s="26">
        <v>0.92625994694960212</v>
      </c>
      <c r="U489" s="26">
        <v>0.93292682926829273</v>
      </c>
      <c r="V489" s="26">
        <v>0.93486756404689531</v>
      </c>
      <c r="W489" s="26">
        <v>0.91489636469296831</v>
      </c>
      <c r="X489" s="28">
        <v>0.92</v>
      </c>
      <c r="Y489" s="28">
        <v>0.89862455425369336</v>
      </c>
      <c r="Z489" s="28">
        <v>0.93274531422271223</v>
      </c>
      <c r="AA489" s="28">
        <v>0.93323293172690758</v>
      </c>
      <c r="AB489" s="28">
        <v>0.9152953182803929</v>
      </c>
      <c r="AC489" s="28">
        <v>0.92</v>
      </c>
      <c r="AD489" s="26">
        <v>0.99832249947578111</v>
      </c>
      <c r="AE489" s="26">
        <v>0.99324592769169651</v>
      </c>
      <c r="AF489" s="26">
        <v>0.99693049769787323</v>
      </c>
      <c r="AG489" s="26">
        <v>0.98887847389354744</v>
      </c>
      <c r="AH489" s="28">
        <v>0.92</v>
      </c>
      <c r="AI489" s="26">
        <v>0.93607068607068611</v>
      </c>
      <c r="AJ489" s="26">
        <v>0.95328911000552796</v>
      </c>
      <c r="AK489" s="26">
        <v>0.96182495344506513</v>
      </c>
      <c r="AL489" s="26">
        <v>0.94683649897330591</v>
      </c>
      <c r="AM489" s="25">
        <v>0.99</v>
      </c>
      <c r="AN489" s="30">
        <v>1</v>
      </c>
      <c r="AO489" s="30">
        <v>1</v>
      </c>
      <c r="AP489" s="30">
        <v>1</v>
      </c>
      <c r="AQ489" s="30">
        <v>1</v>
      </c>
      <c r="AR489" s="50">
        <v>0.05</v>
      </c>
      <c r="AS489" s="34">
        <v>7.6923076923076927E-2</v>
      </c>
      <c r="AT489" s="34">
        <v>5.8823529411764705E-2</v>
      </c>
      <c r="AU489" s="34">
        <v>0</v>
      </c>
      <c r="AV489" s="34">
        <v>3.870967741935484E-2</v>
      </c>
      <c r="AW489" s="10"/>
      <c r="AX489" s="8"/>
    </row>
    <row r="490" spans="1:50">
      <c r="A490" s="7"/>
      <c r="B490" s="10"/>
      <c r="C490" s="45" t="s">
        <v>396</v>
      </c>
      <c r="D490" s="23" t="s">
        <v>19</v>
      </c>
      <c r="E490" s="46" t="s">
        <v>536</v>
      </c>
      <c r="F490" s="46" t="s">
        <v>536</v>
      </c>
      <c r="G490" s="46" t="s">
        <v>536</v>
      </c>
      <c r="H490" s="46" t="s">
        <v>536</v>
      </c>
      <c r="I490" s="25">
        <v>0.9</v>
      </c>
      <c r="J490" s="26">
        <v>0.86538461538461542</v>
      </c>
      <c r="K490" s="26">
        <v>0.92</v>
      </c>
      <c r="L490" s="27">
        <v>0.89795918367346939</v>
      </c>
      <c r="M490" s="26">
        <v>0.91237113402061853</v>
      </c>
      <c r="N490" s="28">
        <v>0.9</v>
      </c>
      <c r="O490" s="26">
        <v>0.96262773722627737</v>
      </c>
      <c r="P490" s="26">
        <v>0.96893630373391904</v>
      </c>
      <c r="Q490" s="26">
        <v>0.97882352941176476</v>
      </c>
      <c r="R490" s="26">
        <v>0.95234809138125154</v>
      </c>
      <c r="S490" s="28">
        <v>0.9</v>
      </c>
      <c r="T490" s="26">
        <v>0.94919708029197081</v>
      </c>
      <c r="U490" s="26">
        <v>0.94132412927518039</v>
      </c>
      <c r="V490" s="26">
        <v>0.90300653594771241</v>
      </c>
      <c r="W490" s="26">
        <v>0.92637925398612575</v>
      </c>
      <c r="X490" s="28">
        <v>0.92</v>
      </c>
      <c r="Y490" s="28">
        <v>0.94354838709677424</v>
      </c>
      <c r="Z490" s="28">
        <v>0.94185022026431719</v>
      </c>
      <c r="AA490" s="28">
        <v>0.94458653026427963</v>
      </c>
      <c r="AB490" s="28">
        <v>0.94526674475561712</v>
      </c>
      <c r="AC490" s="28">
        <v>0.92</v>
      </c>
      <c r="AD490" s="26">
        <v>0.99886877828054299</v>
      </c>
      <c r="AE490" s="26">
        <v>0.99231754161331631</v>
      </c>
      <c r="AF490" s="26">
        <v>0.99668141592920356</v>
      </c>
      <c r="AG490" s="26">
        <v>0.99394621990708154</v>
      </c>
      <c r="AH490" s="28">
        <v>0.92</v>
      </c>
      <c r="AI490" s="26">
        <v>0.97085404428377764</v>
      </c>
      <c r="AJ490" s="26">
        <v>0.97709393799167055</v>
      </c>
      <c r="AK490" s="26">
        <v>0.97979595919183837</v>
      </c>
      <c r="AL490" s="26">
        <v>0.97801662289844871</v>
      </c>
      <c r="AM490" s="25">
        <v>0.99</v>
      </c>
      <c r="AN490" s="30">
        <v>1</v>
      </c>
      <c r="AO490" s="30">
        <v>1</v>
      </c>
      <c r="AP490" s="30">
        <v>1</v>
      </c>
      <c r="AQ490" s="30">
        <v>1</v>
      </c>
      <c r="AR490" s="50">
        <v>0.05</v>
      </c>
      <c r="AS490" s="34">
        <v>0</v>
      </c>
      <c r="AT490" s="34">
        <v>6.6666666666666666E-2</v>
      </c>
      <c r="AU490" s="34">
        <v>9.0909090909090912E-2</v>
      </c>
      <c r="AV490" s="34">
        <v>9.154929577464789E-2</v>
      </c>
      <c r="AW490" s="10"/>
      <c r="AX490" s="8"/>
    </row>
    <row r="491" spans="1:50">
      <c r="A491" s="7"/>
      <c r="B491" s="10"/>
      <c r="C491" s="45" t="s">
        <v>396</v>
      </c>
      <c r="D491" s="23" t="s">
        <v>19</v>
      </c>
      <c r="E491" s="46" t="s">
        <v>537</v>
      </c>
      <c r="F491" s="46" t="s">
        <v>537</v>
      </c>
      <c r="G491" s="46" t="s">
        <v>537</v>
      </c>
      <c r="H491" s="46" t="s">
        <v>537</v>
      </c>
      <c r="I491" s="25">
        <v>0.9</v>
      </c>
      <c r="J491" s="26">
        <v>0.87878787878787878</v>
      </c>
      <c r="K491" s="26">
        <v>0.88235294117647056</v>
      </c>
      <c r="L491" s="27">
        <v>0.8571428571428571</v>
      </c>
      <c r="M491" s="26">
        <v>0.9</v>
      </c>
      <c r="N491" s="28">
        <v>0.9</v>
      </c>
      <c r="O491" s="26">
        <v>0.91742500842601959</v>
      </c>
      <c r="P491" s="26">
        <v>0.92574257425742579</v>
      </c>
      <c r="Q491" s="26">
        <v>0.97768115942028988</v>
      </c>
      <c r="R491" s="26">
        <v>0.94998121164043259</v>
      </c>
      <c r="S491" s="28">
        <v>0.9</v>
      </c>
      <c r="T491" s="26">
        <v>0.90057296932928887</v>
      </c>
      <c r="U491" s="26">
        <v>0.89427157001414426</v>
      </c>
      <c r="V491" s="26">
        <v>0.8318840579710145</v>
      </c>
      <c r="W491" s="26">
        <v>0.88597553338065216</v>
      </c>
      <c r="X491" s="28">
        <v>0.92</v>
      </c>
      <c r="Y491" s="28">
        <v>0.90222772277227725</v>
      </c>
      <c r="Z491" s="28">
        <v>0.87761852260198459</v>
      </c>
      <c r="AA491" s="28">
        <v>0.8797979797979798</v>
      </c>
      <c r="AB491" s="28">
        <v>0.90783410138248843</v>
      </c>
      <c r="AC491" s="28">
        <v>0.92</v>
      </c>
      <c r="AD491" s="26">
        <v>0.99912986730476394</v>
      </c>
      <c r="AE491" s="26">
        <v>0.99805932908233985</v>
      </c>
      <c r="AF491" s="26">
        <v>0.99882491186839018</v>
      </c>
      <c r="AG491" s="26">
        <v>0.99852071005917165</v>
      </c>
      <c r="AH491" s="28">
        <v>0.92</v>
      </c>
      <c r="AI491" s="26">
        <v>0.94757744241461472</v>
      </c>
      <c r="AJ491" s="26">
        <v>0.92398286937901497</v>
      </c>
      <c r="AK491" s="26">
        <v>0.94190497635667647</v>
      </c>
      <c r="AL491" s="26">
        <v>0.95309330628803246</v>
      </c>
      <c r="AM491" s="25">
        <v>0.99</v>
      </c>
      <c r="AN491" s="30">
        <v>1</v>
      </c>
      <c r="AO491" s="30">
        <v>1</v>
      </c>
      <c r="AP491" s="30">
        <v>1</v>
      </c>
      <c r="AQ491" s="30">
        <v>1</v>
      </c>
      <c r="AR491" s="50">
        <v>0.05</v>
      </c>
      <c r="AS491" s="34">
        <v>0.13043478260869565</v>
      </c>
      <c r="AT491" s="34">
        <v>6.25E-2</v>
      </c>
      <c r="AU491" s="34">
        <v>0</v>
      </c>
      <c r="AV491" s="34">
        <v>4.4198895027624308E-2</v>
      </c>
      <c r="AW491" s="10"/>
      <c r="AX491" s="8"/>
    </row>
    <row r="492" spans="1:50">
      <c r="A492" s="7"/>
      <c r="B492" s="10"/>
      <c r="C492" s="45" t="s">
        <v>396</v>
      </c>
      <c r="D492" s="23" t="s">
        <v>19</v>
      </c>
      <c r="E492" s="46" t="s">
        <v>538</v>
      </c>
      <c r="F492" s="46" t="s">
        <v>538</v>
      </c>
      <c r="G492" s="46" t="s">
        <v>538</v>
      </c>
      <c r="H492" s="46" t="s">
        <v>538</v>
      </c>
      <c r="I492" s="25">
        <v>0.9</v>
      </c>
      <c r="J492" s="26">
        <v>0.97674418604651159</v>
      </c>
      <c r="K492" s="26">
        <v>0.95918367346938771</v>
      </c>
      <c r="L492" s="27">
        <v>0.95833333333333337</v>
      </c>
      <c r="M492" s="26">
        <v>0.96703296703296704</v>
      </c>
      <c r="N492" s="28">
        <v>0.9</v>
      </c>
      <c r="O492" s="26">
        <v>0.66666666666666663</v>
      </c>
      <c r="P492" s="26">
        <v>0</v>
      </c>
      <c r="Q492" s="26">
        <v>1</v>
      </c>
      <c r="R492" s="26">
        <v>0.83333333333333337</v>
      </c>
      <c r="S492" s="28">
        <v>0.9</v>
      </c>
      <c r="T492" s="26">
        <v>0</v>
      </c>
      <c r="U492" s="26">
        <v>0</v>
      </c>
      <c r="V492" s="26">
        <v>1</v>
      </c>
      <c r="W492" s="26">
        <v>0.33333333333333331</v>
      </c>
      <c r="X492" s="28">
        <v>0.92</v>
      </c>
      <c r="Y492" s="28">
        <v>0</v>
      </c>
      <c r="Z492" s="28">
        <v>0</v>
      </c>
      <c r="AA492" s="28">
        <v>0</v>
      </c>
      <c r="AB492" s="28">
        <v>0</v>
      </c>
      <c r="AC492" s="28">
        <v>0.92</v>
      </c>
      <c r="AD492" s="26">
        <v>1</v>
      </c>
      <c r="AE492" s="26">
        <v>0.99566473988439308</v>
      </c>
      <c r="AF492" s="26">
        <v>0.99527559055118109</v>
      </c>
      <c r="AG492" s="26">
        <v>0.98795627200296465</v>
      </c>
      <c r="AH492" s="28">
        <v>0.92</v>
      </c>
      <c r="AI492" s="26">
        <v>0.9628955155929888</v>
      </c>
      <c r="AJ492" s="26">
        <v>0.98165137614678899</v>
      </c>
      <c r="AK492" s="26">
        <v>0.98226366794660813</v>
      </c>
      <c r="AL492" s="26">
        <v>0.97161850495183832</v>
      </c>
      <c r="AM492" s="25">
        <v>0.99</v>
      </c>
      <c r="AN492" s="30">
        <v>1</v>
      </c>
      <c r="AO492" s="30">
        <v>1</v>
      </c>
      <c r="AP492" s="30">
        <v>1</v>
      </c>
      <c r="AQ492" s="30">
        <v>1</v>
      </c>
      <c r="AR492" s="50">
        <v>0.05</v>
      </c>
      <c r="AS492" s="34">
        <v>0.17647058823529413</v>
      </c>
      <c r="AT492" s="34">
        <v>4.7619047619047616E-2</v>
      </c>
      <c r="AU492" s="34">
        <v>5.2631578947368418E-2</v>
      </c>
      <c r="AV492" s="34">
        <v>7.6433121019108277E-2</v>
      </c>
      <c r="AW492" s="10"/>
      <c r="AX492" s="8"/>
    </row>
    <row r="493" spans="1:50">
      <c r="A493" s="7"/>
      <c r="B493" s="10"/>
      <c r="C493" s="45" t="s">
        <v>396</v>
      </c>
      <c r="D493" s="23" t="s">
        <v>19</v>
      </c>
      <c r="E493" s="46" t="s">
        <v>539</v>
      </c>
      <c r="F493" s="46" t="s">
        <v>539</v>
      </c>
      <c r="G493" s="46" t="s">
        <v>539</v>
      </c>
      <c r="H493" s="46" t="s">
        <v>539</v>
      </c>
      <c r="I493" s="25">
        <v>0.9</v>
      </c>
      <c r="J493" s="26">
        <v>0.87037037037037035</v>
      </c>
      <c r="K493" s="26">
        <v>0.88235294117647056</v>
      </c>
      <c r="L493" s="27">
        <v>0.87272727272727268</v>
      </c>
      <c r="M493" s="26">
        <v>0.875</v>
      </c>
      <c r="N493" s="28">
        <v>0.9</v>
      </c>
      <c r="O493" s="26">
        <v>7.6923076923076927E-2</v>
      </c>
      <c r="P493" s="26">
        <v>0</v>
      </c>
      <c r="Q493" s="26">
        <v>0</v>
      </c>
      <c r="R493" s="26">
        <v>7.6923076923076927E-2</v>
      </c>
      <c r="S493" s="28">
        <v>0.9</v>
      </c>
      <c r="T493" s="26">
        <v>0</v>
      </c>
      <c r="U493" s="26">
        <v>0.6</v>
      </c>
      <c r="V493" s="26">
        <v>0</v>
      </c>
      <c r="W493" s="26">
        <v>0.30769230769230771</v>
      </c>
      <c r="X493" s="28">
        <v>0.92</v>
      </c>
      <c r="Y493" s="28">
        <v>0.25</v>
      </c>
      <c r="Z493" s="28">
        <v>0</v>
      </c>
      <c r="AA493" s="28">
        <v>0</v>
      </c>
      <c r="AB493" s="28">
        <v>0.2857142857142857</v>
      </c>
      <c r="AC493" s="28">
        <v>0.92</v>
      </c>
      <c r="AD493" s="26">
        <v>0.99605911330049257</v>
      </c>
      <c r="AE493" s="26">
        <v>0.98722044728434499</v>
      </c>
      <c r="AF493" s="26">
        <v>0.991907514450867</v>
      </c>
      <c r="AG493" s="26">
        <v>0.99120647203658108</v>
      </c>
      <c r="AH493" s="28">
        <v>0.92</v>
      </c>
      <c r="AI493" s="26">
        <v>0.89716388828750815</v>
      </c>
      <c r="AJ493" s="26">
        <v>0.91970486111111116</v>
      </c>
      <c r="AK493" s="26">
        <v>0.93998203054806828</v>
      </c>
      <c r="AL493" s="26">
        <v>0.91749272707682361</v>
      </c>
      <c r="AM493" s="25">
        <v>0.99</v>
      </c>
      <c r="AN493" s="30">
        <v>1</v>
      </c>
      <c r="AO493" s="30">
        <v>1</v>
      </c>
      <c r="AP493" s="30">
        <v>1</v>
      </c>
      <c r="AQ493" s="30">
        <v>1</v>
      </c>
      <c r="AR493" s="50">
        <v>0.05</v>
      </c>
      <c r="AS493" s="34">
        <v>0</v>
      </c>
      <c r="AT493" s="34">
        <v>7.1428571428571425E-2</v>
      </c>
      <c r="AU493" s="34">
        <v>8.3333333333333329E-2</v>
      </c>
      <c r="AV493" s="34">
        <v>4.1666666666666664E-2</v>
      </c>
      <c r="AW493" s="10"/>
      <c r="AX493" s="8"/>
    </row>
    <row r="494" spans="1:50">
      <c r="A494" s="7"/>
      <c r="B494" s="10"/>
      <c r="C494" s="45" t="s">
        <v>396</v>
      </c>
      <c r="D494" s="23" t="s">
        <v>19</v>
      </c>
      <c r="E494" s="46" t="s">
        <v>540</v>
      </c>
      <c r="F494" s="46" t="s">
        <v>540</v>
      </c>
      <c r="G494" s="46" t="s">
        <v>540</v>
      </c>
      <c r="H494" s="46" t="s">
        <v>540</v>
      </c>
      <c r="I494" s="25">
        <v>0.9</v>
      </c>
      <c r="J494" s="26">
        <v>0.91891891891891897</v>
      </c>
      <c r="K494" s="26">
        <v>0.94285714285714284</v>
      </c>
      <c r="L494" s="27">
        <v>0.83333333333333337</v>
      </c>
      <c r="M494" s="26">
        <v>0.89743589743589747</v>
      </c>
      <c r="N494" s="28">
        <v>0.9</v>
      </c>
      <c r="O494" s="26">
        <v>0.90770190208917989</v>
      </c>
      <c r="P494" s="26">
        <v>0.93223035316576519</v>
      </c>
      <c r="Q494" s="26">
        <v>0.95668887749871856</v>
      </c>
      <c r="R494" s="26">
        <v>0.92720000000000002</v>
      </c>
      <c r="S494" s="28">
        <v>0.9</v>
      </c>
      <c r="T494" s="26">
        <v>0.8905519176800748</v>
      </c>
      <c r="U494" s="26">
        <v>0.88259624562519889</v>
      </c>
      <c r="V494" s="26">
        <v>0.87391081496668377</v>
      </c>
      <c r="W494" s="26">
        <v>0.87097142857142862</v>
      </c>
      <c r="X494" s="28">
        <v>0.92</v>
      </c>
      <c r="Y494" s="28">
        <v>0</v>
      </c>
      <c r="Z494" s="28">
        <v>0.33333333333333331</v>
      </c>
      <c r="AA494" s="28">
        <v>0</v>
      </c>
      <c r="AB494" s="28">
        <v>0.2</v>
      </c>
      <c r="AC494" s="28">
        <v>0.92</v>
      </c>
      <c r="AD494" s="26">
        <v>1</v>
      </c>
      <c r="AE494" s="26">
        <v>0.9971949509116409</v>
      </c>
      <c r="AF494" s="26">
        <v>0.99611758180809762</v>
      </c>
      <c r="AG494" s="26">
        <v>0.99713740458015265</v>
      </c>
      <c r="AH494" s="28">
        <v>0.92</v>
      </c>
      <c r="AI494" s="26">
        <v>0.96419676214196759</v>
      </c>
      <c r="AJ494" s="26">
        <v>0.9599491417673236</v>
      </c>
      <c r="AK494" s="26">
        <v>0.97360328036904153</v>
      </c>
      <c r="AL494" s="26">
        <v>0.96348335998781509</v>
      </c>
      <c r="AM494" s="25">
        <v>0.99</v>
      </c>
      <c r="AN494" s="30">
        <v>1</v>
      </c>
      <c r="AO494" s="30">
        <v>1</v>
      </c>
      <c r="AP494" s="30">
        <v>1</v>
      </c>
      <c r="AQ494" s="30">
        <v>1</v>
      </c>
      <c r="AR494" s="50">
        <v>0.05</v>
      </c>
      <c r="AS494" s="34">
        <v>0</v>
      </c>
      <c r="AT494" s="34">
        <v>7.1428571428571425E-2</v>
      </c>
      <c r="AU494" s="34">
        <v>0</v>
      </c>
      <c r="AV494" s="34">
        <v>5.7142857142857141E-2</v>
      </c>
      <c r="AW494" s="10"/>
      <c r="AX494" s="8"/>
    </row>
    <row r="495" spans="1:50">
      <c r="A495" s="7"/>
      <c r="B495" s="10"/>
      <c r="C495" s="45" t="s">
        <v>396</v>
      </c>
      <c r="D495" s="23" t="s">
        <v>19</v>
      </c>
      <c r="E495" s="46" t="s">
        <v>541</v>
      </c>
      <c r="F495" s="46" t="s">
        <v>541</v>
      </c>
      <c r="G495" s="46" t="s">
        <v>541</v>
      </c>
      <c r="H495" s="46" t="s">
        <v>541</v>
      </c>
      <c r="I495" s="25">
        <v>0.9</v>
      </c>
      <c r="J495" s="26">
        <v>0.97560975609756095</v>
      </c>
      <c r="K495" s="26">
        <v>0.97674418604651159</v>
      </c>
      <c r="L495" s="27">
        <v>1</v>
      </c>
      <c r="M495" s="26">
        <v>0.9731343283582089</v>
      </c>
      <c r="N495" s="28">
        <v>0.9</v>
      </c>
      <c r="O495" s="26">
        <v>0.97666758166346412</v>
      </c>
      <c r="P495" s="26">
        <v>0.95756605284227381</v>
      </c>
      <c r="Q495" s="26">
        <v>0.9385293435397819</v>
      </c>
      <c r="R495" s="26">
        <v>0.96142289759972366</v>
      </c>
      <c r="S495" s="28">
        <v>0.9</v>
      </c>
      <c r="T495" s="26">
        <v>0.91572879494921766</v>
      </c>
      <c r="U495" s="26">
        <v>0.91539898585535096</v>
      </c>
      <c r="V495" s="26">
        <v>0.90628624449083739</v>
      </c>
      <c r="W495" s="26">
        <v>0.90999827318252458</v>
      </c>
      <c r="X495" s="28">
        <v>0.92</v>
      </c>
      <c r="Y495" s="28">
        <v>0.88846880907372405</v>
      </c>
      <c r="Z495" s="28">
        <v>0.9128248113998324</v>
      </c>
      <c r="AA495" s="28">
        <v>0.83894823336072311</v>
      </c>
      <c r="AB495" s="28">
        <v>0.89655172413793105</v>
      </c>
      <c r="AC495" s="28">
        <v>0.92</v>
      </c>
      <c r="AD495" s="26">
        <v>0.99600199900049979</v>
      </c>
      <c r="AE495" s="26">
        <v>0.99608501118568238</v>
      </c>
      <c r="AF495" s="26">
        <v>0.9946653734238603</v>
      </c>
      <c r="AG495" s="26">
        <v>0.99353694081865418</v>
      </c>
      <c r="AH495" s="28">
        <v>0.92</v>
      </c>
      <c r="AI495" s="26">
        <v>0.9388405181567212</v>
      </c>
      <c r="AJ495" s="26">
        <v>0.95022258195062725</v>
      </c>
      <c r="AK495" s="26">
        <v>0.93849493487698987</v>
      </c>
      <c r="AL495" s="26">
        <v>0.95011075052799665</v>
      </c>
      <c r="AM495" s="25">
        <v>0.99</v>
      </c>
      <c r="AN495" s="30">
        <v>1</v>
      </c>
      <c r="AO495" s="30">
        <v>1</v>
      </c>
      <c r="AP495" s="30">
        <v>1</v>
      </c>
      <c r="AQ495" s="30">
        <v>1</v>
      </c>
      <c r="AR495" s="50">
        <v>0.05</v>
      </c>
      <c r="AS495" s="34">
        <v>3.7037037037037035E-2</v>
      </c>
      <c r="AT495" s="34">
        <v>0</v>
      </c>
      <c r="AU495" s="34">
        <v>4.1666666666666664E-2</v>
      </c>
      <c r="AV495" s="34">
        <v>2.9702970297029702E-2</v>
      </c>
      <c r="AW495" s="10"/>
      <c r="AX495" s="8"/>
    </row>
    <row r="496" spans="1:50">
      <c r="A496" s="7"/>
      <c r="B496" s="10"/>
      <c r="C496" s="45" t="s">
        <v>396</v>
      </c>
      <c r="D496" s="23" t="s">
        <v>19</v>
      </c>
      <c r="E496" s="46" t="s">
        <v>542</v>
      </c>
      <c r="F496" s="46" t="s">
        <v>542</v>
      </c>
      <c r="G496" s="46" t="s">
        <v>542</v>
      </c>
      <c r="H496" s="46" t="s">
        <v>542</v>
      </c>
      <c r="I496" s="25">
        <v>0.9</v>
      </c>
      <c r="J496" s="26">
        <v>1</v>
      </c>
      <c r="K496" s="26">
        <v>0.97727272727272729</v>
      </c>
      <c r="L496" s="27">
        <v>0.9555555555555556</v>
      </c>
      <c r="M496" s="26">
        <v>0.97391304347826091</v>
      </c>
      <c r="N496" s="28">
        <v>0.9</v>
      </c>
      <c r="O496" s="26">
        <v>0.97708618331053354</v>
      </c>
      <c r="P496" s="26">
        <v>0.98214887167396425</v>
      </c>
      <c r="Q496" s="26">
        <v>0.98825887743413521</v>
      </c>
      <c r="R496" s="26">
        <v>0.97927312865377536</v>
      </c>
      <c r="S496" s="28">
        <v>0.9</v>
      </c>
      <c r="T496" s="26">
        <v>0.89192886456908349</v>
      </c>
      <c r="U496" s="26">
        <v>0.92084877062984172</v>
      </c>
      <c r="V496" s="26">
        <v>0.94329896907216493</v>
      </c>
      <c r="W496" s="26">
        <v>0.92735374678058946</v>
      </c>
      <c r="X496" s="28">
        <v>0.92</v>
      </c>
      <c r="Y496" s="28">
        <v>0.9250253292806484</v>
      </c>
      <c r="Z496" s="28">
        <v>0.92217484008528783</v>
      </c>
      <c r="AA496" s="28">
        <v>0.93912175648702589</v>
      </c>
      <c r="AB496" s="28">
        <v>0.93410518536765608</v>
      </c>
      <c r="AC496" s="28">
        <v>0.92</v>
      </c>
      <c r="AD496" s="26">
        <v>0.99771036061820262</v>
      </c>
      <c r="AE496" s="26">
        <v>0.99939098660170522</v>
      </c>
      <c r="AF496" s="26">
        <v>0.99771297884505428</v>
      </c>
      <c r="AG496" s="26">
        <v>0.99857175073291737</v>
      </c>
      <c r="AH496" s="28">
        <v>0.92</v>
      </c>
      <c r="AI496" s="26">
        <v>0.96040868454661554</v>
      </c>
      <c r="AJ496" s="26">
        <v>0.9695496417604913</v>
      </c>
      <c r="AK496" s="26">
        <v>0.9764129951045839</v>
      </c>
      <c r="AL496" s="26">
        <v>0.97198355222781396</v>
      </c>
      <c r="AM496" s="25">
        <v>0.99</v>
      </c>
      <c r="AN496" s="30">
        <v>1</v>
      </c>
      <c r="AO496" s="30">
        <v>1</v>
      </c>
      <c r="AP496" s="30">
        <v>1</v>
      </c>
      <c r="AQ496" s="30">
        <v>1</v>
      </c>
      <c r="AR496" s="50">
        <v>0.05</v>
      </c>
      <c r="AS496" s="34">
        <v>4.3478260869565216E-2</v>
      </c>
      <c r="AT496" s="34">
        <v>0.11764705882352941</v>
      </c>
      <c r="AU496" s="34">
        <v>9.0909090909090912E-2</v>
      </c>
      <c r="AV496" s="34">
        <v>3.2258064516129031E-2</v>
      </c>
      <c r="AW496" s="10"/>
      <c r="AX496" s="8"/>
    </row>
    <row r="497" spans="1:50">
      <c r="A497" s="7"/>
      <c r="B497" s="10"/>
      <c r="C497" s="45" t="s">
        <v>396</v>
      </c>
      <c r="D497" s="23" t="s">
        <v>19</v>
      </c>
      <c r="E497" s="46" t="s">
        <v>543</v>
      </c>
      <c r="F497" s="46" t="s">
        <v>543</v>
      </c>
      <c r="G497" s="46" t="s">
        <v>543</v>
      </c>
      <c r="H497" s="46" t="s">
        <v>543</v>
      </c>
      <c r="I497" s="25">
        <v>0.9</v>
      </c>
      <c r="J497" s="26">
        <v>0.96470588235294119</v>
      </c>
      <c r="K497" s="26">
        <v>1</v>
      </c>
      <c r="L497" s="27">
        <v>0.96875</v>
      </c>
      <c r="M497" s="26">
        <v>0.98396501457725949</v>
      </c>
      <c r="N497" s="28">
        <v>0.9</v>
      </c>
      <c r="O497" s="26">
        <v>0.98092318174075965</v>
      </c>
      <c r="P497" s="26">
        <v>0.98179007043463318</v>
      </c>
      <c r="Q497" s="26">
        <v>0.98365548607163156</v>
      </c>
      <c r="R497" s="26">
        <v>0.98075655982326271</v>
      </c>
      <c r="S497" s="28">
        <v>0.9</v>
      </c>
      <c r="T497" s="26">
        <v>0.95145631067961167</v>
      </c>
      <c r="U497" s="26">
        <v>0.94794708812918738</v>
      </c>
      <c r="V497" s="26">
        <v>0.9418703808982376</v>
      </c>
      <c r="W497" s="26">
        <v>0.9445564125421495</v>
      </c>
      <c r="X497" s="28">
        <v>0.92</v>
      </c>
      <c r="Y497" s="28">
        <v>0.92837653478854021</v>
      </c>
      <c r="Z497" s="28">
        <v>0.92721518987341767</v>
      </c>
      <c r="AA497" s="28">
        <v>0.95915915915915917</v>
      </c>
      <c r="AB497" s="28">
        <v>0.94689788053949908</v>
      </c>
      <c r="AC497" s="28">
        <v>0.92</v>
      </c>
      <c r="AD497" s="26">
        <v>0.98964803312629401</v>
      </c>
      <c r="AE497" s="26">
        <v>0.99415204678362568</v>
      </c>
      <c r="AF497" s="26">
        <v>0.99800399201596801</v>
      </c>
      <c r="AG497" s="26">
        <v>0.97695961995249403</v>
      </c>
      <c r="AH497" s="28">
        <v>0.92</v>
      </c>
      <c r="AI497" s="26">
        <v>0.96989510965808468</v>
      </c>
      <c r="AJ497" s="26">
        <v>0.97595894111291193</v>
      </c>
      <c r="AK497" s="26">
        <v>0.9854106835152211</v>
      </c>
      <c r="AL497" s="26">
        <v>0.98238199185670272</v>
      </c>
      <c r="AM497" s="25">
        <v>0.99</v>
      </c>
      <c r="AN497" s="30">
        <v>1</v>
      </c>
      <c r="AO497" s="30">
        <v>1</v>
      </c>
      <c r="AP497" s="30">
        <v>1</v>
      </c>
      <c r="AQ497" s="30">
        <v>1</v>
      </c>
      <c r="AR497" s="50">
        <v>0.05</v>
      </c>
      <c r="AS497" s="34">
        <v>8.3333333333333329E-2</v>
      </c>
      <c r="AT497" s="34">
        <v>0.04</v>
      </c>
      <c r="AU497" s="34">
        <v>0.10810810810810811</v>
      </c>
      <c r="AV497" s="34">
        <v>6.726457399103139E-2</v>
      </c>
      <c r="AW497" s="10"/>
      <c r="AX497" s="8"/>
    </row>
    <row r="498" spans="1:50">
      <c r="A498" s="7"/>
      <c r="B498" s="10"/>
      <c r="C498" s="45" t="s">
        <v>396</v>
      </c>
      <c r="D498" s="23" t="s">
        <v>19</v>
      </c>
      <c r="E498" s="46" t="s">
        <v>544</v>
      </c>
      <c r="F498" s="46" t="s">
        <v>544</v>
      </c>
      <c r="G498" s="46" t="s">
        <v>544</v>
      </c>
      <c r="H498" s="46" t="s">
        <v>544</v>
      </c>
      <c r="I498" s="25">
        <v>0.9</v>
      </c>
      <c r="J498" s="26">
        <v>0.967741935483871</v>
      </c>
      <c r="K498" s="26">
        <v>0.93548387096774188</v>
      </c>
      <c r="L498" s="27">
        <v>1</v>
      </c>
      <c r="M498" s="26">
        <v>0.98353909465020573</v>
      </c>
      <c r="N498" s="28">
        <v>0.9</v>
      </c>
      <c r="O498" s="26">
        <v>1</v>
      </c>
      <c r="P498" s="26">
        <v>0</v>
      </c>
      <c r="Q498" s="26">
        <v>0</v>
      </c>
      <c r="R498" s="26">
        <v>0.5</v>
      </c>
      <c r="S498" s="28">
        <v>0.9</v>
      </c>
      <c r="T498" s="26">
        <v>0</v>
      </c>
      <c r="U498" s="26">
        <v>0</v>
      </c>
      <c r="V498" s="26">
        <v>0</v>
      </c>
      <c r="W498" s="26">
        <v>0.25</v>
      </c>
      <c r="X498" s="28">
        <v>0.92</v>
      </c>
      <c r="Y498" s="28">
        <v>0</v>
      </c>
      <c r="Z498" s="28">
        <v>0</v>
      </c>
      <c r="AA498" s="28">
        <v>0</v>
      </c>
      <c r="AB498" s="28">
        <v>0</v>
      </c>
      <c r="AC498" s="28">
        <v>0.92</v>
      </c>
      <c r="AD498" s="26">
        <v>0.98734177215189878</v>
      </c>
      <c r="AE498" s="26">
        <v>0.93421052631578949</v>
      </c>
      <c r="AF498" s="26">
        <v>0.94047619047619047</v>
      </c>
      <c r="AG498" s="26">
        <v>0.96511627906976749</v>
      </c>
      <c r="AH498" s="28">
        <v>0.92</v>
      </c>
      <c r="AI498" s="26">
        <v>0.97034546010394374</v>
      </c>
      <c r="AJ498" s="26">
        <v>0.99165275459098501</v>
      </c>
      <c r="AK498" s="26">
        <v>0.99071038251366117</v>
      </c>
      <c r="AL498" s="26">
        <v>0.98520593340697493</v>
      </c>
      <c r="AM498" s="25">
        <v>0.99</v>
      </c>
      <c r="AN498" s="30">
        <v>1</v>
      </c>
      <c r="AO498" s="30">
        <v>1</v>
      </c>
      <c r="AP498" s="30">
        <v>1</v>
      </c>
      <c r="AQ498" s="30">
        <v>1</v>
      </c>
      <c r="AR498" s="50">
        <v>0.05</v>
      </c>
      <c r="AS498" s="34">
        <v>0</v>
      </c>
      <c r="AT498" s="34">
        <v>0</v>
      </c>
      <c r="AU498" s="34">
        <v>0</v>
      </c>
      <c r="AV498" s="34">
        <v>1.6949152542372881E-2</v>
      </c>
      <c r="AW498" s="10"/>
      <c r="AX498" s="8"/>
    </row>
    <row r="499" spans="1:50">
      <c r="A499" s="7"/>
      <c r="B499" s="10"/>
      <c r="C499" s="45" t="s">
        <v>396</v>
      </c>
      <c r="D499" s="23" t="s">
        <v>19</v>
      </c>
      <c r="E499" s="46" t="s">
        <v>545</v>
      </c>
      <c r="F499" s="46" t="s">
        <v>545</v>
      </c>
      <c r="G499" s="46" t="s">
        <v>545</v>
      </c>
      <c r="H499" s="46" t="s">
        <v>545</v>
      </c>
      <c r="I499" s="25">
        <v>0.9</v>
      </c>
      <c r="J499" s="26">
        <v>0.96551724137931039</v>
      </c>
      <c r="K499" s="26">
        <v>0.9285714285714286</v>
      </c>
      <c r="L499" s="27">
        <v>0.93220338983050843</v>
      </c>
      <c r="M499" s="26">
        <v>0.92938496583143504</v>
      </c>
      <c r="N499" s="28">
        <v>0.9</v>
      </c>
      <c r="O499" s="26">
        <v>1</v>
      </c>
      <c r="P499" s="26">
        <v>0</v>
      </c>
      <c r="Q499" s="26">
        <v>1</v>
      </c>
      <c r="R499" s="26">
        <v>0.75</v>
      </c>
      <c r="S499" s="28">
        <v>0.9</v>
      </c>
      <c r="T499" s="26">
        <v>0</v>
      </c>
      <c r="U499" s="26">
        <v>0</v>
      </c>
      <c r="V499" s="26">
        <v>1</v>
      </c>
      <c r="W499" s="26">
        <v>0.25</v>
      </c>
      <c r="X499" s="28">
        <v>0.92</v>
      </c>
      <c r="Y499" s="28">
        <v>0</v>
      </c>
      <c r="Z499" s="28">
        <v>0</v>
      </c>
      <c r="AA499" s="28">
        <v>0</v>
      </c>
      <c r="AB499" s="28">
        <v>0</v>
      </c>
      <c r="AC499" s="28">
        <v>0.92</v>
      </c>
      <c r="AD499" s="26">
        <v>0.99342105263157898</v>
      </c>
      <c r="AE499" s="26">
        <v>0.99126637554585151</v>
      </c>
      <c r="AF499" s="26">
        <v>1</v>
      </c>
      <c r="AG499" s="26">
        <v>0.99120395821880158</v>
      </c>
      <c r="AH499" s="28">
        <v>0.92</v>
      </c>
      <c r="AI499" s="26">
        <v>0.97210537967677657</v>
      </c>
      <c r="AJ499" s="26">
        <v>0.94190268700072621</v>
      </c>
      <c r="AK499" s="26">
        <v>0.96955891488921098</v>
      </c>
      <c r="AL499" s="26">
        <v>0.96887265261759559</v>
      </c>
      <c r="AM499" s="25">
        <v>0.99</v>
      </c>
      <c r="AN499" s="30">
        <v>1</v>
      </c>
      <c r="AO499" s="30">
        <v>1</v>
      </c>
      <c r="AP499" s="30">
        <v>1</v>
      </c>
      <c r="AQ499" s="30">
        <v>1</v>
      </c>
      <c r="AR499" s="50">
        <v>0.05</v>
      </c>
      <c r="AS499" s="34">
        <v>5.2631578947368418E-2</v>
      </c>
      <c r="AT499" s="34">
        <v>0</v>
      </c>
      <c r="AU499" s="34">
        <v>0</v>
      </c>
      <c r="AV499" s="34">
        <v>2.5157232704402517E-2</v>
      </c>
      <c r="AW499" s="10"/>
      <c r="AX499" s="8"/>
    </row>
    <row r="500" spans="1:50">
      <c r="A500" s="7"/>
      <c r="B500" s="10"/>
      <c r="C500" s="45" t="s">
        <v>396</v>
      </c>
      <c r="D500" s="23" t="s">
        <v>19</v>
      </c>
      <c r="E500" s="46" t="s">
        <v>546</v>
      </c>
      <c r="F500" s="46" t="s">
        <v>546</v>
      </c>
      <c r="G500" s="46" t="s">
        <v>546</v>
      </c>
      <c r="H500" s="46" t="s">
        <v>546</v>
      </c>
      <c r="I500" s="25">
        <v>0.9</v>
      </c>
      <c r="J500" s="26">
        <v>1</v>
      </c>
      <c r="K500" s="26">
        <v>0.875</v>
      </c>
      <c r="L500" s="27">
        <v>0.88</v>
      </c>
      <c r="M500" s="26">
        <v>0.91758241758241754</v>
      </c>
      <c r="N500" s="28">
        <v>0.9</v>
      </c>
      <c r="O500" s="26">
        <v>0</v>
      </c>
      <c r="P500" s="26">
        <v>0</v>
      </c>
      <c r="Q500" s="26">
        <v>1</v>
      </c>
      <c r="R500" s="26">
        <v>0.2857142857142857</v>
      </c>
      <c r="S500" s="28">
        <v>0.9</v>
      </c>
      <c r="T500" s="26">
        <v>0</v>
      </c>
      <c r="U500" s="26">
        <v>0</v>
      </c>
      <c r="V500" s="26">
        <v>0</v>
      </c>
      <c r="W500" s="26">
        <v>0.14285714285714285</v>
      </c>
      <c r="X500" s="28">
        <v>0.92</v>
      </c>
      <c r="Y500" s="28">
        <v>0</v>
      </c>
      <c r="Z500" s="28">
        <v>0</v>
      </c>
      <c r="AA500" s="28">
        <v>0</v>
      </c>
      <c r="AB500" s="28">
        <v>1</v>
      </c>
      <c r="AC500" s="28">
        <v>0.92</v>
      </c>
      <c r="AD500" s="26">
        <v>0.91111111111111109</v>
      </c>
      <c r="AE500" s="26">
        <v>0.88888888888888884</v>
      </c>
      <c r="AF500" s="26">
        <v>0.95348837209302328</v>
      </c>
      <c r="AG500" s="26">
        <v>0.87685774946921446</v>
      </c>
      <c r="AH500" s="28">
        <v>0.92</v>
      </c>
      <c r="AI500" s="26">
        <v>0.96573777980813158</v>
      </c>
      <c r="AJ500" s="26">
        <v>0.97238840312931429</v>
      </c>
      <c r="AK500" s="26">
        <v>0.98167938931297705</v>
      </c>
      <c r="AL500" s="26">
        <v>0.96714602398681293</v>
      </c>
      <c r="AM500" s="25">
        <v>0.99</v>
      </c>
      <c r="AN500" s="30">
        <v>1</v>
      </c>
      <c r="AO500" s="30">
        <v>1</v>
      </c>
      <c r="AP500" s="30">
        <v>1</v>
      </c>
      <c r="AQ500" s="30">
        <v>1</v>
      </c>
      <c r="AR500" s="50">
        <v>0.05</v>
      </c>
      <c r="AS500" s="34">
        <v>0.33333333333333331</v>
      </c>
      <c r="AT500" s="34">
        <v>0.2</v>
      </c>
      <c r="AU500" s="34">
        <v>0</v>
      </c>
      <c r="AV500" s="34">
        <v>3.3898305084745763E-2</v>
      </c>
      <c r="AW500" s="10"/>
      <c r="AX500" s="8"/>
    </row>
    <row r="501" spans="1:50">
      <c r="A501" s="7"/>
      <c r="B501" s="10"/>
      <c r="C501" s="45" t="s">
        <v>396</v>
      </c>
      <c r="D501" s="23" t="s">
        <v>19</v>
      </c>
      <c r="E501" s="46" t="s">
        <v>547</v>
      </c>
      <c r="F501" s="46" t="s">
        <v>547</v>
      </c>
      <c r="G501" s="46" t="s">
        <v>547</v>
      </c>
      <c r="H501" s="46" t="s">
        <v>547</v>
      </c>
      <c r="I501" s="25">
        <v>0.9</v>
      </c>
      <c r="J501" s="26">
        <v>0.94230769230769229</v>
      </c>
      <c r="K501" s="26">
        <v>0.9107142857142857</v>
      </c>
      <c r="L501" s="27">
        <v>0.87096774193548387</v>
      </c>
      <c r="M501" s="26">
        <v>0.91916859122401851</v>
      </c>
      <c r="N501" s="28">
        <v>0.9</v>
      </c>
      <c r="O501" s="26">
        <v>0.89853330127434483</v>
      </c>
      <c r="P501" s="26">
        <v>0.95928815212091667</v>
      </c>
      <c r="Q501" s="26">
        <v>0.95865237366003064</v>
      </c>
      <c r="R501" s="26">
        <v>0.95389706721442424</v>
      </c>
      <c r="S501" s="28">
        <v>0.9</v>
      </c>
      <c r="T501" s="26">
        <v>0.84828083673960086</v>
      </c>
      <c r="U501" s="26">
        <v>0.89297903461725991</v>
      </c>
      <c r="V501" s="26">
        <v>0.87461715160796327</v>
      </c>
      <c r="W501" s="26">
        <v>0.85233367568184415</v>
      </c>
      <c r="X501" s="28">
        <v>0.92</v>
      </c>
      <c r="Y501" s="28">
        <v>0.84964412811387902</v>
      </c>
      <c r="Z501" s="28">
        <v>0.93455313159746656</v>
      </c>
      <c r="AA501" s="28">
        <v>0.94013862633900436</v>
      </c>
      <c r="AB501" s="28">
        <v>0.90626043405676127</v>
      </c>
      <c r="AC501" s="28">
        <v>0.92</v>
      </c>
      <c r="AD501" s="26">
        <v>0.998017839444995</v>
      </c>
      <c r="AE501" s="26">
        <v>0.99542334096109841</v>
      </c>
      <c r="AF501" s="26">
        <v>0.99107755662319841</v>
      </c>
      <c r="AG501" s="26">
        <v>0.99210790644281821</v>
      </c>
      <c r="AH501" s="28">
        <v>0.92</v>
      </c>
      <c r="AI501" s="26">
        <v>0.92515592515592515</v>
      </c>
      <c r="AJ501" s="26">
        <v>0.96977375565610857</v>
      </c>
      <c r="AK501" s="26">
        <v>0.97842043452730476</v>
      </c>
      <c r="AL501" s="26">
        <v>0.95676847541924381</v>
      </c>
      <c r="AM501" s="25">
        <v>0.99</v>
      </c>
      <c r="AN501" s="30">
        <v>1</v>
      </c>
      <c r="AO501" s="30">
        <v>1</v>
      </c>
      <c r="AP501" s="30">
        <v>1</v>
      </c>
      <c r="AQ501" s="30">
        <v>1</v>
      </c>
      <c r="AR501" s="50">
        <v>0.05</v>
      </c>
      <c r="AS501" s="34">
        <v>0</v>
      </c>
      <c r="AT501" s="34">
        <v>9.0909090909090912E-2</v>
      </c>
      <c r="AU501" s="34">
        <v>9.5238095238095233E-2</v>
      </c>
      <c r="AV501" s="34">
        <v>5.9859154929577461E-2</v>
      </c>
      <c r="AW501" s="10"/>
      <c r="AX501" s="8"/>
    </row>
    <row r="502" spans="1:50">
      <c r="A502" s="7"/>
      <c r="B502" s="10"/>
      <c r="C502" s="45" t="s">
        <v>396</v>
      </c>
      <c r="D502" s="23" t="s">
        <v>19</v>
      </c>
      <c r="E502" s="46" t="s">
        <v>548</v>
      </c>
      <c r="F502" s="46" t="s">
        <v>548</v>
      </c>
      <c r="G502" s="46" t="s">
        <v>548</v>
      </c>
      <c r="H502" s="46" t="s">
        <v>548</v>
      </c>
      <c r="I502" s="25">
        <v>0.9</v>
      </c>
      <c r="J502" s="26">
        <v>0.96666666666666667</v>
      </c>
      <c r="K502" s="26">
        <v>1</v>
      </c>
      <c r="L502" s="27">
        <v>1</v>
      </c>
      <c r="M502" s="26">
        <v>0.98765432098765427</v>
      </c>
      <c r="N502" s="28">
        <v>0.9</v>
      </c>
      <c r="O502" s="26">
        <v>0.98799999999999999</v>
      </c>
      <c r="P502" s="26">
        <v>0.97956448911222782</v>
      </c>
      <c r="Q502" s="26">
        <v>0.98300691244239635</v>
      </c>
      <c r="R502" s="26">
        <v>0.98285904476618402</v>
      </c>
      <c r="S502" s="28">
        <v>0.9</v>
      </c>
      <c r="T502" s="26">
        <v>0.93466666666666665</v>
      </c>
      <c r="U502" s="26">
        <v>0.9460636515912898</v>
      </c>
      <c r="V502" s="26">
        <v>0.92482718894009219</v>
      </c>
      <c r="W502" s="26">
        <v>0.92561158262606091</v>
      </c>
      <c r="X502" s="28">
        <v>0.92</v>
      </c>
      <c r="Y502" s="28">
        <v>0</v>
      </c>
      <c r="Z502" s="28">
        <v>0</v>
      </c>
      <c r="AA502" s="28">
        <v>0</v>
      </c>
      <c r="AB502" s="28">
        <v>0</v>
      </c>
      <c r="AC502" s="28">
        <v>0.92</v>
      </c>
      <c r="AD502" s="26">
        <v>0.99277456647398843</v>
      </c>
      <c r="AE502" s="26">
        <v>1</v>
      </c>
      <c r="AF502" s="26">
        <v>0.99539170506912444</v>
      </c>
      <c r="AG502" s="26">
        <v>0.99316673174541192</v>
      </c>
      <c r="AH502" s="28">
        <v>0.92</v>
      </c>
      <c r="AI502" s="26">
        <v>0.9773635153129161</v>
      </c>
      <c r="AJ502" s="26">
        <v>0.98359008707300732</v>
      </c>
      <c r="AK502" s="26">
        <v>0.98531528937517998</v>
      </c>
      <c r="AL502" s="26">
        <v>0.98511124974007069</v>
      </c>
      <c r="AM502" s="25">
        <v>0.99</v>
      </c>
      <c r="AN502" s="30">
        <v>1</v>
      </c>
      <c r="AO502" s="30">
        <v>1</v>
      </c>
      <c r="AP502" s="30">
        <v>1</v>
      </c>
      <c r="AQ502" s="30">
        <v>1</v>
      </c>
      <c r="AR502" s="50">
        <v>0.05</v>
      </c>
      <c r="AS502" s="34">
        <v>4.5454545454545456E-2</v>
      </c>
      <c r="AT502" s="34">
        <v>4.5454545454545456E-2</v>
      </c>
      <c r="AU502" s="34">
        <v>0</v>
      </c>
      <c r="AV502" s="34">
        <v>3.7037037037037035E-2</v>
      </c>
      <c r="AW502" s="10"/>
      <c r="AX502" s="8"/>
    </row>
    <row r="503" spans="1:50">
      <c r="A503" s="7"/>
      <c r="B503" s="10"/>
      <c r="C503" s="45" t="s">
        <v>396</v>
      </c>
      <c r="D503" s="23" t="s">
        <v>19</v>
      </c>
      <c r="E503" s="46" t="s">
        <v>549</v>
      </c>
      <c r="F503" s="46" t="s">
        <v>549</v>
      </c>
      <c r="G503" s="46" t="s">
        <v>549</v>
      </c>
      <c r="H503" s="46" t="s">
        <v>549</v>
      </c>
      <c r="I503" s="25">
        <v>0.9</v>
      </c>
      <c r="J503" s="26">
        <v>1</v>
      </c>
      <c r="K503" s="26">
        <v>1</v>
      </c>
      <c r="L503" s="27">
        <v>1</v>
      </c>
      <c r="M503" s="26">
        <v>1</v>
      </c>
      <c r="N503" s="28">
        <v>0.9</v>
      </c>
      <c r="O503" s="26">
        <v>0</v>
      </c>
      <c r="P503" s="26">
        <v>0</v>
      </c>
      <c r="Q503" s="26">
        <v>0</v>
      </c>
      <c r="R503" s="26">
        <v>0</v>
      </c>
      <c r="S503" s="28">
        <v>0.9</v>
      </c>
      <c r="T503" s="26">
        <v>0</v>
      </c>
      <c r="U503" s="26">
        <v>0</v>
      </c>
      <c r="V503" s="26">
        <v>0</v>
      </c>
      <c r="W503" s="26">
        <v>0</v>
      </c>
      <c r="X503" s="28">
        <v>0.92</v>
      </c>
      <c r="Y503" s="28">
        <v>0</v>
      </c>
      <c r="Z503" s="28">
        <v>0</v>
      </c>
      <c r="AA503" s="28">
        <v>0</v>
      </c>
      <c r="AB503" s="28">
        <v>0</v>
      </c>
      <c r="AC503" s="28">
        <v>0.92</v>
      </c>
      <c r="AD503" s="26">
        <v>1</v>
      </c>
      <c r="AE503" s="26">
        <v>0.99354838709677418</v>
      </c>
      <c r="AF503" s="26">
        <v>0.98734177215189878</v>
      </c>
      <c r="AG503" s="26">
        <v>0.9931174089068826</v>
      </c>
      <c r="AH503" s="28">
        <v>0.92</v>
      </c>
      <c r="AI503" s="26">
        <v>0.97016660209221228</v>
      </c>
      <c r="AJ503" s="26">
        <v>0.97978164173069149</v>
      </c>
      <c r="AK503" s="26">
        <v>0.98505479907007643</v>
      </c>
      <c r="AL503" s="26">
        <v>0.98415450561094253</v>
      </c>
      <c r="AM503" s="25">
        <v>0.99</v>
      </c>
      <c r="AN503" s="30">
        <v>1</v>
      </c>
      <c r="AO503" s="30">
        <v>1</v>
      </c>
      <c r="AP503" s="30">
        <v>1</v>
      </c>
      <c r="AQ503" s="30">
        <v>1</v>
      </c>
      <c r="AR503" s="50">
        <v>0.05</v>
      </c>
      <c r="AS503" s="34">
        <v>0</v>
      </c>
      <c r="AT503" s="34">
        <v>0.125</v>
      </c>
      <c r="AU503" s="34">
        <v>0.125</v>
      </c>
      <c r="AV503" s="34">
        <v>8.771929824561403E-2</v>
      </c>
      <c r="AW503" s="10"/>
      <c r="AX503" s="8"/>
    </row>
    <row r="504" spans="1:50">
      <c r="A504" s="7"/>
      <c r="B504" s="10"/>
      <c r="C504" s="45" t="s">
        <v>396</v>
      </c>
      <c r="D504" s="23" t="s">
        <v>19</v>
      </c>
      <c r="E504" s="46" t="s">
        <v>550</v>
      </c>
      <c r="F504" s="46" t="s">
        <v>550</v>
      </c>
      <c r="G504" s="46" t="s">
        <v>550</v>
      </c>
      <c r="H504" s="46" t="s">
        <v>550</v>
      </c>
      <c r="I504" s="25">
        <v>0.9</v>
      </c>
      <c r="J504" s="26">
        <v>1</v>
      </c>
      <c r="K504" s="26">
        <v>0.97619047619047616</v>
      </c>
      <c r="L504" s="27">
        <v>1</v>
      </c>
      <c r="M504" s="26">
        <v>0.9821428571428571</v>
      </c>
      <c r="N504" s="28">
        <v>0.9</v>
      </c>
      <c r="O504" s="26">
        <v>0</v>
      </c>
      <c r="P504" s="26">
        <v>0.25</v>
      </c>
      <c r="Q504" s="26">
        <v>1</v>
      </c>
      <c r="R504" s="26">
        <v>0.22222222222222221</v>
      </c>
      <c r="S504" s="28">
        <v>0.9</v>
      </c>
      <c r="T504" s="26">
        <v>0</v>
      </c>
      <c r="U504" s="26">
        <v>0.25</v>
      </c>
      <c r="V504" s="26">
        <v>1</v>
      </c>
      <c r="W504" s="26">
        <v>0.22222222222222221</v>
      </c>
      <c r="X504" s="28">
        <v>0.92</v>
      </c>
      <c r="Y504" s="28">
        <v>0</v>
      </c>
      <c r="Z504" s="28">
        <v>0</v>
      </c>
      <c r="AA504" s="28">
        <v>0</v>
      </c>
      <c r="AB504" s="28">
        <v>0.14285714285714285</v>
      </c>
      <c r="AC504" s="28">
        <v>0.92</v>
      </c>
      <c r="AD504" s="26">
        <v>0.99559471365638763</v>
      </c>
      <c r="AE504" s="26">
        <v>0.99043062200956933</v>
      </c>
      <c r="AF504" s="26">
        <v>1</v>
      </c>
      <c r="AG504" s="26">
        <v>0.99237288135593216</v>
      </c>
      <c r="AH504" s="28">
        <v>0.92</v>
      </c>
      <c r="AI504" s="26">
        <v>0.92786700479008166</v>
      </c>
      <c r="AJ504" s="26">
        <v>0.96161795098907588</v>
      </c>
      <c r="AK504" s="26">
        <v>0.9770484278173055</v>
      </c>
      <c r="AL504" s="26">
        <v>0.96560783377119652</v>
      </c>
      <c r="AM504" s="25">
        <v>0.99</v>
      </c>
      <c r="AN504" s="30">
        <v>1</v>
      </c>
      <c r="AO504" s="30">
        <v>1</v>
      </c>
      <c r="AP504" s="30">
        <v>1</v>
      </c>
      <c r="AQ504" s="30">
        <v>1</v>
      </c>
      <c r="AR504" s="50">
        <v>0.05</v>
      </c>
      <c r="AS504" s="34">
        <v>0.2</v>
      </c>
      <c r="AT504" s="34">
        <v>0</v>
      </c>
      <c r="AU504" s="34">
        <v>0</v>
      </c>
      <c r="AV504" s="34">
        <v>1.1494252873563218E-2</v>
      </c>
      <c r="AW504" s="10"/>
      <c r="AX504" s="8"/>
    </row>
    <row r="505" spans="1:50">
      <c r="A505" s="7"/>
      <c r="B505" s="10"/>
      <c r="C505" s="45" t="s">
        <v>396</v>
      </c>
      <c r="D505" s="23" t="s">
        <v>19</v>
      </c>
      <c r="E505" s="46" t="s">
        <v>551</v>
      </c>
      <c r="F505" s="46" t="s">
        <v>551</v>
      </c>
      <c r="G505" s="46" t="s">
        <v>551</v>
      </c>
      <c r="H505" s="46" t="s">
        <v>551</v>
      </c>
      <c r="I505" s="25">
        <v>0.9</v>
      </c>
      <c r="J505" s="26">
        <v>0.95652173913043481</v>
      </c>
      <c r="K505" s="26">
        <v>0.97826086956521741</v>
      </c>
      <c r="L505" s="27">
        <v>0.95918367346938771</v>
      </c>
      <c r="M505" s="26">
        <v>0.96011396011396011</v>
      </c>
      <c r="N505" s="28">
        <v>0.9</v>
      </c>
      <c r="O505" s="26">
        <v>0</v>
      </c>
      <c r="P505" s="26">
        <v>0.2</v>
      </c>
      <c r="Q505" s="26">
        <v>1</v>
      </c>
      <c r="R505" s="26">
        <v>0.2</v>
      </c>
      <c r="S505" s="28">
        <v>0.9</v>
      </c>
      <c r="T505" s="26">
        <v>0</v>
      </c>
      <c r="U505" s="26">
        <v>0.6</v>
      </c>
      <c r="V505" s="26">
        <v>1</v>
      </c>
      <c r="W505" s="26">
        <v>0.46666666666666667</v>
      </c>
      <c r="X505" s="28">
        <v>0.92</v>
      </c>
      <c r="Y505" s="28">
        <v>0</v>
      </c>
      <c r="Z505" s="28">
        <v>0</v>
      </c>
      <c r="AA505" s="28">
        <v>0</v>
      </c>
      <c r="AB505" s="28">
        <v>0</v>
      </c>
      <c r="AC505" s="28">
        <v>0.92</v>
      </c>
      <c r="AD505" s="26">
        <v>1</v>
      </c>
      <c r="AE505" s="26">
        <v>0.98630136986301364</v>
      </c>
      <c r="AF505" s="26">
        <v>0.98058252427184467</v>
      </c>
      <c r="AG505" s="26">
        <v>0.97685185185185186</v>
      </c>
      <c r="AH505" s="28">
        <v>0.92</v>
      </c>
      <c r="AI505" s="26">
        <v>0.9711174242424242</v>
      </c>
      <c r="AJ505" s="26">
        <v>0.98701298701298701</v>
      </c>
      <c r="AK505" s="26">
        <v>0.99224652087475151</v>
      </c>
      <c r="AL505" s="26">
        <v>0.9888462145525333</v>
      </c>
      <c r="AM505" s="25">
        <v>0.99</v>
      </c>
      <c r="AN505" s="30">
        <v>1</v>
      </c>
      <c r="AO505" s="30">
        <v>1</v>
      </c>
      <c r="AP505" s="30">
        <v>1</v>
      </c>
      <c r="AQ505" s="30">
        <v>1</v>
      </c>
      <c r="AR505" s="50">
        <v>0.05</v>
      </c>
      <c r="AS505" s="34">
        <v>0</v>
      </c>
      <c r="AT505" s="34">
        <v>0.2</v>
      </c>
      <c r="AU505" s="34">
        <v>0</v>
      </c>
      <c r="AV505" s="34">
        <v>0.13333333333333333</v>
      </c>
      <c r="AW505" s="10"/>
      <c r="AX505" s="8"/>
    </row>
    <row r="506" spans="1:50">
      <c r="A506" s="7"/>
      <c r="B506" s="10"/>
      <c r="C506" s="45" t="s">
        <v>396</v>
      </c>
      <c r="D506" s="23" t="s">
        <v>19</v>
      </c>
      <c r="E506" s="46" t="s">
        <v>552</v>
      </c>
      <c r="F506" s="46" t="s">
        <v>552</v>
      </c>
      <c r="G506" s="46" t="s">
        <v>552</v>
      </c>
      <c r="H506" s="46" t="s">
        <v>552</v>
      </c>
      <c r="I506" s="25">
        <v>0.9</v>
      </c>
      <c r="J506" s="26">
        <v>1</v>
      </c>
      <c r="K506" s="26">
        <v>1</v>
      </c>
      <c r="L506" s="27">
        <v>1</v>
      </c>
      <c r="M506" s="26">
        <v>1</v>
      </c>
      <c r="N506" s="28">
        <v>0.9</v>
      </c>
      <c r="O506" s="26">
        <v>0.99243284146802879</v>
      </c>
      <c r="P506" s="26">
        <v>0.99397590361445787</v>
      </c>
      <c r="Q506" s="26">
        <v>0.99957965531736026</v>
      </c>
      <c r="R506" s="26">
        <v>0.99476019889857237</v>
      </c>
      <c r="S506" s="28">
        <v>0.9</v>
      </c>
      <c r="T506" s="26">
        <v>0.96935300794551649</v>
      </c>
      <c r="U506" s="26">
        <v>0.96385542168674698</v>
      </c>
      <c r="V506" s="26">
        <v>0.96132828919714164</v>
      </c>
      <c r="W506" s="26">
        <v>0.96497888039351976</v>
      </c>
      <c r="X506" s="28">
        <v>0.92</v>
      </c>
      <c r="Y506" s="28">
        <v>0.93627450980392157</v>
      </c>
      <c r="Z506" s="28">
        <v>1</v>
      </c>
      <c r="AA506" s="28">
        <v>0.94040697674418605</v>
      </c>
      <c r="AB506" s="28">
        <v>0.94548952543822151</v>
      </c>
      <c r="AC506" s="28">
        <v>0.92</v>
      </c>
      <c r="AD506" s="26">
        <v>1</v>
      </c>
      <c r="AE506" s="26">
        <v>0.99903753609239654</v>
      </c>
      <c r="AF506" s="26">
        <v>0.99742930591259638</v>
      </c>
      <c r="AG506" s="26">
        <v>0.99905956112852667</v>
      </c>
      <c r="AH506" s="28">
        <v>0.92</v>
      </c>
      <c r="AI506" s="26">
        <v>0.97880835380835385</v>
      </c>
      <c r="AJ506" s="26">
        <v>0.99147442326980939</v>
      </c>
      <c r="AK506" s="26">
        <v>0.98304532116074339</v>
      </c>
      <c r="AL506" s="26">
        <v>0.98413377239875122</v>
      </c>
      <c r="AM506" s="25">
        <v>0.99</v>
      </c>
      <c r="AN506" s="30">
        <v>1</v>
      </c>
      <c r="AO506" s="30">
        <v>1</v>
      </c>
      <c r="AP506" s="30">
        <v>1</v>
      </c>
      <c r="AQ506" s="30">
        <v>1</v>
      </c>
      <c r="AR506" s="50">
        <v>0.05</v>
      </c>
      <c r="AS506" s="34">
        <v>0.33333333333333331</v>
      </c>
      <c r="AT506" s="34">
        <v>0.125</v>
      </c>
      <c r="AU506" s="34">
        <v>0</v>
      </c>
      <c r="AV506" s="34">
        <v>8.3333333333333329E-2</v>
      </c>
      <c r="AW506" s="10"/>
      <c r="AX506" s="8"/>
    </row>
    <row r="507" spans="1:50">
      <c r="A507" s="7"/>
      <c r="B507" s="10"/>
      <c r="C507" s="45" t="s">
        <v>396</v>
      </c>
      <c r="D507" s="23" t="s">
        <v>19</v>
      </c>
      <c r="E507" s="46" t="s">
        <v>553</v>
      </c>
      <c r="F507" s="46" t="s">
        <v>553</v>
      </c>
      <c r="G507" s="46" t="s">
        <v>553</v>
      </c>
      <c r="H507" s="46" t="s">
        <v>553</v>
      </c>
      <c r="I507" s="25">
        <v>0.9</v>
      </c>
      <c r="J507" s="26">
        <v>1</v>
      </c>
      <c r="K507" s="26">
        <v>1</v>
      </c>
      <c r="L507" s="27">
        <v>0.95238095238095233</v>
      </c>
      <c r="M507" s="26">
        <v>0.98268398268398272</v>
      </c>
      <c r="N507" s="28">
        <v>0.9</v>
      </c>
      <c r="O507" s="26">
        <v>0.98403886190145728</v>
      </c>
      <c r="P507" s="26">
        <v>0.98411988369492287</v>
      </c>
      <c r="Q507" s="26">
        <v>0.98576382551560504</v>
      </c>
      <c r="R507" s="26">
        <v>0.98528268503873684</v>
      </c>
      <c r="S507" s="28">
        <v>0.9</v>
      </c>
      <c r="T507" s="26">
        <v>0.93476752255378215</v>
      </c>
      <c r="U507" s="26">
        <v>0.94475508834712596</v>
      </c>
      <c r="V507" s="26">
        <v>0.93958751597006751</v>
      </c>
      <c r="W507" s="26">
        <v>0.94367745221563948</v>
      </c>
      <c r="X507" s="28">
        <v>0.92</v>
      </c>
      <c r="Y507" s="28">
        <v>0</v>
      </c>
      <c r="Z507" s="28">
        <v>0</v>
      </c>
      <c r="AA507" s="28">
        <v>0</v>
      </c>
      <c r="AB507" s="28">
        <v>0</v>
      </c>
      <c r="AC507" s="28">
        <v>0.92</v>
      </c>
      <c r="AD507" s="26">
        <v>1</v>
      </c>
      <c r="AE507" s="26">
        <v>0.98113207547169812</v>
      </c>
      <c r="AF507" s="26">
        <v>0.98148148148148151</v>
      </c>
      <c r="AG507" s="26">
        <v>0.92446043165467628</v>
      </c>
      <c r="AH507" s="28">
        <v>0.92</v>
      </c>
      <c r="AI507" s="26">
        <v>0.97117364447494847</v>
      </c>
      <c r="AJ507" s="26">
        <v>0.9894995531724754</v>
      </c>
      <c r="AK507" s="26">
        <v>0.99251824817518253</v>
      </c>
      <c r="AL507" s="26">
        <v>0.98867924528301887</v>
      </c>
      <c r="AM507" s="25">
        <v>0.99</v>
      </c>
      <c r="AN507" s="30">
        <v>1</v>
      </c>
      <c r="AO507" s="30">
        <v>1</v>
      </c>
      <c r="AP507" s="30">
        <v>1</v>
      </c>
      <c r="AQ507" s="30">
        <v>1</v>
      </c>
      <c r="AR507" s="50">
        <v>0.05</v>
      </c>
      <c r="AS507" s="34">
        <v>0</v>
      </c>
      <c r="AT507" s="34">
        <v>0.1</v>
      </c>
      <c r="AU507" s="34">
        <v>7.6923076923076927E-2</v>
      </c>
      <c r="AV507" s="34">
        <v>3.2967032967032968E-2</v>
      </c>
      <c r="AW507" s="10"/>
      <c r="AX507" s="8"/>
    </row>
    <row r="508" spans="1:50">
      <c r="A508" s="7"/>
      <c r="B508" s="10"/>
      <c r="C508" s="45" t="s">
        <v>396</v>
      </c>
      <c r="D508" s="23" t="s">
        <v>19</v>
      </c>
      <c r="E508" s="46" t="s">
        <v>554</v>
      </c>
      <c r="F508" s="46" t="s">
        <v>554</v>
      </c>
      <c r="G508" s="46" t="s">
        <v>554</v>
      </c>
      <c r="H508" s="46" t="s">
        <v>554</v>
      </c>
      <c r="I508" s="25">
        <v>0.9</v>
      </c>
      <c r="J508" s="26">
        <v>0.90909090909090906</v>
      </c>
      <c r="K508" s="26">
        <v>0.92</v>
      </c>
      <c r="L508" s="27">
        <v>0.88</v>
      </c>
      <c r="M508" s="26">
        <v>0.91160220994475138</v>
      </c>
      <c r="N508" s="28">
        <v>0.9</v>
      </c>
      <c r="O508" s="26">
        <v>0.94530831099195711</v>
      </c>
      <c r="P508" s="26">
        <v>0.98870056497175141</v>
      </c>
      <c r="Q508" s="26">
        <v>0.96556068878622425</v>
      </c>
      <c r="R508" s="26">
        <v>0.97142857142857142</v>
      </c>
      <c r="S508" s="28">
        <v>0.9</v>
      </c>
      <c r="T508" s="26">
        <v>0.92332439678284184</v>
      </c>
      <c r="U508" s="26">
        <v>0.86697483307652801</v>
      </c>
      <c r="V508" s="26">
        <v>0.94540109197816047</v>
      </c>
      <c r="W508" s="26">
        <v>0.93312538989394889</v>
      </c>
      <c r="X508" s="28">
        <v>0.92</v>
      </c>
      <c r="Y508" s="28">
        <v>0</v>
      </c>
      <c r="Z508" s="28">
        <v>0</v>
      </c>
      <c r="AA508" s="28">
        <v>1</v>
      </c>
      <c r="AB508" s="28">
        <v>1</v>
      </c>
      <c r="AC508" s="28">
        <v>0.92</v>
      </c>
      <c r="AD508" s="26">
        <v>1</v>
      </c>
      <c r="AE508" s="26">
        <v>1</v>
      </c>
      <c r="AF508" s="26">
        <v>1</v>
      </c>
      <c r="AG508" s="26">
        <v>0.98515769944341369</v>
      </c>
      <c r="AH508" s="28">
        <v>0.92</v>
      </c>
      <c r="AI508" s="26">
        <v>0.96100427350427353</v>
      </c>
      <c r="AJ508" s="26">
        <v>0.98152898922524368</v>
      </c>
      <c r="AK508" s="26">
        <v>0.98866498740554154</v>
      </c>
      <c r="AL508" s="26">
        <v>0.98260706938470166</v>
      </c>
      <c r="AM508" s="25">
        <v>0.99</v>
      </c>
      <c r="AN508" s="30">
        <v>1</v>
      </c>
      <c r="AO508" s="30">
        <v>1</v>
      </c>
      <c r="AP508" s="30">
        <v>1</v>
      </c>
      <c r="AQ508" s="30">
        <v>1</v>
      </c>
      <c r="AR508" s="50">
        <v>0.05</v>
      </c>
      <c r="AS508" s="34">
        <v>0</v>
      </c>
      <c r="AT508" s="34">
        <v>0.2</v>
      </c>
      <c r="AU508" s="34">
        <v>0</v>
      </c>
      <c r="AV508" s="34">
        <v>5.4054054054054057E-2</v>
      </c>
      <c r="AW508" s="10"/>
      <c r="AX508" s="8"/>
    </row>
    <row r="509" spans="1:50">
      <c r="A509" s="7"/>
      <c r="B509" s="10"/>
      <c r="C509" s="45" t="s">
        <v>396</v>
      </c>
      <c r="D509" s="23" t="s">
        <v>19</v>
      </c>
      <c r="E509" s="46" t="s">
        <v>555</v>
      </c>
      <c r="F509" s="46" t="s">
        <v>555</v>
      </c>
      <c r="G509" s="46" t="s">
        <v>555</v>
      </c>
      <c r="H509" s="46" t="s">
        <v>555</v>
      </c>
      <c r="I509" s="25">
        <v>0.9</v>
      </c>
      <c r="J509" s="26">
        <v>0.921875</v>
      </c>
      <c r="K509" s="26">
        <v>0.91428571428571426</v>
      </c>
      <c r="L509" s="27">
        <v>0.8970588235294118</v>
      </c>
      <c r="M509" s="26">
        <v>0.90689013035381749</v>
      </c>
      <c r="N509" s="28">
        <v>0.9</v>
      </c>
      <c r="O509" s="26">
        <v>0.16666666666666666</v>
      </c>
      <c r="P509" s="26">
        <v>1</v>
      </c>
      <c r="Q509" s="26">
        <v>0</v>
      </c>
      <c r="R509" s="26">
        <v>0.1875</v>
      </c>
      <c r="S509" s="28">
        <v>0.9</v>
      </c>
      <c r="T509" s="26">
        <v>0</v>
      </c>
      <c r="U509" s="26">
        <v>0</v>
      </c>
      <c r="V509" s="26">
        <v>0</v>
      </c>
      <c r="W509" s="26">
        <v>6.25E-2</v>
      </c>
      <c r="X509" s="28">
        <v>0.92</v>
      </c>
      <c r="Y509" s="28">
        <v>0</v>
      </c>
      <c r="Z509" s="28">
        <v>0</v>
      </c>
      <c r="AA509" s="28">
        <v>0</v>
      </c>
      <c r="AB509" s="28">
        <v>0</v>
      </c>
      <c r="AC509" s="28">
        <v>0.92</v>
      </c>
      <c r="AD509" s="26">
        <v>0.99125364431486884</v>
      </c>
      <c r="AE509" s="26">
        <v>0.98692810457516345</v>
      </c>
      <c r="AF509" s="26">
        <v>0.99232736572890023</v>
      </c>
      <c r="AG509" s="26">
        <v>0.99023668639053253</v>
      </c>
      <c r="AH509" s="28">
        <v>0.92</v>
      </c>
      <c r="AI509" s="26">
        <v>0.95246122724207682</v>
      </c>
      <c r="AJ509" s="26">
        <v>0.96320523303352412</v>
      </c>
      <c r="AK509" s="26">
        <v>0.96664415935178938</v>
      </c>
      <c r="AL509" s="26">
        <v>0.96713865355372552</v>
      </c>
      <c r="AM509" s="25">
        <v>0.99</v>
      </c>
      <c r="AN509" s="30">
        <v>1</v>
      </c>
      <c r="AO509" s="30">
        <v>1</v>
      </c>
      <c r="AP509" s="30">
        <v>1</v>
      </c>
      <c r="AQ509" s="30">
        <v>1</v>
      </c>
      <c r="AR509" s="50">
        <v>0.05</v>
      </c>
      <c r="AS509" s="34">
        <v>0.16666666666666666</v>
      </c>
      <c r="AT509" s="34">
        <v>0</v>
      </c>
      <c r="AU509" s="34">
        <v>0</v>
      </c>
      <c r="AV509" s="34">
        <v>5.9322033898305086E-2</v>
      </c>
      <c r="AW509" s="10"/>
      <c r="AX509" s="8"/>
    </row>
    <row r="510" spans="1:50">
      <c r="A510" s="7"/>
      <c r="B510" s="10"/>
      <c r="C510" s="45" t="s">
        <v>396</v>
      </c>
      <c r="D510" s="23" t="s">
        <v>19</v>
      </c>
      <c r="E510" s="46" t="s">
        <v>556</v>
      </c>
      <c r="F510" s="46" t="s">
        <v>556</v>
      </c>
      <c r="G510" s="46" t="s">
        <v>556</v>
      </c>
      <c r="H510" s="46" t="s">
        <v>556</v>
      </c>
      <c r="I510" s="25">
        <v>0.9</v>
      </c>
      <c r="J510" s="26">
        <v>0.91954022988505746</v>
      </c>
      <c r="K510" s="26">
        <v>0.95348837209302328</v>
      </c>
      <c r="L510" s="27">
        <v>0.93023255813953487</v>
      </c>
      <c r="M510" s="26">
        <v>0.94108761329305135</v>
      </c>
      <c r="N510" s="28">
        <v>0.9</v>
      </c>
      <c r="O510" s="26">
        <v>0</v>
      </c>
      <c r="P510" s="26">
        <v>1</v>
      </c>
      <c r="Q510" s="26">
        <v>0</v>
      </c>
      <c r="R510" s="26">
        <v>0.5</v>
      </c>
      <c r="S510" s="28">
        <v>0.9</v>
      </c>
      <c r="T510" s="26">
        <v>0</v>
      </c>
      <c r="U510" s="26">
        <v>0</v>
      </c>
      <c r="V510" s="26">
        <v>0</v>
      </c>
      <c r="W510" s="26">
        <v>0</v>
      </c>
      <c r="X510" s="28">
        <v>0.92</v>
      </c>
      <c r="Y510" s="28">
        <v>0</v>
      </c>
      <c r="Z510" s="28">
        <v>0</v>
      </c>
      <c r="AA510" s="28">
        <v>0</v>
      </c>
      <c r="AB510" s="28">
        <v>0</v>
      </c>
      <c r="AC510" s="28">
        <v>0.92</v>
      </c>
      <c r="AD510" s="26">
        <v>0.98963730569948183</v>
      </c>
      <c r="AE510" s="26">
        <v>0.98016997167138808</v>
      </c>
      <c r="AF510" s="26">
        <v>0.97891566265060237</v>
      </c>
      <c r="AG510" s="26">
        <v>0.98546980949305785</v>
      </c>
      <c r="AH510" s="28">
        <v>0.92</v>
      </c>
      <c r="AI510" s="26">
        <v>0.96080305927342258</v>
      </c>
      <c r="AJ510" s="26">
        <v>0.94774996580495141</v>
      </c>
      <c r="AK510" s="26">
        <v>0.96292147417945562</v>
      </c>
      <c r="AL510" s="26">
        <v>0.94873870450828479</v>
      </c>
      <c r="AM510" s="25">
        <v>0.99</v>
      </c>
      <c r="AN510" s="30">
        <v>1</v>
      </c>
      <c r="AO510" s="30">
        <v>1</v>
      </c>
      <c r="AP510" s="30">
        <v>1</v>
      </c>
      <c r="AQ510" s="30">
        <v>1</v>
      </c>
      <c r="AR510" s="50">
        <v>0.05</v>
      </c>
      <c r="AS510" s="34">
        <v>3.4482758620689655E-2</v>
      </c>
      <c r="AT510" s="34">
        <v>8.3333333333333329E-2</v>
      </c>
      <c r="AU510" s="34">
        <v>0.1111111111111111</v>
      </c>
      <c r="AV510" s="34">
        <v>8.0924855491329481E-2</v>
      </c>
      <c r="AW510" s="10"/>
      <c r="AX510" s="8"/>
    </row>
    <row r="511" spans="1:50">
      <c r="A511" s="7"/>
      <c r="B511" s="10"/>
      <c r="C511" s="45" t="s">
        <v>396</v>
      </c>
      <c r="D511" s="23" t="s">
        <v>19</v>
      </c>
      <c r="E511" s="46" t="s">
        <v>557</v>
      </c>
      <c r="F511" s="46" t="s">
        <v>557</v>
      </c>
      <c r="G511" s="46" t="s">
        <v>557</v>
      </c>
      <c r="H511" s="46" t="s">
        <v>557</v>
      </c>
      <c r="I511" s="25">
        <v>0.9</v>
      </c>
      <c r="J511" s="26">
        <v>0.95161290322580649</v>
      </c>
      <c r="K511" s="26">
        <v>0.96825396825396826</v>
      </c>
      <c r="L511" s="27">
        <v>0.953125</v>
      </c>
      <c r="M511" s="26">
        <v>0.93686354378818737</v>
      </c>
      <c r="N511" s="28">
        <v>0.9</v>
      </c>
      <c r="O511" s="26">
        <v>0</v>
      </c>
      <c r="P511" s="26">
        <v>0.16666666666666666</v>
      </c>
      <c r="Q511" s="26">
        <v>0</v>
      </c>
      <c r="R511" s="26">
        <v>6.25E-2</v>
      </c>
      <c r="S511" s="28">
        <v>0.9</v>
      </c>
      <c r="T511" s="26">
        <v>0</v>
      </c>
      <c r="U511" s="26">
        <v>0</v>
      </c>
      <c r="V511" s="26">
        <v>0</v>
      </c>
      <c r="W511" s="26">
        <v>0.3125</v>
      </c>
      <c r="X511" s="28">
        <v>0.92</v>
      </c>
      <c r="Y511" s="28">
        <v>0</v>
      </c>
      <c r="Z511" s="28">
        <v>0</v>
      </c>
      <c r="AA511" s="28">
        <v>0</v>
      </c>
      <c r="AB511" s="28">
        <v>0</v>
      </c>
      <c r="AC511" s="28">
        <v>0.92</v>
      </c>
      <c r="AD511" s="26">
        <v>0.91333333333333333</v>
      </c>
      <c r="AE511" s="26">
        <v>0.96323529411764708</v>
      </c>
      <c r="AF511" s="26">
        <v>0.96899224806201545</v>
      </c>
      <c r="AG511" s="26">
        <v>0.91447925486875525</v>
      </c>
      <c r="AH511" s="28">
        <v>0.92</v>
      </c>
      <c r="AI511" s="26">
        <v>0.97547577006082009</v>
      </c>
      <c r="AJ511" s="26">
        <v>0.98420342901175106</v>
      </c>
      <c r="AK511" s="26">
        <v>0.98305084745762716</v>
      </c>
      <c r="AL511" s="26">
        <v>0.98161833054471093</v>
      </c>
      <c r="AM511" s="25">
        <v>0.99</v>
      </c>
      <c r="AN511" s="30">
        <v>1</v>
      </c>
      <c r="AO511" s="30">
        <v>1</v>
      </c>
      <c r="AP511" s="30">
        <v>1</v>
      </c>
      <c r="AQ511" s="30">
        <v>1</v>
      </c>
      <c r="AR511" s="50">
        <v>0.05</v>
      </c>
      <c r="AS511" s="34">
        <v>0</v>
      </c>
      <c r="AT511" s="34">
        <v>0.14285714285714285</v>
      </c>
      <c r="AU511" s="34">
        <v>6.25E-2</v>
      </c>
      <c r="AV511" s="34">
        <v>9.2783505154639179E-2</v>
      </c>
      <c r="AW511" s="10"/>
      <c r="AX511" s="8"/>
    </row>
    <row r="512" spans="1:50">
      <c r="A512" s="7"/>
      <c r="B512" s="10"/>
      <c r="C512" s="45" t="s">
        <v>396</v>
      </c>
      <c r="D512" s="23" t="s">
        <v>19</v>
      </c>
      <c r="E512" s="46" t="s">
        <v>558</v>
      </c>
      <c r="F512" s="46" t="s">
        <v>558</v>
      </c>
      <c r="G512" s="46" t="s">
        <v>558</v>
      </c>
      <c r="H512" s="46" t="s">
        <v>558</v>
      </c>
      <c r="I512" s="25">
        <v>0.9</v>
      </c>
      <c r="J512" s="26">
        <v>1</v>
      </c>
      <c r="K512" s="26">
        <v>1</v>
      </c>
      <c r="L512" s="27">
        <v>1</v>
      </c>
      <c r="M512" s="26">
        <v>1</v>
      </c>
      <c r="N512" s="28">
        <v>0.9</v>
      </c>
      <c r="O512" s="26">
        <v>0.99181924425399304</v>
      </c>
      <c r="P512" s="26">
        <v>0.99213217938631004</v>
      </c>
      <c r="Q512" s="26">
        <v>0.99106002554278416</v>
      </c>
      <c r="R512" s="26">
        <v>0.98883323376683052</v>
      </c>
      <c r="S512" s="28">
        <v>0.9</v>
      </c>
      <c r="T512" s="26">
        <v>0.9637709388391118</v>
      </c>
      <c r="U512" s="26">
        <v>0.97797010228166803</v>
      </c>
      <c r="V512" s="26">
        <v>0.98212005108556832</v>
      </c>
      <c r="W512" s="26">
        <v>0.97251964523689172</v>
      </c>
      <c r="X512" s="28">
        <v>0.92</v>
      </c>
      <c r="Y512" s="28">
        <v>0</v>
      </c>
      <c r="Z512" s="28">
        <v>0</v>
      </c>
      <c r="AA512" s="28">
        <v>0</v>
      </c>
      <c r="AB512" s="28">
        <v>0</v>
      </c>
      <c r="AC512" s="28">
        <v>0.92</v>
      </c>
      <c r="AD512" s="26">
        <v>0.97402597402597402</v>
      </c>
      <c r="AE512" s="26">
        <v>0.98765432098765427</v>
      </c>
      <c r="AF512" s="26">
        <v>0.96052631578947367</v>
      </c>
      <c r="AG512" s="26">
        <v>0.98098256735340728</v>
      </c>
      <c r="AH512" s="28">
        <v>0.92</v>
      </c>
      <c r="AI512" s="26">
        <v>0.98483080513418908</v>
      </c>
      <c r="AJ512" s="26">
        <v>0.99213217938631004</v>
      </c>
      <c r="AK512" s="26">
        <v>0.99329501915708818</v>
      </c>
      <c r="AL512" s="26">
        <v>0.99081177929893871</v>
      </c>
      <c r="AM512" s="25">
        <v>0.99</v>
      </c>
      <c r="AN512" s="30">
        <v>1</v>
      </c>
      <c r="AO512" s="30">
        <v>1</v>
      </c>
      <c r="AP512" s="30">
        <v>1</v>
      </c>
      <c r="AQ512" s="30">
        <v>1</v>
      </c>
      <c r="AR512" s="50">
        <v>0.05</v>
      </c>
      <c r="AS512" s="34">
        <v>0</v>
      </c>
      <c r="AT512" s="34">
        <v>0.1</v>
      </c>
      <c r="AU512" s="34">
        <v>0</v>
      </c>
      <c r="AV512" s="34">
        <v>7.8947368421052627E-2</v>
      </c>
      <c r="AW512" s="10"/>
      <c r="AX512" s="8"/>
    </row>
    <row r="513" spans="1:50">
      <c r="A513" s="7"/>
      <c r="B513" s="10"/>
      <c r="C513" s="45" t="s">
        <v>396</v>
      </c>
      <c r="D513" s="23" t="s">
        <v>19</v>
      </c>
      <c r="E513" s="46" t="s">
        <v>559</v>
      </c>
      <c r="F513" s="46" t="s">
        <v>559</v>
      </c>
      <c r="G513" s="46" t="s">
        <v>559</v>
      </c>
      <c r="H513" s="46" t="s">
        <v>559</v>
      </c>
      <c r="I513" s="25">
        <v>0.9</v>
      </c>
      <c r="J513" s="26">
        <v>1</v>
      </c>
      <c r="K513" s="26">
        <v>1</v>
      </c>
      <c r="L513" s="27">
        <v>1</v>
      </c>
      <c r="M513" s="26">
        <v>1</v>
      </c>
      <c r="N513" s="28">
        <v>0.9</v>
      </c>
      <c r="O513" s="26">
        <v>0.97511848341232232</v>
      </c>
      <c r="P513" s="26">
        <v>0.97232704402515724</v>
      </c>
      <c r="Q513" s="26">
        <v>0.98374473208910296</v>
      </c>
      <c r="R513" s="26">
        <v>0.97683397683397688</v>
      </c>
      <c r="S513" s="28">
        <v>0.9</v>
      </c>
      <c r="T513" s="26">
        <v>0.94075829383886256</v>
      </c>
      <c r="U513" s="26">
        <v>0.93396226415094341</v>
      </c>
      <c r="V513" s="26">
        <v>0.93738711619506321</v>
      </c>
      <c r="W513" s="26">
        <v>0.93770913770913766</v>
      </c>
      <c r="X513" s="28">
        <v>0.92</v>
      </c>
      <c r="Y513" s="28">
        <v>0.95700934579439256</v>
      </c>
      <c r="Z513" s="28">
        <v>0.96761133603238869</v>
      </c>
      <c r="AA513" s="28">
        <v>0.95807127882599585</v>
      </c>
      <c r="AB513" s="28">
        <v>0.96227206036470336</v>
      </c>
      <c r="AC513" s="28">
        <v>0.92</v>
      </c>
      <c r="AD513" s="26">
        <v>0.99900199600798401</v>
      </c>
      <c r="AE513" s="26">
        <v>0.99896157840083077</v>
      </c>
      <c r="AF513" s="26">
        <v>0.99692622950819676</v>
      </c>
      <c r="AG513" s="26">
        <v>0.99859082756853701</v>
      </c>
      <c r="AH513" s="28">
        <v>0.92</v>
      </c>
      <c r="AI513" s="26">
        <v>0.97661870503597126</v>
      </c>
      <c r="AJ513" s="26">
        <v>0.98560460652591175</v>
      </c>
      <c r="AK513" s="26">
        <v>0.98316183348924224</v>
      </c>
      <c r="AL513" s="26">
        <v>0.98094832308722379</v>
      </c>
      <c r="AM513" s="25">
        <v>0.99</v>
      </c>
      <c r="AN513" s="30">
        <v>1</v>
      </c>
      <c r="AO513" s="30">
        <v>1</v>
      </c>
      <c r="AP513" s="30">
        <v>1</v>
      </c>
      <c r="AQ513" s="30">
        <v>1</v>
      </c>
      <c r="AR513" s="50">
        <v>0.05</v>
      </c>
      <c r="AS513" s="34">
        <v>0</v>
      </c>
      <c r="AT513" s="34">
        <v>0.16666666666666666</v>
      </c>
      <c r="AU513" s="34">
        <v>0</v>
      </c>
      <c r="AV513" s="34">
        <v>1.9230769230769232E-2</v>
      </c>
      <c r="AW513" s="10"/>
      <c r="AX513" s="8"/>
    </row>
    <row r="514" spans="1:50">
      <c r="A514" s="7"/>
      <c r="B514" s="10"/>
      <c r="C514" s="45" t="s">
        <v>396</v>
      </c>
      <c r="D514" s="23" t="s">
        <v>19</v>
      </c>
      <c r="E514" s="46" t="s">
        <v>560</v>
      </c>
      <c r="F514" s="46" t="s">
        <v>560</v>
      </c>
      <c r="G514" s="46" t="s">
        <v>560</v>
      </c>
      <c r="H514" s="46" t="s">
        <v>560</v>
      </c>
      <c r="I514" s="25">
        <v>0.9</v>
      </c>
      <c r="J514" s="26">
        <v>1</v>
      </c>
      <c r="K514" s="26">
        <v>0.96363636363636362</v>
      </c>
      <c r="L514" s="27">
        <v>0.94545454545454544</v>
      </c>
      <c r="M514" s="26">
        <v>0.96593673965936744</v>
      </c>
      <c r="N514" s="28">
        <v>0.9</v>
      </c>
      <c r="O514" s="26">
        <v>0</v>
      </c>
      <c r="P514" s="26">
        <v>0.75</v>
      </c>
      <c r="Q514" s="26">
        <v>1</v>
      </c>
      <c r="R514" s="26">
        <v>0.5</v>
      </c>
      <c r="S514" s="28">
        <v>0.9</v>
      </c>
      <c r="T514" s="26">
        <v>0</v>
      </c>
      <c r="U514" s="26">
        <v>0</v>
      </c>
      <c r="V514" s="26">
        <v>0</v>
      </c>
      <c r="W514" s="26">
        <v>0.125</v>
      </c>
      <c r="X514" s="28">
        <v>0.92</v>
      </c>
      <c r="Y514" s="28">
        <v>0</v>
      </c>
      <c r="Z514" s="28">
        <v>0</v>
      </c>
      <c r="AA514" s="28">
        <v>0</v>
      </c>
      <c r="AB514" s="28">
        <v>0</v>
      </c>
      <c r="AC514" s="28">
        <v>0.92</v>
      </c>
      <c r="AD514" s="26">
        <v>1</v>
      </c>
      <c r="AE514" s="26">
        <v>0.98537477148080443</v>
      </c>
      <c r="AF514" s="26">
        <v>0.98477157360406087</v>
      </c>
      <c r="AG514" s="26">
        <v>0.98059866962305986</v>
      </c>
      <c r="AH514" s="28">
        <v>0.92</v>
      </c>
      <c r="AI514" s="26">
        <v>0.96524457521147478</v>
      </c>
      <c r="AJ514" s="26">
        <v>0.97975708502024295</v>
      </c>
      <c r="AK514" s="26">
        <v>0.98625262817402559</v>
      </c>
      <c r="AL514" s="26">
        <v>0.97952912139763348</v>
      </c>
      <c r="AM514" s="25">
        <v>0.99</v>
      </c>
      <c r="AN514" s="30">
        <v>1</v>
      </c>
      <c r="AO514" s="30">
        <v>1</v>
      </c>
      <c r="AP514" s="30">
        <v>1</v>
      </c>
      <c r="AQ514" s="30">
        <v>1</v>
      </c>
      <c r="AR514" s="50">
        <v>0.05</v>
      </c>
      <c r="AS514" s="34">
        <v>9.0909090909090912E-2</v>
      </c>
      <c r="AT514" s="34">
        <v>0.15384615384615385</v>
      </c>
      <c r="AU514" s="34">
        <v>0</v>
      </c>
      <c r="AV514" s="34">
        <v>6.9767441860465115E-2</v>
      </c>
      <c r="AW514" s="10"/>
      <c r="AX514" s="8"/>
    </row>
    <row r="515" spans="1:50">
      <c r="A515" s="7"/>
      <c r="B515" s="10"/>
      <c r="C515" s="45" t="s">
        <v>396</v>
      </c>
      <c r="D515" s="23" t="s">
        <v>19</v>
      </c>
      <c r="E515" s="46" t="s">
        <v>561</v>
      </c>
      <c r="F515" s="46" t="s">
        <v>561</v>
      </c>
      <c r="G515" s="46" t="s">
        <v>561</v>
      </c>
      <c r="H515" s="46" t="s">
        <v>561</v>
      </c>
      <c r="I515" s="25">
        <v>0.9</v>
      </c>
      <c r="J515" s="26">
        <v>0.91044776119402981</v>
      </c>
      <c r="K515" s="26">
        <v>0.90625</v>
      </c>
      <c r="L515" s="27">
        <v>0.91935483870967738</v>
      </c>
      <c r="M515" s="26">
        <v>0.92031872509960155</v>
      </c>
      <c r="N515" s="28">
        <v>0.9</v>
      </c>
      <c r="O515" s="26">
        <v>0.94601856375183191</v>
      </c>
      <c r="P515" s="26">
        <v>0.89593781344032097</v>
      </c>
      <c r="Q515" s="26">
        <v>0.89091663210286187</v>
      </c>
      <c r="R515" s="26">
        <v>0.93026415094339621</v>
      </c>
      <c r="S515" s="28">
        <v>0.9</v>
      </c>
      <c r="T515" s="26">
        <v>0.83439179286761112</v>
      </c>
      <c r="U515" s="26">
        <v>0.83701103309929792</v>
      </c>
      <c r="V515" s="26">
        <v>0.82745748652011608</v>
      </c>
      <c r="W515" s="26">
        <v>0.8344754716981132</v>
      </c>
      <c r="X515" s="28">
        <v>0.92</v>
      </c>
      <c r="Y515" s="28">
        <v>0.8303571428571429</v>
      </c>
      <c r="Z515" s="28">
        <v>0.74443646805455854</v>
      </c>
      <c r="AA515" s="28">
        <v>0.79863481228668942</v>
      </c>
      <c r="AB515" s="28">
        <v>0.81999817534896446</v>
      </c>
      <c r="AC515" s="28">
        <v>0.92</v>
      </c>
      <c r="AD515" s="26">
        <v>0.99892530897367005</v>
      </c>
      <c r="AE515" s="26">
        <v>0.99763173475429245</v>
      </c>
      <c r="AF515" s="26">
        <v>0.9978969505783386</v>
      </c>
      <c r="AG515" s="26">
        <v>0.99772193842330525</v>
      </c>
      <c r="AH515" s="28">
        <v>0.92</v>
      </c>
      <c r="AI515" s="26">
        <v>0.91518108463126291</v>
      </c>
      <c r="AJ515" s="26">
        <v>0.89929394277220365</v>
      </c>
      <c r="AK515" s="26">
        <v>0.89876033057851235</v>
      </c>
      <c r="AL515" s="26">
        <v>0.91721088435374154</v>
      </c>
      <c r="AM515" s="25">
        <v>0.99</v>
      </c>
      <c r="AN515" s="30">
        <v>1</v>
      </c>
      <c r="AO515" s="30">
        <v>1</v>
      </c>
      <c r="AP515" s="30">
        <v>1</v>
      </c>
      <c r="AQ515" s="30">
        <v>1</v>
      </c>
      <c r="AR515" s="50">
        <v>0.05</v>
      </c>
      <c r="AS515" s="34">
        <v>0</v>
      </c>
      <c r="AT515" s="34">
        <v>0</v>
      </c>
      <c r="AU515" s="34">
        <v>3.7037037037037035E-2</v>
      </c>
      <c r="AV515" s="34">
        <v>1.6304347826086956E-2</v>
      </c>
      <c r="AW515" s="10"/>
      <c r="AX515" s="8"/>
    </row>
    <row r="516" spans="1:50">
      <c r="A516" s="7"/>
      <c r="B516" s="10"/>
      <c r="C516" s="45" t="s">
        <v>396</v>
      </c>
      <c r="D516" s="23" t="s">
        <v>19</v>
      </c>
      <c r="E516" s="46" t="s">
        <v>562</v>
      </c>
      <c r="F516" s="46" t="s">
        <v>562</v>
      </c>
      <c r="G516" s="46" t="s">
        <v>562</v>
      </c>
      <c r="H516" s="46" t="s">
        <v>562</v>
      </c>
      <c r="I516" s="25">
        <v>0.9</v>
      </c>
      <c r="J516" s="26">
        <v>1</v>
      </c>
      <c r="K516" s="26">
        <v>1</v>
      </c>
      <c r="L516" s="27">
        <v>0.96153846153846156</v>
      </c>
      <c r="M516" s="26">
        <v>0.95108695652173914</v>
      </c>
      <c r="N516" s="28">
        <v>0.9</v>
      </c>
      <c r="O516" s="26">
        <v>0.9850475758948799</v>
      </c>
      <c r="P516" s="26">
        <v>0.99155069582504973</v>
      </c>
      <c r="Q516" s="26">
        <v>0.99069767441860468</v>
      </c>
      <c r="R516" s="26">
        <v>0.98235872520099488</v>
      </c>
      <c r="S516" s="28">
        <v>0.9</v>
      </c>
      <c r="T516" s="26">
        <v>0.95876755777072953</v>
      </c>
      <c r="U516" s="26">
        <v>0.97415506958250497</v>
      </c>
      <c r="V516" s="26">
        <v>0.98435517970401687</v>
      </c>
      <c r="W516" s="26">
        <v>0.96784082364509227</v>
      </c>
      <c r="X516" s="28">
        <v>0.92</v>
      </c>
      <c r="Y516" s="28">
        <v>0</v>
      </c>
      <c r="Z516" s="28">
        <v>0</v>
      </c>
      <c r="AA516" s="28">
        <v>0</v>
      </c>
      <c r="AB516" s="28">
        <v>0</v>
      </c>
      <c r="AC516" s="28">
        <v>0.92</v>
      </c>
      <c r="AD516" s="26">
        <v>1</v>
      </c>
      <c r="AE516" s="26">
        <v>0.97761194029850751</v>
      </c>
      <c r="AF516" s="26">
        <v>0.96855345911949686</v>
      </c>
      <c r="AG516" s="26">
        <v>0.98217179902755269</v>
      </c>
      <c r="AH516" s="28">
        <v>0.92</v>
      </c>
      <c r="AI516" s="26">
        <v>0.9773755656108597</v>
      </c>
      <c r="AJ516" s="26">
        <v>0.99403578528827041</v>
      </c>
      <c r="AK516" s="26">
        <v>0.99492600422832977</v>
      </c>
      <c r="AL516" s="26">
        <v>0.99051639391661361</v>
      </c>
      <c r="AM516" s="25">
        <v>0.99</v>
      </c>
      <c r="AN516" s="30">
        <v>1</v>
      </c>
      <c r="AO516" s="30">
        <v>1</v>
      </c>
      <c r="AP516" s="30">
        <v>1</v>
      </c>
      <c r="AQ516" s="30">
        <v>1</v>
      </c>
      <c r="AR516" s="50">
        <v>0.05</v>
      </c>
      <c r="AS516" s="34">
        <v>0</v>
      </c>
      <c r="AT516" s="34">
        <v>8.3333333333333329E-2</v>
      </c>
      <c r="AU516" s="34">
        <v>0.25</v>
      </c>
      <c r="AV516" s="34">
        <v>4.2253521126760563E-2</v>
      </c>
      <c r="AW516" s="10"/>
      <c r="AX516" s="8"/>
    </row>
    <row r="517" spans="1:50">
      <c r="A517" s="7"/>
      <c r="B517" s="10"/>
      <c r="C517" s="45" t="s">
        <v>396</v>
      </c>
      <c r="D517" s="23" t="s">
        <v>19</v>
      </c>
      <c r="E517" s="46" t="s">
        <v>563</v>
      </c>
      <c r="F517" s="46" t="s">
        <v>563</v>
      </c>
      <c r="G517" s="46" t="s">
        <v>563</v>
      </c>
      <c r="H517" s="46" t="s">
        <v>563</v>
      </c>
      <c r="I517" s="25">
        <v>0.9</v>
      </c>
      <c r="J517" s="26">
        <v>1</v>
      </c>
      <c r="K517" s="26">
        <v>1</v>
      </c>
      <c r="L517" s="27">
        <v>1</v>
      </c>
      <c r="M517" s="26">
        <v>0.97569444444444442</v>
      </c>
      <c r="N517" s="28">
        <v>0.9</v>
      </c>
      <c r="O517" s="26">
        <v>1</v>
      </c>
      <c r="P517" s="26">
        <v>0</v>
      </c>
      <c r="Q517" s="26">
        <v>1</v>
      </c>
      <c r="R517" s="26">
        <v>1</v>
      </c>
      <c r="S517" s="28">
        <v>0.9</v>
      </c>
      <c r="T517" s="26">
        <v>0.2</v>
      </c>
      <c r="U517" s="26">
        <v>0</v>
      </c>
      <c r="V517" s="26">
        <v>1</v>
      </c>
      <c r="W517" s="26">
        <v>0.42857142857142855</v>
      </c>
      <c r="X517" s="28">
        <v>0.92</v>
      </c>
      <c r="Y517" s="28">
        <v>0</v>
      </c>
      <c r="Z517" s="28">
        <v>0</v>
      </c>
      <c r="AA517" s="28">
        <v>0</v>
      </c>
      <c r="AB517" s="28">
        <v>0</v>
      </c>
      <c r="AC517" s="28">
        <v>0.92</v>
      </c>
      <c r="AD517" s="26">
        <v>0.99693877551020404</v>
      </c>
      <c r="AE517" s="26">
        <v>0.99518652226233451</v>
      </c>
      <c r="AF517" s="26">
        <v>0.99193548387096775</v>
      </c>
      <c r="AG517" s="26">
        <v>0.9960338445267054</v>
      </c>
      <c r="AH517" s="28">
        <v>0.92</v>
      </c>
      <c r="AI517" s="26">
        <v>0.99304347826086958</v>
      </c>
      <c r="AJ517" s="26">
        <v>0.99686444766039561</v>
      </c>
      <c r="AK517" s="26">
        <v>0.99786075457020618</v>
      </c>
      <c r="AL517" s="26">
        <v>0.9939537709375994</v>
      </c>
      <c r="AM517" s="25">
        <v>0.99</v>
      </c>
      <c r="AN517" s="30">
        <v>1</v>
      </c>
      <c r="AO517" s="30">
        <v>1</v>
      </c>
      <c r="AP517" s="30">
        <v>1</v>
      </c>
      <c r="AQ517" s="30">
        <v>1</v>
      </c>
      <c r="AR517" s="50">
        <v>0.05</v>
      </c>
      <c r="AS517" s="34">
        <v>8.3333333333333329E-2</v>
      </c>
      <c r="AT517" s="34">
        <v>0</v>
      </c>
      <c r="AU517" s="34">
        <v>0.13333333333333333</v>
      </c>
      <c r="AV517" s="34">
        <v>4.5045045045045043E-2</v>
      </c>
      <c r="AW517" s="10"/>
      <c r="AX517" s="8"/>
    </row>
    <row r="518" spans="1:50">
      <c r="A518" s="7"/>
      <c r="B518" s="10"/>
      <c r="C518" s="45" t="s">
        <v>396</v>
      </c>
      <c r="D518" s="23" t="s">
        <v>19</v>
      </c>
      <c r="E518" s="46" t="s">
        <v>564</v>
      </c>
      <c r="F518" s="46" t="s">
        <v>564</v>
      </c>
      <c r="G518" s="46" t="s">
        <v>564</v>
      </c>
      <c r="H518" s="46" t="s">
        <v>564</v>
      </c>
      <c r="I518" s="25">
        <v>0.9</v>
      </c>
      <c r="J518" s="26">
        <v>0.94117647058823528</v>
      </c>
      <c r="K518" s="26">
        <v>0.87878787878787878</v>
      </c>
      <c r="L518" s="27">
        <v>0.91891891891891897</v>
      </c>
      <c r="M518" s="26">
        <v>0.937037037037037</v>
      </c>
      <c r="N518" s="28">
        <v>0.9</v>
      </c>
      <c r="O518" s="26">
        <v>0.98453427065026367</v>
      </c>
      <c r="P518" s="26">
        <v>0.94802631578947372</v>
      </c>
      <c r="Q518" s="26">
        <v>0.93916349809885935</v>
      </c>
      <c r="R518" s="26">
        <v>0.94628616106333074</v>
      </c>
      <c r="S518" s="28">
        <v>0.9</v>
      </c>
      <c r="T518" s="26">
        <v>0.95395430579964846</v>
      </c>
      <c r="U518" s="26">
        <v>0.91546052631578945</v>
      </c>
      <c r="V518" s="26">
        <v>0.92422596414991853</v>
      </c>
      <c r="W518" s="26">
        <v>0.91469898358092261</v>
      </c>
      <c r="X518" s="28">
        <v>0.92</v>
      </c>
      <c r="Y518" s="28">
        <v>0</v>
      </c>
      <c r="Z518" s="28">
        <v>0</v>
      </c>
      <c r="AA518" s="28">
        <v>0</v>
      </c>
      <c r="AB518" s="28">
        <v>0</v>
      </c>
      <c r="AC518" s="28">
        <v>0.92</v>
      </c>
      <c r="AD518" s="26">
        <v>0.99481865284974091</v>
      </c>
      <c r="AE518" s="26">
        <v>0.98701298701298701</v>
      </c>
      <c r="AF518" s="26">
        <v>1</v>
      </c>
      <c r="AG518" s="26">
        <v>0.98198198198198194</v>
      </c>
      <c r="AH518" s="28">
        <v>0.92</v>
      </c>
      <c r="AI518" s="26">
        <v>0.98031634446397187</v>
      </c>
      <c r="AJ518" s="26">
        <v>0.96282894736842106</v>
      </c>
      <c r="AK518" s="26">
        <v>0.97963063552417162</v>
      </c>
      <c r="AL518" s="26">
        <v>0.97740422204847532</v>
      </c>
      <c r="AM518" s="25">
        <v>0.99</v>
      </c>
      <c r="AN518" s="30">
        <v>1</v>
      </c>
      <c r="AO518" s="30">
        <v>1</v>
      </c>
      <c r="AP518" s="30">
        <v>1</v>
      </c>
      <c r="AQ518" s="30">
        <v>1</v>
      </c>
      <c r="AR518" s="50">
        <v>0.05</v>
      </c>
      <c r="AS518" s="34">
        <v>0</v>
      </c>
      <c r="AT518" s="34">
        <v>0.18181818181818182</v>
      </c>
      <c r="AU518" s="34">
        <v>7.1428571428571425E-2</v>
      </c>
      <c r="AV518" s="34">
        <v>3.3898305084745763E-2</v>
      </c>
      <c r="AW518" s="10"/>
      <c r="AX518" s="8"/>
    </row>
    <row r="519" spans="1:50">
      <c r="A519" s="7"/>
      <c r="B519" s="10"/>
      <c r="C519" s="45" t="s">
        <v>396</v>
      </c>
      <c r="D519" s="23" t="s">
        <v>19</v>
      </c>
      <c r="E519" s="46" t="s">
        <v>565</v>
      </c>
      <c r="F519" s="46" t="s">
        <v>565</v>
      </c>
      <c r="G519" s="46" t="s">
        <v>565</v>
      </c>
      <c r="H519" s="46" t="s">
        <v>565</v>
      </c>
      <c r="I519" s="25">
        <v>0.9</v>
      </c>
      <c r="J519" s="26">
        <v>1</v>
      </c>
      <c r="K519" s="26">
        <v>1</v>
      </c>
      <c r="L519" s="27">
        <v>1</v>
      </c>
      <c r="M519" s="26">
        <v>0.98734177215189878</v>
      </c>
      <c r="N519" s="28">
        <v>0.9</v>
      </c>
      <c r="O519" s="26">
        <v>0.93880389429763555</v>
      </c>
      <c r="P519" s="26">
        <v>0.94936708860759489</v>
      </c>
      <c r="Q519" s="26">
        <v>0.95115207373271893</v>
      </c>
      <c r="R519" s="26">
        <v>0.95911482930778569</v>
      </c>
      <c r="S519" s="28">
        <v>0.9</v>
      </c>
      <c r="T519" s="26">
        <v>0.9554937413073713</v>
      </c>
      <c r="U519" s="26">
        <v>0.95397008055235899</v>
      </c>
      <c r="V519" s="26">
        <v>0.9649769585253456</v>
      </c>
      <c r="W519" s="26">
        <v>0.94778032654162736</v>
      </c>
      <c r="X519" s="28">
        <v>0.92</v>
      </c>
      <c r="Y519" s="28">
        <v>0.94630872483221473</v>
      </c>
      <c r="Z519" s="28">
        <v>0.97377049180327868</v>
      </c>
      <c r="AA519" s="28">
        <v>0.94688644688644685</v>
      </c>
      <c r="AB519" s="28">
        <v>0.95780821917808223</v>
      </c>
      <c r="AC519" s="28">
        <v>0.92</v>
      </c>
      <c r="AD519" s="26">
        <v>0.97619047619047616</v>
      </c>
      <c r="AE519" s="26">
        <v>0.9464285714285714</v>
      </c>
      <c r="AF519" s="26">
        <v>0.96078431372549022</v>
      </c>
      <c r="AG519" s="26">
        <v>0.96808510638297873</v>
      </c>
      <c r="AH519" s="28">
        <v>0.92</v>
      </c>
      <c r="AI519" s="26">
        <v>0.9571577847439916</v>
      </c>
      <c r="AJ519" s="26">
        <v>0.9823304680038204</v>
      </c>
      <c r="AK519" s="26">
        <v>0.96923783287419651</v>
      </c>
      <c r="AL519" s="26">
        <v>0.97029523637022275</v>
      </c>
      <c r="AM519" s="25">
        <v>0.99</v>
      </c>
      <c r="AN519" s="30">
        <v>1</v>
      </c>
      <c r="AO519" s="30">
        <v>1</v>
      </c>
      <c r="AP519" s="30">
        <v>1</v>
      </c>
      <c r="AQ519" s="30">
        <v>1</v>
      </c>
      <c r="AR519" s="50">
        <v>0.05</v>
      </c>
      <c r="AS519" s="34">
        <v>0</v>
      </c>
      <c r="AT519" s="34">
        <v>0</v>
      </c>
      <c r="AU519" s="34">
        <v>0</v>
      </c>
      <c r="AV519" s="34">
        <v>3.2258064516129031E-2</v>
      </c>
      <c r="AW519" s="10"/>
      <c r="AX519" s="8"/>
    </row>
    <row r="520" spans="1:50">
      <c r="A520" s="7"/>
      <c r="B520" s="10"/>
      <c r="C520" s="45" t="s">
        <v>396</v>
      </c>
      <c r="D520" s="23" t="s">
        <v>19</v>
      </c>
      <c r="E520" s="46" t="s">
        <v>566</v>
      </c>
      <c r="F520" s="46" t="s">
        <v>566</v>
      </c>
      <c r="G520" s="46" t="s">
        <v>566</v>
      </c>
      <c r="H520" s="46" t="s">
        <v>566</v>
      </c>
      <c r="I520" s="25">
        <v>0.9</v>
      </c>
      <c r="J520" s="26">
        <v>0.921875</v>
      </c>
      <c r="K520" s="26">
        <v>0.92307692307692313</v>
      </c>
      <c r="L520" s="27">
        <v>0.93650793650793651</v>
      </c>
      <c r="M520" s="26">
        <v>0.91141732283464572</v>
      </c>
      <c r="N520" s="28">
        <v>0.9</v>
      </c>
      <c r="O520" s="26">
        <v>0.81932773109243695</v>
      </c>
      <c r="P520" s="26">
        <v>0.85541284403669726</v>
      </c>
      <c r="Q520" s="26">
        <v>0.82109557109557108</v>
      </c>
      <c r="R520" s="26">
        <v>0.83465244322092225</v>
      </c>
      <c r="S520" s="28">
        <v>0.9</v>
      </c>
      <c r="T520" s="26">
        <v>0.82815126050420174</v>
      </c>
      <c r="U520" s="26">
        <v>0.81174311926605502</v>
      </c>
      <c r="V520" s="26">
        <v>0.76806526806526809</v>
      </c>
      <c r="W520" s="26">
        <v>0.80110116999311765</v>
      </c>
      <c r="X520" s="28">
        <v>0.92</v>
      </c>
      <c r="Y520" s="28">
        <v>0.82089552238805974</v>
      </c>
      <c r="Z520" s="28">
        <v>0.83995427264932843</v>
      </c>
      <c r="AA520" s="28">
        <v>0.86025566531086572</v>
      </c>
      <c r="AB520" s="28">
        <v>0.84720196378384149</v>
      </c>
      <c r="AC520" s="28">
        <v>0.92</v>
      </c>
      <c r="AD520" s="26">
        <v>0.99889563776918833</v>
      </c>
      <c r="AE520" s="26">
        <v>0.99385560675883255</v>
      </c>
      <c r="AF520" s="26">
        <v>0.99619410085632731</v>
      </c>
      <c r="AG520" s="26">
        <v>0.99557522123893805</v>
      </c>
      <c r="AH520" s="28">
        <v>0.92</v>
      </c>
      <c r="AI520" s="26">
        <v>0.86639030612244894</v>
      </c>
      <c r="AJ520" s="26">
        <v>0.88489324129073688</v>
      </c>
      <c r="AK520" s="26">
        <v>0.88864660561128073</v>
      </c>
      <c r="AL520" s="26">
        <v>0.88987006924453438</v>
      </c>
      <c r="AM520" s="25">
        <v>0.99</v>
      </c>
      <c r="AN520" s="30">
        <v>1</v>
      </c>
      <c r="AO520" s="30">
        <v>1</v>
      </c>
      <c r="AP520" s="30">
        <v>1</v>
      </c>
      <c r="AQ520" s="30">
        <v>1</v>
      </c>
      <c r="AR520" s="50">
        <v>0.05</v>
      </c>
      <c r="AS520" s="34">
        <v>4.3478260869565216E-2</v>
      </c>
      <c r="AT520" s="34">
        <v>0.33333333333333331</v>
      </c>
      <c r="AU520" s="34">
        <v>6.25E-2</v>
      </c>
      <c r="AV520" s="34">
        <v>6.6225165562913912E-2</v>
      </c>
      <c r="AW520" s="10"/>
      <c r="AX520" s="8"/>
    </row>
    <row r="521" spans="1:50">
      <c r="A521" s="7"/>
      <c r="B521" s="10"/>
      <c r="C521" s="45" t="s">
        <v>396</v>
      </c>
      <c r="D521" s="23" t="s">
        <v>19</v>
      </c>
      <c r="E521" s="46" t="s">
        <v>567</v>
      </c>
      <c r="F521" s="46" t="s">
        <v>567</v>
      </c>
      <c r="G521" s="46" t="s">
        <v>567</v>
      </c>
      <c r="H521" s="46" t="s">
        <v>567</v>
      </c>
      <c r="I521" s="25">
        <v>0.9</v>
      </c>
      <c r="J521" s="26">
        <v>1</v>
      </c>
      <c r="K521" s="26">
        <v>1</v>
      </c>
      <c r="L521" s="27">
        <v>0.98750000000000004</v>
      </c>
      <c r="M521" s="26">
        <v>0.98333333333333328</v>
      </c>
      <c r="N521" s="28">
        <v>0.9</v>
      </c>
      <c r="O521" s="26">
        <v>0.9885345754209961</v>
      </c>
      <c r="P521" s="26">
        <v>0.9496559217674756</v>
      </c>
      <c r="Q521" s="26">
        <v>0.97815533980582525</v>
      </c>
      <c r="R521" s="26">
        <v>0.96510882275281962</v>
      </c>
      <c r="S521" s="28">
        <v>0.9</v>
      </c>
      <c r="T521" s="26">
        <v>0.94804729487638839</v>
      </c>
      <c r="U521" s="26">
        <v>0.88518652662078956</v>
      </c>
      <c r="V521" s="26">
        <v>0.91747572815533984</v>
      </c>
      <c r="W521" s="26">
        <v>0.90762325072611372</v>
      </c>
      <c r="X521" s="28">
        <v>0.92</v>
      </c>
      <c r="Y521" s="28">
        <v>0.88570538772967922</v>
      </c>
      <c r="Z521" s="28">
        <v>1</v>
      </c>
      <c r="AA521" s="28">
        <v>0.92288288288288289</v>
      </c>
      <c r="AB521" s="28">
        <v>0.91839842790469173</v>
      </c>
      <c r="AC521" s="28">
        <v>0.92</v>
      </c>
      <c r="AD521" s="26">
        <v>0.99796541200406919</v>
      </c>
      <c r="AE521" s="26">
        <v>0.99904942965779464</v>
      </c>
      <c r="AF521" s="26">
        <v>0.9989847715736041</v>
      </c>
      <c r="AG521" s="26">
        <v>0.99683844451470127</v>
      </c>
      <c r="AH521" s="28">
        <v>0.92</v>
      </c>
      <c r="AI521" s="26">
        <v>0.94397727272727272</v>
      </c>
      <c r="AJ521" s="26">
        <v>0.97584715212689255</v>
      </c>
      <c r="AK521" s="26">
        <v>0.95112720092150738</v>
      </c>
      <c r="AL521" s="26">
        <v>0.9515417563449613</v>
      </c>
      <c r="AM521" s="25">
        <v>0.99</v>
      </c>
      <c r="AN521" s="30">
        <v>1</v>
      </c>
      <c r="AO521" s="30">
        <v>1</v>
      </c>
      <c r="AP521" s="30">
        <v>1</v>
      </c>
      <c r="AQ521" s="30">
        <v>1</v>
      </c>
      <c r="AR521" s="50">
        <v>0.05</v>
      </c>
      <c r="AS521" s="34">
        <v>8.3333333333333329E-2</v>
      </c>
      <c r="AT521" s="34">
        <v>3.125E-2</v>
      </c>
      <c r="AU521" s="34">
        <v>9.5238095238095233E-2</v>
      </c>
      <c r="AV521" s="34">
        <v>3.2967032967032968E-2</v>
      </c>
      <c r="AW521" s="10"/>
      <c r="AX521" s="8"/>
    </row>
    <row r="522" spans="1:50">
      <c r="A522" s="7"/>
      <c r="B522" s="10"/>
      <c r="C522" s="45" t="s">
        <v>396</v>
      </c>
      <c r="D522" s="23" t="s">
        <v>19</v>
      </c>
      <c r="E522" s="46" t="s">
        <v>568</v>
      </c>
      <c r="F522" s="46" t="s">
        <v>568</v>
      </c>
      <c r="G522" s="46" t="s">
        <v>568</v>
      </c>
      <c r="H522" s="46" t="s">
        <v>568</v>
      </c>
      <c r="I522" s="25">
        <v>0.9</v>
      </c>
      <c r="J522" s="26">
        <v>0.9642857142857143</v>
      </c>
      <c r="K522" s="26">
        <v>1</v>
      </c>
      <c r="L522" s="27">
        <v>1</v>
      </c>
      <c r="M522" s="26">
        <v>0.99113082039911304</v>
      </c>
      <c r="N522" s="28">
        <v>0.9</v>
      </c>
      <c r="O522" s="26">
        <v>0.97081320450885666</v>
      </c>
      <c r="P522" s="26">
        <v>0.94877764842840517</v>
      </c>
      <c r="Q522" s="26">
        <v>0.95552050473186123</v>
      </c>
      <c r="R522" s="26">
        <v>0.96080411451116698</v>
      </c>
      <c r="S522" s="28">
        <v>0.9</v>
      </c>
      <c r="T522" s="26">
        <v>0.91727053140096615</v>
      </c>
      <c r="U522" s="26">
        <v>0.92976329064804031</v>
      </c>
      <c r="V522" s="26">
        <v>0.92602523659305991</v>
      </c>
      <c r="W522" s="26">
        <v>0.91623024353584936</v>
      </c>
      <c r="X522" s="28">
        <v>0.92</v>
      </c>
      <c r="Y522" s="28">
        <v>0</v>
      </c>
      <c r="Z522" s="28">
        <v>0</v>
      </c>
      <c r="AA522" s="28">
        <v>0</v>
      </c>
      <c r="AB522" s="28">
        <v>0</v>
      </c>
      <c r="AC522" s="28">
        <v>0.92</v>
      </c>
      <c r="AD522" s="26">
        <v>0.94069529652351735</v>
      </c>
      <c r="AE522" s="26">
        <v>0.99232245681381959</v>
      </c>
      <c r="AF522" s="26">
        <v>0.98933901918976541</v>
      </c>
      <c r="AG522" s="26">
        <v>0.98315896912477674</v>
      </c>
      <c r="AH522" s="28">
        <v>0.92</v>
      </c>
      <c r="AI522" s="26">
        <v>0.96316425120772942</v>
      </c>
      <c r="AJ522" s="26">
        <v>0.97535894450911909</v>
      </c>
      <c r="AK522" s="26">
        <v>0.97634069400630918</v>
      </c>
      <c r="AL522" s="26">
        <v>0.9749183908315916</v>
      </c>
      <c r="AM522" s="25">
        <v>0.99</v>
      </c>
      <c r="AN522" s="30">
        <v>1</v>
      </c>
      <c r="AO522" s="30">
        <v>1</v>
      </c>
      <c r="AP522" s="30">
        <v>1</v>
      </c>
      <c r="AQ522" s="30">
        <v>1</v>
      </c>
      <c r="AR522" s="50">
        <v>0.05</v>
      </c>
      <c r="AS522" s="34">
        <v>0.13793103448275862</v>
      </c>
      <c r="AT522" s="34">
        <v>3.0303030303030304E-2</v>
      </c>
      <c r="AU522" s="34">
        <v>0</v>
      </c>
      <c r="AV522" s="34">
        <v>6.3157894736842107E-2</v>
      </c>
      <c r="AW522" s="10"/>
      <c r="AX522" s="8"/>
    </row>
    <row r="523" spans="1:50">
      <c r="A523" s="7"/>
      <c r="B523" s="10"/>
      <c r="C523" s="45" t="s">
        <v>396</v>
      </c>
      <c r="D523" s="23" t="s">
        <v>19</v>
      </c>
      <c r="E523" s="46" t="s">
        <v>569</v>
      </c>
      <c r="F523" s="46" t="s">
        <v>569</v>
      </c>
      <c r="G523" s="46" t="s">
        <v>569</v>
      </c>
      <c r="H523" s="46" t="s">
        <v>569</v>
      </c>
      <c r="I523" s="25">
        <v>0.9</v>
      </c>
      <c r="J523" s="26">
        <v>0.94915254237288138</v>
      </c>
      <c r="K523" s="26">
        <v>0.96969696969696972</v>
      </c>
      <c r="L523" s="27">
        <v>0.97222222222222221</v>
      </c>
      <c r="M523" s="26">
        <v>0.95922330097087383</v>
      </c>
      <c r="N523" s="28">
        <v>0.9</v>
      </c>
      <c r="O523" s="26">
        <v>0.97680330473466792</v>
      </c>
      <c r="P523" s="26">
        <v>0.95871633607482665</v>
      </c>
      <c r="Q523" s="26">
        <v>0.9536999866184932</v>
      </c>
      <c r="R523" s="26">
        <v>0.93520962147489062</v>
      </c>
      <c r="S523" s="28">
        <v>0.9</v>
      </c>
      <c r="T523" s="26">
        <v>0.94534477279949158</v>
      </c>
      <c r="U523" s="26">
        <v>0.93597806805353978</v>
      </c>
      <c r="V523" s="26">
        <v>0.94339622641509435</v>
      </c>
      <c r="W523" s="26">
        <v>0.93155255617553911</v>
      </c>
      <c r="X523" s="28">
        <v>0.92</v>
      </c>
      <c r="Y523" s="28">
        <v>0</v>
      </c>
      <c r="Z523" s="28">
        <v>0</v>
      </c>
      <c r="AA523" s="28">
        <v>0</v>
      </c>
      <c r="AB523" s="28">
        <v>0</v>
      </c>
      <c r="AC523" s="28">
        <v>0.92</v>
      </c>
      <c r="AD523" s="26">
        <v>0.90067214339058999</v>
      </c>
      <c r="AE523" s="26">
        <v>0.99798792756539234</v>
      </c>
      <c r="AF523" s="26">
        <v>0.99240986717267554</v>
      </c>
      <c r="AG523" s="26">
        <v>0.98191662154845694</v>
      </c>
      <c r="AH523" s="28">
        <v>0.92</v>
      </c>
      <c r="AI523" s="26">
        <v>0.97253968253968259</v>
      </c>
      <c r="AJ523" s="26">
        <v>0.98162475822050288</v>
      </c>
      <c r="AK523" s="26">
        <v>0.98434363709353678</v>
      </c>
      <c r="AL523" s="26">
        <v>0.98071884953917488</v>
      </c>
      <c r="AM523" s="25">
        <v>0.99</v>
      </c>
      <c r="AN523" s="30">
        <v>1</v>
      </c>
      <c r="AO523" s="30">
        <v>1</v>
      </c>
      <c r="AP523" s="30">
        <v>1</v>
      </c>
      <c r="AQ523" s="30">
        <v>1</v>
      </c>
      <c r="AR523" s="50">
        <v>0.05</v>
      </c>
      <c r="AS523" s="34">
        <v>0</v>
      </c>
      <c r="AT523" s="34">
        <v>0</v>
      </c>
      <c r="AU523" s="34">
        <v>0.15789473684210525</v>
      </c>
      <c r="AV523" s="34">
        <v>7.0422535211267609E-2</v>
      </c>
      <c r="AW523" s="10"/>
      <c r="AX523" s="8"/>
    </row>
    <row r="524" spans="1:50">
      <c r="A524" s="7"/>
      <c r="B524" s="10"/>
      <c r="C524" s="45" t="s">
        <v>396</v>
      </c>
      <c r="D524" s="23" t="s">
        <v>19</v>
      </c>
      <c r="E524" s="46" t="s">
        <v>570</v>
      </c>
      <c r="F524" s="46" t="s">
        <v>570</v>
      </c>
      <c r="G524" s="46" t="s">
        <v>570</v>
      </c>
      <c r="H524" s="46" t="s">
        <v>570</v>
      </c>
      <c r="I524" s="25">
        <v>0.9</v>
      </c>
      <c r="J524" s="26">
        <v>1</v>
      </c>
      <c r="K524" s="26">
        <v>1</v>
      </c>
      <c r="L524" s="27">
        <v>1</v>
      </c>
      <c r="M524" s="26">
        <v>0.99264705882352944</v>
      </c>
      <c r="N524" s="28">
        <v>0.9</v>
      </c>
      <c r="O524" s="26">
        <v>0.96768707482993199</v>
      </c>
      <c r="P524" s="26">
        <v>0.98417266187050356</v>
      </c>
      <c r="Q524" s="26">
        <v>0.97993664202745512</v>
      </c>
      <c r="R524" s="26">
        <v>0.97396003930560104</v>
      </c>
      <c r="S524" s="28">
        <v>0.9</v>
      </c>
      <c r="T524" s="26">
        <v>0.91836734693877553</v>
      </c>
      <c r="U524" s="26">
        <v>0.92230215827338125</v>
      </c>
      <c r="V524" s="26">
        <v>0.93453009503695883</v>
      </c>
      <c r="W524" s="26">
        <v>0.90566655748444158</v>
      </c>
      <c r="X524" s="28">
        <v>0.92</v>
      </c>
      <c r="Y524" s="28">
        <v>0.9138755980861244</v>
      </c>
      <c r="Z524" s="28">
        <v>0.95454545454545459</v>
      </c>
      <c r="AA524" s="28">
        <v>0.95890410958904104</v>
      </c>
      <c r="AB524" s="28">
        <v>0.95053830550787954</v>
      </c>
      <c r="AC524" s="28">
        <v>0.92</v>
      </c>
      <c r="AD524" s="26">
        <v>1</v>
      </c>
      <c r="AE524" s="26">
        <v>0.98684210526315785</v>
      </c>
      <c r="AF524" s="26">
        <v>0.98863636363636365</v>
      </c>
      <c r="AG524" s="26">
        <v>0.98538622129436326</v>
      </c>
      <c r="AH524" s="28">
        <v>0.92</v>
      </c>
      <c r="AI524" s="26">
        <v>0.94113524877365107</v>
      </c>
      <c r="AJ524" s="26">
        <v>0.96493425172197866</v>
      </c>
      <c r="AK524" s="26">
        <v>0.97715591090805254</v>
      </c>
      <c r="AL524" s="26">
        <v>0.96767499401388779</v>
      </c>
      <c r="AM524" s="25">
        <v>0.99</v>
      </c>
      <c r="AN524" s="30">
        <v>1</v>
      </c>
      <c r="AO524" s="30">
        <v>1</v>
      </c>
      <c r="AP524" s="30">
        <v>1</v>
      </c>
      <c r="AQ524" s="30">
        <v>1</v>
      </c>
      <c r="AR524" s="50">
        <v>0.05</v>
      </c>
      <c r="AS524" s="34">
        <v>0</v>
      </c>
      <c r="AT524" s="34">
        <v>0</v>
      </c>
      <c r="AU524" s="34">
        <v>0</v>
      </c>
      <c r="AV524" s="34">
        <v>6.1538461538461542E-2</v>
      </c>
      <c r="AW524" s="10"/>
      <c r="AX524" s="8"/>
    </row>
    <row r="525" spans="1:50">
      <c r="A525" s="7"/>
      <c r="B525" s="10"/>
      <c r="C525" s="45" t="s">
        <v>396</v>
      </c>
      <c r="D525" s="23" t="s">
        <v>19</v>
      </c>
      <c r="E525" s="46" t="s">
        <v>571</v>
      </c>
      <c r="F525" s="46" t="s">
        <v>571</v>
      </c>
      <c r="G525" s="46" t="s">
        <v>571</v>
      </c>
      <c r="H525" s="46" t="s">
        <v>571</v>
      </c>
      <c r="I525" s="25">
        <v>0.9</v>
      </c>
      <c r="J525" s="26">
        <v>0.98333333333333328</v>
      </c>
      <c r="K525" s="26">
        <v>0.9850746268656716</v>
      </c>
      <c r="L525" s="27">
        <v>0.98484848484848486</v>
      </c>
      <c r="M525" s="26">
        <v>0.9831460674157303</v>
      </c>
      <c r="N525" s="28">
        <v>0.9</v>
      </c>
      <c r="O525" s="26">
        <v>0.98010939830929888</v>
      </c>
      <c r="P525" s="26">
        <v>0.98965827338129497</v>
      </c>
      <c r="Q525" s="26">
        <v>0.98787248787248783</v>
      </c>
      <c r="R525" s="26">
        <v>0.97491905226910625</v>
      </c>
      <c r="S525" s="28">
        <v>0.9</v>
      </c>
      <c r="T525" s="26">
        <v>0.91894579811039279</v>
      </c>
      <c r="U525" s="26">
        <v>0.90647482014388492</v>
      </c>
      <c r="V525" s="26">
        <v>0.92723492723492729</v>
      </c>
      <c r="W525" s="26">
        <v>0.91088040293981598</v>
      </c>
      <c r="X525" s="28">
        <v>0.92</v>
      </c>
      <c r="Y525" s="28">
        <v>0.92475524475524473</v>
      </c>
      <c r="Z525" s="28">
        <v>0.90454682324601021</v>
      </c>
      <c r="AA525" s="28">
        <v>0.93198588386268844</v>
      </c>
      <c r="AB525" s="28">
        <v>0.92837580829212629</v>
      </c>
      <c r="AC525" s="28">
        <v>0.92</v>
      </c>
      <c r="AD525" s="26">
        <v>0.96769230769230774</v>
      </c>
      <c r="AE525" s="26">
        <v>0.99582172701949856</v>
      </c>
      <c r="AF525" s="26">
        <v>0.98877980364656382</v>
      </c>
      <c r="AG525" s="26">
        <v>0.97953667953667956</v>
      </c>
      <c r="AH525" s="28">
        <v>0.92</v>
      </c>
      <c r="AI525" s="26">
        <v>0.93795816198819959</v>
      </c>
      <c r="AJ525" s="26">
        <v>0.92993515850144093</v>
      </c>
      <c r="AK525" s="26">
        <v>0.95638421841185284</v>
      </c>
      <c r="AL525" s="26">
        <v>0.94598371214602306</v>
      </c>
      <c r="AM525" s="25">
        <v>0.99</v>
      </c>
      <c r="AN525" s="30">
        <v>1</v>
      </c>
      <c r="AO525" s="30">
        <v>1</v>
      </c>
      <c r="AP525" s="30">
        <v>1</v>
      </c>
      <c r="AQ525" s="30">
        <v>1</v>
      </c>
      <c r="AR525" s="50">
        <v>0.05</v>
      </c>
      <c r="AS525" s="34">
        <v>0</v>
      </c>
      <c r="AT525" s="34">
        <v>0</v>
      </c>
      <c r="AU525" s="34">
        <v>5.5555555555555552E-2</v>
      </c>
      <c r="AV525" s="34">
        <v>8.2191780821917804E-2</v>
      </c>
      <c r="AW525" s="10"/>
      <c r="AX525" s="8"/>
    </row>
    <row r="526" spans="1:50">
      <c r="A526" s="7"/>
      <c r="B526" s="10"/>
      <c r="C526" s="45" t="s">
        <v>396</v>
      </c>
      <c r="D526" s="23" t="s">
        <v>19</v>
      </c>
      <c r="E526" s="46" t="s">
        <v>572</v>
      </c>
      <c r="F526" s="46" t="s">
        <v>572</v>
      </c>
      <c r="G526" s="46" t="s">
        <v>572</v>
      </c>
      <c r="H526" s="46" t="s">
        <v>572</v>
      </c>
      <c r="I526" s="25">
        <v>0.9</v>
      </c>
      <c r="J526" s="26">
        <v>1</v>
      </c>
      <c r="K526" s="26">
        <v>1</v>
      </c>
      <c r="L526" s="27">
        <v>1</v>
      </c>
      <c r="M526" s="26">
        <v>0.99315068493150682</v>
      </c>
      <c r="N526" s="28">
        <v>0.9</v>
      </c>
      <c r="O526" s="26">
        <v>0.99197080291970807</v>
      </c>
      <c r="P526" s="26">
        <v>0.99357142857142855</v>
      </c>
      <c r="Q526" s="26">
        <v>0.98958875585632478</v>
      </c>
      <c r="R526" s="26">
        <v>0.99048923994519222</v>
      </c>
      <c r="S526" s="28">
        <v>0.9</v>
      </c>
      <c r="T526" s="26">
        <v>0.97153284671532847</v>
      </c>
      <c r="U526" s="26">
        <v>0.95642857142857141</v>
      </c>
      <c r="V526" s="26">
        <v>0.9838625715773035</v>
      </c>
      <c r="W526" s="26">
        <v>0.9666317401466914</v>
      </c>
      <c r="X526" s="28">
        <v>0.92</v>
      </c>
      <c r="Y526" s="28">
        <v>0</v>
      </c>
      <c r="Z526" s="28">
        <v>0</v>
      </c>
      <c r="AA526" s="28">
        <v>0</v>
      </c>
      <c r="AB526" s="28">
        <v>0</v>
      </c>
      <c r="AC526" s="28">
        <v>0.92</v>
      </c>
      <c r="AD526" s="26">
        <v>0.99447513812154698</v>
      </c>
      <c r="AE526" s="26">
        <v>0.95180722891566261</v>
      </c>
      <c r="AF526" s="26">
        <v>1</v>
      </c>
      <c r="AG526" s="26">
        <v>0.98659139026111509</v>
      </c>
      <c r="AH526" s="28">
        <v>0.92</v>
      </c>
      <c r="AI526" s="26">
        <v>0.98906705539358597</v>
      </c>
      <c r="AJ526" s="26">
        <v>0.98857958600999285</v>
      </c>
      <c r="AK526" s="26">
        <v>0.99947943779281623</v>
      </c>
      <c r="AL526" s="26">
        <v>0.99524576954069299</v>
      </c>
      <c r="AM526" s="25">
        <v>0.99</v>
      </c>
      <c r="AN526" s="30">
        <v>1</v>
      </c>
      <c r="AO526" s="30">
        <v>1</v>
      </c>
      <c r="AP526" s="30">
        <v>1</v>
      </c>
      <c r="AQ526" s="30">
        <v>1</v>
      </c>
      <c r="AR526" s="50">
        <v>0.05</v>
      </c>
      <c r="AS526" s="34">
        <v>0</v>
      </c>
      <c r="AT526" s="34">
        <v>0.22222222222222221</v>
      </c>
      <c r="AU526" s="34">
        <v>0</v>
      </c>
      <c r="AV526" s="34">
        <v>0.10638297872340426</v>
      </c>
      <c r="AW526" s="10"/>
      <c r="AX526" s="8"/>
    </row>
    <row r="527" spans="1:50">
      <c r="A527" s="7"/>
      <c r="B527" s="10"/>
      <c r="C527" s="45" t="s">
        <v>396</v>
      </c>
      <c r="D527" s="23" t="s">
        <v>19</v>
      </c>
      <c r="E527" s="46" t="s">
        <v>573</v>
      </c>
      <c r="F527" s="46" t="s">
        <v>573</v>
      </c>
      <c r="G527" s="46" t="s">
        <v>573</v>
      </c>
      <c r="H527" s="46" t="s">
        <v>573</v>
      </c>
      <c r="I527" s="25">
        <v>0.9</v>
      </c>
      <c r="J527" s="26">
        <v>1</v>
      </c>
      <c r="K527" s="26">
        <v>1</v>
      </c>
      <c r="L527" s="27">
        <v>1</v>
      </c>
      <c r="M527" s="26">
        <v>0.98382749326145558</v>
      </c>
      <c r="N527" s="28">
        <v>0.9</v>
      </c>
      <c r="O527" s="26">
        <v>0.91260923845193509</v>
      </c>
      <c r="P527" s="26">
        <v>0.94130925507900676</v>
      </c>
      <c r="Q527" s="26">
        <v>0.96417087735415707</v>
      </c>
      <c r="R527" s="26">
        <v>0.95362534696364498</v>
      </c>
      <c r="S527" s="28">
        <v>0.9</v>
      </c>
      <c r="T527" s="26">
        <v>0.89762796504369535</v>
      </c>
      <c r="U527" s="26">
        <v>0.90011286681715574</v>
      </c>
      <c r="V527" s="26">
        <v>0.91823610473128159</v>
      </c>
      <c r="W527" s="26">
        <v>0.92018143659874074</v>
      </c>
      <c r="X527" s="28">
        <v>0.92</v>
      </c>
      <c r="Y527" s="28">
        <v>0.93732193732193736</v>
      </c>
      <c r="Z527" s="28">
        <v>0.94529147982062778</v>
      </c>
      <c r="AA527" s="28">
        <v>0.96180215475024489</v>
      </c>
      <c r="AB527" s="28">
        <v>0.95277663994382356</v>
      </c>
      <c r="AC527" s="28">
        <v>0.92</v>
      </c>
      <c r="AD527" s="26">
        <v>0.99295774647887325</v>
      </c>
      <c r="AE527" s="26">
        <v>0.99024390243902438</v>
      </c>
      <c r="AF527" s="26">
        <v>0.99242424242424243</v>
      </c>
      <c r="AG527" s="26">
        <v>0.9887773183697578</v>
      </c>
      <c r="AH527" s="28">
        <v>0.92</v>
      </c>
      <c r="AI527" s="26">
        <v>0.95399753997539971</v>
      </c>
      <c r="AJ527" s="26">
        <v>0.96311066799601197</v>
      </c>
      <c r="AK527" s="26">
        <v>0.97654584221748397</v>
      </c>
      <c r="AL527" s="26">
        <v>0.96929920741831399</v>
      </c>
      <c r="AM527" s="25">
        <v>0.99</v>
      </c>
      <c r="AN527" s="30">
        <v>1</v>
      </c>
      <c r="AO527" s="30">
        <v>1</v>
      </c>
      <c r="AP527" s="30">
        <v>1</v>
      </c>
      <c r="AQ527" s="30">
        <v>1</v>
      </c>
      <c r="AR527" s="50">
        <v>0.05</v>
      </c>
      <c r="AS527" s="34">
        <v>0</v>
      </c>
      <c r="AT527" s="34">
        <v>0</v>
      </c>
      <c r="AU527" s="34">
        <v>0</v>
      </c>
      <c r="AV527" s="34">
        <v>0</v>
      </c>
      <c r="AW527" s="10"/>
      <c r="AX527" s="8"/>
    </row>
    <row r="528" spans="1:50">
      <c r="A528" s="7"/>
      <c r="B528" s="10"/>
      <c r="C528" s="45" t="s">
        <v>396</v>
      </c>
      <c r="D528" s="23" t="s">
        <v>19</v>
      </c>
      <c r="E528" s="46" t="s">
        <v>574</v>
      </c>
      <c r="F528" s="46" t="s">
        <v>574</v>
      </c>
      <c r="G528" s="46" t="s">
        <v>574</v>
      </c>
      <c r="H528" s="46" t="s">
        <v>574</v>
      </c>
      <c r="I528" s="25">
        <v>0.9</v>
      </c>
      <c r="J528" s="26">
        <v>0.91666666666666663</v>
      </c>
      <c r="K528" s="26">
        <v>0.96296296296296291</v>
      </c>
      <c r="L528" s="27">
        <v>0.89655172413793105</v>
      </c>
      <c r="M528" s="26">
        <v>0.90547263681592038</v>
      </c>
      <c r="N528" s="28">
        <v>0.9</v>
      </c>
      <c r="O528" s="26">
        <v>0.89076376554174064</v>
      </c>
      <c r="P528" s="26">
        <v>0.95369678864824492</v>
      </c>
      <c r="Q528" s="26">
        <v>0.89212647241165532</v>
      </c>
      <c r="R528" s="26">
        <v>0.90122903023234946</v>
      </c>
      <c r="S528" s="28">
        <v>0.9</v>
      </c>
      <c r="T528" s="26">
        <v>0.84191829484902314</v>
      </c>
      <c r="U528" s="26">
        <v>0.87677371172516805</v>
      </c>
      <c r="V528" s="26">
        <v>0.80657160570365782</v>
      </c>
      <c r="W528" s="26">
        <v>0.81053198169911189</v>
      </c>
      <c r="X528" s="28">
        <v>0.92</v>
      </c>
      <c r="Y528" s="28">
        <v>0.90674753601213043</v>
      </c>
      <c r="Z528" s="28">
        <v>0.93402777777777779</v>
      </c>
      <c r="AA528" s="28">
        <v>0.94038155802861689</v>
      </c>
      <c r="AB528" s="28">
        <v>0.91951553037702671</v>
      </c>
      <c r="AC528" s="28">
        <v>0.92</v>
      </c>
      <c r="AD528" s="26">
        <v>0.97499999999999998</v>
      </c>
      <c r="AE528" s="26">
        <v>0.95652173913043481</v>
      </c>
      <c r="AF528" s="26">
        <v>0.95890410958904104</v>
      </c>
      <c r="AG528" s="26">
        <v>0.93191489361702129</v>
      </c>
      <c r="AH528" s="28">
        <v>0.92</v>
      </c>
      <c r="AI528" s="26">
        <v>0.92865878516102729</v>
      </c>
      <c r="AJ528" s="26">
        <v>0.95436579231045637</v>
      </c>
      <c r="AK528" s="26">
        <v>0.92516533240515142</v>
      </c>
      <c r="AL528" s="26">
        <v>0.93614935822637102</v>
      </c>
      <c r="AM528" s="25">
        <v>0.99</v>
      </c>
      <c r="AN528" s="30">
        <v>1</v>
      </c>
      <c r="AO528" s="30">
        <v>1</v>
      </c>
      <c r="AP528" s="30">
        <v>1</v>
      </c>
      <c r="AQ528" s="30">
        <v>1</v>
      </c>
      <c r="AR528" s="50">
        <v>0.05</v>
      </c>
      <c r="AS528" s="34">
        <v>0</v>
      </c>
      <c r="AT528" s="34">
        <v>0</v>
      </c>
      <c r="AU528" s="34">
        <v>0.1</v>
      </c>
      <c r="AV528" s="34">
        <v>6.5573770491803282E-2</v>
      </c>
      <c r="AW528" s="10"/>
      <c r="AX528" s="8"/>
    </row>
    <row r="529" spans="1:50">
      <c r="A529" s="7"/>
      <c r="B529" s="10"/>
      <c r="C529" s="45" t="s">
        <v>396</v>
      </c>
      <c r="D529" s="23" t="s">
        <v>19</v>
      </c>
      <c r="E529" s="46" t="s">
        <v>575</v>
      </c>
      <c r="F529" s="46" t="s">
        <v>575</v>
      </c>
      <c r="G529" s="46" t="s">
        <v>575</v>
      </c>
      <c r="H529" s="46" t="s">
        <v>575</v>
      </c>
      <c r="I529" s="25">
        <v>0.9</v>
      </c>
      <c r="J529" s="26">
        <v>0.97619047619047616</v>
      </c>
      <c r="K529" s="26">
        <v>0.96</v>
      </c>
      <c r="L529" s="27">
        <v>0.98</v>
      </c>
      <c r="M529" s="26">
        <v>0.9452054794520548</v>
      </c>
      <c r="N529" s="28">
        <v>0.9</v>
      </c>
      <c r="O529" s="26">
        <v>0.95451412818745696</v>
      </c>
      <c r="P529" s="26">
        <v>0.96071209330877838</v>
      </c>
      <c r="Q529" s="26">
        <v>0.97652132247244849</v>
      </c>
      <c r="R529" s="26">
        <v>0.96692361597757537</v>
      </c>
      <c r="S529" s="28">
        <v>0.9</v>
      </c>
      <c r="T529" s="26">
        <v>0.88421778084079949</v>
      </c>
      <c r="U529" s="26">
        <v>0.87476979742173111</v>
      </c>
      <c r="V529" s="26">
        <v>0.90081456636320079</v>
      </c>
      <c r="W529" s="26">
        <v>0.8764540995094604</v>
      </c>
      <c r="X529" s="28">
        <v>0.92</v>
      </c>
      <c r="Y529" s="28">
        <v>0.93435309114085408</v>
      </c>
      <c r="Z529" s="28">
        <v>0.95977011494252873</v>
      </c>
      <c r="AA529" s="28">
        <v>0.96998123827392124</v>
      </c>
      <c r="AB529" s="28">
        <v>0.9458571974035892</v>
      </c>
      <c r="AC529" s="28">
        <v>0.92</v>
      </c>
      <c r="AD529" s="26">
        <v>0.96674311926605505</v>
      </c>
      <c r="AE529" s="26">
        <v>0.94389901823281908</v>
      </c>
      <c r="AF529" s="26">
        <v>0.98772169167803547</v>
      </c>
      <c r="AG529" s="26">
        <v>0.97584396099024762</v>
      </c>
      <c r="AH529" s="28">
        <v>0.92</v>
      </c>
      <c r="AI529" s="26">
        <v>0.9464285714285714</v>
      </c>
      <c r="AJ529" s="26">
        <v>0.96766538119252443</v>
      </c>
      <c r="AK529" s="26">
        <v>0.98101437483048548</v>
      </c>
      <c r="AL529" s="26">
        <v>0.96174484394962589</v>
      </c>
      <c r="AM529" s="25">
        <v>0.99</v>
      </c>
      <c r="AN529" s="30">
        <v>1</v>
      </c>
      <c r="AO529" s="30">
        <v>1</v>
      </c>
      <c r="AP529" s="30">
        <v>1</v>
      </c>
      <c r="AQ529" s="30">
        <v>1</v>
      </c>
      <c r="AR529" s="50">
        <v>0.05</v>
      </c>
      <c r="AS529" s="34">
        <v>0</v>
      </c>
      <c r="AT529" s="34">
        <v>0</v>
      </c>
      <c r="AU529" s="34">
        <v>6.6666666666666666E-2</v>
      </c>
      <c r="AV529" s="34">
        <v>2.197802197802198E-2</v>
      </c>
      <c r="AW529" s="10"/>
      <c r="AX529" s="8"/>
    </row>
    <row r="530" spans="1:50">
      <c r="A530" s="7"/>
      <c r="B530" s="10"/>
      <c r="C530" s="45" t="s">
        <v>396</v>
      </c>
      <c r="D530" s="23" t="s">
        <v>19</v>
      </c>
      <c r="E530" s="46" t="s">
        <v>576</v>
      </c>
      <c r="F530" s="46" t="s">
        <v>576</v>
      </c>
      <c r="G530" s="46" t="s">
        <v>576</v>
      </c>
      <c r="H530" s="46" t="s">
        <v>576</v>
      </c>
      <c r="I530" s="25">
        <v>0.9</v>
      </c>
      <c r="J530" s="26">
        <v>1</v>
      </c>
      <c r="K530" s="26">
        <v>0.96923076923076923</v>
      </c>
      <c r="L530" s="27">
        <v>0.97101449275362317</v>
      </c>
      <c r="M530" s="26">
        <v>0.97782258064516125</v>
      </c>
      <c r="N530" s="28">
        <v>0.9</v>
      </c>
      <c r="O530" s="26">
        <v>0.94170212765957451</v>
      </c>
      <c r="P530" s="26">
        <v>0.94615106613661004</v>
      </c>
      <c r="Q530" s="26">
        <v>0.94325826264989765</v>
      </c>
      <c r="R530" s="26">
        <v>0.94283258113045343</v>
      </c>
      <c r="S530" s="28">
        <v>0.9</v>
      </c>
      <c r="T530" s="26">
        <v>0.89489361702127657</v>
      </c>
      <c r="U530" s="26">
        <v>0.88941091434766895</v>
      </c>
      <c r="V530" s="26">
        <v>0.91722725943258265</v>
      </c>
      <c r="W530" s="26">
        <v>0.89258542875564151</v>
      </c>
      <c r="X530" s="28">
        <v>0.92</v>
      </c>
      <c r="Y530" s="28">
        <v>0.90836363636363637</v>
      </c>
      <c r="Z530" s="28">
        <v>0.93787575150300606</v>
      </c>
      <c r="AA530" s="28">
        <v>0.96145685997171149</v>
      </c>
      <c r="AB530" s="28">
        <v>0.93963477251417604</v>
      </c>
      <c r="AC530" s="28">
        <v>0.92</v>
      </c>
      <c r="AD530" s="26">
        <v>0.99870466321243523</v>
      </c>
      <c r="AE530" s="26">
        <v>0.99168053244592347</v>
      </c>
      <c r="AF530" s="26">
        <v>0.98953662182361735</v>
      </c>
      <c r="AG530" s="26">
        <v>0.9897707899223338</v>
      </c>
      <c r="AH530" s="28">
        <v>0.92</v>
      </c>
      <c r="AI530" s="26">
        <v>0.93005485893416928</v>
      </c>
      <c r="AJ530" s="26">
        <v>0.95388349514563109</v>
      </c>
      <c r="AK530" s="26">
        <v>0.97631999999999997</v>
      </c>
      <c r="AL530" s="26">
        <v>0.95841081625062896</v>
      </c>
      <c r="AM530" s="25">
        <v>0.99</v>
      </c>
      <c r="AN530" s="30">
        <v>1</v>
      </c>
      <c r="AO530" s="30">
        <v>1</v>
      </c>
      <c r="AP530" s="30">
        <v>1</v>
      </c>
      <c r="AQ530" s="30">
        <v>1</v>
      </c>
      <c r="AR530" s="50">
        <v>0.05</v>
      </c>
      <c r="AS530" s="34">
        <v>4.7619047619047616E-2</v>
      </c>
      <c r="AT530" s="34">
        <v>0.15151515151515152</v>
      </c>
      <c r="AU530" s="34">
        <v>0</v>
      </c>
      <c r="AV530" s="34">
        <v>4.9019607843137254E-2</v>
      </c>
      <c r="AW530" s="10"/>
      <c r="AX530" s="8"/>
    </row>
    <row r="531" spans="1:50">
      <c r="A531" s="7"/>
      <c r="B531" s="10"/>
      <c r="C531" s="45" t="s">
        <v>396</v>
      </c>
      <c r="D531" s="23" t="s">
        <v>19</v>
      </c>
      <c r="E531" s="46" t="s">
        <v>577</v>
      </c>
      <c r="F531" s="46" t="s">
        <v>577</v>
      </c>
      <c r="G531" s="46" t="s">
        <v>577</v>
      </c>
      <c r="H531" s="46" t="s">
        <v>577</v>
      </c>
      <c r="I531" s="25">
        <v>0.9</v>
      </c>
      <c r="J531" s="26">
        <v>0.97435897435897434</v>
      </c>
      <c r="K531" s="26">
        <v>0.95238095238095233</v>
      </c>
      <c r="L531" s="27">
        <v>0.95454545454545459</v>
      </c>
      <c r="M531" s="26">
        <v>0.96573208722741433</v>
      </c>
      <c r="N531" s="28">
        <v>0.9</v>
      </c>
      <c r="O531" s="26">
        <v>0.91030133146461112</v>
      </c>
      <c r="P531" s="26">
        <v>0.91365584813227185</v>
      </c>
      <c r="Q531" s="26">
        <v>0.91795897948974492</v>
      </c>
      <c r="R531" s="26">
        <v>0.92725164843127306</v>
      </c>
      <c r="S531" s="28">
        <v>0.9</v>
      </c>
      <c r="T531" s="26">
        <v>0.86965662228451301</v>
      </c>
      <c r="U531" s="26">
        <v>0.87201469687691369</v>
      </c>
      <c r="V531" s="26">
        <v>0.88394197098549276</v>
      </c>
      <c r="W531" s="26">
        <v>0.87797985653213539</v>
      </c>
      <c r="X531" s="28">
        <v>0.92</v>
      </c>
      <c r="Y531" s="28">
        <v>0.94039351851851849</v>
      </c>
      <c r="Z531" s="28">
        <v>0.96162927981109803</v>
      </c>
      <c r="AA531" s="28">
        <v>0.94655581947743472</v>
      </c>
      <c r="AB531" s="28">
        <v>0.94263325201448955</v>
      </c>
      <c r="AC531" s="28">
        <v>0.92</v>
      </c>
      <c r="AD531" s="26">
        <v>0.98809523809523814</v>
      </c>
      <c r="AE531" s="26">
        <v>0.95495495495495497</v>
      </c>
      <c r="AF531" s="26">
        <v>0.98245614035087714</v>
      </c>
      <c r="AG531" s="26">
        <v>0.97637795275590555</v>
      </c>
      <c r="AH531" s="28">
        <v>0.92</v>
      </c>
      <c r="AI531" s="26">
        <v>0.9582146248812915</v>
      </c>
      <c r="AJ531" s="26">
        <v>0.9756756756756757</v>
      </c>
      <c r="AK531" s="26">
        <v>0.9688177874186551</v>
      </c>
      <c r="AL531" s="26">
        <v>0.9632119241588426</v>
      </c>
      <c r="AM531" s="25">
        <v>0.99</v>
      </c>
      <c r="AN531" s="30">
        <v>1</v>
      </c>
      <c r="AO531" s="30">
        <v>1</v>
      </c>
      <c r="AP531" s="30">
        <v>1</v>
      </c>
      <c r="AQ531" s="30">
        <v>1</v>
      </c>
      <c r="AR531" s="50">
        <v>0.05</v>
      </c>
      <c r="AS531" s="34">
        <v>0</v>
      </c>
      <c r="AT531" s="34">
        <v>0</v>
      </c>
      <c r="AU531" s="34">
        <v>0</v>
      </c>
      <c r="AV531" s="34">
        <v>3.4090909090909088E-2</v>
      </c>
      <c r="AW531" s="10"/>
      <c r="AX531" s="8"/>
    </row>
    <row r="532" spans="1:50">
      <c r="A532" s="7"/>
      <c r="B532" s="10"/>
      <c r="C532" s="45" t="s">
        <v>396</v>
      </c>
      <c r="D532" s="23" t="s">
        <v>19</v>
      </c>
      <c r="E532" s="46" t="s">
        <v>578</v>
      </c>
      <c r="F532" s="46" t="s">
        <v>578</v>
      </c>
      <c r="G532" s="46" t="s">
        <v>578</v>
      </c>
      <c r="H532" s="46" t="s">
        <v>578</v>
      </c>
      <c r="I532" s="25">
        <v>0.9</v>
      </c>
      <c r="J532" s="26">
        <v>0.9642857142857143</v>
      </c>
      <c r="K532" s="26">
        <v>0.91803278688524592</v>
      </c>
      <c r="L532" s="27">
        <v>0.95238095238095233</v>
      </c>
      <c r="M532" s="26">
        <v>0.93965517241379315</v>
      </c>
      <c r="N532" s="28">
        <v>0.9</v>
      </c>
      <c r="O532" s="26">
        <v>0.98237968927624097</v>
      </c>
      <c r="P532" s="26">
        <v>0.98911439114391142</v>
      </c>
      <c r="Q532" s="26">
        <v>0.987707881417209</v>
      </c>
      <c r="R532" s="26">
        <v>0.98555655411477727</v>
      </c>
      <c r="S532" s="28">
        <v>0.9</v>
      </c>
      <c r="T532" s="26">
        <v>0.92781356574460028</v>
      </c>
      <c r="U532" s="26">
        <v>0.95313653136531362</v>
      </c>
      <c r="V532" s="26">
        <v>0.94345625451916126</v>
      </c>
      <c r="W532" s="26">
        <v>0.9391663457012025</v>
      </c>
      <c r="X532" s="28">
        <v>0.92</v>
      </c>
      <c r="Y532" s="28">
        <v>0</v>
      </c>
      <c r="Z532" s="28">
        <v>0</v>
      </c>
      <c r="AA532" s="28">
        <v>0</v>
      </c>
      <c r="AB532" s="28">
        <v>0.16666666666666666</v>
      </c>
      <c r="AC532" s="28">
        <v>0.92</v>
      </c>
      <c r="AD532" s="26">
        <v>0.98975409836065575</v>
      </c>
      <c r="AE532" s="26">
        <v>0.98739495798319332</v>
      </c>
      <c r="AF532" s="26">
        <v>0.95454545454545459</v>
      </c>
      <c r="AG532" s="26">
        <v>0.97706137631742096</v>
      </c>
      <c r="AH532" s="28">
        <v>0.92</v>
      </c>
      <c r="AI532" s="26">
        <v>0.97746638894148841</v>
      </c>
      <c r="AJ532" s="26">
        <v>0.98966789667896682</v>
      </c>
      <c r="AK532" s="26">
        <v>0.99233550253073033</v>
      </c>
      <c r="AL532" s="26">
        <v>0.98547282841249462</v>
      </c>
      <c r="AM532" s="25">
        <v>0.99</v>
      </c>
      <c r="AN532" s="30">
        <v>1</v>
      </c>
      <c r="AO532" s="30">
        <v>1</v>
      </c>
      <c r="AP532" s="30">
        <v>1</v>
      </c>
      <c r="AQ532" s="30">
        <v>1</v>
      </c>
      <c r="AR532" s="50">
        <v>0.05</v>
      </c>
      <c r="AS532" s="34">
        <v>0.04</v>
      </c>
      <c r="AT532" s="34">
        <v>0</v>
      </c>
      <c r="AU532" s="34">
        <v>0</v>
      </c>
      <c r="AV532" s="34">
        <v>6.41025641025641E-3</v>
      </c>
      <c r="AW532" s="10"/>
      <c r="AX532" s="8"/>
    </row>
    <row r="533" spans="1:50">
      <c r="A533" s="7"/>
      <c r="B533" s="10"/>
      <c r="C533" s="45" t="s">
        <v>396</v>
      </c>
      <c r="D533" s="23" t="s">
        <v>19</v>
      </c>
      <c r="E533" s="46" t="s">
        <v>579</v>
      </c>
      <c r="F533" s="46" t="s">
        <v>579</v>
      </c>
      <c r="G533" s="46" t="s">
        <v>579</v>
      </c>
      <c r="H533" s="46" t="s">
        <v>579</v>
      </c>
      <c r="I533" s="25">
        <v>0.9</v>
      </c>
      <c r="J533" s="26">
        <v>0.98550724637681164</v>
      </c>
      <c r="K533" s="26">
        <v>0.9452054794520548</v>
      </c>
      <c r="L533" s="27">
        <v>0.96</v>
      </c>
      <c r="M533" s="26">
        <v>0.97048611111111116</v>
      </c>
      <c r="N533" s="28">
        <v>0.9</v>
      </c>
      <c r="O533" s="26">
        <v>0.97672178519826613</v>
      </c>
      <c r="P533" s="26">
        <v>0.96238796414852756</v>
      </c>
      <c r="Q533" s="26">
        <v>0.96246450179034448</v>
      </c>
      <c r="R533" s="26">
        <v>0.97610513739546001</v>
      </c>
      <c r="S533" s="28">
        <v>0.9</v>
      </c>
      <c r="T533" s="26">
        <v>0.94204527211430411</v>
      </c>
      <c r="U533" s="26">
        <v>0.92189500640204869</v>
      </c>
      <c r="V533" s="26">
        <v>0.92406469934559821</v>
      </c>
      <c r="W533" s="26">
        <v>0.9179920848267622</v>
      </c>
      <c r="X533" s="28">
        <v>0.92</v>
      </c>
      <c r="Y533" s="28">
        <v>0</v>
      </c>
      <c r="Z533" s="28">
        <v>0</v>
      </c>
      <c r="AA533" s="28">
        <v>0</v>
      </c>
      <c r="AB533" s="28">
        <v>0.25</v>
      </c>
      <c r="AC533" s="28">
        <v>0.92</v>
      </c>
      <c r="AD533" s="26">
        <v>0.99563318777292575</v>
      </c>
      <c r="AE533" s="26">
        <v>0.99244332493702769</v>
      </c>
      <c r="AF533" s="26">
        <v>0.99022801302931596</v>
      </c>
      <c r="AG533" s="26">
        <v>0.9910714285714286</v>
      </c>
      <c r="AH533" s="28">
        <v>0.92</v>
      </c>
      <c r="AI533" s="26">
        <v>0.97544535387578235</v>
      </c>
      <c r="AJ533" s="26">
        <v>0.98223715794527122</v>
      </c>
      <c r="AK533" s="26">
        <v>0.9871589085072231</v>
      </c>
      <c r="AL533" s="26">
        <v>0.97851569791316684</v>
      </c>
      <c r="AM533" s="25">
        <v>0.99</v>
      </c>
      <c r="AN533" s="30">
        <v>1</v>
      </c>
      <c r="AO533" s="30">
        <v>1</v>
      </c>
      <c r="AP533" s="30">
        <v>1</v>
      </c>
      <c r="AQ533" s="30">
        <v>1</v>
      </c>
      <c r="AR533" s="50">
        <v>0.05</v>
      </c>
      <c r="AS533" s="34">
        <v>0</v>
      </c>
      <c r="AT533" s="34">
        <v>4.1666666666666664E-2</v>
      </c>
      <c r="AU533" s="34">
        <v>3.4482758620689655E-2</v>
      </c>
      <c r="AV533" s="34">
        <v>3.553299492385787E-2</v>
      </c>
      <c r="AW533" s="10"/>
      <c r="AX533" s="8"/>
    </row>
    <row r="534" spans="1:50">
      <c r="A534" s="7"/>
      <c r="B534" s="10"/>
      <c r="C534" s="45" t="s">
        <v>396</v>
      </c>
      <c r="D534" s="23" t="s">
        <v>19</v>
      </c>
      <c r="E534" s="46" t="s">
        <v>580</v>
      </c>
      <c r="F534" s="46" t="s">
        <v>580</v>
      </c>
      <c r="G534" s="46" t="s">
        <v>580</v>
      </c>
      <c r="H534" s="46" t="s">
        <v>580</v>
      </c>
      <c r="I534" s="25">
        <v>0.9</v>
      </c>
      <c r="J534" s="26">
        <v>1</v>
      </c>
      <c r="K534" s="26">
        <v>0.95121951219512191</v>
      </c>
      <c r="L534" s="27">
        <v>0.97674418604651159</v>
      </c>
      <c r="M534" s="26">
        <v>0.97839506172839508</v>
      </c>
      <c r="N534" s="28">
        <v>0.9</v>
      </c>
      <c r="O534" s="26">
        <v>0.95207439198855504</v>
      </c>
      <c r="P534" s="26">
        <v>0.94693877551020411</v>
      </c>
      <c r="Q534" s="26">
        <v>0.95344249358847899</v>
      </c>
      <c r="R534" s="26">
        <v>0.95289640591966174</v>
      </c>
      <c r="S534" s="28">
        <v>0.9</v>
      </c>
      <c r="T534" s="26">
        <v>0.9329995231282785</v>
      </c>
      <c r="U534" s="26">
        <v>0.94165666266506598</v>
      </c>
      <c r="V534" s="26">
        <v>0.93233379364766222</v>
      </c>
      <c r="W534" s="26">
        <v>0.93212121212121213</v>
      </c>
      <c r="X534" s="28">
        <v>0.92</v>
      </c>
      <c r="Y534" s="28">
        <v>0</v>
      </c>
      <c r="Z534" s="28">
        <v>0</v>
      </c>
      <c r="AA534" s="28">
        <v>0</v>
      </c>
      <c r="AB534" s="28">
        <v>0</v>
      </c>
      <c r="AC534" s="28">
        <v>0.92</v>
      </c>
      <c r="AD534" s="26">
        <v>0.96385542168674698</v>
      </c>
      <c r="AE534" s="26">
        <v>0.97391304347826091</v>
      </c>
      <c r="AF534" s="26">
        <v>0.9941860465116279</v>
      </c>
      <c r="AG534" s="26">
        <v>0.95227995758218453</v>
      </c>
      <c r="AH534" s="28">
        <v>0.92</v>
      </c>
      <c r="AI534" s="26">
        <v>0.97572006665079747</v>
      </c>
      <c r="AJ534" s="26">
        <v>0.98799519807923164</v>
      </c>
      <c r="AK534" s="26">
        <v>0.98757151311895841</v>
      </c>
      <c r="AL534" s="26">
        <v>0.98444281607575668</v>
      </c>
      <c r="AM534" s="25">
        <v>0.99</v>
      </c>
      <c r="AN534" s="30">
        <v>1</v>
      </c>
      <c r="AO534" s="30">
        <v>1</v>
      </c>
      <c r="AP534" s="30">
        <v>1</v>
      </c>
      <c r="AQ534" s="30">
        <v>1</v>
      </c>
      <c r="AR534" s="50">
        <v>0.05</v>
      </c>
      <c r="AS534" s="34">
        <v>0</v>
      </c>
      <c r="AT534" s="34">
        <v>0</v>
      </c>
      <c r="AU534" s="34">
        <v>0.2</v>
      </c>
      <c r="AV534" s="34">
        <v>4.3956043956043959E-2</v>
      </c>
      <c r="AW534" s="10"/>
      <c r="AX534" s="8"/>
    </row>
    <row r="535" spans="1:50">
      <c r="A535" s="7"/>
      <c r="B535" s="10"/>
      <c r="C535" s="45" t="s">
        <v>396</v>
      </c>
      <c r="D535" s="23" t="s">
        <v>19</v>
      </c>
      <c r="E535" s="46" t="s">
        <v>581</v>
      </c>
      <c r="F535" s="46" t="s">
        <v>581</v>
      </c>
      <c r="G535" s="46" t="s">
        <v>581</v>
      </c>
      <c r="H535" s="46" t="s">
        <v>581</v>
      </c>
      <c r="I535" s="25">
        <v>0.9</v>
      </c>
      <c r="J535" s="26">
        <v>0.94029850746268662</v>
      </c>
      <c r="K535" s="26">
        <v>0.92647058823529416</v>
      </c>
      <c r="L535" s="27">
        <v>0.95522388059701491</v>
      </c>
      <c r="M535" s="26">
        <v>0.93433395872420266</v>
      </c>
      <c r="N535" s="28">
        <v>0.9</v>
      </c>
      <c r="O535" s="26">
        <v>0</v>
      </c>
      <c r="P535" s="26">
        <v>0</v>
      </c>
      <c r="Q535" s="26">
        <v>0</v>
      </c>
      <c r="R535" s="26">
        <v>0.33333333333333331</v>
      </c>
      <c r="S535" s="28">
        <v>0.9</v>
      </c>
      <c r="T535" s="26">
        <v>0</v>
      </c>
      <c r="U535" s="26">
        <v>1</v>
      </c>
      <c r="V535" s="26">
        <v>0</v>
      </c>
      <c r="W535" s="26">
        <v>0.33333333333333331</v>
      </c>
      <c r="X535" s="28">
        <v>0.92</v>
      </c>
      <c r="Y535" s="28">
        <v>0</v>
      </c>
      <c r="Z535" s="28">
        <v>0.5</v>
      </c>
      <c r="AA535" s="28">
        <v>0</v>
      </c>
      <c r="AB535" s="28">
        <v>0.5</v>
      </c>
      <c r="AC535" s="28">
        <v>0.92</v>
      </c>
      <c r="AD535" s="26">
        <v>0.99327956989247312</v>
      </c>
      <c r="AE535" s="26">
        <v>0.99403430275913496</v>
      </c>
      <c r="AF535" s="26">
        <v>0.99516908212560384</v>
      </c>
      <c r="AG535" s="26">
        <v>0.99188623276915022</v>
      </c>
      <c r="AH535" s="28">
        <v>0.92</v>
      </c>
      <c r="AI535" s="26">
        <v>0.96990666237528167</v>
      </c>
      <c r="AJ535" s="26">
        <v>0.97778520126941704</v>
      </c>
      <c r="AK535" s="26">
        <v>0.9800285306704708</v>
      </c>
      <c r="AL535" s="26">
        <v>0.9755107925523151</v>
      </c>
      <c r="AM535" s="25">
        <v>0.99</v>
      </c>
      <c r="AN535" s="30">
        <v>1</v>
      </c>
      <c r="AO535" s="30">
        <v>1</v>
      </c>
      <c r="AP535" s="30">
        <v>1</v>
      </c>
      <c r="AQ535" s="30">
        <v>1</v>
      </c>
      <c r="AR535" s="50">
        <v>0.05</v>
      </c>
      <c r="AS535" s="34">
        <v>3.8461538461538464E-2</v>
      </c>
      <c r="AT535" s="34">
        <v>0</v>
      </c>
      <c r="AU535" s="34">
        <v>0</v>
      </c>
      <c r="AV535" s="34">
        <v>7.1856287425149698E-2</v>
      </c>
      <c r="AW535" s="10"/>
      <c r="AX535" s="8"/>
    </row>
    <row r="536" spans="1:50">
      <c r="A536" s="7"/>
      <c r="B536" s="10"/>
      <c r="C536" s="45" t="s">
        <v>396</v>
      </c>
      <c r="D536" s="23" t="s">
        <v>19</v>
      </c>
      <c r="E536" s="46" t="s">
        <v>582</v>
      </c>
      <c r="F536" s="46" t="s">
        <v>582</v>
      </c>
      <c r="G536" s="46" t="s">
        <v>582</v>
      </c>
      <c r="H536" s="46" t="s">
        <v>582</v>
      </c>
      <c r="I536" s="25">
        <v>0.9</v>
      </c>
      <c r="J536" s="26">
        <v>0.96666666666666667</v>
      </c>
      <c r="K536" s="26">
        <v>1</v>
      </c>
      <c r="L536" s="27">
        <v>0.96969696969696972</v>
      </c>
      <c r="M536" s="26">
        <v>0.91235059760956172</v>
      </c>
      <c r="N536" s="28">
        <v>0.9</v>
      </c>
      <c r="O536" s="26">
        <v>0.9147748418310383</v>
      </c>
      <c r="P536" s="26">
        <v>0.95780100658149436</v>
      </c>
      <c r="Q536" s="26">
        <v>0.96677215189873422</v>
      </c>
      <c r="R536" s="26">
        <v>0.95069457137634805</v>
      </c>
      <c r="S536" s="28">
        <v>0.9</v>
      </c>
      <c r="T536" s="26">
        <v>0.87532564197990326</v>
      </c>
      <c r="U536" s="26">
        <v>0.92953929539295388</v>
      </c>
      <c r="V536" s="26">
        <v>0.95284810126582276</v>
      </c>
      <c r="W536" s="26">
        <v>0.9296289526594772</v>
      </c>
      <c r="X536" s="28">
        <v>0.92</v>
      </c>
      <c r="Y536" s="28">
        <v>0</v>
      </c>
      <c r="Z536" s="28">
        <v>0</v>
      </c>
      <c r="AA536" s="28">
        <v>0</v>
      </c>
      <c r="AB536" s="28">
        <v>0</v>
      </c>
      <c r="AC536" s="28">
        <v>0.92</v>
      </c>
      <c r="AD536" s="26">
        <v>0.97727272727272729</v>
      </c>
      <c r="AE536" s="26">
        <v>1</v>
      </c>
      <c r="AF536" s="26">
        <v>0.93103448275862066</v>
      </c>
      <c r="AG536" s="26">
        <v>0.95486111111111116</v>
      </c>
      <c r="AH536" s="28">
        <v>0.92</v>
      </c>
      <c r="AI536" s="26">
        <v>0.95429208472686733</v>
      </c>
      <c r="AJ536" s="26">
        <v>0.97486465583913384</v>
      </c>
      <c r="AK536" s="26">
        <v>0.98577749683944371</v>
      </c>
      <c r="AL536" s="26">
        <v>0.97784046958183557</v>
      </c>
      <c r="AM536" s="25">
        <v>0.99</v>
      </c>
      <c r="AN536" s="30">
        <v>1</v>
      </c>
      <c r="AO536" s="30">
        <v>1</v>
      </c>
      <c r="AP536" s="30">
        <v>1</v>
      </c>
      <c r="AQ536" s="30">
        <v>1</v>
      </c>
      <c r="AR536" s="50">
        <v>0.05</v>
      </c>
      <c r="AS536" s="34">
        <v>0</v>
      </c>
      <c r="AT536" s="34">
        <v>0.14285714285714285</v>
      </c>
      <c r="AU536" s="34">
        <v>0</v>
      </c>
      <c r="AV536" s="34">
        <v>8.5106382978723402E-2</v>
      </c>
      <c r="AW536" s="10"/>
      <c r="AX536" s="8"/>
    </row>
    <row r="537" spans="1:50">
      <c r="A537" s="7"/>
      <c r="B537" s="10"/>
      <c r="C537" s="45" t="s">
        <v>396</v>
      </c>
      <c r="D537" s="23" t="s">
        <v>19</v>
      </c>
      <c r="E537" s="46" t="s">
        <v>583</v>
      </c>
      <c r="F537" s="46" t="s">
        <v>583</v>
      </c>
      <c r="G537" s="46" t="s">
        <v>583</v>
      </c>
      <c r="H537" s="46" t="s">
        <v>583</v>
      </c>
      <c r="I537" s="25">
        <v>0.9</v>
      </c>
      <c r="J537" s="26">
        <v>0.90625</v>
      </c>
      <c r="K537" s="26">
        <v>0.91428571428571426</v>
      </c>
      <c r="L537" s="27">
        <v>0.91666666666666663</v>
      </c>
      <c r="M537" s="26">
        <v>0.937037037037037</v>
      </c>
      <c r="N537" s="28">
        <v>0.9</v>
      </c>
      <c r="O537" s="26">
        <v>0.91399607586657949</v>
      </c>
      <c r="P537" s="26">
        <v>0.93402664933376667</v>
      </c>
      <c r="Q537" s="26">
        <v>0.92761326246519871</v>
      </c>
      <c r="R537" s="26">
        <v>0.87067574481482934</v>
      </c>
      <c r="S537" s="28">
        <v>0.9</v>
      </c>
      <c r="T537" s="26">
        <v>0.93034663178548072</v>
      </c>
      <c r="U537" s="26">
        <v>0.93240168995775108</v>
      </c>
      <c r="V537" s="26">
        <v>0.91445203745887116</v>
      </c>
      <c r="W537" s="26">
        <v>0.92888346648825215</v>
      </c>
      <c r="X537" s="28">
        <v>0.92</v>
      </c>
      <c r="Y537" s="28">
        <v>0</v>
      </c>
      <c r="Z537" s="28">
        <v>0</v>
      </c>
      <c r="AA537" s="28">
        <v>0</v>
      </c>
      <c r="AB537" s="28">
        <v>0</v>
      </c>
      <c r="AC537" s="28">
        <v>0.92</v>
      </c>
      <c r="AD537" s="26">
        <v>0.97887323943661975</v>
      </c>
      <c r="AE537" s="26">
        <v>0.9913419913419913</v>
      </c>
      <c r="AF537" s="26">
        <v>0.99310344827586206</v>
      </c>
      <c r="AG537" s="26">
        <v>0.9140997830802603</v>
      </c>
      <c r="AH537" s="28">
        <v>0.92</v>
      </c>
      <c r="AI537" s="26">
        <v>0.960873818063254</v>
      </c>
      <c r="AJ537" s="26">
        <v>0.97727272727272729</v>
      </c>
      <c r="AK537" s="26">
        <v>0.96557833459883569</v>
      </c>
      <c r="AL537" s="26">
        <v>0.97096888399354864</v>
      </c>
      <c r="AM537" s="25">
        <v>0.99</v>
      </c>
      <c r="AN537" s="30">
        <v>1</v>
      </c>
      <c r="AO537" s="30">
        <v>1</v>
      </c>
      <c r="AP537" s="30">
        <v>1</v>
      </c>
      <c r="AQ537" s="30">
        <v>1</v>
      </c>
      <c r="AR537" s="50">
        <v>0.05</v>
      </c>
      <c r="AS537" s="34">
        <v>0.25</v>
      </c>
      <c r="AT537" s="34">
        <v>0</v>
      </c>
      <c r="AU537" s="34">
        <v>0</v>
      </c>
      <c r="AV537" s="34">
        <v>7.407407407407407E-2</v>
      </c>
      <c r="AW537" s="10"/>
      <c r="AX537" s="8"/>
    </row>
    <row r="538" spans="1:50">
      <c r="A538" s="7"/>
      <c r="B538" s="10"/>
      <c r="C538" s="45" t="s">
        <v>396</v>
      </c>
      <c r="D538" s="23" t="s">
        <v>19</v>
      </c>
      <c r="E538" s="46" t="s">
        <v>584</v>
      </c>
      <c r="F538" s="46" t="s">
        <v>584</v>
      </c>
      <c r="G538" s="46" t="s">
        <v>584</v>
      </c>
      <c r="H538" s="46" t="s">
        <v>584</v>
      </c>
      <c r="I538" s="25">
        <v>0.9</v>
      </c>
      <c r="J538" s="26">
        <v>0.95081967213114749</v>
      </c>
      <c r="K538" s="26">
        <v>0.96875</v>
      </c>
      <c r="L538" s="27">
        <v>0.97014925373134331</v>
      </c>
      <c r="M538" s="26">
        <v>0.96850393700787396</v>
      </c>
      <c r="N538" s="28">
        <v>0.9</v>
      </c>
      <c r="O538" s="26">
        <v>0.54545454545454541</v>
      </c>
      <c r="P538" s="26">
        <v>1</v>
      </c>
      <c r="Q538" s="26">
        <v>0</v>
      </c>
      <c r="R538" s="26">
        <v>0.5</v>
      </c>
      <c r="S538" s="28">
        <v>0.9</v>
      </c>
      <c r="T538" s="26">
        <v>0.36363636363636365</v>
      </c>
      <c r="U538" s="26">
        <v>1</v>
      </c>
      <c r="V538" s="26">
        <v>0</v>
      </c>
      <c r="W538" s="26">
        <v>0.35714285714285715</v>
      </c>
      <c r="X538" s="28">
        <v>0.92</v>
      </c>
      <c r="Y538" s="28">
        <v>0</v>
      </c>
      <c r="Z538" s="28">
        <v>0</v>
      </c>
      <c r="AA538" s="28">
        <v>0</v>
      </c>
      <c r="AB538" s="28">
        <v>0.33333333333333331</v>
      </c>
      <c r="AC538" s="28">
        <v>0.92</v>
      </c>
      <c r="AD538" s="26">
        <v>0.93964334705075447</v>
      </c>
      <c r="AE538" s="26">
        <v>0.99210526315789471</v>
      </c>
      <c r="AF538" s="26">
        <v>0.99316939890710387</v>
      </c>
      <c r="AG538" s="26">
        <v>0.98641167589330647</v>
      </c>
      <c r="AH538" s="28">
        <v>0.92</v>
      </c>
      <c r="AI538" s="26">
        <v>0.94538897475528083</v>
      </c>
      <c r="AJ538" s="26">
        <v>0.9664934599534134</v>
      </c>
      <c r="AK538" s="26">
        <v>0.97546101350370262</v>
      </c>
      <c r="AL538" s="26">
        <v>0.96209033791815246</v>
      </c>
      <c r="AM538" s="25">
        <v>0.99</v>
      </c>
      <c r="AN538" s="30">
        <v>1</v>
      </c>
      <c r="AO538" s="30">
        <v>1</v>
      </c>
      <c r="AP538" s="30">
        <v>1</v>
      </c>
      <c r="AQ538" s="30">
        <v>1</v>
      </c>
      <c r="AR538" s="50">
        <v>0.05</v>
      </c>
      <c r="AS538" s="34">
        <v>0</v>
      </c>
      <c r="AT538" s="34">
        <v>6.25E-2</v>
      </c>
      <c r="AU538" s="34">
        <v>0.16666666666666666</v>
      </c>
      <c r="AV538" s="34">
        <v>5.4054054054054057E-2</v>
      </c>
      <c r="AW538" s="10"/>
      <c r="AX538" s="8"/>
    </row>
    <row r="539" spans="1:50">
      <c r="A539" s="7"/>
      <c r="B539" s="10"/>
      <c r="C539" s="45" t="s">
        <v>396</v>
      </c>
      <c r="D539" s="23" t="s">
        <v>19</v>
      </c>
      <c r="E539" s="46" t="s">
        <v>585</v>
      </c>
      <c r="F539" s="46" t="s">
        <v>585</v>
      </c>
      <c r="G539" s="46" t="s">
        <v>585</v>
      </c>
      <c r="H539" s="46" t="s">
        <v>585</v>
      </c>
      <c r="I539" s="25">
        <v>0.9</v>
      </c>
      <c r="J539" s="26">
        <v>0.9642857142857143</v>
      </c>
      <c r="K539" s="26">
        <v>0.93939393939393945</v>
      </c>
      <c r="L539" s="27">
        <v>0.96969696969696972</v>
      </c>
      <c r="M539" s="26">
        <v>0.95161290322580649</v>
      </c>
      <c r="N539" s="28">
        <v>0.9</v>
      </c>
      <c r="O539" s="26">
        <v>0</v>
      </c>
      <c r="P539" s="26">
        <v>1</v>
      </c>
      <c r="Q539" s="26">
        <v>0</v>
      </c>
      <c r="R539" s="26">
        <v>0.33333333333333331</v>
      </c>
      <c r="S539" s="28">
        <v>0.9</v>
      </c>
      <c r="T539" s="26">
        <v>0</v>
      </c>
      <c r="U539" s="26">
        <v>0</v>
      </c>
      <c r="V539" s="26">
        <v>1</v>
      </c>
      <c r="W539" s="26">
        <v>0.66666666666666663</v>
      </c>
      <c r="X539" s="28">
        <v>0.92</v>
      </c>
      <c r="Y539" s="28">
        <v>0</v>
      </c>
      <c r="Z539" s="28">
        <v>0</v>
      </c>
      <c r="AA539" s="28">
        <v>0</v>
      </c>
      <c r="AB539" s="28">
        <v>0</v>
      </c>
      <c r="AC539" s="28">
        <v>0.92</v>
      </c>
      <c r="AD539" s="26">
        <v>0.99319727891156462</v>
      </c>
      <c r="AE539" s="26">
        <v>1</v>
      </c>
      <c r="AF539" s="26">
        <v>0.99651567944250874</v>
      </c>
      <c r="AG539" s="26">
        <v>0.9923518164435946</v>
      </c>
      <c r="AH539" s="28">
        <v>0.92</v>
      </c>
      <c r="AI539" s="26">
        <v>0.96909564085881583</v>
      </c>
      <c r="AJ539" s="26">
        <v>0.9764230380599529</v>
      </c>
      <c r="AK539" s="26">
        <v>0.98612622415669204</v>
      </c>
      <c r="AL539" s="26">
        <v>0.98109420784329471</v>
      </c>
      <c r="AM539" s="25">
        <v>0.99</v>
      </c>
      <c r="AN539" s="30">
        <v>1</v>
      </c>
      <c r="AO539" s="30">
        <v>1</v>
      </c>
      <c r="AP539" s="30">
        <v>1</v>
      </c>
      <c r="AQ539" s="30">
        <v>1</v>
      </c>
      <c r="AR539" s="50">
        <v>0.05</v>
      </c>
      <c r="AS539" s="34">
        <v>0</v>
      </c>
      <c r="AT539" s="34">
        <v>0</v>
      </c>
      <c r="AU539" s="34">
        <v>0</v>
      </c>
      <c r="AV539" s="34">
        <v>3.3333333333333333E-2</v>
      </c>
      <c r="AW539" s="10"/>
      <c r="AX539" s="8"/>
    </row>
    <row r="540" spans="1:50">
      <c r="A540" s="7"/>
      <c r="B540" s="10"/>
      <c r="C540" s="45" t="s">
        <v>396</v>
      </c>
      <c r="D540" s="23" t="s">
        <v>19</v>
      </c>
      <c r="E540" s="46" t="s">
        <v>586</v>
      </c>
      <c r="F540" s="46" t="s">
        <v>586</v>
      </c>
      <c r="G540" s="46" t="s">
        <v>586</v>
      </c>
      <c r="H540" s="46" t="s">
        <v>586</v>
      </c>
      <c r="I540" s="25">
        <v>0.9</v>
      </c>
      <c r="J540" s="26">
        <v>0.81690140845070425</v>
      </c>
      <c r="K540" s="26">
        <v>0.9178082191780822</v>
      </c>
      <c r="L540" s="27">
        <v>0.93333333333333335</v>
      </c>
      <c r="M540" s="26">
        <v>0.89388489208633093</v>
      </c>
      <c r="N540" s="28">
        <v>0.9</v>
      </c>
      <c r="O540" s="26">
        <v>1</v>
      </c>
      <c r="P540" s="26">
        <v>0</v>
      </c>
      <c r="Q540" s="26">
        <v>0</v>
      </c>
      <c r="R540" s="26">
        <v>0.8</v>
      </c>
      <c r="S540" s="28">
        <v>0.9</v>
      </c>
      <c r="T540" s="26">
        <v>0.5</v>
      </c>
      <c r="U540" s="26">
        <v>0</v>
      </c>
      <c r="V540" s="26">
        <v>0</v>
      </c>
      <c r="W540" s="26">
        <v>0.4</v>
      </c>
      <c r="X540" s="28">
        <v>0.92</v>
      </c>
      <c r="Y540" s="28">
        <v>0</v>
      </c>
      <c r="Z540" s="28">
        <v>0.5</v>
      </c>
      <c r="AA540" s="28">
        <v>0</v>
      </c>
      <c r="AB540" s="28">
        <v>0.14285714285714285</v>
      </c>
      <c r="AC540" s="28">
        <v>0.92</v>
      </c>
      <c r="AD540" s="26">
        <v>0.95495495495495497</v>
      </c>
      <c r="AE540" s="26">
        <v>0.96226415094339623</v>
      </c>
      <c r="AF540" s="26">
        <v>0.97701149425287359</v>
      </c>
      <c r="AG540" s="26">
        <v>0.96751269035532994</v>
      </c>
      <c r="AH540" s="28">
        <v>0.92</v>
      </c>
      <c r="AI540" s="26">
        <v>0.96612074502247913</v>
      </c>
      <c r="AJ540" s="26">
        <v>0.97784200385356457</v>
      </c>
      <c r="AK540" s="26">
        <v>0.98169848584595132</v>
      </c>
      <c r="AL540" s="26">
        <v>0.97936646323743093</v>
      </c>
      <c r="AM540" s="25">
        <v>0.99</v>
      </c>
      <c r="AN540" s="30">
        <v>1</v>
      </c>
      <c r="AO540" s="30">
        <v>1</v>
      </c>
      <c r="AP540" s="30">
        <v>1</v>
      </c>
      <c r="AQ540" s="30">
        <v>1</v>
      </c>
      <c r="AR540" s="50">
        <v>0.05</v>
      </c>
      <c r="AS540" s="34">
        <v>0</v>
      </c>
      <c r="AT540" s="34">
        <v>6.25E-2</v>
      </c>
      <c r="AU540" s="34">
        <v>0</v>
      </c>
      <c r="AV540" s="34">
        <v>1.5037593984962405E-2</v>
      </c>
      <c r="AW540" s="10"/>
      <c r="AX540" s="8"/>
    </row>
    <row r="541" spans="1:50">
      <c r="A541" s="7"/>
      <c r="B541" s="10"/>
      <c r="C541" s="45" t="s">
        <v>396</v>
      </c>
      <c r="D541" s="23" t="s">
        <v>19</v>
      </c>
      <c r="E541" s="46" t="s">
        <v>587</v>
      </c>
      <c r="F541" s="46" t="s">
        <v>587</v>
      </c>
      <c r="G541" s="46" t="s">
        <v>587</v>
      </c>
      <c r="H541" s="46" t="s">
        <v>587</v>
      </c>
      <c r="I541" s="25">
        <v>0.9</v>
      </c>
      <c r="J541" s="26">
        <v>0.97222222222222221</v>
      </c>
      <c r="K541" s="26">
        <v>0.97560975609756095</v>
      </c>
      <c r="L541" s="27">
        <v>0.97499999999999998</v>
      </c>
      <c r="M541" s="26">
        <v>0.97278911564625847</v>
      </c>
      <c r="N541" s="28">
        <v>0.9</v>
      </c>
      <c r="O541" s="26">
        <v>0.33333333333333331</v>
      </c>
      <c r="P541" s="26">
        <v>0</v>
      </c>
      <c r="Q541" s="26">
        <v>0</v>
      </c>
      <c r="R541" s="26">
        <v>0.125</v>
      </c>
      <c r="S541" s="28">
        <v>0.9</v>
      </c>
      <c r="T541" s="26">
        <v>0.66666666666666663</v>
      </c>
      <c r="U541" s="26">
        <v>0</v>
      </c>
      <c r="V541" s="26">
        <v>0</v>
      </c>
      <c r="W541" s="26">
        <v>0.5</v>
      </c>
      <c r="X541" s="28">
        <v>0.92</v>
      </c>
      <c r="Y541" s="28">
        <v>0</v>
      </c>
      <c r="Z541" s="28">
        <v>0</v>
      </c>
      <c r="AA541" s="28">
        <v>0</v>
      </c>
      <c r="AB541" s="28">
        <v>0</v>
      </c>
      <c r="AC541" s="28">
        <v>0.92</v>
      </c>
      <c r="AD541" s="26">
        <v>0.99943149516770891</v>
      </c>
      <c r="AE541" s="26">
        <v>0.9984488107549121</v>
      </c>
      <c r="AF541" s="26">
        <v>0.99409780775716694</v>
      </c>
      <c r="AG541" s="26">
        <v>0.99795383859878872</v>
      </c>
      <c r="AH541" s="28">
        <v>0.92</v>
      </c>
      <c r="AI541" s="26">
        <v>0.97609890109890107</v>
      </c>
      <c r="AJ541" s="26">
        <v>0.98817204301075268</v>
      </c>
      <c r="AK541" s="26">
        <v>0.98774120317820657</v>
      </c>
      <c r="AL541" s="26">
        <v>0.98451891044483641</v>
      </c>
      <c r="AM541" s="25">
        <v>0.99</v>
      </c>
      <c r="AN541" s="30">
        <v>1</v>
      </c>
      <c r="AO541" s="30">
        <v>1</v>
      </c>
      <c r="AP541" s="30">
        <v>1</v>
      </c>
      <c r="AQ541" s="30">
        <v>1</v>
      </c>
      <c r="AR541" s="50">
        <v>0.05</v>
      </c>
      <c r="AS541" s="34">
        <v>0</v>
      </c>
      <c r="AT541" s="34">
        <v>0</v>
      </c>
      <c r="AU541" s="34">
        <v>0</v>
      </c>
      <c r="AV541" s="34">
        <v>4.6511627906976744E-2</v>
      </c>
      <c r="AW541" s="10"/>
      <c r="AX541" s="8"/>
    </row>
    <row r="542" spans="1:50">
      <c r="A542" s="7"/>
      <c r="B542" s="10"/>
      <c r="C542" s="45" t="s">
        <v>396</v>
      </c>
      <c r="D542" s="23" t="s">
        <v>19</v>
      </c>
      <c r="E542" s="46" t="s">
        <v>588</v>
      </c>
      <c r="F542" s="46" t="s">
        <v>588</v>
      </c>
      <c r="G542" s="46" t="s">
        <v>588</v>
      </c>
      <c r="H542" s="46" t="s">
        <v>588</v>
      </c>
      <c r="I542" s="25">
        <v>0.9</v>
      </c>
      <c r="J542" s="26">
        <v>1</v>
      </c>
      <c r="K542" s="26">
        <v>0.97222222222222221</v>
      </c>
      <c r="L542" s="27">
        <v>0.92105263157894735</v>
      </c>
      <c r="M542" s="26">
        <v>0.94661921708185048</v>
      </c>
      <c r="N542" s="28">
        <v>0.9</v>
      </c>
      <c r="O542" s="26">
        <v>1</v>
      </c>
      <c r="P542" s="26">
        <v>0</v>
      </c>
      <c r="Q542" s="26">
        <v>0</v>
      </c>
      <c r="R542" s="26">
        <v>1</v>
      </c>
      <c r="S542" s="28">
        <v>0.9</v>
      </c>
      <c r="T542" s="26">
        <v>0.5</v>
      </c>
      <c r="U542" s="26">
        <v>0</v>
      </c>
      <c r="V542" s="26">
        <v>0</v>
      </c>
      <c r="W542" s="26">
        <v>0.5</v>
      </c>
      <c r="X542" s="28">
        <v>0.92</v>
      </c>
      <c r="Y542" s="28">
        <v>0</v>
      </c>
      <c r="Z542" s="28">
        <v>0</v>
      </c>
      <c r="AA542" s="28">
        <v>0</v>
      </c>
      <c r="AB542" s="28">
        <v>0</v>
      </c>
      <c r="AC542" s="28">
        <v>0.92</v>
      </c>
      <c r="AD542" s="26">
        <v>0.9455445544554455</v>
      </c>
      <c r="AE542" s="26">
        <v>0.99535315985130113</v>
      </c>
      <c r="AF542" s="26">
        <v>0.99819819819819822</v>
      </c>
      <c r="AG542" s="26">
        <v>0.99019703950593074</v>
      </c>
      <c r="AH542" s="28">
        <v>0.92</v>
      </c>
      <c r="AI542" s="26">
        <v>0.95949288806431665</v>
      </c>
      <c r="AJ542" s="26">
        <v>0.97255627505396236</v>
      </c>
      <c r="AK542" s="26">
        <v>0.97856008470089995</v>
      </c>
      <c r="AL542" s="26">
        <v>0.97062405432335686</v>
      </c>
      <c r="AM542" s="25">
        <v>0.99</v>
      </c>
      <c r="AN542" s="30">
        <v>1</v>
      </c>
      <c r="AO542" s="30">
        <v>1</v>
      </c>
      <c r="AP542" s="30">
        <v>1</v>
      </c>
      <c r="AQ542" s="30">
        <v>1</v>
      </c>
      <c r="AR542" s="50">
        <v>0.05</v>
      </c>
      <c r="AS542" s="34">
        <v>0.05</v>
      </c>
      <c r="AT542" s="34">
        <v>0</v>
      </c>
      <c r="AU542" s="34">
        <v>8.3333333333333329E-2</v>
      </c>
      <c r="AV542" s="34">
        <v>3.9215686274509803E-2</v>
      </c>
      <c r="AW542" s="10"/>
      <c r="AX542" s="8"/>
    </row>
    <row r="543" spans="1:50">
      <c r="A543" s="7"/>
      <c r="B543" s="10"/>
      <c r="C543" s="45" t="s">
        <v>396</v>
      </c>
      <c r="D543" s="23" t="s">
        <v>19</v>
      </c>
      <c r="E543" s="46" t="s">
        <v>589</v>
      </c>
      <c r="F543" s="46" t="s">
        <v>589</v>
      </c>
      <c r="G543" s="46" t="s">
        <v>589</v>
      </c>
      <c r="H543" s="46" t="s">
        <v>589</v>
      </c>
      <c r="I543" s="25">
        <v>0.9</v>
      </c>
      <c r="J543" s="26">
        <v>0.91836734693877553</v>
      </c>
      <c r="K543" s="26">
        <v>0.9</v>
      </c>
      <c r="L543" s="27">
        <v>0.90196078431372551</v>
      </c>
      <c r="M543" s="26">
        <v>0.9133663366336634</v>
      </c>
      <c r="N543" s="28">
        <v>0.9</v>
      </c>
      <c r="O543" s="26">
        <v>0</v>
      </c>
      <c r="P543" s="26">
        <v>0</v>
      </c>
      <c r="Q543" s="26">
        <v>0</v>
      </c>
      <c r="R543" s="26">
        <v>0.25</v>
      </c>
      <c r="S543" s="28">
        <v>0.9</v>
      </c>
      <c r="T543" s="26">
        <v>0.5</v>
      </c>
      <c r="U543" s="26">
        <v>0</v>
      </c>
      <c r="V543" s="26">
        <v>0</v>
      </c>
      <c r="W543" s="26">
        <v>0.5</v>
      </c>
      <c r="X543" s="28">
        <v>0.92</v>
      </c>
      <c r="Y543" s="28">
        <v>0</v>
      </c>
      <c r="Z543" s="28">
        <v>0</v>
      </c>
      <c r="AA543" s="28">
        <v>0</v>
      </c>
      <c r="AB543" s="28">
        <v>0</v>
      </c>
      <c r="AC543" s="28">
        <v>0.92</v>
      </c>
      <c r="AD543" s="26">
        <v>0.96323529411764708</v>
      </c>
      <c r="AE543" s="26">
        <v>0.96666666666666667</v>
      </c>
      <c r="AF543" s="26">
        <v>0.98550724637681164</v>
      </c>
      <c r="AG543" s="26">
        <v>0.97608503100088573</v>
      </c>
      <c r="AH543" s="28">
        <v>0.92</v>
      </c>
      <c r="AI543" s="26">
        <v>0.94154118689105404</v>
      </c>
      <c r="AJ543" s="26">
        <v>0.94254445964432287</v>
      </c>
      <c r="AK543" s="26">
        <v>0.97172675521821628</v>
      </c>
      <c r="AL543" s="26">
        <v>0.96096604341285197</v>
      </c>
      <c r="AM543" s="25">
        <v>0.99</v>
      </c>
      <c r="AN543" s="30">
        <v>1</v>
      </c>
      <c r="AO543" s="30">
        <v>1</v>
      </c>
      <c r="AP543" s="30">
        <v>1</v>
      </c>
      <c r="AQ543" s="30">
        <v>1</v>
      </c>
      <c r="AR543" s="50">
        <v>0.05</v>
      </c>
      <c r="AS543" s="34">
        <v>0</v>
      </c>
      <c r="AT543" s="34">
        <v>0</v>
      </c>
      <c r="AU543" s="34">
        <v>0.5</v>
      </c>
      <c r="AV543" s="34">
        <v>0.04</v>
      </c>
      <c r="AW543" s="10"/>
      <c r="AX543" s="8"/>
    </row>
    <row r="544" spans="1:50">
      <c r="A544" s="7"/>
      <c r="B544" s="10"/>
      <c r="C544" s="45" t="s">
        <v>396</v>
      </c>
      <c r="D544" s="23" t="s">
        <v>19</v>
      </c>
      <c r="E544" s="46" t="s">
        <v>590</v>
      </c>
      <c r="F544" s="46" t="s">
        <v>590</v>
      </c>
      <c r="G544" s="46" t="s">
        <v>590</v>
      </c>
      <c r="H544" s="46" t="s">
        <v>590</v>
      </c>
      <c r="I544" s="25">
        <v>0.9</v>
      </c>
      <c r="J544" s="26">
        <v>0.9</v>
      </c>
      <c r="K544" s="26">
        <v>0.93103448275862066</v>
      </c>
      <c r="L544" s="27">
        <v>0.86206896551724133</v>
      </c>
      <c r="M544" s="26">
        <v>0.93043478260869561</v>
      </c>
      <c r="N544" s="28">
        <v>0.9</v>
      </c>
      <c r="O544" s="26">
        <v>0</v>
      </c>
      <c r="P544" s="26">
        <v>0</v>
      </c>
      <c r="Q544" s="26">
        <v>0</v>
      </c>
      <c r="R544" s="26">
        <v>0</v>
      </c>
      <c r="S544" s="28">
        <v>0.9</v>
      </c>
      <c r="T544" s="26">
        <v>0</v>
      </c>
      <c r="U544" s="26">
        <v>0</v>
      </c>
      <c r="V544" s="26">
        <v>0</v>
      </c>
      <c r="W544" s="26">
        <v>0</v>
      </c>
      <c r="X544" s="28">
        <v>0.92</v>
      </c>
      <c r="Y544" s="28">
        <v>0</v>
      </c>
      <c r="Z544" s="28">
        <v>0</v>
      </c>
      <c r="AA544" s="28">
        <v>0</v>
      </c>
      <c r="AB544" s="28">
        <v>0</v>
      </c>
      <c r="AC544" s="28">
        <v>0.92</v>
      </c>
      <c r="AD544" s="26">
        <v>0.99645390070921991</v>
      </c>
      <c r="AE544" s="26">
        <v>0.98449612403100772</v>
      </c>
      <c r="AF544" s="26">
        <v>0.98429319371727753</v>
      </c>
      <c r="AG544" s="26">
        <v>0.99225306649451261</v>
      </c>
      <c r="AH544" s="28">
        <v>0.92</v>
      </c>
      <c r="AI544" s="26">
        <v>0.98186728395061729</v>
      </c>
      <c r="AJ544" s="26">
        <v>0.98534072900158476</v>
      </c>
      <c r="AK544" s="26">
        <v>0.97462086041473228</v>
      </c>
      <c r="AL544" s="26">
        <v>0.98340403710782709</v>
      </c>
      <c r="AM544" s="25">
        <v>0.99</v>
      </c>
      <c r="AN544" s="30">
        <v>1</v>
      </c>
      <c r="AO544" s="30">
        <v>1</v>
      </c>
      <c r="AP544" s="30">
        <v>1</v>
      </c>
      <c r="AQ544" s="30">
        <v>1</v>
      </c>
      <c r="AR544" s="50">
        <v>0.05</v>
      </c>
      <c r="AS544" s="34">
        <v>0</v>
      </c>
      <c r="AT544" s="34">
        <v>0</v>
      </c>
      <c r="AU544" s="34">
        <v>0</v>
      </c>
      <c r="AV544" s="34">
        <v>0</v>
      </c>
      <c r="AW544" s="10"/>
      <c r="AX544" s="8"/>
    </row>
    <row r="545" spans="1:50">
      <c r="A545" s="7"/>
      <c r="B545" s="10"/>
      <c r="C545" s="45" t="s">
        <v>396</v>
      </c>
      <c r="D545" s="23" t="s">
        <v>19</v>
      </c>
      <c r="E545" s="46" t="s">
        <v>591</v>
      </c>
      <c r="F545" s="46" t="s">
        <v>591</v>
      </c>
      <c r="G545" s="46" t="s">
        <v>591</v>
      </c>
      <c r="H545" s="46" t="s">
        <v>591</v>
      </c>
      <c r="I545" s="25">
        <v>0.9</v>
      </c>
      <c r="J545" s="26">
        <v>0.8928571428571429</v>
      </c>
      <c r="K545" s="26">
        <v>0.8928571428571429</v>
      </c>
      <c r="L545" s="27">
        <v>0.91228070175438591</v>
      </c>
      <c r="M545" s="26">
        <v>0.8811659192825112</v>
      </c>
      <c r="N545" s="28">
        <v>0.9</v>
      </c>
      <c r="O545" s="26">
        <v>0</v>
      </c>
      <c r="P545" s="26">
        <v>0</v>
      </c>
      <c r="Q545" s="26">
        <v>0.5</v>
      </c>
      <c r="R545" s="26">
        <v>0.53846153846153844</v>
      </c>
      <c r="S545" s="28">
        <v>0.9</v>
      </c>
      <c r="T545" s="26">
        <v>0</v>
      </c>
      <c r="U545" s="26">
        <v>1</v>
      </c>
      <c r="V545" s="26">
        <v>0.25</v>
      </c>
      <c r="W545" s="26">
        <v>0.46153846153846156</v>
      </c>
      <c r="X545" s="28">
        <v>0.92</v>
      </c>
      <c r="Y545" s="28">
        <v>0</v>
      </c>
      <c r="Z545" s="28">
        <v>0</v>
      </c>
      <c r="AA545" s="28">
        <v>0</v>
      </c>
      <c r="AB545" s="28">
        <v>0</v>
      </c>
      <c r="AC545" s="28">
        <v>0.92</v>
      </c>
      <c r="AD545" s="26">
        <v>0.84053156146179397</v>
      </c>
      <c r="AE545" s="26">
        <v>0.95922905856189766</v>
      </c>
      <c r="AF545" s="26">
        <v>0.95934379457917263</v>
      </c>
      <c r="AG545" s="26">
        <v>0.96877224199288259</v>
      </c>
      <c r="AH545" s="28">
        <v>0.92</v>
      </c>
      <c r="AI545" s="26">
        <v>0.85274032568727021</v>
      </c>
      <c r="AJ545" s="26">
        <v>0.9038159958180868</v>
      </c>
      <c r="AK545" s="26">
        <v>0.92977567228647062</v>
      </c>
      <c r="AL545" s="26">
        <v>0.92473626538899512</v>
      </c>
      <c r="AM545" s="25">
        <v>0.99</v>
      </c>
      <c r="AN545" s="30">
        <v>1</v>
      </c>
      <c r="AO545" s="30">
        <v>1</v>
      </c>
      <c r="AP545" s="30">
        <v>1</v>
      </c>
      <c r="AQ545" s="30">
        <v>1</v>
      </c>
      <c r="AR545" s="50">
        <v>0.05</v>
      </c>
      <c r="AS545" s="34">
        <v>0</v>
      </c>
      <c r="AT545" s="34">
        <v>0.16666666666666666</v>
      </c>
      <c r="AU545" s="34">
        <v>3.7037037037037035E-2</v>
      </c>
      <c r="AV545" s="34">
        <v>5.6994818652849742E-2</v>
      </c>
      <c r="AW545" s="10"/>
      <c r="AX545" s="8"/>
    </row>
    <row r="546" spans="1:50">
      <c r="A546" s="7"/>
      <c r="B546" s="10"/>
      <c r="C546" s="45" t="s">
        <v>396</v>
      </c>
      <c r="D546" s="23" t="s">
        <v>19</v>
      </c>
      <c r="E546" s="46" t="s">
        <v>592</v>
      </c>
      <c r="F546" s="46" t="s">
        <v>592</v>
      </c>
      <c r="G546" s="46" t="s">
        <v>592</v>
      </c>
      <c r="H546" s="46" t="s">
        <v>592</v>
      </c>
      <c r="I546" s="25">
        <v>0.9</v>
      </c>
      <c r="J546" s="26">
        <v>0.95652173913043481</v>
      </c>
      <c r="K546" s="26">
        <v>0.86956521739130432</v>
      </c>
      <c r="L546" s="27">
        <v>0.96</v>
      </c>
      <c r="M546" s="26">
        <v>0.93157894736842106</v>
      </c>
      <c r="N546" s="28">
        <v>0.9</v>
      </c>
      <c r="O546" s="26">
        <v>0</v>
      </c>
      <c r="P546" s="26">
        <v>0</v>
      </c>
      <c r="Q546" s="26">
        <v>0</v>
      </c>
      <c r="R546" s="26">
        <v>0</v>
      </c>
      <c r="S546" s="28">
        <v>0.9</v>
      </c>
      <c r="T546" s="26">
        <v>0</v>
      </c>
      <c r="U546" s="26">
        <v>0</v>
      </c>
      <c r="V546" s="26">
        <v>0</v>
      </c>
      <c r="W546" s="26">
        <v>0</v>
      </c>
      <c r="X546" s="28">
        <v>0.92</v>
      </c>
      <c r="Y546" s="28">
        <v>0</v>
      </c>
      <c r="Z546" s="28">
        <v>1</v>
      </c>
      <c r="AA546" s="28">
        <v>0</v>
      </c>
      <c r="AB546" s="28">
        <v>0.5</v>
      </c>
      <c r="AC546" s="28">
        <v>0.92</v>
      </c>
      <c r="AD546" s="26">
        <v>0.92592592592592593</v>
      </c>
      <c r="AE546" s="26">
        <v>0.99444444444444446</v>
      </c>
      <c r="AF546" s="26">
        <v>0.91794871794871791</v>
      </c>
      <c r="AG546" s="26">
        <v>0.95840266222961734</v>
      </c>
      <c r="AH546" s="28">
        <v>0.92</v>
      </c>
      <c r="AI546" s="26">
        <v>0.94190549961270331</v>
      </c>
      <c r="AJ546" s="26">
        <v>0.96299308662057748</v>
      </c>
      <c r="AK546" s="26">
        <v>0.97060606060606058</v>
      </c>
      <c r="AL546" s="26">
        <v>0.96739279981655579</v>
      </c>
      <c r="AM546" s="25">
        <v>0.99</v>
      </c>
      <c r="AN546" s="30">
        <v>1</v>
      </c>
      <c r="AO546" s="30">
        <v>1</v>
      </c>
      <c r="AP546" s="30">
        <v>1</v>
      </c>
      <c r="AQ546" s="30">
        <v>1</v>
      </c>
      <c r="AR546" s="50">
        <v>0.05</v>
      </c>
      <c r="AS546" s="34">
        <v>0.2</v>
      </c>
      <c r="AT546" s="34">
        <v>0.16666666666666666</v>
      </c>
      <c r="AU546" s="34">
        <v>0.2</v>
      </c>
      <c r="AV546" s="34">
        <v>9.2307692307692313E-2</v>
      </c>
      <c r="AW546" s="10"/>
      <c r="AX546" s="8"/>
    </row>
    <row r="547" spans="1:50">
      <c r="A547" s="7"/>
      <c r="B547" s="10"/>
      <c r="C547" s="45" t="s">
        <v>396</v>
      </c>
      <c r="D547" s="23" t="s">
        <v>19</v>
      </c>
      <c r="E547" s="46" t="s">
        <v>593</v>
      </c>
      <c r="F547" s="46" t="s">
        <v>593</v>
      </c>
      <c r="G547" s="46" t="s">
        <v>593</v>
      </c>
      <c r="H547" s="46" t="s">
        <v>593</v>
      </c>
      <c r="I547" s="25">
        <v>0.9</v>
      </c>
      <c r="J547" s="26">
        <v>0.85</v>
      </c>
      <c r="K547" s="26">
        <v>0.9285714285714286</v>
      </c>
      <c r="L547" s="27">
        <v>0.90909090909090906</v>
      </c>
      <c r="M547" s="26">
        <v>0.89665653495440734</v>
      </c>
      <c r="N547" s="28">
        <v>0.9</v>
      </c>
      <c r="O547" s="26">
        <v>0</v>
      </c>
      <c r="P547" s="26">
        <v>0.5</v>
      </c>
      <c r="Q547" s="26">
        <v>0.5</v>
      </c>
      <c r="R547" s="26">
        <v>0.33333333333333331</v>
      </c>
      <c r="S547" s="28">
        <v>0.9</v>
      </c>
      <c r="T547" s="26">
        <v>0</v>
      </c>
      <c r="U547" s="26">
        <v>0</v>
      </c>
      <c r="V547" s="26">
        <v>1</v>
      </c>
      <c r="W547" s="26">
        <v>0.5</v>
      </c>
      <c r="X547" s="28">
        <v>0.92</v>
      </c>
      <c r="Y547" s="28">
        <v>0</v>
      </c>
      <c r="Z547" s="28">
        <v>0</v>
      </c>
      <c r="AA547" s="28">
        <v>0</v>
      </c>
      <c r="AB547" s="28">
        <v>0</v>
      </c>
      <c r="AC547" s="28">
        <v>0.92</v>
      </c>
      <c r="AD547" s="26">
        <v>0.99655172413793103</v>
      </c>
      <c r="AE547" s="26">
        <v>0.99411764705882355</v>
      </c>
      <c r="AF547" s="26">
        <v>0.99632352941176472</v>
      </c>
      <c r="AG547" s="26">
        <v>0.99315068493150682</v>
      </c>
      <c r="AH547" s="28">
        <v>0.92</v>
      </c>
      <c r="AI547" s="26">
        <v>0.95730622617534944</v>
      </c>
      <c r="AJ547" s="26">
        <v>0.95758389261744969</v>
      </c>
      <c r="AK547" s="26">
        <v>0.9506509869802604</v>
      </c>
      <c r="AL547" s="26">
        <v>0.96620791736213896</v>
      </c>
      <c r="AM547" s="25">
        <v>0.99</v>
      </c>
      <c r="AN547" s="30">
        <v>1</v>
      </c>
      <c r="AO547" s="30">
        <v>1</v>
      </c>
      <c r="AP547" s="30">
        <v>1</v>
      </c>
      <c r="AQ547" s="30">
        <v>1</v>
      </c>
      <c r="AR547" s="50">
        <v>0.05</v>
      </c>
      <c r="AS547" s="34">
        <v>5.2631578947368418E-2</v>
      </c>
      <c r="AT547" s="34">
        <v>7.6923076923076927E-2</v>
      </c>
      <c r="AU547" s="34">
        <v>0</v>
      </c>
      <c r="AV547" s="34">
        <v>0.05</v>
      </c>
      <c r="AW547" s="10"/>
      <c r="AX547" s="8"/>
    </row>
    <row r="548" spans="1:50">
      <c r="A548" s="7"/>
      <c r="B548" s="10"/>
      <c r="C548" s="45" t="s">
        <v>396</v>
      </c>
      <c r="D548" s="23" t="s">
        <v>19</v>
      </c>
      <c r="E548" s="46" t="s">
        <v>594</v>
      </c>
      <c r="F548" s="46" t="s">
        <v>594</v>
      </c>
      <c r="G548" s="46" t="s">
        <v>594</v>
      </c>
      <c r="H548" s="46" t="s">
        <v>594</v>
      </c>
      <c r="I548" s="25">
        <v>0.9</v>
      </c>
      <c r="J548" s="26">
        <v>0.90384615384615385</v>
      </c>
      <c r="K548" s="26">
        <v>0.87931034482758619</v>
      </c>
      <c r="L548" s="27">
        <v>0.9152542372881356</v>
      </c>
      <c r="M548" s="26">
        <v>0.88863636363636367</v>
      </c>
      <c r="N548" s="28">
        <v>0.9</v>
      </c>
      <c r="O548" s="26">
        <v>0</v>
      </c>
      <c r="P548" s="26">
        <v>0</v>
      </c>
      <c r="Q548" s="26">
        <v>1</v>
      </c>
      <c r="R548" s="26">
        <v>0.14285714285714285</v>
      </c>
      <c r="S548" s="28">
        <v>0.9</v>
      </c>
      <c r="T548" s="26">
        <v>0</v>
      </c>
      <c r="U548" s="26">
        <v>0</v>
      </c>
      <c r="V548" s="26">
        <v>1</v>
      </c>
      <c r="W548" s="26">
        <v>0.14285714285714285</v>
      </c>
      <c r="X548" s="28">
        <v>0.92</v>
      </c>
      <c r="Y548" s="28">
        <v>0</v>
      </c>
      <c r="Z548" s="28">
        <v>0</v>
      </c>
      <c r="AA548" s="28">
        <v>0</v>
      </c>
      <c r="AB548" s="28">
        <v>0.2</v>
      </c>
      <c r="AC548" s="28">
        <v>0.92</v>
      </c>
      <c r="AD548" s="26">
        <v>0.9859154929577465</v>
      </c>
      <c r="AE548" s="26">
        <v>0.98104265402843605</v>
      </c>
      <c r="AF548" s="26">
        <v>0.98994974874371855</v>
      </c>
      <c r="AG548" s="26">
        <v>0.98827667057444313</v>
      </c>
      <c r="AH548" s="28">
        <v>0.92</v>
      </c>
      <c r="AI548" s="26">
        <v>0.97448575949367089</v>
      </c>
      <c r="AJ548" s="26">
        <v>0.9834644081468038</v>
      </c>
      <c r="AK548" s="26">
        <v>0.98666666666666669</v>
      </c>
      <c r="AL548" s="26">
        <v>0.96997674254704347</v>
      </c>
      <c r="AM548" s="25">
        <v>0.99</v>
      </c>
      <c r="AN548" s="30">
        <v>1</v>
      </c>
      <c r="AO548" s="30">
        <v>1</v>
      </c>
      <c r="AP548" s="30">
        <v>1</v>
      </c>
      <c r="AQ548" s="30">
        <v>1</v>
      </c>
      <c r="AR548" s="50">
        <v>0.05</v>
      </c>
      <c r="AS548" s="34">
        <v>0</v>
      </c>
      <c r="AT548" s="34">
        <v>0</v>
      </c>
      <c r="AU548" s="34">
        <v>0</v>
      </c>
      <c r="AV548" s="34">
        <v>2.8846153846153848E-2</v>
      </c>
      <c r="AW548" s="10"/>
      <c r="AX548" s="8"/>
    </row>
    <row r="549" spans="1:50">
      <c r="A549" s="7"/>
      <c r="B549" s="10"/>
      <c r="C549" s="45" t="s">
        <v>396</v>
      </c>
      <c r="D549" s="23" t="s">
        <v>19</v>
      </c>
      <c r="E549" s="46" t="s">
        <v>595</v>
      </c>
      <c r="F549" s="46" t="s">
        <v>595</v>
      </c>
      <c r="G549" s="46" t="s">
        <v>595</v>
      </c>
      <c r="H549" s="46" t="s">
        <v>595</v>
      </c>
      <c r="I549" s="25">
        <v>0.9</v>
      </c>
      <c r="J549" s="26">
        <v>0.98039215686274506</v>
      </c>
      <c r="K549" s="26">
        <v>1</v>
      </c>
      <c r="L549" s="27">
        <v>0.98305084745762716</v>
      </c>
      <c r="M549" s="26">
        <v>0.9555555555555556</v>
      </c>
      <c r="N549" s="28">
        <v>0.9</v>
      </c>
      <c r="O549" s="26">
        <v>0.96532271445163431</v>
      </c>
      <c r="P549" s="26">
        <v>0.98080454014354868</v>
      </c>
      <c r="Q549" s="26">
        <v>0.9787688609961277</v>
      </c>
      <c r="R549" s="26">
        <v>0.9774398125706899</v>
      </c>
      <c r="S549" s="28">
        <v>0.9</v>
      </c>
      <c r="T549" s="26">
        <v>0.90791438526630164</v>
      </c>
      <c r="U549" s="26">
        <v>0.95676848606242693</v>
      </c>
      <c r="V549" s="26">
        <v>0.93457070369875817</v>
      </c>
      <c r="W549" s="26">
        <v>0.92874454677653906</v>
      </c>
      <c r="X549" s="28">
        <v>0.92</v>
      </c>
      <c r="Y549" s="28">
        <v>0</v>
      </c>
      <c r="Z549" s="28">
        <v>0</v>
      </c>
      <c r="AA549" s="28">
        <v>0</v>
      </c>
      <c r="AB549" s="28">
        <v>0</v>
      </c>
      <c r="AC549" s="28">
        <v>0.92</v>
      </c>
      <c r="AD549" s="26">
        <v>0.99440605462323128</v>
      </c>
      <c r="AE549" s="26">
        <v>0.98811516571811187</v>
      </c>
      <c r="AF549" s="26">
        <v>0.99766245909303408</v>
      </c>
      <c r="AG549" s="26">
        <v>0.99255794173931533</v>
      </c>
      <c r="AH549" s="28">
        <v>0.92</v>
      </c>
      <c r="AI549" s="26">
        <v>0.94711538461538458</v>
      </c>
      <c r="AJ549" s="26">
        <v>0.98181514848181517</v>
      </c>
      <c r="AK549" s="26">
        <v>0.97957276368491319</v>
      </c>
      <c r="AL549" s="26">
        <v>0.97239945081570023</v>
      </c>
      <c r="AM549" s="25">
        <v>0.99</v>
      </c>
      <c r="AN549" s="30">
        <v>1</v>
      </c>
      <c r="AO549" s="30">
        <v>1</v>
      </c>
      <c r="AP549" s="30">
        <v>1</v>
      </c>
      <c r="AQ549" s="30">
        <v>1</v>
      </c>
      <c r="AR549" s="50">
        <v>0.05</v>
      </c>
      <c r="AS549" s="34">
        <v>0</v>
      </c>
      <c r="AT549" s="34">
        <v>0.12</v>
      </c>
      <c r="AU549" s="34">
        <v>0</v>
      </c>
      <c r="AV549" s="34">
        <v>5.4545454545454543E-2</v>
      </c>
      <c r="AW549" s="10"/>
      <c r="AX549" s="8"/>
    </row>
    <row r="550" spans="1:50">
      <c r="A550" s="7"/>
      <c r="B550" s="10"/>
      <c r="C550" s="45" t="s">
        <v>396</v>
      </c>
      <c r="D550" s="23" t="s">
        <v>19</v>
      </c>
      <c r="E550" s="46" t="s">
        <v>596</v>
      </c>
      <c r="F550" s="46" t="s">
        <v>596</v>
      </c>
      <c r="G550" s="46" t="s">
        <v>596</v>
      </c>
      <c r="H550" s="46" t="s">
        <v>596</v>
      </c>
      <c r="I550" s="25">
        <v>0.9</v>
      </c>
      <c r="J550" s="26">
        <v>0.98461538461538467</v>
      </c>
      <c r="K550" s="26">
        <v>0.97058823529411764</v>
      </c>
      <c r="L550" s="27">
        <v>0.98484848484848486</v>
      </c>
      <c r="M550" s="26">
        <v>0.97509578544061304</v>
      </c>
      <c r="N550" s="28">
        <v>0.9</v>
      </c>
      <c r="O550" s="26">
        <v>0.88888888888888884</v>
      </c>
      <c r="P550" s="26">
        <v>0.96153846153846156</v>
      </c>
      <c r="Q550" s="26">
        <v>0.92307692307692313</v>
      </c>
      <c r="R550" s="26">
        <v>0.96240601503759393</v>
      </c>
      <c r="S550" s="28">
        <v>0.9</v>
      </c>
      <c r="T550" s="26">
        <v>0.88888888888888884</v>
      </c>
      <c r="U550" s="26">
        <v>0.96153846153846156</v>
      </c>
      <c r="V550" s="26">
        <v>0.92307692307692313</v>
      </c>
      <c r="W550" s="26">
        <v>0.96240601503759393</v>
      </c>
      <c r="X550" s="28">
        <v>0.92</v>
      </c>
      <c r="Y550" s="28">
        <v>0</v>
      </c>
      <c r="Z550" s="28">
        <v>0</v>
      </c>
      <c r="AA550" s="28">
        <v>1</v>
      </c>
      <c r="AB550" s="28">
        <v>0.81818181818181823</v>
      </c>
      <c r="AC550" s="28">
        <v>0.92</v>
      </c>
      <c r="AD550" s="26">
        <v>0.99922839506172845</v>
      </c>
      <c r="AE550" s="26">
        <v>0.9642857142857143</v>
      </c>
      <c r="AF550" s="26">
        <v>0.98902305159165749</v>
      </c>
      <c r="AG550" s="26">
        <v>0.98860575927076855</v>
      </c>
      <c r="AH550" s="28">
        <v>0.92</v>
      </c>
      <c r="AI550" s="26">
        <v>0.95917451772095108</v>
      </c>
      <c r="AJ550" s="26">
        <v>0.96702959668762456</v>
      </c>
      <c r="AK550" s="26">
        <v>0.97526025719534604</v>
      </c>
      <c r="AL550" s="26">
        <v>0.96570487577862107</v>
      </c>
      <c r="AM550" s="25">
        <v>0.99</v>
      </c>
      <c r="AN550" s="30">
        <v>1</v>
      </c>
      <c r="AO550" s="30">
        <v>1</v>
      </c>
      <c r="AP550" s="30">
        <v>1</v>
      </c>
      <c r="AQ550" s="30">
        <v>1</v>
      </c>
      <c r="AR550" s="50">
        <v>0.05</v>
      </c>
      <c r="AS550" s="34">
        <v>0</v>
      </c>
      <c r="AT550" s="34">
        <v>1.1847826086956521</v>
      </c>
      <c r="AU550" s="34">
        <v>7.9681274900398405E-3</v>
      </c>
      <c r="AV550" s="34">
        <v>0.13429438543247343</v>
      </c>
      <c r="AW550" s="10"/>
      <c r="AX550" s="8"/>
    </row>
    <row r="551" spans="1:50">
      <c r="A551" s="7"/>
      <c r="B551" s="10"/>
      <c r="C551" s="45" t="s">
        <v>396</v>
      </c>
      <c r="D551" s="23" t="s">
        <v>19</v>
      </c>
      <c r="E551" s="46" t="s">
        <v>597</v>
      </c>
      <c r="F551" s="46" t="s">
        <v>597</v>
      </c>
      <c r="G551" s="46" t="s">
        <v>597</v>
      </c>
      <c r="H551" s="46" t="s">
        <v>597</v>
      </c>
      <c r="I551" s="25">
        <v>0.9</v>
      </c>
      <c r="J551" s="26">
        <v>0.97499999999999998</v>
      </c>
      <c r="K551" s="26">
        <v>0.91891891891891897</v>
      </c>
      <c r="L551" s="27">
        <v>1</v>
      </c>
      <c r="M551" s="26">
        <v>0.95886075949367089</v>
      </c>
      <c r="N551" s="28">
        <v>0.9</v>
      </c>
      <c r="O551" s="26">
        <v>1</v>
      </c>
      <c r="P551" s="26">
        <v>1</v>
      </c>
      <c r="Q551" s="26">
        <v>1</v>
      </c>
      <c r="R551" s="26">
        <v>0.75</v>
      </c>
      <c r="S551" s="28">
        <v>0.9</v>
      </c>
      <c r="T551" s="26">
        <v>1</v>
      </c>
      <c r="U551" s="26">
        <v>1</v>
      </c>
      <c r="V551" s="26">
        <v>1</v>
      </c>
      <c r="W551" s="26">
        <v>0.8125</v>
      </c>
      <c r="X551" s="28">
        <v>0.92</v>
      </c>
      <c r="Y551" s="28">
        <v>0</v>
      </c>
      <c r="Z551" s="28">
        <v>0</v>
      </c>
      <c r="AA551" s="28">
        <v>0</v>
      </c>
      <c r="AB551" s="28">
        <v>0</v>
      </c>
      <c r="AC551" s="28">
        <v>0.92</v>
      </c>
      <c r="AD551" s="26">
        <v>0.99724770642201832</v>
      </c>
      <c r="AE551" s="26">
        <v>0.97425742574257423</v>
      </c>
      <c r="AF551" s="26">
        <v>0.99604117181314333</v>
      </c>
      <c r="AG551" s="26">
        <v>0.98987407503570035</v>
      </c>
      <c r="AH551" s="28">
        <v>0.92</v>
      </c>
      <c r="AI551" s="26">
        <v>0.96442819148936165</v>
      </c>
      <c r="AJ551" s="26">
        <v>0.97101449275362317</v>
      </c>
      <c r="AK551" s="26">
        <v>0.98243128364975918</v>
      </c>
      <c r="AL551" s="26">
        <v>0.97333715596330272</v>
      </c>
      <c r="AM551" s="25">
        <v>0.99</v>
      </c>
      <c r="AN551" s="30">
        <v>1</v>
      </c>
      <c r="AO551" s="30">
        <v>1</v>
      </c>
      <c r="AP551" s="30">
        <v>1</v>
      </c>
      <c r="AQ551" s="30">
        <v>1</v>
      </c>
      <c r="AR551" s="50">
        <v>0.05</v>
      </c>
      <c r="AS551" s="34">
        <v>8.3333333333333329E-2</v>
      </c>
      <c r="AT551" s="34">
        <v>0</v>
      </c>
      <c r="AU551" s="34">
        <v>7.6923076923076927E-2</v>
      </c>
      <c r="AV551" s="34">
        <v>6.4516129032258063E-2</v>
      </c>
      <c r="AW551" s="10"/>
      <c r="AX551" s="8"/>
    </row>
    <row r="552" spans="1:50">
      <c r="A552" s="7"/>
      <c r="B552" s="10"/>
      <c r="C552" s="45" t="s">
        <v>396</v>
      </c>
      <c r="D552" s="23" t="s">
        <v>19</v>
      </c>
      <c r="E552" s="46" t="s">
        <v>598</v>
      </c>
      <c r="F552" s="46" t="s">
        <v>598</v>
      </c>
      <c r="G552" s="46" t="s">
        <v>598</v>
      </c>
      <c r="H552" s="46" t="s">
        <v>598</v>
      </c>
      <c r="I552" s="25">
        <v>0.9</v>
      </c>
      <c r="J552" s="26">
        <v>0.90740740740740744</v>
      </c>
      <c r="K552" s="26">
        <v>0.92156862745098034</v>
      </c>
      <c r="L552" s="27">
        <v>0.92727272727272725</v>
      </c>
      <c r="M552" s="26">
        <v>0.91727493917274938</v>
      </c>
      <c r="N552" s="28">
        <v>0.9</v>
      </c>
      <c r="O552" s="26">
        <v>0</v>
      </c>
      <c r="P552" s="26">
        <v>0</v>
      </c>
      <c r="Q552" s="26">
        <v>0</v>
      </c>
      <c r="R552" s="26">
        <v>0.5</v>
      </c>
      <c r="S552" s="28">
        <v>0.9</v>
      </c>
      <c r="T552" s="26">
        <v>0</v>
      </c>
      <c r="U552" s="26">
        <v>0</v>
      </c>
      <c r="V552" s="26">
        <v>0</v>
      </c>
      <c r="W552" s="26">
        <v>0</v>
      </c>
      <c r="X552" s="28">
        <v>0.92</v>
      </c>
      <c r="Y552" s="28">
        <v>0</v>
      </c>
      <c r="Z552" s="28">
        <v>0</v>
      </c>
      <c r="AA552" s="28">
        <v>0</v>
      </c>
      <c r="AB552" s="28">
        <v>0</v>
      </c>
      <c r="AC552" s="28">
        <v>0.92</v>
      </c>
      <c r="AD552" s="26">
        <v>0.99599465954606137</v>
      </c>
      <c r="AE552" s="26">
        <v>0.99824868651488619</v>
      </c>
      <c r="AF552" s="26">
        <v>0.99500831946755408</v>
      </c>
      <c r="AG552" s="26">
        <v>0.99470599357156364</v>
      </c>
      <c r="AH552" s="28">
        <v>0.92</v>
      </c>
      <c r="AI552" s="26">
        <v>0.94511314395763124</v>
      </c>
      <c r="AJ552" s="26">
        <v>0.96077959576515881</v>
      </c>
      <c r="AK552" s="26">
        <v>0.97399345020227313</v>
      </c>
      <c r="AL552" s="26">
        <v>0.96735871148299402</v>
      </c>
      <c r="AM552" s="25">
        <v>0.99</v>
      </c>
      <c r="AN552" s="30">
        <v>1</v>
      </c>
      <c r="AO552" s="30">
        <v>1</v>
      </c>
      <c r="AP552" s="30">
        <v>1</v>
      </c>
      <c r="AQ552" s="30">
        <v>1</v>
      </c>
      <c r="AR552" s="50">
        <v>0.05</v>
      </c>
      <c r="AS552" s="34">
        <v>0</v>
      </c>
      <c r="AT552" s="34">
        <v>5.8823529411764705E-2</v>
      </c>
      <c r="AU552" s="34">
        <v>0.33333333333333331</v>
      </c>
      <c r="AV552" s="34">
        <v>5.1020408163265307E-2</v>
      </c>
      <c r="AW552" s="10"/>
      <c r="AX552" s="8"/>
    </row>
    <row r="553" spans="1:50">
      <c r="A553" s="7"/>
      <c r="B553" s="10"/>
      <c r="C553" s="45" t="s">
        <v>396</v>
      </c>
      <c r="D553" s="23" t="s">
        <v>19</v>
      </c>
      <c r="E553" s="46" t="s">
        <v>599</v>
      </c>
      <c r="F553" s="46" t="s">
        <v>599</v>
      </c>
      <c r="G553" s="46" t="s">
        <v>599</v>
      </c>
      <c r="H553" s="46" t="s">
        <v>599</v>
      </c>
      <c r="I553" s="25">
        <v>0.9</v>
      </c>
      <c r="J553" s="26">
        <v>0.90769230769230769</v>
      </c>
      <c r="K553" s="26">
        <v>0.88524590163934425</v>
      </c>
      <c r="L553" s="27">
        <v>0.8970588235294118</v>
      </c>
      <c r="M553" s="26">
        <v>0.90740740740740744</v>
      </c>
      <c r="N553" s="28">
        <v>0.9</v>
      </c>
      <c r="O553" s="26">
        <v>0.66666666666666663</v>
      </c>
      <c r="P553" s="26">
        <v>1</v>
      </c>
      <c r="Q553" s="26">
        <v>0</v>
      </c>
      <c r="R553" s="26">
        <v>0.44444444444444442</v>
      </c>
      <c r="S553" s="28">
        <v>0.9</v>
      </c>
      <c r="T553" s="26">
        <v>0</v>
      </c>
      <c r="U553" s="26">
        <v>0.5</v>
      </c>
      <c r="V553" s="26">
        <v>0</v>
      </c>
      <c r="W553" s="26">
        <v>0.33333333333333331</v>
      </c>
      <c r="X553" s="28">
        <v>0.92</v>
      </c>
      <c r="Y553" s="28">
        <v>0</v>
      </c>
      <c r="Z553" s="28">
        <v>0</v>
      </c>
      <c r="AA553" s="28">
        <v>0</v>
      </c>
      <c r="AB553" s="28">
        <v>0</v>
      </c>
      <c r="AC553" s="28">
        <v>0.92</v>
      </c>
      <c r="AD553" s="26">
        <v>0.92995169082125606</v>
      </c>
      <c r="AE553" s="26">
        <v>0.99737532808398954</v>
      </c>
      <c r="AF553" s="26">
        <v>0.98826979472140764</v>
      </c>
      <c r="AG553" s="26">
        <v>0.98284734133790741</v>
      </c>
      <c r="AH553" s="28">
        <v>0.92</v>
      </c>
      <c r="AI553" s="26">
        <v>0.97125936248040412</v>
      </c>
      <c r="AJ553" s="26">
        <v>0.96014922842123118</v>
      </c>
      <c r="AK553" s="26">
        <v>0.9767775229357798</v>
      </c>
      <c r="AL553" s="26">
        <v>0.96760892754574546</v>
      </c>
      <c r="AM553" s="25">
        <v>0.99</v>
      </c>
      <c r="AN553" s="30">
        <v>1</v>
      </c>
      <c r="AO553" s="30">
        <v>1</v>
      </c>
      <c r="AP553" s="30">
        <v>1</v>
      </c>
      <c r="AQ553" s="30">
        <v>1</v>
      </c>
      <c r="AR553" s="50">
        <v>0.05</v>
      </c>
      <c r="AS553" s="34">
        <v>6.25E-2</v>
      </c>
      <c r="AT553" s="34">
        <v>5.8823529411764705E-2</v>
      </c>
      <c r="AU553" s="34">
        <v>0</v>
      </c>
      <c r="AV553" s="34">
        <v>5.1948051948051951E-2</v>
      </c>
      <c r="AW553" s="10"/>
      <c r="AX553" s="8"/>
    </row>
    <row r="554" spans="1:50">
      <c r="A554" s="7"/>
      <c r="B554" s="10"/>
      <c r="C554" s="45" t="s">
        <v>396</v>
      </c>
      <c r="D554" s="23" t="s">
        <v>19</v>
      </c>
      <c r="E554" s="46" t="s">
        <v>600</v>
      </c>
      <c r="F554" s="46" t="s">
        <v>600</v>
      </c>
      <c r="G554" s="46" t="s">
        <v>600</v>
      </c>
      <c r="H554" s="46" t="s">
        <v>600</v>
      </c>
      <c r="I554" s="25">
        <v>0.9</v>
      </c>
      <c r="J554" s="26">
        <v>0.97916666666666663</v>
      </c>
      <c r="K554" s="26">
        <v>1</v>
      </c>
      <c r="L554" s="27">
        <v>0.96153846153846156</v>
      </c>
      <c r="M554" s="26">
        <v>0.97368421052631582</v>
      </c>
      <c r="N554" s="28">
        <v>0.9</v>
      </c>
      <c r="O554" s="26">
        <v>0.95128339444735466</v>
      </c>
      <c r="P554" s="26">
        <v>0.97910592808551988</v>
      </c>
      <c r="Q554" s="26">
        <v>0.97769953051643188</v>
      </c>
      <c r="R554" s="26">
        <v>0.96883372519000488</v>
      </c>
      <c r="S554" s="28">
        <v>0.9</v>
      </c>
      <c r="T554" s="26">
        <v>0.92875851231010997</v>
      </c>
      <c r="U554" s="26">
        <v>0.96550048590864912</v>
      </c>
      <c r="V554" s="26">
        <v>0.94248826291079812</v>
      </c>
      <c r="W554" s="26">
        <v>0.94297118486521958</v>
      </c>
      <c r="X554" s="28">
        <v>0.92</v>
      </c>
      <c r="Y554" s="28">
        <v>0.90318550905683948</v>
      </c>
      <c r="Z554" s="28">
        <v>0.96554225607544431</v>
      </c>
      <c r="AA554" s="28">
        <v>0.95619618120554095</v>
      </c>
      <c r="AB554" s="28">
        <v>0.93349550211125387</v>
      </c>
      <c r="AC554" s="28">
        <v>0.92</v>
      </c>
      <c r="AD554" s="26">
        <v>0.98469387755102045</v>
      </c>
      <c r="AE554" s="26">
        <v>0.98412698412698407</v>
      </c>
      <c r="AF554" s="26">
        <v>0.96825396825396826</v>
      </c>
      <c r="AG554" s="26">
        <v>0.97880794701986751</v>
      </c>
      <c r="AH554" s="28">
        <v>0.92</v>
      </c>
      <c r="AI554" s="26">
        <v>0.92762128325508608</v>
      </c>
      <c r="AJ554" s="26">
        <v>0.97780543455714586</v>
      </c>
      <c r="AK554" s="26">
        <v>0.97304015296367108</v>
      </c>
      <c r="AL554" s="26">
        <v>0.95639817515518655</v>
      </c>
      <c r="AM554" s="25">
        <v>0.99</v>
      </c>
      <c r="AN554" s="30">
        <v>1</v>
      </c>
      <c r="AO554" s="30">
        <v>1</v>
      </c>
      <c r="AP554" s="30">
        <v>1</v>
      </c>
      <c r="AQ554" s="30">
        <v>1</v>
      </c>
      <c r="AR554" s="50">
        <v>0.05</v>
      </c>
      <c r="AS554" s="34">
        <v>0</v>
      </c>
      <c r="AT554" s="34">
        <v>0.125</v>
      </c>
      <c r="AU554" s="34">
        <v>0</v>
      </c>
      <c r="AV554" s="34">
        <v>3.9215686274509803E-2</v>
      </c>
      <c r="AW554" s="10"/>
      <c r="AX554" s="8"/>
    </row>
    <row r="555" spans="1:50">
      <c r="A555" s="7"/>
      <c r="B555" s="10"/>
      <c r="C555" s="45" t="s">
        <v>396</v>
      </c>
      <c r="D555" s="23" t="s">
        <v>19</v>
      </c>
      <c r="E555" s="46" t="s">
        <v>601</v>
      </c>
      <c r="F555" s="46" t="s">
        <v>601</v>
      </c>
      <c r="G555" s="46" t="s">
        <v>601</v>
      </c>
      <c r="H555" s="46" t="s">
        <v>601</v>
      </c>
      <c r="I555" s="25">
        <v>0.9</v>
      </c>
      <c r="J555" s="26">
        <v>1</v>
      </c>
      <c r="K555" s="26">
        <v>0.9538461538461539</v>
      </c>
      <c r="L555" s="27">
        <v>0.98529411764705888</v>
      </c>
      <c r="M555" s="26">
        <v>0.98084291187739459</v>
      </c>
      <c r="N555" s="28">
        <v>0.9</v>
      </c>
      <c r="O555" s="26">
        <v>0.97895622895622891</v>
      </c>
      <c r="P555" s="26">
        <v>0.98074559606718559</v>
      </c>
      <c r="Q555" s="26">
        <v>0.9798308392973325</v>
      </c>
      <c r="R555" s="26">
        <v>0.98136088030541213</v>
      </c>
      <c r="S555" s="28">
        <v>0.9</v>
      </c>
      <c r="T555" s="26">
        <v>0.93855218855218858</v>
      </c>
      <c r="U555" s="26">
        <v>0.94141745186399017</v>
      </c>
      <c r="V555" s="26">
        <v>0.93689004554326605</v>
      </c>
      <c r="W555" s="26">
        <v>0.9412530878059735</v>
      </c>
      <c r="X555" s="28">
        <v>0.92</v>
      </c>
      <c r="Y555" s="28">
        <v>0.96040000000000003</v>
      </c>
      <c r="Z555" s="28">
        <v>0.96389124893797795</v>
      </c>
      <c r="AA555" s="28">
        <v>0.96571428571428575</v>
      </c>
      <c r="AB555" s="28">
        <v>0.96533743173148179</v>
      </c>
      <c r="AC555" s="28">
        <v>0.92</v>
      </c>
      <c r="AD555" s="26">
        <v>0.99109131403118045</v>
      </c>
      <c r="AE555" s="26">
        <v>1</v>
      </c>
      <c r="AF555" s="26">
        <v>1</v>
      </c>
      <c r="AG555" s="26">
        <v>0.99861239592969475</v>
      </c>
      <c r="AH555" s="28">
        <v>0.92</v>
      </c>
      <c r="AI555" s="26">
        <v>0.96789922795611538</v>
      </c>
      <c r="AJ555" s="26">
        <v>0.97278056951423786</v>
      </c>
      <c r="AK555" s="26">
        <v>0.97457404980340756</v>
      </c>
      <c r="AL555" s="26">
        <v>0.97402486944392463</v>
      </c>
      <c r="AM555" s="25">
        <v>0.99</v>
      </c>
      <c r="AN555" s="30">
        <v>1</v>
      </c>
      <c r="AO555" s="30">
        <v>1</v>
      </c>
      <c r="AP555" s="30">
        <v>1</v>
      </c>
      <c r="AQ555" s="30">
        <v>1</v>
      </c>
      <c r="AR555" s="50">
        <v>0.05</v>
      </c>
      <c r="AS555" s="34">
        <v>8.3333333333333329E-2</v>
      </c>
      <c r="AT555" s="34">
        <v>5.2631578947368418E-2</v>
      </c>
      <c r="AU555" s="34">
        <v>3.7037037037037035E-2</v>
      </c>
      <c r="AV555" s="34">
        <v>4.3902439024390241E-2</v>
      </c>
      <c r="AW555" s="10"/>
      <c r="AX555" s="8"/>
    </row>
    <row r="556" spans="1:50">
      <c r="A556" s="7"/>
      <c r="B556" s="10"/>
      <c r="C556" s="45" t="s">
        <v>396</v>
      </c>
      <c r="D556" s="23" t="s">
        <v>19</v>
      </c>
      <c r="E556" s="46" t="s">
        <v>602</v>
      </c>
      <c r="F556" s="46" t="s">
        <v>602</v>
      </c>
      <c r="G556" s="46" t="s">
        <v>602</v>
      </c>
      <c r="H556" s="46" t="s">
        <v>602</v>
      </c>
      <c r="I556" s="25">
        <v>0.9</v>
      </c>
      <c r="J556" s="26">
        <v>0.875</v>
      </c>
      <c r="K556" s="26">
        <v>0.96226415094339623</v>
      </c>
      <c r="L556" s="27">
        <v>0.9107142857142857</v>
      </c>
      <c r="M556" s="26">
        <v>0.87886597938144329</v>
      </c>
      <c r="N556" s="28">
        <v>0.9</v>
      </c>
      <c r="O556" s="26">
        <v>0.91904047976011993</v>
      </c>
      <c r="P556" s="26">
        <v>0.94449378330373002</v>
      </c>
      <c r="Q556" s="26">
        <v>0.95824915824915824</v>
      </c>
      <c r="R556" s="26">
        <v>0.94887434295348605</v>
      </c>
      <c r="S556" s="28">
        <v>0.9</v>
      </c>
      <c r="T556" s="26">
        <v>0.89705147426286858</v>
      </c>
      <c r="U556" s="26">
        <v>0.92007104795737127</v>
      </c>
      <c r="V556" s="26">
        <v>0.92558922558922563</v>
      </c>
      <c r="W556" s="26">
        <v>0.89636021025488444</v>
      </c>
      <c r="X556" s="28">
        <v>0.92</v>
      </c>
      <c r="Y556" s="28">
        <v>0.89631901840490802</v>
      </c>
      <c r="Z556" s="28">
        <v>0.88824289405684753</v>
      </c>
      <c r="AA556" s="28">
        <v>0.93817823084511676</v>
      </c>
      <c r="AB556" s="28">
        <v>0.90169241486702456</v>
      </c>
      <c r="AC556" s="28">
        <v>0.92</v>
      </c>
      <c r="AD556" s="26">
        <v>0.96610169491525422</v>
      </c>
      <c r="AE556" s="26">
        <v>0.97402597402597402</v>
      </c>
      <c r="AF556" s="26">
        <v>0.967741935483871</v>
      </c>
      <c r="AG556" s="26">
        <v>0.93256578947368418</v>
      </c>
      <c r="AH556" s="28">
        <v>0.92</v>
      </c>
      <c r="AI556" s="26">
        <v>0.92206804789963881</v>
      </c>
      <c r="AJ556" s="26">
        <v>0.92822520507084261</v>
      </c>
      <c r="AK556" s="26">
        <v>0.96457675037418922</v>
      </c>
      <c r="AL556" s="26">
        <v>0.93621883191074673</v>
      </c>
      <c r="AM556" s="25">
        <v>0.99</v>
      </c>
      <c r="AN556" s="30">
        <v>1</v>
      </c>
      <c r="AO556" s="30">
        <v>1</v>
      </c>
      <c r="AP556" s="30">
        <v>1</v>
      </c>
      <c r="AQ556" s="30">
        <v>1</v>
      </c>
      <c r="AR556" s="50">
        <v>0.05</v>
      </c>
      <c r="AS556" s="34">
        <v>5.8823529411764705E-2</v>
      </c>
      <c r="AT556" s="34">
        <v>0</v>
      </c>
      <c r="AU556" s="34">
        <v>0.13333333333333333</v>
      </c>
      <c r="AV556" s="34">
        <v>6.8181818181818177E-2</v>
      </c>
      <c r="AW556" s="10"/>
      <c r="AX556" s="8"/>
    </row>
    <row r="557" spans="1:50">
      <c r="A557" s="7"/>
      <c r="B557" s="10"/>
      <c r="C557" s="45" t="s">
        <v>396</v>
      </c>
      <c r="D557" s="23" t="s">
        <v>19</v>
      </c>
      <c r="E557" s="46" t="s">
        <v>603</v>
      </c>
      <c r="F557" s="46" t="s">
        <v>603</v>
      </c>
      <c r="G557" s="46" t="s">
        <v>603</v>
      </c>
      <c r="H557" s="46" t="s">
        <v>603</v>
      </c>
      <c r="I557" s="25">
        <v>0.9</v>
      </c>
      <c r="J557" s="26">
        <v>0.88059701492537312</v>
      </c>
      <c r="K557" s="26">
        <v>0.88888888888888884</v>
      </c>
      <c r="L557" s="27">
        <v>0.91139240506329111</v>
      </c>
      <c r="M557" s="26">
        <v>0.92592592592592593</v>
      </c>
      <c r="N557" s="28">
        <v>0.9</v>
      </c>
      <c r="O557" s="26">
        <v>0.97347670250896057</v>
      </c>
      <c r="P557" s="26">
        <v>0.98397085610200363</v>
      </c>
      <c r="Q557" s="26">
        <v>0.98396689940522364</v>
      </c>
      <c r="R557" s="26">
        <v>0.98007509014534777</v>
      </c>
      <c r="S557" s="28">
        <v>0.9</v>
      </c>
      <c r="T557" s="26">
        <v>0.93082437275985663</v>
      </c>
      <c r="U557" s="26">
        <v>0.9482695810564663</v>
      </c>
      <c r="V557" s="26">
        <v>0.95681406775277988</v>
      </c>
      <c r="W557" s="26">
        <v>0.94617300472101407</v>
      </c>
      <c r="X557" s="28">
        <v>0.92</v>
      </c>
      <c r="Y557" s="28">
        <v>0.93297455968688847</v>
      </c>
      <c r="Z557" s="28">
        <v>0.95815686938844657</v>
      </c>
      <c r="AA557" s="28">
        <v>0.96193240013656534</v>
      </c>
      <c r="AB557" s="28">
        <v>0.95098492351711239</v>
      </c>
      <c r="AC557" s="28">
        <v>0.92</v>
      </c>
      <c r="AD557" s="26">
        <v>0.98681732580037662</v>
      </c>
      <c r="AE557" s="26">
        <v>0.98899371069182385</v>
      </c>
      <c r="AF557" s="26">
        <v>0.99003322259136217</v>
      </c>
      <c r="AG557" s="26">
        <v>0.98789144050104383</v>
      </c>
      <c r="AH557" s="28">
        <v>0.92</v>
      </c>
      <c r="AI557" s="26">
        <v>0.94444444444444442</v>
      </c>
      <c r="AJ557" s="26">
        <v>0.96653202538949801</v>
      </c>
      <c r="AK557" s="26">
        <v>0.9733785589474766</v>
      </c>
      <c r="AL557" s="26">
        <v>0.96362105146896404</v>
      </c>
      <c r="AM557" s="25">
        <v>0.99</v>
      </c>
      <c r="AN557" s="30">
        <v>1</v>
      </c>
      <c r="AO557" s="30">
        <v>1</v>
      </c>
      <c r="AP557" s="30">
        <v>1</v>
      </c>
      <c r="AQ557" s="30">
        <v>1</v>
      </c>
      <c r="AR557" s="50">
        <v>0.05</v>
      </c>
      <c r="AS557" s="34">
        <v>0</v>
      </c>
      <c r="AT557" s="34">
        <v>4.878048780487805E-2</v>
      </c>
      <c r="AU557" s="34">
        <v>6.8965517241379309E-2</v>
      </c>
      <c r="AV557" s="34">
        <v>3.4055727554179564E-2</v>
      </c>
      <c r="AW557" s="10"/>
      <c r="AX557" s="8"/>
    </row>
    <row r="558" spans="1:50">
      <c r="A558" s="7"/>
      <c r="B558" s="10"/>
      <c r="C558" s="45" t="s">
        <v>396</v>
      </c>
      <c r="D558" s="23" t="s">
        <v>19</v>
      </c>
      <c r="E558" s="46" t="s">
        <v>604</v>
      </c>
      <c r="F558" s="46" t="s">
        <v>604</v>
      </c>
      <c r="G558" s="46" t="s">
        <v>604</v>
      </c>
      <c r="H558" s="46" t="s">
        <v>604</v>
      </c>
      <c r="I558" s="25">
        <v>0.9</v>
      </c>
      <c r="J558" s="26">
        <v>0.8</v>
      </c>
      <c r="K558" s="26">
        <v>0.86885245901639341</v>
      </c>
      <c r="L558" s="27">
        <v>0.87878787878787878</v>
      </c>
      <c r="M558" s="26">
        <v>0.85745140388768903</v>
      </c>
      <c r="N558" s="28">
        <v>0.9</v>
      </c>
      <c r="O558" s="26">
        <v>0.98371777476255085</v>
      </c>
      <c r="P558" s="26">
        <v>0.97460366322918268</v>
      </c>
      <c r="Q558" s="26">
        <v>0.93593865941132826</v>
      </c>
      <c r="R558" s="26">
        <v>0.94888940678725731</v>
      </c>
      <c r="S558" s="28">
        <v>0.9</v>
      </c>
      <c r="T558" s="26">
        <v>0.91798582843358967</v>
      </c>
      <c r="U558" s="26">
        <v>0.92442665845774974</v>
      </c>
      <c r="V558" s="26">
        <v>0.85555280732129602</v>
      </c>
      <c r="W558" s="26">
        <v>0.88641293630447648</v>
      </c>
      <c r="X558" s="28">
        <v>0.92</v>
      </c>
      <c r="Y558" s="28">
        <v>0</v>
      </c>
      <c r="Z558" s="28">
        <v>0</v>
      </c>
      <c r="AA558" s="28">
        <v>0</v>
      </c>
      <c r="AB558" s="28">
        <v>0.4</v>
      </c>
      <c r="AC558" s="28">
        <v>0.92</v>
      </c>
      <c r="AD558" s="26">
        <v>0.99666944213155706</v>
      </c>
      <c r="AE558" s="26">
        <v>0.9905857740585774</v>
      </c>
      <c r="AF558" s="26">
        <v>0.99574468085106382</v>
      </c>
      <c r="AG558" s="26">
        <v>0.99593674500329454</v>
      </c>
      <c r="AH558" s="28">
        <v>0.92</v>
      </c>
      <c r="AI558" s="26">
        <v>0.96565230491111775</v>
      </c>
      <c r="AJ558" s="26">
        <v>0.97783592427274124</v>
      </c>
      <c r="AK558" s="26">
        <v>0.97477120949789764</v>
      </c>
      <c r="AL558" s="26">
        <v>0.971984728719686</v>
      </c>
      <c r="AM558" s="25">
        <v>0.99</v>
      </c>
      <c r="AN558" s="30">
        <v>1</v>
      </c>
      <c r="AO558" s="30">
        <v>1</v>
      </c>
      <c r="AP558" s="30">
        <v>1</v>
      </c>
      <c r="AQ558" s="30">
        <v>1</v>
      </c>
      <c r="AR558" s="50">
        <v>0.05</v>
      </c>
      <c r="AS558" s="34">
        <v>3.7037037037037035E-2</v>
      </c>
      <c r="AT558" s="34">
        <v>4.5454545454545456E-2</v>
      </c>
      <c r="AU558" s="34">
        <v>5.128205128205128E-2</v>
      </c>
      <c r="AV558" s="34">
        <v>4.2857142857142858E-2</v>
      </c>
      <c r="AW558" s="10"/>
      <c r="AX558" s="8"/>
    </row>
    <row r="559" spans="1:50">
      <c r="A559" s="7"/>
      <c r="B559" s="10"/>
      <c r="C559" s="45" t="s">
        <v>396</v>
      </c>
      <c r="D559" s="23" t="s">
        <v>19</v>
      </c>
      <c r="E559" s="46" t="s">
        <v>605</v>
      </c>
      <c r="F559" s="46" t="s">
        <v>605</v>
      </c>
      <c r="G559" s="46" t="s">
        <v>605</v>
      </c>
      <c r="H559" s="46" t="s">
        <v>605</v>
      </c>
      <c r="I559" s="25">
        <v>0.9</v>
      </c>
      <c r="J559" s="26">
        <v>0.97777777777777775</v>
      </c>
      <c r="K559" s="26">
        <v>1</v>
      </c>
      <c r="L559" s="27">
        <v>0.97872340425531912</v>
      </c>
      <c r="M559" s="26">
        <v>0.97499999999999998</v>
      </c>
      <c r="N559" s="28">
        <v>0.9</v>
      </c>
      <c r="O559" s="26">
        <v>0.96314631463146316</v>
      </c>
      <c r="P559" s="26">
        <v>0.93858751279426822</v>
      </c>
      <c r="Q559" s="26">
        <v>0.9300361881785284</v>
      </c>
      <c r="R559" s="26">
        <v>0.94335225575141923</v>
      </c>
      <c r="S559" s="28">
        <v>0.9</v>
      </c>
      <c r="T559" s="26">
        <v>0.93509350935093505</v>
      </c>
      <c r="U559" s="26">
        <v>0.92937563971340842</v>
      </c>
      <c r="V559" s="26">
        <v>0.9107358262967431</v>
      </c>
      <c r="W559" s="26">
        <v>0.9234538392590379</v>
      </c>
      <c r="X559" s="28">
        <v>0.92</v>
      </c>
      <c r="Y559" s="28">
        <v>0.93307772743116069</v>
      </c>
      <c r="Z559" s="28">
        <v>0.92754172989377848</v>
      </c>
      <c r="AA559" s="28">
        <v>0.95100308641975306</v>
      </c>
      <c r="AB559" s="28">
        <v>0.92882079131109385</v>
      </c>
      <c r="AC559" s="28">
        <v>0.92</v>
      </c>
      <c r="AD559" s="26">
        <v>0.99942163100057835</v>
      </c>
      <c r="AE559" s="26">
        <v>0.9981378026070763</v>
      </c>
      <c r="AF559" s="26">
        <v>0.99605263157894741</v>
      </c>
      <c r="AG559" s="26">
        <v>0.99686671487105327</v>
      </c>
      <c r="AH559" s="28">
        <v>0.92</v>
      </c>
      <c r="AI559" s="26">
        <v>0.94924290893580721</v>
      </c>
      <c r="AJ559" s="26">
        <v>0.94605177289536657</v>
      </c>
      <c r="AK559" s="26">
        <v>0.96221216296004719</v>
      </c>
      <c r="AL559" s="26">
        <v>0.95062421471917025</v>
      </c>
      <c r="AM559" s="25">
        <v>0.99</v>
      </c>
      <c r="AN559" s="30">
        <v>1</v>
      </c>
      <c r="AO559" s="30">
        <v>1</v>
      </c>
      <c r="AP559" s="30">
        <v>1</v>
      </c>
      <c r="AQ559" s="30">
        <v>1</v>
      </c>
      <c r="AR559" s="50">
        <v>0.05</v>
      </c>
      <c r="AS559" s="34">
        <v>0.2</v>
      </c>
      <c r="AT559" s="34">
        <v>0</v>
      </c>
      <c r="AU559" s="34">
        <v>0</v>
      </c>
      <c r="AV559" s="34">
        <v>6.4516129032258063E-2</v>
      </c>
      <c r="AW559" s="10"/>
      <c r="AX559" s="8"/>
    </row>
    <row r="560" spans="1:50">
      <c r="A560" s="7"/>
      <c r="B560" s="10"/>
      <c r="C560" s="45" t="s">
        <v>396</v>
      </c>
      <c r="D560" s="23" t="s">
        <v>19</v>
      </c>
      <c r="E560" s="46" t="s">
        <v>606</v>
      </c>
      <c r="F560" s="46" t="s">
        <v>606</v>
      </c>
      <c r="G560" s="46" t="s">
        <v>606</v>
      </c>
      <c r="H560" s="46" t="s">
        <v>606</v>
      </c>
      <c r="I560" s="25">
        <v>0.9</v>
      </c>
      <c r="J560" s="26">
        <v>0.94117647058823528</v>
      </c>
      <c r="K560" s="26">
        <v>0.95238095238095233</v>
      </c>
      <c r="L560" s="27">
        <v>0.97674418604651159</v>
      </c>
      <c r="M560" s="26">
        <v>0.9639344262295082</v>
      </c>
      <c r="N560" s="28">
        <v>0.9</v>
      </c>
      <c r="O560" s="26">
        <v>0.94916485112563542</v>
      </c>
      <c r="P560" s="26">
        <v>0.94086429112964365</v>
      </c>
      <c r="Q560" s="26">
        <v>0.94871794871794868</v>
      </c>
      <c r="R560" s="26">
        <v>0.92820912992586813</v>
      </c>
      <c r="S560" s="28">
        <v>0.9</v>
      </c>
      <c r="T560" s="26">
        <v>0.89905591866376178</v>
      </c>
      <c r="U560" s="26">
        <v>0.91129643669446547</v>
      </c>
      <c r="V560" s="26">
        <v>0.94017094017094016</v>
      </c>
      <c r="W560" s="26">
        <v>0.91033944596176353</v>
      </c>
      <c r="X560" s="28">
        <v>0.92</v>
      </c>
      <c r="Y560" s="28">
        <v>0.86610288935870328</v>
      </c>
      <c r="Z560" s="28">
        <v>0.9497893258426966</v>
      </c>
      <c r="AA560" s="28">
        <v>0.93592592592592594</v>
      </c>
      <c r="AB560" s="28">
        <v>0.91572485000697645</v>
      </c>
      <c r="AC560" s="28">
        <v>0.92</v>
      </c>
      <c r="AD560" s="26">
        <v>0.99477806788511747</v>
      </c>
      <c r="AE560" s="26">
        <v>0.99320652173913049</v>
      </c>
      <c r="AF560" s="26">
        <v>0.98056537102473496</v>
      </c>
      <c r="AG560" s="26">
        <v>0.99023581429624175</v>
      </c>
      <c r="AH560" s="28">
        <v>0.92</v>
      </c>
      <c r="AI560" s="26">
        <v>0.89587286527514232</v>
      </c>
      <c r="AJ560" s="26">
        <v>0.96210122331494363</v>
      </c>
      <c r="AK560" s="26">
        <v>0.95578002244668914</v>
      </c>
      <c r="AL560" s="26">
        <v>0.93808455464584362</v>
      </c>
      <c r="AM560" s="25">
        <v>0.99</v>
      </c>
      <c r="AN560" s="30">
        <v>1</v>
      </c>
      <c r="AO560" s="30">
        <v>1</v>
      </c>
      <c r="AP560" s="30">
        <v>1</v>
      </c>
      <c r="AQ560" s="30">
        <v>1</v>
      </c>
      <c r="AR560" s="50">
        <v>0.05</v>
      </c>
      <c r="AS560" s="34">
        <v>0</v>
      </c>
      <c r="AT560" s="34">
        <v>0</v>
      </c>
      <c r="AU560" s="34">
        <v>7.1428571428571425E-2</v>
      </c>
      <c r="AV560" s="34">
        <v>9.433962264150943E-3</v>
      </c>
      <c r="AW560" s="10"/>
      <c r="AX560" s="8"/>
    </row>
    <row r="561" spans="1:50">
      <c r="A561" s="7"/>
      <c r="B561" s="10"/>
      <c r="C561" s="45" t="s">
        <v>396</v>
      </c>
      <c r="D561" s="23" t="s">
        <v>19</v>
      </c>
      <c r="E561" s="46" t="s">
        <v>607</v>
      </c>
      <c r="F561" s="46" t="s">
        <v>607</v>
      </c>
      <c r="G561" s="46" t="s">
        <v>607</v>
      </c>
      <c r="H561" s="46" t="s">
        <v>607</v>
      </c>
      <c r="I561" s="25">
        <v>0.9</v>
      </c>
      <c r="J561" s="26">
        <v>0.90322580645161288</v>
      </c>
      <c r="K561" s="26">
        <v>0.92500000000000004</v>
      </c>
      <c r="L561" s="27">
        <v>0.95</v>
      </c>
      <c r="M561" s="26">
        <v>0.92982456140350878</v>
      </c>
      <c r="N561" s="28">
        <v>0.9</v>
      </c>
      <c r="O561" s="26">
        <v>0.90604026845637586</v>
      </c>
      <c r="P561" s="26">
        <v>0.95702005730659023</v>
      </c>
      <c r="Q561" s="26">
        <v>0.92658092175777063</v>
      </c>
      <c r="R561" s="26">
        <v>0.93496776247711533</v>
      </c>
      <c r="S561" s="28">
        <v>0.9</v>
      </c>
      <c r="T561" s="26">
        <v>0.89932885906040272</v>
      </c>
      <c r="U561" s="26">
        <v>0.95200573065902583</v>
      </c>
      <c r="V561" s="26">
        <v>0.94265809217577712</v>
      </c>
      <c r="W561" s="26">
        <v>0.93257979781899225</v>
      </c>
      <c r="X561" s="28">
        <v>0.92</v>
      </c>
      <c r="Y561" s="28">
        <v>0.87633718442447583</v>
      </c>
      <c r="Z561" s="28">
        <v>0.94319809069212412</v>
      </c>
      <c r="AA561" s="28">
        <v>0.95523856369896709</v>
      </c>
      <c r="AB561" s="28">
        <v>0.91942926533090463</v>
      </c>
      <c r="AC561" s="28">
        <v>0.92</v>
      </c>
      <c r="AD561" s="26">
        <v>0.9939393939393939</v>
      </c>
      <c r="AE561" s="26">
        <v>0.99638989169675085</v>
      </c>
      <c r="AF561" s="26">
        <v>0.99170124481327804</v>
      </c>
      <c r="AG561" s="26">
        <v>0.99072356215213353</v>
      </c>
      <c r="AH561" s="28">
        <v>0.92</v>
      </c>
      <c r="AI561" s="26">
        <v>0.89831430125067968</v>
      </c>
      <c r="AJ561" s="26">
        <v>0.9585121602288984</v>
      </c>
      <c r="AK561" s="26">
        <v>0.9705279343926192</v>
      </c>
      <c r="AL561" s="26">
        <v>0.94079377646208395</v>
      </c>
      <c r="AM561" s="25">
        <v>0.99</v>
      </c>
      <c r="AN561" s="30">
        <v>1</v>
      </c>
      <c r="AO561" s="30">
        <v>1</v>
      </c>
      <c r="AP561" s="30">
        <v>1</v>
      </c>
      <c r="AQ561" s="30">
        <v>1</v>
      </c>
      <c r="AR561" s="50">
        <v>0.05</v>
      </c>
      <c r="AS561" s="34">
        <v>0</v>
      </c>
      <c r="AT561" s="34">
        <v>7.6923076923076927E-2</v>
      </c>
      <c r="AU561" s="34">
        <v>0</v>
      </c>
      <c r="AV561" s="34">
        <v>1.5625E-2</v>
      </c>
      <c r="AW561" s="10"/>
      <c r="AX561" s="8"/>
    </row>
    <row r="562" spans="1:50">
      <c r="A562" s="7"/>
      <c r="B562" s="10"/>
      <c r="C562" s="45" t="s">
        <v>396</v>
      </c>
      <c r="D562" s="23" t="s">
        <v>19</v>
      </c>
      <c r="E562" s="46" t="s">
        <v>608</v>
      </c>
      <c r="F562" s="46" t="s">
        <v>608</v>
      </c>
      <c r="G562" s="46" t="s">
        <v>608</v>
      </c>
      <c r="H562" s="46" t="s">
        <v>608</v>
      </c>
      <c r="I562" s="25">
        <v>0.9</v>
      </c>
      <c r="J562" s="26">
        <v>1</v>
      </c>
      <c r="K562" s="26">
        <v>1</v>
      </c>
      <c r="L562" s="27">
        <v>1</v>
      </c>
      <c r="M562" s="26">
        <v>0.98757763975155277</v>
      </c>
      <c r="N562" s="28">
        <v>0.9</v>
      </c>
      <c r="O562" s="26">
        <v>0.939106901217862</v>
      </c>
      <c r="P562" s="26">
        <v>0.9515923566878981</v>
      </c>
      <c r="Q562" s="26">
        <v>0.94632206759443338</v>
      </c>
      <c r="R562" s="26">
        <v>0.93083688699360345</v>
      </c>
      <c r="S562" s="28">
        <v>0.9</v>
      </c>
      <c r="T562" s="26">
        <v>0.92692828146143436</v>
      </c>
      <c r="U562" s="26">
        <v>0.92101910828025479</v>
      </c>
      <c r="V562" s="26">
        <v>0.93936381709741545</v>
      </c>
      <c r="W562" s="26">
        <v>0.92124200426439229</v>
      </c>
      <c r="X562" s="28">
        <v>0.92</v>
      </c>
      <c r="Y562" s="28">
        <v>0.9435626102292769</v>
      </c>
      <c r="Z562" s="28">
        <v>0.95992366412213737</v>
      </c>
      <c r="AA562" s="28">
        <v>0.93535620052770452</v>
      </c>
      <c r="AB562" s="28">
        <v>0.9512314867850421</v>
      </c>
      <c r="AC562" s="28">
        <v>0.92</v>
      </c>
      <c r="AD562" s="26">
        <v>0.99130434782608701</v>
      </c>
      <c r="AE562" s="26">
        <v>0.98275862068965514</v>
      </c>
      <c r="AF562" s="26">
        <v>0.99606299212598426</v>
      </c>
      <c r="AG562" s="26">
        <v>0.98122065727699526</v>
      </c>
      <c r="AH562" s="28">
        <v>0.92</v>
      </c>
      <c r="AI562" s="26">
        <v>0.95040983606557372</v>
      </c>
      <c r="AJ562" s="26">
        <v>0.96949152542372885</v>
      </c>
      <c r="AK562" s="26">
        <v>0.9559873116574148</v>
      </c>
      <c r="AL562" s="26">
        <v>0.96225937183383992</v>
      </c>
      <c r="AM562" s="25">
        <v>0.99</v>
      </c>
      <c r="AN562" s="30">
        <v>1</v>
      </c>
      <c r="AO562" s="30">
        <v>1</v>
      </c>
      <c r="AP562" s="30">
        <v>1</v>
      </c>
      <c r="AQ562" s="30">
        <v>1</v>
      </c>
      <c r="AR562" s="50">
        <v>0.05</v>
      </c>
      <c r="AS562" s="34">
        <v>0</v>
      </c>
      <c r="AT562" s="34">
        <v>0</v>
      </c>
      <c r="AU562" s="34">
        <v>-0.16666666666666666</v>
      </c>
      <c r="AV562" s="34">
        <v>6.6666666666666666E-2</v>
      </c>
      <c r="AW562" s="10"/>
      <c r="AX562" s="8"/>
    </row>
    <row r="563" spans="1:50">
      <c r="A563" s="7"/>
      <c r="B563" s="10"/>
      <c r="C563" s="45" t="s">
        <v>396</v>
      </c>
      <c r="D563" s="23" t="s">
        <v>19</v>
      </c>
      <c r="E563" s="46" t="s">
        <v>609</v>
      </c>
      <c r="F563" s="46" t="s">
        <v>609</v>
      </c>
      <c r="G563" s="46" t="s">
        <v>609</v>
      </c>
      <c r="H563" s="46" t="s">
        <v>609</v>
      </c>
      <c r="I563" s="25">
        <v>0.9</v>
      </c>
      <c r="J563" s="26">
        <v>0.96341463414634143</v>
      </c>
      <c r="K563" s="26">
        <v>0.96808510638297873</v>
      </c>
      <c r="L563" s="27">
        <v>0.94791666666666663</v>
      </c>
      <c r="M563" s="26">
        <v>0.94259818731117828</v>
      </c>
      <c r="N563" s="28">
        <v>0.9</v>
      </c>
      <c r="O563" s="26">
        <v>0.9788941736028538</v>
      </c>
      <c r="P563" s="26">
        <v>0.97584168594191723</v>
      </c>
      <c r="Q563" s="26">
        <v>0.97630702956726068</v>
      </c>
      <c r="R563" s="26">
        <v>0.97555219364599088</v>
      </c>
      <c r="S563" s="28">
        <v>0.9</v>
      </c>
      <c r="T563" s="26">
        <v>0.94470868014268727</v>
      </c>
      <c r="U563" s="26">
        <v>0.9357491647391416</v>
      </c>
      <c r="V563" s="26">
        <v>0.94164871744664191</v>
      </c>
      <c r="W563" s="26">
        <v>0.93597579425113464</v>
      </c>
      <c r="X563" s="28">
        <v>0.92</v>
      </c>
      <c r="Y563" s="28">
        <v>0.97073484483035855</v>
      </c>
      <c r="Z563" s="28">
        <v>0.96586555207244862</v>
      </c>
      <c r="AA563" s="28">
        <v>0.98620555663493292</v>
      </c>
      <c r="AB563" s="28">
        <v>0.96710135632675365</v>
      </c>
      <c r="AC563" s="28">
        <v>0.92</v>
      </c>
      <c r="AD563" s="26">
        <v>1</v>
      </c>
      <c r="AE563" s="26">
        <v>0.99184339314845027</v>
      </c>
      <c r="AF563" s="26">
        <v>0.99602780536246271</v>
      </c>
      <c r="AG563" s="26">
        <v>0.99805491990846684</v>
      </c>
      <c r="AH563" s="28">
        <v>0.92</v>
      </c>
      <c r="AI563" s="26">
        <v>0.9782178217821782</v>
      </c>
      <c r="AJ563" s="26">
        <v>0.97719025401762571</v>
      </c>
      <c r="AK563" s="26">
        <v>0.99122807017543857</v>
      </c>
      <c r="AL563" s="26">
        <v>0.97851749441667557</v>
      </c>
      <c r="AM563" s="25">
        <v>0.99</v>
      </c>
      <c r="AN563" s="30">
        <v>1</v>
      </c>
      <c r="AO563" s="30">
        <v>1</v>
      </c>
      <c r="AP563" s="30">
        <v>1</v>
      </c>
      <c r="AQ563" s="30">
        <v>1</v>
      </c>
      <c r="AR563" s="50">
        <v>0.05</v>
      </c>
      <c r="AS563" s="34">
        <v>0</v>
      </c>
      <c r="AT563" s="34">
        <v>3.2258064516129031E-2</v>
      </c>
      <c r="AU563" s="34">
        <v>2.7777777777777776E-2</v>
      </c>
      <c r="AV563" s="34">
        <v>4.0358744394618833E-2</v>
      </c>
      <c r="AW563" s="10"/>
      <c r="AX563" s="8"/>
    </row>
    <row r="564" spans="1:50">
      <c r="A564" s="7"/>
      <c r="B564" s="10"/>
      <c r="C564" s="45" t="s">
        <v>396</v>
      </c>
      <c r="D564" s="23" t="s">
        <v>19</v>
      </c>
      <c r="E564" s="46" t="s">
        <v>610</v>
      </c>
      <c r="F564" s="46" t="s">
        <v>610</v>
      </c>
      <c r="G564" s="46" t="s">
        <v>610</v>
      </c>
      <c r="H564" s="46" t="s">
        <v>610</v>
      </c>
      <c r="I564" s="25">
        <v>0.9</v>
      </c>
      <c r="J564" s="26">
        <v>0.95081967213114749</v>
      </c>
      <c r="K564" s="26">
        <v>0.97058823529411764</v>
      </c>
      <c r="L564" s="27">
        <v>0.98648648648648651</v>
      </c>
      <c r="M564" s="26">
        <v>0.95719844357976658</v>
      </c>
      <c r="N564" s="28">
        <v>0.9</v>
      </c>
      <c r="O564" s="26">
        <v>0.95460926532522228</v>
      </c>
      <c r="P564" s="26">
        <v>0.95953757225433522</v>
      </c>
      <c r="Q564" s="26">
        <v>0.97267039841949288</v>
      </c>
      <c r="R564" s="26">
        <v>0.96070038910505839</v>
      </c>
      <c r="S564" s="28">
        <v>0.9</v>
      </c>
      <c r="T564" s="26">
        <v>0.93963500233972863</v>
      </c>
      <c r="U564" s="26">
        <v>0.94530902623388169</v>
      </c>
      <c r="V564" s="26">
        <v>0.95884096147513997</v>
      </c>
      <c r="W564" s="26">
        <v>0.94956225680933848</v>
      </c>
      <c r="X564" s="28">
        <v>0.92</v>
      </c>
      <c r="Y564" s="28">
        <v>0.95067155067155062</v>
      </c>
      <c r="Z564" s="28">
        <v>0.96539313399778515</v>
      </c>
      <c r="AA564" s="28">
        <v>0.96843615494978474</v>
      </c>
      <c r="AB564" s="28">
        <v>0.96264367816091956</v>
      </c>
      <c r="AC564" s="28">
        <v>0.92</v>
      </c>
      <c r="AD564" s="26">
        <v>0.99311926605504586</v>
      </c>
      <c r="AE564" s="26">
        <v>0.97027600849256901</v>
      </c>
      <c r="AF564" s="26">
        <v>0.93291404612159334</v>
      </c>
      <c r="AG564" s="26">
        <v>0.96615115261161366</v>
      </c>
      <c r="AH564" s="28">
        <v>0.92</v>
      </c>
      <c r="AI564" s="26">
        <v>0.96166800320769852</v>
      </c>
      <c r="AJ564" s="26">
        <v>0.97476986021138767</v>
      </c>
      <c r="AK564" s="26">
        <v>0.97868751916590002</v>
      </c>
      <c r="AL564" s="26">
        <v>0.97224075534259313</v>
      </c>
      <c r="AM564" s="25">
        <v>0.99</v>
      </c>
      <c r="AN564" s="30">
        <v>1</v>
      </c>
      <c r="AO564" s="30">
        <v>1</v>
      </c>
      <c r="AP564" s="30">
        <v>1</v>
      </c>
      <c r="AQ564" s="30">
        <v>1</v>
      </c>
      <c r="AR564" s="50">
        <v>0.05</v>
      </c>
      <c r="AS564" s="34">
        <v>5.8823529411764705E-2</v>
      </c>
      <c r="AT564" s="34">
        <v>0</v>
      </c>
      <c r="AU564" s="34">
        <v>0</v>
      </c>
      <c r="AV564" s="34">
        <v>5.7692307692307696E-2</v>
      </c>
      <c r="AW564" s="10"/>
      <c r="AX564" s="8"/>
    </row>
    <row r="565" spans="1:50">
      <c r="A565" s="7"/>
      <c r="B565" s="10"/>
      <c r="C565" s="45" t="s">
        <v>396</v>
      </c>
      <c r="D565" s="23" t="s">
        <v>19</v>
      </c>
      <c r="E565" s="46" t="s">
        <v>611</v>
      </c>
      <c r="F565" s="46" t="s">
        <v>611</v>
      </c>
      <c r="G565" s="46" t="s">
        <v>611</v>
      </c>
      <c r="H565" s="46" t="s">
        <v>611</v>
      </c>
      <c r="I565" s="25">
        <v>0.9</v>
      </c>
      <c r="J565" s="26">
        <v>1</v>
      </c>
      <c r="K565" s="26">
        <v>0.96296296296296291</v>
      </c>
      <c r="L565" s="27">
        <v>0.96666666666666667</v>
      </c>
      <c r="M565" s="26">
        <v>0.9678899082568807</v>
      </c>
      <c r="N565" s="28">
        <v>0.9</v>
      </c>
      <c r="O565" s="26">
        <v>0.94357366771159878</v>
      </c>
      <c r="P565" s="26">
        <v>0.95273818454613657</v>
      </c>
      <c r="Q565" s="26">
        <v>0.97656744775174165</v>
      </c>
      <c r="R565" s="26">
        <v>0.96296296296296291</v>
      </c>
      <c r="S565" s="28">
        <v>0.9</v>
      </c>
      <c r="T565" s="26">
        <v>0.9349529780564263</v>
      </c>
      <c r="U565" s="26">
        <v>0.94373593398349587</v>
      </c>
      <c r="V565" s="26">
        <v>0.95946801773274226</v>
      </c>
      <c r="W565" s="26">
        <v>0.93931689126197138</v>
      </c>
      <c r="X565" s="28">
        <v>0.92</v>
      </c>
      <c r="Y565" s="28">
        <v>0.90748898678414092</v>
      </c>
      <c r="Z565" s="28">
        <v>0.87960687960687955</v>
      </c>
      <c r="AA565" s="28">
        <v>0.90245398773006136</v>
      </c>
      <c r="AB565" s="28">
        <v>0.88096514745308308</v>
      </c>
      <c r="AC565" s="28">
        <v>0.92</v>
      </c>
      <c r="AD565" s="26">
        <v>0.99578947368421056</v>
      </c>
      <c r="AE565" s="26">
        <v>0.98236775818639799</v>
      </c>
      <c r="AF565" s="26">
        <v>0.99054373522458627</v>
      </c>
      <c r="AG565" s="26">
        <v>0.99089529590288317</v>
      </c>
      <c r="AH565" s="28">
        <v>0.92</v>
      </c>
      <c r="AI565" s="26">
        <v>0.93564036222509706</v>
      </c>
      <c r="AJ565" s="26">
        <v>0.92354328056584711</v>
      </c>
      <c r="AK565" s="26">
        <v>0.94425412644036122</v>
      </c>
      <c r="AL565" s="26">
        <v>0.92973928413610252</v>
      </c>
      <c r="AM565" s="25">
        <v>0.99</v>
      </c>
      <c r="AN565" s="30">
        <v>1</v>
      </c>
      <c r="AO565" s="30">
        <v>1</v>
      </c>
      <c r="AP565" s="30">
        <v>1</v>
      </c>
      <c r="AQ565" s="30">
        <v>1</v>
      </c>
      <c r="AR565" s="50">
        <v>0.05</v>
      </c>
      <c r="AS565" s="34">
        <v>0</v>
      </c>
      <c r="AT565" s="34">
        <v>0</v>
      </c>
      <c r="AU565" s="34">
        <v>0.1</v>
      </c>
      <c r="AV565" s="34">
        <v>0.08</v>
      </c>
      <c r="AW565" s="10"/>
      <c r="AX565" s="8"/>
    </row>
    <row r="566" spans="1:50">
      <c r="A566" s="7"/>
      <c r="B566" s="10"/>
      <c r="C566" s="45" t="s">
        <v>396</v>
      </c>
      <c r="D566" s="23" t="s">
        <v>19</v>
      </c>
      <c r="E566" s="46" t="s">
        <v>612</v>
      </c>
      <c r="F566" s="46" t="s">
        <v>612</v>
      </c>
      <c r="G566" s="46" t="s">
        <v>612</v>
      </c>
      <c r="H566" s="46" t="s">
        <v>612</v>
      </c>
      <c r="I566" s="25">
        <v>0.9</v>
      </c>
      <c r="J566" s="26">
        <v>0.97222222222222221</v>
      </c>
      <c r="K566" s="26">
        <v>0.97916666666666663</v>
      </c>
      <c r="L566" s="27">
        <v>1</v>
      </c>
      <c r="M566" s="26">
        <v>0.96341463414634143</v>
      </c>
      <c r="N566" s="28">
        <v>0.9</v>
      </c>
      <c r="O566" s="26">
        <v>0.94935451837140017</v>
      </c>
      <c r="P566" s="26">
        <v>0.9452054794520548</v>
      </c>
      <c r="Q566" s="26">
        <v>0.95055499495459128</v>
      </c>
      <c r="R566" s="26">
        <v>0.95515425131677956</v>
      </c>
      <c r="S566" s="28">
        <v>0.9</v>
      </c>
      <c r="T566" s="26">
        <v>0.95183714001986097</v>
      </c>
      <c r="U566" s="26">
        <v>0.96067167476800708</v>
      </c>
      <c r="V566" s="26">
        <v>0.95492768247561388</v>
      </c>
      <c r="W566" s="26">
        <v>0.95525457737647357</v>
      </c>
      <c r="X566" s="28">
        <v>0.92</v>
      </c>
      <c r="Y566" s="28">
        <v>0.93697978596908438</v>
      </c>
      <c r="Z566" s="28">
        <v>0.97082847141190198</v>
      </c>
      <c r="AA566" s="28">
        <v>0.97581928094177539</v>
      </c>
      <c r="AB566" s="28">
        <v>0.96035951175477841</v>
      </c>
      <c r="AC566" s="28">
        <v>0.92</v>
      </c>
      <c r="AD566" s="26">
        <v>0.99711503786512801</v>
      </c>
      <c r="AE566" s="26">
        <v>0.99841080651569325</v>
      </c>
      <c r="AF566" s="26">
        <v>0.99127465857359631</v>
      </c>
      <c r="AG566" s="26">
        <v>0.99591173054587689</v>
      </c>
      <c r="AH566" s="28">
        <v>0.92</v>
      </c>
      <c r="AI566" s="26">
        <v>0.95246936502042334</v>
      </c>
      <c r="AJ566" s="26">
        <v>0.97806247806247804</v>
      </c>
      <c r="AK566" s="26">
        <v>0.98446697187704379</v>
      </c>
      <c r="AL566" s="26">
        <v>0.9725828455749681</v>
      </c>
      <c r="AM566" s="25">
        <v>0.99</v>
      </c>
      <c r="AN566" s="30">
        <v>1</v>
      </c>
      <c r="AO566" s="30">
        <v>1</v>
      </c>
      <c r="AP566" s="30">
        <v>1</v>
      </c>
      <c r="AQ566" s="30">
        <v>1</v>
      </c>
      <c r="AR566" s="50">
        <v>0.05</v>
      </c>
      <c r="AS566" s="34">
        <v>0</v>
      </c>
      <c r="AT566" s="34">
        <v>0.04</v>
      </c>
      <c r="AU566" s="34">
        <v>0</v>
      </c>
      <c r="AV566" s="34">
        <v>2.5157232704402517E-2</v>
      </c>
      <c r="AW566" s="10"/>
      <c r="AX566" s="8"/>
    </row>
    <row r="567" spans="1:50">
      <c r="A567" s="7"/>
      <c r="B567" s="10"/>
      <c r="C567" s="45" t="s">
        <v>396</v>
      </c>
      <c r="D567" s="23" t="s">
        <v>19</v>
      </c>
      <c r="E567" s="46" t="s">
        <v>613</v>
      </c>
      <c r="F567" s="46" t="s">
        <v>613</v>
      </c>
      <c r="G567" s="46" t="s">
        <v>613</v>
      </c>
      <c r="H567" s="46" t="s">
        <v>613</v>
      </c>
      <c r="I567" s="25">
        <v>0.9</v>
      </c>
      <c r="J567" s="26">
        <v>0.92682926829268297</v>
      </c>
      <c r="K567" s="26">
        <v>0.97727272727272729</v>
      </c>
      <c r="L567" s="27">
        <v>0.98</v>
      </c>
      <c r="M567" s="26">
        <v>0.93370165745856348</v>
      </c>
      <c r="N567" s="28">
        <v>0.9</v>
      </c>
      <c r="O567" s="26">
        <v>0.85295774647887324</v>
      </c>
      <c r="P567" s="26">
        <v>0.87037037037037035</v>
      </c>
      <c r="Q567" s="26">
        <v>0.87572365881898884</v>
      </c>
      <c r="R567" s="26">
        <v>0.88959152281661258</v>
      </c>
      <c r="S567" s="28">
        <v>0.9</v>
      </c>
      <c r="T567" s="26">
        <v>0.851830985915493</v>
      </c>
      <c r="U567" s="26">
        <v>0.85784313725490191</v>
      </c>
      <c r="V567" s="26">
        <v>0.85681204168274794</v>
      </c>
      <c r="W567" s="26">
        <v>0.86560701874323476</v>
      </c>
      <c r="X567" s="28">
        <v>0.92</v>
      </c>
      <c r="Y567" s="28">
        <v>0.86673371888358064</v>
      </c>
      <c r="Z567" s="28">
        <v>0.87477954144620806</v>
      </c>
      <c r="AA567" s="28">
        <v>0.90848806366047741</v>
      </c>
      <c r="AB567" s="28">
        <v>0.89842514496573533</v>
      </c>
      <c r="AC567" s="28">
        <v>0.92</v>
      </c>
      <c r="AD567" s="26">
        <v>0.99784482758620685</v>
      </c>
      <c r="AE567" s="26">
        <v>0.99905213270142179</v>
      </c>
      <c r="AF567" s="26">
        <v>1</v>
      </c>
      <c r="AG567" s="26">
        <v>0.99806497606680922</v>
      </c>
      <c r="AH567" s="28">
        <v>0.92</v>
      </c>
      <c r="AI567" s="26">
        <v>0.89431600903876241</v>
      </c>
      <c r="AJ567" s="26">
        <v>0.89962121212121215</v>
      </c>
      <c r="AK567" s="26">
        <v>0.93701900424061568</v>
      </c>
      <c r="AL567" s="26">
        <v>0.92616231775233093</v>
      </c>
      <c r="AM567" s="25">
        <v>0.99</v>
      </c>
      <c r="AN567" s="30">
        <v>1</v>
      </c>
      <c r="AO567" s="30">
        <v>1</v>
      </c>
      <c r="AP567" s="30">
        <v>1</v>
      </c>
      <c r="AQ567" s="30">
        <v>1</v>
      </c>
      <c r="AR567" s="50">
        <v>0.05</v>
      </c>
      <c r="AS567" s="34">
        <v>5.2631578947368418E-2</v>
      </c>
      <c r="AT567" s="34">
        <v>0</v>
      </c>
      <c r="AU567" s="34">
        <v>0</v>
      </c>
      <c r="AV567" s="34">
        <v>5.1282051282051282E-3</v>
      </c>
      <c r="AW567" s="10"/>
      <c r="AX567" s="8"/>
    </row>
    <row r="568" spans="1:50">
      <c r="A568" s="7"/>
      <c r="B568" s="10"/>
      <c r="C568" s="45" t="s">
        <v>396</v>
      </c>
      <c r="D568" s="23" t="s">
        <v>19</v>
      </c>
      <c r="E568" s="46" t="s">
        <v>614</v>
      </c>
      <c r="F568" s="46" t="s">
        <v>614</v>
      </c>
      <c r="G568" s="46" t="s">
        <v>614</v>
      </c>
      <c r="H568" s="46" t="s">
        <v>614</v>
      </c>
      <c r="I568" s="25">
        <v>0.9</v>
      </c>
      <c r="J568" s="26">
        <v>0.90277777777777779</v>
      </c>
      <c r="K568" s="26">
        <v>0.92105263157894735</v>
      </c>
      <c r="L568" s="27">
        <v>0.88607594936708856</v>
      </c>
      <c r="M568" s="26">
        <v>0.91032148900169207</v>
      </c>
      <c r="N568" s="28">
        <v>0.9</v>
      </c>
      <c r="O568" s="26">
        <v>0.89581239530988277</v>
      </c>
      <c r="P568" s="26">
        <v>0.86162904808635921</v>
      </c>
      <c r="Q568" s="26">
        <v>0.90102890739833419</v>
      </c>
      <c r="R568" s="26">
        <v>0.90728214722601996</v>
      </c>
      <c r="S568" s="28">
        <v>0.9</v>
      </c>
      <c r="T568" s="26">
        <v>0.87370184254606365</v>
      </c>
      <c r="U568" s="26">
        <v>0.88910696761530916</v>
      </c>
      <c r="V568" s="26">
        <v>0.91033806957373842</v>
      </c>
      <c r="W568" s="26">
        <v>0.89591278693243148</v>
      </c>
      <c r="X568" s="28">
        <v>0.92</v>
      </c>
      <c r="Y568" s="28">
        <v>0.92069249793899421</v>
      </c>
      <c r="Z568" s="28">
        <v>0.95160179125043054</v>
      </c>
      <c r="AA568" s="28">
        <v>0.95693277310924374</v>
      </c>
      <c r="AB568" s="28">
        <v>0.95267508402216372</v>
      </c>
      <c r="AC568" s="28">
        <v>0.92</v>
      </c>
      <c r="AD568" s="26">
        <v>0.99621491875923196</v>
      </c>
      <c r="AE568" s="26">
        <v>0.98829507304237363</v>
      </c>
      <c r="AF568" s="26">
        <v>0.98962916404776868</v>
      </c>
      <c r="AG568" s="26">
        <v>0.97329255861365949</v>
      </c>
      <c r="AH568" s="28">
        <v>0.92</v>
      </c>
      <c r="AI568" s="26">
        <v>0.93463619299988954</v>
      </c>
      <c r="AJ568" s="26">
        <v>0.95865254619197837</v>
      </c>
      <c r="AK568" s="26">
        <v>0.96808402161721219</v>
      </c>
      <c r="AL568" s="26">
        <v>0.96304843463270862</v>
      </c>
      <c r="AM568" s="25">
        <v>0.99</v>
      </c>
      <c r="AN568" s="30">
        <v>1</v>
      </c>
      <c r="AO568" s="30">
        <v>1</v>
      </c>
      <c r="AP568" s="30">
        <v>1</v>
      </c>
      <c r="AQ568" s="30">
        <v>1</v>
      </c>
      <c r="AR568" s="50">
        <v>0.05</v>
      </c>
      <c r="AS568" s="34">
        <v>0.1</v>
      </c>
      <c r="AT568" s="34">
        <v>0</v>
      </c>
      <c r="AU568" s="34">
        <v>2.7777777777777776E-2</v>
      </c>
      <c r="AV568" s="34">
        <v>4.72972972972973E-2</v>
      </c>
      <c r="AW568" s="10"/>
      <c r="AX568" s="8"/>
    </row>
    <row r="569" spans="1:50">
      <c r="A569" s="7"/>
      <c r="B569" s="10"/>
      <c r="C569" s="45" t="s">
        <v>396</v>
      </c>
      <c r="D569" s="23" t="s">
        <v>19</v>
      </c>
      <c r="E569" s="46" t="s">
        <v>615</v>
      </c>
      <c r="F569" s="46" t="s">
        <v>615</v>
      </c>
      <c r="G569" s="46" t="s">
        <v>615</v>
      </c>
      <c r="H569" s="46" t="s">
        <v>615</v>
      </c>
      <c r="I569" s="25">
        <v>0.9</v>
      </c>
      <c r="J569" s="26">
        <v>0.97727272727272729</v>
      </c>
      <c r="K569" s="26">
        <v>0.95652173913043481</v>
      </c>
      <c r="L569" s="27">
        <v>1</v>
      </c>
      <c r="M569" s="26">
        <v>0.95702005730659023</v>
      </c>
      <c r="N569" s="28">
        <v>0.9</v>
      </c>
      <c r="O569" s="26">
        <v>0.92803030303030298</v>
      </c>
      <c r="P569" s="26">
        <v>0.95269526952695271</v>
      </c>
      <c r="Q569" s="26">
        <v>0.96126613910870473</v>
      </c>
      <c r="R569" s="26">
        <v>0.95376424975406515</v>
      </c>
      <c r="S569" s="28">
        <v>0.9</v>
      </c>
      <c r="T569" s="26">
        <v>0.88095238095238093</v>
      </c>
      <c r="U569" s="26">
        <v>0.91529152915291534</v>
      </c>
      <c r="V569" s="26">
        <v>0.93044564764681381</v>
      </c>
      <c r="W569" s="26">
        <v>0.91412533996875178</v>
      </c>
      <c r="X569" s="28">
        <v>0.92</v>
      </c>
      <c r="Y569" s="28">
        <v>0.93411700382722795</v>
      </c>
      <c r="Z569" s="28">
        <v>0.95264221773029167</v>
      </c>
      <c r="AA569" s="28">
        <v>0.9652605459057072</v>
      </c>
      <c r="AB569" s="28">
        <v>0.95355053095427289</v>
      </c>
      <c r="AC569" s="28">
        <v>0.92</v>
      </c>
      <c r="AD569" s="26">
        <v>0.96147403685092125</v>
      </c>
      <c r="AE569" s="26">
        <v>0.94659546061415223</v>
      </c>
      <c r="AF569" s="26">
        <v>0.99509269356597596</v>
      </c>
      <c r="AG569" s="26">
        <v>0.97853953622353451</v>
      </c>
      <c r="AH569" s="28">
        <v>0.92</v>
      </c>
      <c r="AI569" s="26">
        <v>0.93721647613863179</v>
      </c>
      <c r="AJ569" s="26">
        <v>0.9625850340136054</v>
      </c>
      <c r="AK569" s="26">
        <v>0.97415935067086301</v>
      </c>
      <c r="AL569" s="26">
        <v>0.96442924706352551</v>
      </c>
      <c r="AM569" s="25">
        <v>0.99</v>
      </c>
      <c r="AN569" s="30">
        <v>1</v>
      </c>
      <c r="AO569" s="30">
        <v>1</v>
      </c>
      <c r="AP569" s="30">
        <v>1</v>
      </c>
      <c r="AQ569" s="30">
        <v>1</v>
      </c>
      <c r="AR569" s="50">
        <v>0.05</v>
      </c>
      <c r="AS569" s="34">
        <v>4.5454545454545456E-2</v>
      </c>
      <c r="AT569" s="34">
        <v>0.13333333333333333</v>
      </c>
      <c r="AU569" s="34">
        <v>0</v>
      </c>
      <c r="AV569" s="34">
        <v>6.7484662576687116E-2</v>
      </c>
      <c r="AW569" s="10"/>
      <c r="AX569" s="8"/>
    </row>
    <row r="570" spans="1:50">
      <c r="A570" s="7"/>
      <c r="B570" s="10"/>
      <c r="C570" s="45" t="s">
        <v>396</v>
      </c>
      <c r="D570" s="23" t="s">
        <v>19</v>
      </c>
      <c r="E570" s="46" t="s">
        <v>616</v>
      </c>
      <c r="F570" s="46" t="s">
        <v>616</v>
      </c>
      <c r="G570" s="46" t="s">
        <v>616</v>
      </c>
      <c r="H570" s="46" t="s">
        <v>616</v>
      </c>
      <c r="I570" s="25">
        <v>0.9</v>
      </c>
      <c r="J570" s="26">
        <v>1</v>
      </c>
      <c r="K570" s="26">
        <v>0.90476190476190477</v>
      </c>
      <c r="L570" s="27">
        <v>1</v>
      </c>
      <c r="M570" s="26">
        <v>0.91390728476821192</v>
      </c>
      <c r="N570" s="28">
        <v>0.9</v>
      </c>
      <c r="O570" s="26">
        <v>0.97483940042826556</v>
      </c>
      <c r="P570" s="26">
        <v>0.97330595482546201</v>
      </c>
      <c r="Q570" s="26">
        <v>0.95236105307145846</v>
      </c>
      <c r="R570" s="26">
        <v>0.95975232198142413</v>
      </c>
      <c r="S570" s="28">
        <v>0.9</v>
      </c>
      <c r="T570" s="26">
        <v>0.95877944325481801</v>
      </c>
      <c r="U570" s="26">
        <v>0.95944558521560575</v>
      </c>
      <c r="V570" s="26">
        <v>0.9377350605933974</v>
      </c>
      <c r="W570" s="26">
        <v>0.92396284829721365</v>
      </c>
      <c r="X570" s="28">
        <v>0.92</v>
      </c>
      <c r="Y570" s="28">
        <v>0.5</v>
      </c>
      <c r="Z570" s="28">
        <v>0</v>
      </c>
      <c r="AA570" s="28">
        <v>0</v>
      </c>
      <c r="AB570" s="28">
        <v>0.5</v>
      </c>
      <c r="AC570" s="28">
        <v>0.92</v>
      </c>
      <c r="AD570" s="26">
        <v>0.91666666666666663</v>
      </c>
      <c r="AE570" s="26">
        <v>0.86206896551724133</v>
      </c>
      <c r="AF570" s="26">
        <v>0.97872340425531912</v>
      </c>
      <c r="AG570" s="26">
        <v>0.91089108910891092</v>
      </c>
      <c r="AH570" s="28">
        <v>0.92</v>
      </c>
      <c r="AI570" s="26">
        <v>0.98342245989304811</v>
      </c>
      <c r="AJ570" s="26">
        <v>0.98767967145790558</v>
      </c>
      <c r="AK570" s="26">
        <v>0.98286669452569997</v>
      </c>
      <c r="AL570" s="26">
        <v>0.97715594626385194</v>
      </c>
      <c r="AM570" s="25">
        <v>0.99</v>
      </c>
      <c r="AN570" s="30">
        <v>1</v>
      </c>
      <c r="AO570" s="30">
        <v>1</v>
      </c>
      <c r="AP570" s="30">
        <v>1</v>
      </c>
      <c r="AQ570" s="30">
        <v>1</v>
      </c>
      <c r="AR570" s="50">
        <v>0.05</v>
      </c>
      <c r="AS570" s="34">
        <v>0</v>
      </c>
      <c r="AT570" s="34">
        <v>0</v>
      </c>
      <c r="AU570" s="34">
        <v>0</v>
      </c>
      <c r="AV570" s="34">
        <v>8.6956521739130432E-2</v>
      </c>
      <c r="AW570" s="10"/>
      <c r="AX570" s="8"/>
    </row>
    <row r="571" spans="1:50">
      <c r="A571" s="7"/>
      <c r="B571" s="10"/>
      <c r="C571" s="45" t="s">
        <v>396</v>
      </c>
      <c r="D571" s="23" t="s">
        <v>19</v>
      </c>
      <c r="E571" s="46" t="s">
        <v>617</v>
      </c>
      <c r="F571" s="46" t="s">
        <v>617</v>
      </c>
      <c r="G571" s="46" t="s">
        <v>617</v>
      </c>
      <c r="H571" s="46" t="s">
        <v>617</v>
      </c>
      <c r="I571" s="25">
        <v>0.9</v>
      </c>
      <c r="J571" s="26">
        <v>0.8</v>
      </c>
      <c r="K571" s="26">
        <v>0.84615384615384615</v>
      </c>
      <c r="L571" s="27">
        <v>0.81481481481481477</v>
      </c>
      <c r="M571" s="26">
        <v>0.82493368700265257</v>
      </c>
      <c r="N571" s="28">
        <v>0.9</v>
      </c>
      <c r="O571" s="26">
        <v>0.87056813327637761</v>
      </c>
      <c r="P571" s="26">
        <v>0.82981418918918914</v>
      </c>
      <c r="Q571" s="26">
        <v>0.84569640062597806</v>
      </c>
      <c r="R571" s="26">
        <v>0.83690658499234305</v>
      </c>
      <c r="S571" s="28">
        <v>0.9</v>
      </c>
      <c r="T571" s="26">
        <v>0.91029474583511316</v>
      </c>
      <c r="U571" s="26">
        <v>0.9130067567567568</v>
      </c>
      <c r="V571" s="26">
        <v>0.93302034428794989</v>
      </c>
      <c r="W571" s="26">
        <v>0.90936064318529863</v>
      </c>
      <c r="X571" s="28">
        <v>0.92</v>
      </c>
      <c r="Y571" s="28">
        <v>0.9073325635103926</v>
      </c>
      <c r="Z571" s="28">
        <v>0.95585530349478842</v>
      </c>
      <c r="AA571" s="28">
        <v>0.96114392290954309</v>
      </c>
      <c r="AB571" s="28">
        <v>0.94028548770816811</v>
      </c>
      <c r="AC571" s="28">
        <v>0.92</v>
      </c>
      <c r="AD571" s="26">
        <v>0.9953596287703016</v>
      </c>
      <c r="AE571" s="26">
        <v>0.9015544041450777</v>
      </c>
      <c r="AF571" s="26">
        <v>0.94510739856801906</v>
      </c>
      <c r="AG571" s="26">
        <v>0.92657200811359031</v>
      </c>
      <c r="AH571" s="28">
        <v>0.92</v>
      </c>
      <c r="AI571" s="26">
        <v>0.92687543014452856</v>
      </c>
      <c r="AJ571" s="26">
        <v>0.96539485359361132</v>
      </c>
      <c r="AK571" s="26">
        <v>0.97537022603273582</v>
      </c>
      <c r="AL571" s="26">
        <v>0.95722145208802634</v>
      </c>
      <c r="AM571" s="25">
        <v>0.99</v>
      </c>
      <c r="AN571" s="30">
        <v>1</v>
      </c>
      <c r="AO571" s="30">
        <v>1</v>
      </c>
      <c r="AP571" s="30">
        <v>1</v>
      </c>
      <c r="AQ571" s="30">
        <v>1</v>
      </c>
      <c r="AR571" s="50">
        <v>0.05</v>
      </c>
      <c r="AS571" s="34">
        <v>0.1111111111111111</v>
      </c>
      <c r="AT571" s="34">
        <v>0.16666666666666666</v>
      </c>
      <c r="AU571" s="34">
        <v>3.2258064516129031E-2</v>
      </c>
      <c r="AV571" s="34">
        <v>9.580838323353294E-2</v>
      </c>
      <c r="AW571" s="10"/>
      <c r="AX571" s="8"/>
    </row>
    <row r="572" spans="1:50">
      <c r="A572" s="7"/>
      <c r="B572" s="10"/>
      <c r="C572" s="45" t="s">
        <v>396</v>
      </c>
      <c r="D572" s="23" t="s">
        <v>19</v>
      </c>
      <c r="E572" s="46" t="s">
        <v>618</v>
      </c>
      <c r="F572" s="46" t="s">
        <v>618</v>
      </c>
      <c r="G572" s="46" t="s">
        <v>618</v>
      </c>
      <c r="H572" s="46" t="s">
        <v>618</v>
      </c>
      <c r="I572" s="25">
        <v>0.9</v>
      </c>
      <c r="J572" s="26">
        <v>1</v>
      </c>
      <c r="K572" s="26">
        <v>0.98</v>
      </c>
      <c r="L572" s="27">
        <v>0.9821428571428571</v>
      </c>
      <c r="M572" s="26">
        <v>0.98284313725490191</v>
      </c>
      <c r="N572" s="28">
        <v>0.9</v>
      </c>
      <c r="O572" s="26">
        <v>0.98108210367007187</v>
      </c>
      <c r="P572" s="26">
        <v>0.98687464333269925</v>
      </c>
      <c r="Q572" s="26">
        <v>0.99030381383322563</v>
      </c>
      <c r="R572" s="26">
        <v>0.9816155117723272</v>
      </c>
      <c r="S572" s="28">
        <v>0.9</v>
      </c>
      <c r="T572" s="26">
        <v>0.87097994702989023</v>
      </c>
      <c r="U572" s="26">
        <v>0.88929046984972415</v>
      </c>
      <c r="V572" s="26">
        <v>0.87653522947640594</v>
      </c>
      <c r="W572" s="26">
        <v>0.87716123843988747</v>
      </c>
      <c r="X572" s="28">
        <v>0.92</v>
      </c>
      <c r="Y572" s="28">
        <v>0</v>
      </c>
      <c r="Z572" s="28">
        <v>1</v>
      </c>
      <c r="AA572" s="28">
        <v>0.8</v>
      </c>
      <c r="AB572" s="28">
        <v>0.82499999999999996</v>
      </c>
      <c r="AC572" s="28">
        <v>0.92</v>
      </c>
      <c r="AD572" s="26">
        <v>0.99594868332207964</v>
      </c>
      <c r="AE572" s="26">
        <v>0.99217188540972689</v>
      </c>
      <c r="AF572" s="26">
        <v>0.99348640286598278</v>
      </c>
      <c r="AG572" s="26">
        <v>0.9913811066280237</v>
      </c>
      <c r="AH572" s="28">
        <v>0.92</v>
      </c>
      <c r="AI572" s="26">
        <v>0.96332009831726229</v>
      </c>
      <c r="AJ572" s="26">
        <v>0.96427213987077154</v>
      </c>
      <c r="AK572" s="26">
        <v>0.97454896907216493</v>
      </c>
      <c r="AL572" s="26">
        <v>0.97128001428188881</v>
      </c>
      <c r="AM572" s="25">
        <v>0.99</v>
      </c>
      <c r="AN572" s="30">
        <v>1</v>
      </c>
      <c r="AO572" s="30">
        <v>1</v>
      </c>
      <c r="AP572" s="30">
        <v>1</v>
      </c>
      <c r="AQ572" s="30">
        <v>1</v>
      </c>
      <c r="AR572" s="50">
        <v>0.05</v>
      </c>
      <c r="AS572" s="34">
        <v>0.05</v>
      </c>
      <c r="AT572" s="34">
        <v>0</v>
      </c>
      <c r="AU572" s="34">
        <v>0</v>
      </c>
      <c r="AV572" s="34">
        <v>2.2388059701492536E-2</v>
      </c>
      <c r="AW572" s="10"/>
      <c r="AX572" s="8"/>
    </row>
    <row r="573" spans="1:50">
      <c r="A573" s="7"/>
      <c r="B573" s="10"/>
      <c r="C573" s="45" t="s">
        <v>396</v>
      </c>
      <c r="D573" s="23" t="s">
        <v>19</v>
      </c>
      <c r="E573" s="46" t="s">
        <v>619</v>
      </c>
      <c r="F573" s="46" t="s">
        <v>619</v>
      </c>
      <c r="G573" s="46" t="s">
        <v>619</v>
      </c>
      <c r="H573" s="46" t="s">
        <v>619</v>
      </c>
      <c r="I573" s="25">
        <v>0.9</v>
      </c>
      <c r="J573" s="26">
        <v>1</v>
      </c>
      <c r="K573" s="26">
        <v>1</v>
      </c>
      <c r="L573" s="27">
        <v>0.96551724137931039</v>
      </c>
      <c r="M573" s="26">
        <v>0.99530516431924887</v>
      </c>
      <c r="N573" s="28">
        <v>0.9</v>
      </c>
      <c r="O573" s="26">
        <v>0.99133949191685911</v>
      </c>
      <c r="P573" s="26">
        <v>0.99393019726858878</v>
      </c>
      <c r="Q573" s="26">
        <v>0.99548940009021203</v>
      </c>
      <c r="R573" s="26">
        <v>0.98894465976237367</v>
      </c>
      <c r="S573" s="28">
        <v>0.9</v>
      </c>
      <c r="T573" s="26">
        <v>0.95034642032332561</v>
      </c>
      <c r="U573" s="26">
        <v>0.95397066262013153</v>
      </c>
      <c r="V573" s="26">
        <v>0.90527740189445194</v>
      </c>
      <c r="W573" s="26">
        <v>0.89027257131965187</v>
      </c>
      <c r="X573" s="28">
        <v>0.92</v>
      </c>
      <c r="Y573" s="28">
        <v>0.88527724665391971</v>
      </c>
      <c r="Z573" s="28">
        <v>0.93069306930693074</v>
      </c>
      <c r="AA573" s="28">
        <v>0.9261744966442953</v>
      </c>
      <c r="AB573" s="28">
        <v>0.86629098360655743</v>
      </c>
      <c r="AC573" s="28">
        <v>0.92</v>
      </c>
      <c r="AD573" s="26">
        <v>0.99944751381215469</v>
      </c>
      <c r="AE573" s="26">
        <v>0.98924008069939473</v>
      </c>
      <c r="AF573" s="26">
        <v>0.99622166246851385</v>
      </c>
      <c r="AG573" s="26">
        <v>0.99305555555555558</v>
      </c>
      <c r="AH573" s="28">
        <v>0.92</v>
      </c>
      <c r="AI573" s="26">
        <v>0.9618625277161863</v>
      </c>
      <c r="AJ573" s="26">
        <v>0.97663174858984692</v>
      </c>
      <c r="AK573" s="26">
        <v>0.97409909909909909</v>
      </c>
      <c r="AL573" s="26">
        <v>0.9619202769434404</v>
      </c>
      <c r="AM573" s="25">
        <v>0.99</v>
      </c>
      <c r="AN573" s="30">
        <v>1</v>
      </c>
      <c r="AO573" s="30">
        <v>1</v>
      </c>
      <c r="AP573" s="30">
        <v>1</v>
      </c>
      <c r="AQ573" s="30">
        <v>1</v>
      </c>
      <c r="AR573" s="50">
        <v>0.05</v>
      </c>
      <c r="AS573" s="34">
        <v>0.2857142857142857</v>
      </c>
      <c r="AT573" s="34">
        <v>7.1428571428571425E-2</v>
      </c>
      <c r="AU573" s="34">
        <v>0.16666666666666666</v>
      </c>
      <c r="AV573" s="34">
        <v>8.4507042253521125E-2</v>
      </c>
      <c r="AW573" s="10"/>
      <c r="AX573" s="8"/>
    </row>
    <row r="574" spans="1:50">
      <c r="A574" s="7"/>
      <c r="B574" s="10"/>
      <c r="C574" s="45" t="s">
        <v>396</v>
      </c>
      <c r="D574" s="23" t="s">
        <v>19</v>
      </c>
      <c r="E574" s="46" t="s">
        <v>620</v>
      </c>
      <c r="F574" s="46" t="s">
        <v>620</v>
      </c>
      <c r="G574" s="46" t="s">
        <v>620</v>
      </c>
      <c r="H574" s="46" t="s">
        <v>620</v>
      </c>
      <c r="I574" s="25">
        <v>0.9</v>
      </c>
      <c r="J574" s="26">
        <v>1</v>
      </c>
      <c r="K574" s="26">
        <v>0.96551724137931039</v>
      </c>
      <c r="L574" s="27">
        <v>1</v>
      </c>
      <c r="M574" s="26">
        <v>0.97727272727272729</v>
      </c>
      <c r="N574" s="28">
        <v>0.9</v>
      </c>
      <c r="O574" s="26">
        <v>0.98746594005449595</v>
      </c>
      <c r="P574" s="26">
        <v>0.98815165876777256</v>
      </c>
      <c r="Q574" s="26">
        <v>0.99180999180999185</v>
      </c>
      <c r="R574" s="26">
        <v>0.98839343873985908</v>
      </c>
      <c r="S574" s="28">
        <v>0.9</v>
      </c>
      <c r="T574" s="26">
        <v>0.95476839237057221</v>
      </c>
      <c r="U574" s="26">
        <v>0.96540284360189577</v>
      </c>
      <c r="V574" s="26">
        <v>0.91236691236691236</v>
      </c>
      <c r="W574" s="26">
        <v>0.91573399656540533</v>
      </c>
      <c r="X574" s="28">
        <v>0.92</v>
      </c>
      <c r="Y574" s="28">
        <v>0.91853360488798375</v>
      </c>
      <c r="Z574" s="28">
        <v>0.93736501079913603</v>
      </c>
      <c r="AA574" s="28">
        <v>0.82683982683982682</v>
      </c>
      <c r="AB574" s="28">
        <v>0.89416623644811566</v>
      </c>
      <c r="AC574" s="28">
        <v>0.92</v>
      </c>
      <c r="AD574" s="26">
        <v>0.99842420422313272</v>
      </c>
      <c r="AE574" s="26">
        <v>0.99903925336261323</v>
      </c>
      <c r="AF574" s="26">
        <v>0.99661246612466126</v>
      </c>
      <c r="AG574" s="26">
        <v>0.9979955257270694</v>
      </c>
      <c r="AH574" s="28">
        <v>0.92</v>
      </c>
      <c r="AI574" s="26">
        <v>0.96560619088564059</v>
      </c>
      <c r="AJ574" s="26">
        <v>0.97825242718446603</v>
      </c>
      <c r="AK574" s="26">
        <v>0.95490533562822721</v>
      </c>
      <c r="AL574" s="26">
        <v>0.96402773764807859</v>
      </c>
      <c r="AM574" s="25">
        <v>0.99</v>
      </c>
      <c r="AN574" s="30">
        <v>1</v>
      </c>
      <c r="AO574" s="30">
        <v>1</v>
      </c>
      <c r="AP574" s="30">
        <v>1</v>
      </c>
      <c r="AQ574" s="30">
        <v>1</v>
      </c>
      <c r="AR574" s="50">
        <v>0.05</v>
      </c>
      <c r="AS574" s="34">
        <v>0</v>
      </c>
      <c r="AT574" s="34">
        <v>0</v>
      </c>
      <c r="AU574" s="34">
        <v>0.125</v>
      </c>
      <c r="AV574" s="34">
        <v>5.0847457627118647E-2</v>
      </c>
      <c r="AW574" s="10"/>
      <c r="AX574" s="8"/>
    </row>
    <row r="575" spans="1:50">
      <c r="A575" s="7"/>
      <c r="B575" s="10"/>
      <c r="C575" s="45" t="s">
        <v>396</v>
      </c>
      <c r="D575" s="23" t="s">
        <v>19</v>
      </c>
      <c r="E575" s="46" t="s">
        <v>621</v>
      </c>
      <c r="F575" s="46" t="s">
        <v>621</v>
      </c>
      <c r="G575" s="46" t="s">
        <v>621</v>
      </c>
      <c r="H575" s="46" t="s">
        <v>621</v>
      </c>
      <c r="I575" s="25">
        <v>0.9</v>
      </c>
      <c r="J575" s="26">
        <v>0.97916666666666663</v>
      </c>
      <c r="K575" s="26">
        <v>0.95833333333333337</v>
      </c>
      <c r="L575" s="27">
        <v>1</v>
      </c>
      <c r="M575" s="26">
        <v>0.99230769230769234</v>
      </c>
      <c r="N575" s="28">
        <v>0.9</v>
      </c>
      <c r="O575" s="26">
        <v>1</v>
      </c>
      <c r="P575" s="26">
        <v>0</v>
      </c>
      <c r="Q575" s="26">
        <v>0</v>
      </c>
      <c r="R575" s="26">
        <v>0.5</v>
      </c>
      <c r="S575" s="28">
        <v>0.9</v>
      </c>
      <c r="T575" s="26">
        <v>0</v>
      </c>
      <c r="U575" s="26">
        <v>0</v>
      </c>
      <c r="V575" s="26">
        <v>0</v>
      </c>
      <c r="W575" s="26">
        <v>0</v>
      </c>
      <c r="X575" s="28">
        <v>0.92</v>
      </c>
      <c r="Y575" s="28">
        <v>0</v>
      </c>
      <c r="Z575" s="28">
        <v>0</v>
      </c>
      <c r="AA575" s="28">
        <v>0</v>
      </c>
      <c r="AB575" s="28">
        <v>0</v>
      </c>
      <c r="AC575" s="28">
        <v>0.92</v>
      </c>
      <c r="AD575" s="26">
        <v>1</v>
      </c>
      <c r="AE575" s="26">
        <v>0.98927038626609443</v>
      </c>
      <c r="AF575" s="26">
        <v>0.99472295514511877</v>
      </c>
      <c r="AG575" s="26">
        <v>0.99130434782608701</v>
      </c>
      <c r="AH575" s="28">
        <v>0.92</v>
      </c>
      <c r="AI575" s="26">
        <v>0.97134935304990755</v>
      </c>
      <c r="AJ575" s="26">
        <v>0.96012759170653905</v>
      </c>
      <c r="AK575" s="26">
        <v>0.98009650180940888</v>
      </c>
      <c r="AL575" s="26">
        <v>0.97208421399357692</v>
      </c>
      <c r="AM575" s="25">
        <v>0.99</v>
      </c>
      <c r="AN575" s="30">
        <v>1</v>
      </c>
      <c r="AO575" s="30">
        <v>1</v>
      </c>
      <c r="AP575" s="30">
        <v>1</v>
      </c>
      <c r="AQ575" s="30">
        <v>1</v>
      </c>
      <c r="AR575" s="50">
        <v>0.05</v>
      </c>
      <c r="AS575" s="34">
        <v>0</v>
      </c>
      <c r="AT575" s="34">
        <v>0.1</v>
      </c>
      <c r="AU575" s="34">
        <v>5.8823529411764705E-2</v>
      </c>
      <c r="AV575" s="34">
        <v>5.2631578947368418E-2</v>
      </c>
      <c r="AW575" s="10"/>
      <c r="AX575" s="8"/>
    </row>
    <row r="576" spans="1:50">
      <c r="A576" s="7"/>
      <c r="B576" s="10"/>
      <c r="C576" s="45" t="s">
        <v>396</v>
      </c>
      <c r="D576" s="23" t="s">
        <v>19</v>
      </c>
      <c r="E576" s="46" t="s">
        <v>622</v>
      </c>
      <c r="F576" s="46" t="s">
        <v>622</v>
      </c>
      <c r="G576" s="46" t="s">
        <v>622</v>
      </c>
      <c r="H576" s="46" t="s">
        <v>622</v>
      </c>
      <c r="I576" s="25">
        <v>0.9</v>
      </c>
      <c r="J576" s="26">
        <v>1</v>
      </c>
      <c r="K576" s="26">
        <v>1</v>
      </c>
      <c r="L576" s="27">
        <v>1</v>
      </c>
      <c r="M576" s="26">
        <v>0.98461538461538467</v>
      </c>
      <c r="N576" s="28">
        <v>0.9</v>
      </c>
      <c r="O576" s="26">
        <v>0.97596566523605155</v>
      </c>
      <c r="P576" s="26">
        <v>0.98603122432210355</v>
      </c>
      <c r="Q576" s="26">
        <v>0.98914518317503397</v>
      </c>
      <c r="R576" s="26">
        <v>0.98553070929879594</v>
      </c>
      <c r="S576" s="28">
        <v>0.9</v>
      </c>
      <c r="T576" s="26">
        <v>0.94163090128755367</v>
      </c>
      <c r="U576" s="26">
        <v>0.95480690221857023</v>
      </c>
      <c r="V576" s="26">
        <v>0.9525101763907734</v>
      </c>
      <c r="W576" s="26">
        <v>0.94323585955681477</v>
      </c>
      <c r="X576" s="28">
        <v>0.92</v>
      </c>
      <c r="Y576" s="28">
        <v>0.9455445544554455</v>
      </c>
      <c r="Z576" s="28">
        <v>0.97393364928909953</v>
      </c>
      <c r="AA576" s="28">
        <v>0.96089385474860334</v>
      </c>
      <c r="AB576" s="28">
        <v>0.9513513513513514</v>
      </c>
      <c r="AC576" s="28">
        <v>0.92</v>
      </c>
      <c r="AD576" s="26">
        <v>0.99804747713492958</v>
      </c>
      <c r="AE576" s="26">
        <v>0.99646188485043419</v>
      </c>
      <c r="AF576" s="26">
        <v>0.96990378160662338</v>
      </c>
      <c r="AG576" s="26">
        <v>0.90289725414630795</v>
      </c>
      <c r="AH576" s="28">
        <v>0.92</v>
      </c>
      <c r="AI576" s="26">
        <v>0.96058486967577872</v>
      </c>
      <c r="AJ576" s="26">
        <v>0.9774252593044539</v>
      </c>
      <c r="AK576" s="26">
        <v>0.98744541484716153</v>
      </c>
      <c r="AL576" s="26">
        <v>0.97594956413449563</v>
      </c>
      <c r="AM576" s="25">
        <v>0.99</v>
      </c>
      <c r="AN576" s="30">
        <v>1</v>
      </c>
      <c r="AO576" s="30">
        <v>1</v>
      </c>
      <c r="AP576" s="30">
        <v>1</v>
      </c>
      <c r="AQ576" s="30">
        <v>1</v>
      </c>
      <c r="AR576" s="50">
        <v>0.05</v>
      </c>
      <c r="AS576" s="34">
        <v>0</v>
      </c>
      <c r="AT576" s="34">
        <v>0</v>
      </c>
      <c r="AU576" s="34">
        <v>0</v>
      </c>
      <c r="AV576" s="34">
        <v>0</v>
      </c>
      <c r="AW576" s="10"/>
      <c r="AX576" s="8"/>
    </row>
    <row r="577" spans="1:50">
      <c r="A577" s="7"/>
      <c r="B577" s="10"/>
      <c r="C577" s="45" t="s">
        <v>396</v>
      </c>
      <c r="D577" s="23" t="s">
        <v>19</v>
      </c>
      <c r="E577" s="46" t="s">
        <v>623</v>
      </c>
      <c r="F577" s="46" t="s">
        <v>623</v>
      </c>
      <c r="G577" s="46" t="s">
        <v>623</v>
      </c>
      <c r="H577" s="46" t="s">
        <v>623</v>
      </c>
      <c r="I577" s="25">
        <v>0.9</v>
      </c>
      <c r="J577" s="26">
        <v>1</v>
      </c>
      <c r="K577" s="26">
        <v>1</v>
      </c>
      <c r="L577" s="27">
        <v>1</v>
      </c>
      <c r="M577" s="26">
        <v>0.97959183673469385</v>
      </c>
      <c r="N577" s="28">
        <v>0.9</v>
      </c>
      <c r="O577" s="26">
        <v>0.98679344955097725</v>
      </c>
      <c r="P577" s="26">
        <v>0.98851722416375432</v>
      </c>
      <c r="Q577" s="26">
        <v>0.98713398402839392</v>
      </c>
      <c r="R577" s="26">
        <v>0.9872415310162781</v>
      </c>
      <c r="S577" s="28">
        <v>0.9</v>
      </c>
      <c r="T577" s="26">
        <v>0.95826730058108822</v>
      </c>
      <c r="U577" s="26">
        <v>0.95207189216175736</v>
      </c>
      <c r="V577" s="26">
        <v>0.95696539485359366</v>
      </c>
      <c r="W577" s="26">
        <v>0.95135440889950351</v>
      </c>
      <c r="X577" s="28">
        <v>0.92</v>
      </c>
      <c r="Y577" s="28">
        <v>0.96505376344086025</v>
      </c>
      <c r="Z577" s="28">
        <v>0.98541114058355439</v>
      </c>
      <c r="AA577" s="28">
        <v>0.9780564263322884</v>
      </c>
      <c r="AB577" s="28">
        <v>0.9765177548682703</v>
      </c>
      <c r="AC577" s="28">
        <v>0.92</v>
      </c>
      <c r="AD577" s="26">
        <v>0.99699011974088858</v>
      </c>
      <c r="AE577" s="26">
        <v>0.98070974635847252</v>
      </c>
      <c r="AF577" s="26">
        <v>0.98464677873870377</v>
      </c>
      <c r="AG577" s="26">
        <v>0.90263850652090916</v>
      </c>
      <c r="AH577" s="28">
        <v>0.92</v>
      </c>
      <c r="AI577" s="26">
        <v>0.97575757575757571</v>
      </c>
      <c r="AJ577" s="26">
        <v>0.98694232861806308</v>
      </c>
      <c r="AK577" s="26">
        <v>0.98306256481161425</v>
      </c>
      <c r="AL577" s="26">
        <v>0.98430705237284932</v>
      </c>
      <c r="AM577" s="25">
        <v>0.99</v>
      </c>
      <c r="AN577" s="30">
        <v>1</v>
      </c>
      <c r="AO577" s="30">
        <v>1</v>
      </c>
      <c r="AP577" s="30">
        <v>1</v>
      </c>
      <c r="AQ577" s="30">
        <v>1</v>
      </c>
      <c r="AR577" s="50">
        <v>0.05</v>
      </c>
      <c r="AS577" s="34">
        <v>0.1</v>
      </c>
      <c r="AT577" s="34">
        <v>0.22222222222222221</v>
      </c>
      <c r="AU577" s="34">
        <v>0.1111111111111111</v>
      </c>
      <c r="AV577" s="34">
        <v>5.5555555555555552E-2</v>
      </c>
      <c r="AW577" s="10"/>
      <c r="AX577" s="8"/>
    </row>
    <row r="578" spans="1:50">
      <c r="A578" s="7"/>
      <c r="B578" s="10"/>
      <c r="C578" s="45" t="s">
        <v>396</v>
      </c>
      <c r="D578" s="23" t="s">
        <v>19</v>
      </c>
      <c r="E578" s="46" t="s">
        <v>624</v>
      </c>
      <c r="F578" s="46" t="s">
        <v>624</v>
      </c>
      <c r="G578" s="46" t="s">
        <v>624</v>
      </c>
      <c r="H578" s="46" t="s">
        <v>624</v>
      </c>
      <c r="I578" s="25">
        <v>0.9</v>
      </c>
      <c r="J578" s="26">
        <v>0.98181818181818181</v>
      </c>
      <c r="K578" s="26">
        <v>1</v>
      </c>
      <c r="L578" s="27">
        <v>0.9642857142857143</v>
      </c>
      <c r="M578" s="26">
        <v>0.98372093023255813</v>
      </c>
      <c r="N578" s="28">
        <v>0.9</v>
      </c>
      <c r="O578" s="26">
        <v>0.93896812080536918</v>
      </c>
      <c r="P578" s="26">
        <v>0.98040188538824113</v>
      </c>
      <c r="Q578" s="26">
        <v>0.9709443099273608</v>
      </c>
      <c r="R578" s="26">
        <v>0.97187318475037454</v>
      </c>
      <c r="S578" s="28">
        <v>0.9</v>
      </c>
      <c r="T578" s="26">
        <v>0.88590604026845643</v>
      </c>
      <c r="U578" s="26">
        <v>0.93822872736293728</v>
      </c>
      <c r="V578" s="26">
        <v>0.92009685230024219</v>
      </c>
      <c r="W578" s="26">
        <v>0.90919930294414386</v>
      </c>
      <c r="X578" s="28">
        <v>0.92</v>
      </c>
      <c r="Y578" s="28">
        <v>0.84155844155844151</v>
      </c>
      <c r="Z578" s="28">
        <v>1</v>
      </c>
      <c r="AA578" s="28">
        <v>0.80552712384851588</v>
      </c>
      <c r="AB578" s="28">
        <v>0.8261436204874234</v>
      </c>
      <c r="AC578" s="28">
        <v>0.92</v>
      </c>
      <c r="AD578" s="26">
        <v>0.99560821629534746</v>
      </c>
      <c r="AE578" s="26">
        <v>0.9871869880645916</v>
      </c>
      <c r="AF578" s="26">
        <v>0.98637542059683381</v>
      </c>
      <c r="AG578" s="26">
        <v>0.98453840282353555</v>
      </c>
      <c r="AH578" s="28">
        <v>0.92</v>
      </c>
      <c r="AI578" s="26">
        <v>0.95070065845010976</v>
      </c>
      <c r="AJ578" s="26">
        <v>0.98307475317348381</v>
      </c>
      <c r="AK578" s="26">
        <v>0.95201883034582657</v>
      </c>
      <c r="AL578" s="26">
        <v>0.95221707806194444</v>
      </c>
      <c r="AM578" s="25">
        <v>0.99</v>
      </c>
      <c r="AN578" s="30">
        <v>1</v>
      </c>
      <c r="AO578" s="30">
        <v>1</v>
      </c>
      <c r="AP578" s="30">
        <v>1</v>
      </c>
      <c r="AQ578" s="30">
        <v>1</v>
      </c>
      <c r="AR578" s="50">
        <v>0.05</v>
      </c>
      <c r="AS578" s="34">
        <v>0.1111111111111111</v>
      </c>
      <c r="AT578" s="34">
        <v>4.3478260869565216E-2</v>
      </c>
      <c r="AU578" s="34">
        <v>0</v>
      </c>
      <c r="AV578" s="34">
        <v>1.4184397163120567E-2</v>
      </c>
      <c r="AW578" s="10"/>
      <c r="AX578" s="8"/>
    </row>
    <row r="579" spans="1:50">
      <c r="A579" s="7"/>
      <c r="B579" s="10"/>
      <c r="C579" s="45" t="s">
        <v>396</v>
      </c>
      <c r="D579" s="23" t="s">
        <v>19</v>
      </c>
      <c r="E579" s="46" t="s">
        <v>625</v>
      </c>
      <c r="F579" s="46" t="s">
        <v>625</v>
      </c>
      <c r="G579" s="46" t="s">
        <v>625</v>
      </c>
      <c r="H579" s="46" t="s">
        <v>625</v>
      </c>
      <c r="I579" s="25">
        <v>0.9</v>
      </c>
      <c r="J579" s="26">
        <v>0.9642857142857143</v>
      </c>
      <c r="K579" s="26">
        <v>0.9</v>
      </c>
      <c r="L579" s="27">
        <v>0.93103448275862066</v>
      </c>
      <c r="M579" s="26">
        <v>0.89140271493212675</v>
      </c>
      <c r="N579" s="28">
        <v>0.9</v>
      </c>
      <c r="O579" s="26">
        <v>0.98616412213740456</v>
      </c>
      <c r="P579" s="26">
        <v>0.98764258555133078</v>
      </c>
      <c r="Q579" s="26">
        <v>0.9733228717143978</v>
      </c>
      <c r="R579" s="26">
        <v>0.97623208668297801</v>
      </c>
      <c r="S579" s="28">
        <v>0.9</v>
      </c>
      <c r="T579" s="26">
        <v>0.92604961832061072</v>
      </c>
      <c r="U579" s="26">
        <v>0.9263307984790875</v>
      </c>
      <c r="V579" s="26">
        <v>0.86190663005100043</v>
      </c>
      <c r="W579" s="26">
        <v>0.87661656763369455</v>
      </c>
      <c r="X579" s="28">
        <v>0.92</v>
      </c>
      <c r="Y579" s="28">
        <v>0.94805194805194803</v>
      </c>
      <c r="Z579" s="28">
        <v>0.92897196261682247</v>
      </c>
      <c r="AA579" s="28">
        <v>0.89094269870609977</v>
      </c>
      <c r="AB579" s="28">
        <v>0.92231638418079098</v>
      </c>
      <c r="AC579" s="28">
        <v>0.92</v>
      </c>
      <c r="AD579" s="26">
        <v>0.99831188014349015</v>
      </c>
      <c r="AE579" s="26">
        <v>0.99379811804961504</v>
      </c>
      <c r="AF579" s="26">
        <v>0.9755316716213126</v>
      </c>
      <c r="AG579" s="26">
        <v>0.9880805819809737</v>
      </c>
      <c r="AH579" s="28">
        <v>0.92</v>
      </c>
      <c r="AI579" s="26">
        <v>0.96396054628224581</v>
      </c>
      <c r="AJ579" s="26">
        <v>0.96816976127320953</v>
      </c>
      <c r="AK579" s="26">
        <v>0.95339805825242718</v>
      </c>
      <c r="AL579" s="26">
        <v>0.9642840468742705</v>
      </c>
      <c r="AM579" s="25">
        <v>0.99</v>
      </c>
      <c r="AN579" s="30">
        <v>1</v>
      </c>
      <c r="AO579" s="30">
        <v>1</v>
      </c>
      <c r="AP579" s="30">
        <v>1</v>
      </c>
      <c r="AQ579" s="30">
        <v>1</v>
      </c>
      <c r="AR579" s="50">
        <v>0.05</v>
      </c>
      <c r="AS579" s="34">
        <v>0.18181818181818182</v>
      </c>
      <c r="AT579" s="34">
        <v>9.0909090909090912E-2</v>
      </c>
      <c r="AU579" s="34">
        <v>7.6923076923076927E-2</v>
      </c>
      <c r="AV579" s="34">
        <v>7.0000000000000007E-2</v>
      </c>
      <c r="AW579" s="10"/>
      <c r="AX579" s="8"/>
    </row>
    <row r="580" spans="1:50">
      <c r="A580" s="7"/>
      <c r="B580" s="10"/>
      <c r="C580" s="45" t="s">
        <v>396</v>
      </c>
      <c r="D580" s="23" t="s">
        <v>19</v>
      </c>
      <c r="E580" s="46" t="s">
        <v>626</v>
      </c>
      <c r="F580" s="46" t="s">
        <v>626</v>
      </c>
      <c r="G580" s="46" t="s">
        <v>626</v>
      </c>
      <c r="H580" s="46" t="s">
        <v>626</v>
      </c>
      <c r="I580" s="25">
        <v>0.9</v>
      </c>
      <c r="J580" s="26">
        <v>0.97727272727272729</v>
      </c>
      <c r="K580" s="26">
        <v>1</v>
      </c>
      <c r="L580" s="27">
        <v>1</v>
      </c>
      <c r="M580" s="26">
        <v>0.9910714285714286</v>
      </c>
      <c r="N580" s="28">
        <v>0.9</v>
      </c>
      <c r="O580" s="26">
        <v>0</v>
      </c>
      <c r="P580" s="26">
        <v>0</v>
      </c>
      <c r="Q580" s="26">
        <v>0</v>
      </c>
      <c r="R580" s="26">
        <v>0.2</v>
      </c>
      <c r="S580" s="28">
        <v>0.9</v>
      </c>
      <c r="T580" s="26">
        <v>0</v>
      </c>
      <c r="U580" s="26">
        <v>0</v>
      </c>
      <c r="V580" s="26">
        <v>0</v>
      </c>
      <c r="W580" s="26">
        <v>0</v>
      </c>
      <c r="X580" s="28">
        <v>0.92</v>
      </c>
      <c r="Y580" s="28">
        <v>0</v>
      </c>
      <c r="Z580" s="28">
        <v>0</v>
      </c>
      <c r="AA580" s="28">
        <v>1</v>
      </c>
      <c r="AB580" s="28">
        <v>0.5</v>
      </c>
      <c r="AC580" s="28">
        <v>0.92</v>
      </c>
      <c r="AD580" s="26">
        <v>0.99635922330097082</v>
      </c>
      <c r="AE580" s="26">
        <v>0.98049837486457203</v>
      </c>
      <c r="AF580" s="26">
        <v>0.9730200174064404</v>
      </c>
      <c r="AG580" s="26">
        <v>0.98718270922342299</v>
      </c>
      <c r="AH580" s="28">
        <v>0.92</v>
      </c>
      <c r="AI580" s="26">
        <v>0.93293783853494971</v>
      </c>
      <c r="AJ580" s="26">
        <v>0.95949432404540769</v>
      </c>
      <c r="AK580" s="26">
        <v>0.96601146601146604</v>
      </c>
      <c r="AL580" s="26">
        <v>0.9345104839981081</v>
      </c>
      <c r="AM580" s="25">
        <v>0.99</v>
      </c>
      <c r="AN580" s="30">
        <v>1</v>
      </c>
      <c r="AO580" s="30">
        <v>1</v>
      </c>
      <c r="AP580" s="30">
        <v>1</v>
      </c>
      <c r="AQ580" s="30">
        <v>1</v>
      </c>
      <c r="AR580" s="50">
        <v>0.05</v>
      </c>
      <c r="AS580" s="34">
        <v>0</v>
      </c>
      <c r="AT580" s="34">
        <v>0.125</v>
      </c>
      <c r="AU580" s="34">
        <v>0</v>
      </c>
      <c r="AV580" s="34">
        <v>6.9444444444444448E-2</v>
      </c>
      <c r="AW580" s="10"/>
      <c r="AX580" s="8"/>
    </row>
    <row r="581" spans="1:50">
      <c r="A581" s="7"/>
      <c r="B581" s="10"/>
      <c r="C581" s="45" t="s">
        <v>396</v>
      </c>
      <c r="D581" s="23" t="s">
        <v>19</v>
      </c>
      <c r="E581" s="46" t="s">
        <v>627</v>
      </c>
      <c r="F581" s="46" t="s">
        <v>627</v>
      </c>
      <c r="G581" s="46" t="s">
        <v>627</v>
      </c>
      <c r="H581" s="46" t="s">
        <v>627</v>
      </c>
      <c r="I581" s="25">
        <v>0.9</v>
      </c>
      <c r="J581" s="26">
        <v>0.98529411764705888</v>
      </c>
      <c r="K581" s="26">
        <v>0.98484848484848486</v>
      </c>
      <c r="L581" s="27">
        <v>1</v>
      </c>
      <c r="M581" s="26">
        <v>0.98458574181117531</v>
      </c>
      <c r="N581" s="28">
        <v>0.9</v>
      </c>
      <c r="O581" s="26">
        <v>0.99237659615018103</v>
      </c>
      <c r="P581" s="26">
        <v>0.99677480553974573</v>
      </c>
      <c r="Q581" s="26">
        <v>0.99001268230818007</v>
      </c>
      <c r="R581" s="26">
        <v>0.99016059714996607</v>
      </c>
      <c r="S581" s="28">
        <v>0.9</v>
      </c>
      <c r="T581" s="26">
        <v>0.92128835525061936</v>
      </c>
      <c r="U581" s="26">
        <v>0.90039840637450197</v>
      </c>
      <c r="V581" s="26">
        <v>0.89584654407102093</v>
      </c>
      <c r="W581" s="26">
        <v>0.88414385885546254</v>
      </c>
      <c r="X581" s="28">
        <v>0.92</v>
      </c>
      <c r="Y581" s="28">
        <v>0.85100485100485102</v>
      </c>
      <c r="Z581" s="28">
        <v>0.90240452616690237</v>
      </c>
      <c r="AA581" s="28">
        <v>0.92432035268185153</v>
      </c>
      <c r="AB581" s="28">
        <v>0.88056291693319932</v>
      </c>
      <c r="AC581" s="28">
        <v>0.92</v>
      </c>
      <c r="AD581" s="26">
        <v>0.99597681881316158</v>
      </c>
      <c r="AE581" s="26">
        <v>0.98553202683151386</v>
      </c>
      <c r="AF581" s="26">
        <v>0.98275042444821736</v>
      </c>
      <c r="AG581" s="26">
        <v>0.98530830664450475</v>
      </c>
      <c r="AH581" s="28">
        <v>0.92</v>
      </c>
      <c r="AI581" s="26">
        <v>0.94918547302346434</v>
      </c>
      <c r="AJ581" s="26">
        <v>0.95678181546283836</v>
      </c>
      <c r="AK581" s="26">
        <v>0.97118268353109927</v>
      </c>
      <c r="AL581" s="26">
        <v>0.95915296335913847</v>
      </c>
      <c r="AM581" s="25">
        <v>0.99</v>
      </c>
      <c r="AN581" s="30">
        <v>1</v>
      </c>
      <c r="AO581" s="30">
        <v>1</v>
      </c>
      <c r="AP581" s="30">
        <v>1</v>
      </c>
      <c r="AQ581" s="30">
        <v>1</v>
      </c>
      <c r="AR581" s="50">
        <v>0.05</v>
      </c>
      <c r="AS581" s="34">
        <v>2.7777777777777776E-2</v>
      </c>
      <c r="AT581" s="34">
        <v>0</v>
      </c>
      <c r="AU581" s="34">
        <v>-3.125E-2</v>
      </c>
      <c r="AV581" s="34">
        <v>2.8000000000000001E-2</v>
      </c>
      <c r="AW581" s="10"/>
      <c r="AX581" s="8"/>
    </row>
    <row r="582" spans="1:50">
      <c r="A582" s="7"/>
      <c r="B582" s="10"/>
      <c r="C582" s="45" t="s">
        <v>396</v>
      </c>
      <c r="D582" s="23" t="s">
        <v>19</v>
      </c>
      <c r="E582" s="46" t="s">
        <v>628</v>
      </c>
      <c r="F582" s="46" t="s">
        <v>628</v>
      </c>
      <c r="G582" s="46" t="s">
        <v>628</v>
      </c>
      <c r="H582" s="46" t="s">
        <v>628</v>
      </c>
      <c r="I582" s="25">
        <v>0.9</v>
      </c>
      <c r="J582" s="26">
        <v>0.96875</v>
      </c>
      <c r="K582" s="26">
        <v>1</v>
      </c>
      <c r="L582" s="27">
        <v>1</v>
      </c>
      <c r="M582" s="26">
        <v>0.99578059071729963</v>
      </c>
      <c r="N582" s="28">
        <v>0.9</v>
      </c>
      <c r="O582" s="26">
        <v>0</v>
      </c>
      <c r="P582" s="26">
        <v>1</v>
      </c>
      <c r="Q582" s="26">
        <v>0</v>
      </c>
      <c r="R582" s="26">
        <v>0.33333333333333331</v>
      </c>
      <c r="S582" s="28">
        <v>0.9</v>
      </c>
      <c r="T582" s="26">
        <v>0</v>
      </c>
      <c r="U582" s="26">
        <v>0.5</v>
      </c>
      <c r="V582" s="26">
        <v>0</v>
      </c>
      <c r="W582" s="26">
        <v>0.16666666666666666</v>
      </c>
      <c r="X582" s="28">
        <v>0.92</v>
      </c>
      <c r="Y582" s="28">
        <v>0</v>
      </c>
      <c r="Z582" s="28">
        <v>0</v>
      </c>
      <c r="AA582" s="28">
        <v>0</v>
      </c>
      <c r="AB582" s="28">
        <v>0</v>
      </c>
      <c r="AC582" s="28">
        <v>0.92</v>
      </c>
      <c r="AD582" s="26">
        <v>1</v>
      </c>
      <c r="AE582" s="26">
        <v>0.98998569384835478</v>
      </c>
      <c r="AF582" s="26">
        <v>0.99681528662420382</v>
      </c>
      <c r="AG582" s="26">
        <v>0.99594985535197689</v>
      </c>
      <c r="AH582" s="28">
        <v>0.92</v>
      </c>
      <c r="AI582" s="26">
        <v>0.95806813927368029</v>
      </c>
      <c r="AJ582" s="26">
        <v>0.97486136783733823</v>
      </c>
      <c r="AK582" s="26">
        <v>0.95433176628609806</v>
      </c>
      <c r="AL582" s="26">
        <v>0.9680654404288751</v>
      </c>
      <c r="AM582" s="25">
        <v>0.99</v>
      </c>
      <c r="AN582" s="30">
        <v>1</v>
      </c>
      <c r="AO582" s="30">
        <v>1</v>
      </c>
      <c r="AP582" s="30">
        <v>1</v>
      </c>
      <c r="AQ582" s="30">
        <v>1</v>
      </c>
      <c r="AR582" s="50">
        <v>0.05</v>
      </c>
      <c r="AS582" s="34">
        <v>0.2</v>
      </c>
      <c r="AT582" s="34">
        <v>0.125</v>
      </c>
      <c r="AU582" s="34">
        <v>0</v>
      </c>
      <c r="AV582" s="34">
        <v>8.3333333333333329E-2</v>
      </c>
      <c r="AW582" s="10"/>
      <c r="AX582" s="8"/>
    </row>
    <row r="583" spans="1:50">
      <c r="A583" s="7"/>
      <c r="B583" s="10"/>
      <c r="C583" s="45" t="s">
        <v>396</v>
      </c>
      <c r="D583" s="23" t="s">
        <v>19</v>
      </c>
      <c r="E583" s="46" t="s">
        <v>629</v>
      </c>
      <c r="F583" s="46" t="s">
        <v>629</v>
      </c>
      <c r="G583" s="46" t="s">
        <v>629</v>
      </c>
      <c r="H583" s="46" t="s">
        <v>629</v>
      </c>
      <c r="I583" s="25">
        <v>0.9</v>
      </c>
      <c r="J583" s="26">
        <v>0.9285714285714286</v>
      </c>
      <c r="K583" s="26">
        <v>0.97674418604651159</v>
      </c>
      <c r="L583" s="27">
        <v>0.95348837209302328</v>
      </c>
      <c r="M583" s="26">
        <v>0.96060606060606057</v>
      </c>
      <c r="N583" s="28">
        <v>0.9</v>
      </c>
      <c r="O583" s="26">
        <v>0.96999708709583454</v>
      </c>
      <c r="P583" s="26">
        <v>0.98154681139755762</v>
      </c>
      <c r="Q583" s="26">
        <v>0.96469442415388362</v>
      </c>
      <c r="R583" s="26">
        <v>0.96854987903799628</v>
      </c>
      <c r="S583" s="28">
        <v>0.9</v>
      </c>
      <c r="T583" s="26">
        <v>0.93096417127876496</v>
      </c>
      <c r="U583" s="26">
        <v>0.9405698778833107</v>
      </c>
      <c r="V583" s="26">
        <v>0.95349403457511561</v>
      </c>
      <c r="W583" s="26">
        <v>0.92888145723637394</v>
      </c>
      <c r="X583" s="28">
        <v>0.92</v>
      </c>
      <c r="Y583" s="28">
        <v>0.95242290748898684</v>
      </c>
      <c r="Z583" s="28">
        <v>0.9614325068870524</v>
      </c>
      <c r="AA583" s="28">
        <v>0.96252676659528913</v>
      </c>
      <c r="AB583" s="28">
        <v>0.94269776876267752</v>
      </c>
      <c r="AC583" s="28">
        <v>0.92</v>
      </c>
      <c r="AD583" s="26">
        <v>0.98982566447556442</v>
      </c>
      <c r="AE583" s="26">
        <v>0.99198060425214474</v>
      </c>
      <c r="AF583" s="26">
        <v>0.986580720773513</v>
      </c>
      <c r="AG583" s="26">
        <v>0.99272583572390372</v>
      </c>
      <c r="AH583" s="28">
        <v>0.92</v>
      </c>
      <c r="AI583" s="26">
        <v>0.96825744308231176</v>
      </c>
      <c r="AJ583" s="26">
        <v>0.97444490992878086</v>
      </c>
      <c r="AK583" s="26">
        <v>0.98651061297361631</v>
      </c>
      <c r="AL583" s="26">
        <v>0.96711111111111114</v>
      </c>
      <c r="AM583" s="25">
        <v>0.99</v>
      </c>
      <c r="AN583" s="30">
        <v>1</v>
      </c>
      <c r="AO583" s="30">
        <v>1</v>
      </c>
      <c r="AP583" s="30">
        <v>1</v>
      </c>
      <c r="AQ583" s="30">
        <v>1</v>
      </c>
      <c r="AR583" s="50">
        <v>0.05</v>
      </c>
      <c r="AS583" s="34">
        <v>3.5714285714285712E-2</v>
      </c>
      <c r="AT583" s="34">
        <v>0</v>
      </c>
      <c r="AU583" s="34">
        <v>8.3333333333333329E-2</v>
      </c>
      <c r="AV583" s="34">
        <v>3.9408866995073892E-2</v>
      </c>
      <c r="AW583" s="10"/>
      <c r="AX583" s="8"/>
    </row>
    <row r="584" spans="1:50">
      <c r="A584" s="7"/>
      <c r="B584" s="10"/>
      <c r="C584" s="45" t="s">
        <v>396</v>
      </c>
      <c r="D584" s="23" t="s">
        <v>19</v>
      </c>
      <c r="E584" s="46" t="s">
        <v>630</v>
      </c>
      <c r="F584" s="46" t="s">
        <v>630</v>
      </c>
      <c r="G584" s="46" t="s">
        <v>630</v>
      </c>
      <c r="H584" s="46" t="s">
        <v>630</v>
      </c>
      <c r="I584" s="25">
        <v>0.9</v>
      </c>
      <c r="J584" s="26">
        <v>1</v>
      </c>
      <c r="K584" s="26">
        <v>1</v>
      </c>
      <c r="L584" s="27">
        <v>0.97727272727272729</v>
      </c>
      <c r="M584" s="26">
        <v>0.99101796407185627</v>
      </c>
      <c r="N584" s="28">
        <v>0.9</v>
      </c>
      <c r="O584" s="26">
        <v>0.9915501165501166</v>
      </c>
      <c r="P584" s="26">
        <v>0.99208731241473402</v>
      </c>
      <c r="Q584" s="26">
        <v>0.99716244975171431</v>
      </c>
      <c r="R584" s="26">
        <v>0.99078087375300994</v>
      </c>
      <c r="S584" s="28">
        <v>0.9</v>
      </c>
      <c r="T584" s="26">
        <v>0.96008158508158503</v>
      </c>
      <c r="U584" s="26">
        <v>0.96971350613915419</v>
      </c>
      <c r="V584" s="26">
        <v>0.9713880349964531</v>
      </c>
      <c r="W584" s="26">
        <v>0.95717234262125905</v>
      </c>
      <c r="X584" s="28">
        <v>0.92</v>
      </c>
      <c r="Y584" s="28">
        <v>0.96649214659685867</v>
      </c>
      <c r="Z584" s="28">
        <v>0.98007968127490042</v>
      </c>
      <c r="AA584" s="28">
        <v>0.98631698973774229</v>
      </c>
      <c r="AB584" s="28">
        <v>0.97902385522347135</v>
      </c>
      <c r="AC584" s="28">
        <v>0.92</v>
      </c>
      <c r="AD584" s="26">
        <v>0.9964882308276386</v>
      </c>
      <c r="AE584" s="26">
        <v>0.9972058965218229</v>
      </c>
      <c r="AF584" s="26">
        <v>0.96629344529974337</v>
      </c>
      <c r="AG584" s="26">
        <v>0.9862222513260428</v>
      </c>
      <c r="AH584" s="28">
        <v>0.92</v>
      </c>
      <c r="AI584" s="26">
        <v>0.97743846855059258</v>
      </c>
      <c r="AJ584" s="26">
        <v>0.98673513050919981</v>
      </c>
      <c r="AK584" s="26">
        <v>0.99118683901292592</v>
      </c>
      <c r="AL584" s="26">
        <v>0.98754707644940487</v>
      </c>
      <c r="AM584" s="25">
        <v>0.99</v>
      </c>
      <c r="AN584" s="30">
        <v>1</v>
      </c>
      <c r="AO584" s="30">
        <v>1</v>
      </c>
      <c r="AP584" s="30">
        <v>1</v>
      </c>
      <c r="AQ584" s="30">
        <v>1</v>
      </c>
      <c r="AR584" s="50">
        <v>0.05</v>
      </c>
      <c r="AS584" s="34">
        <v>3.7037037037037035E-2</v>
      </c>
      <c r="AT584" s="34">
        <v>0</v>
      </c>
      <c r="AU584" s="34">
        <v>3.7037037037037035E-2</v>
      </c>
      <c r="AV584" s="34">
        <v>2.7777777777777776E-2</v>
      </c>
      <c r="AW584" s="10"/>
      <c r="AX584" s="8"/>
    </row>
    <row r="585" spans="1:50">
      <c r="A585" s="7"/>
      <c r="B585" s="10"/>
      <c r="C585" s="45" t="s">
        <v>396</v>
      </c>
      <c r="D585" s="23" t="s">
        <v>19</v>
      </c>
      <c r="E585" s="46" t="s">
        <v>631</v>
      </c>
      <c r="F585" s="46" t="s">
        <v>631</v>
      </c>
      <c r="G585" s="46" t="s">
        <v>631</v>
      </c>
      <c r="H585" s="46" t="s">
        <v>631</v>
      </c>
      <c r="I585" s="25">
        <v>0.9</v>
      </c>
      <c r="J585" s="26">
        <v>0.97058823529411764</v>
      </c>
      <c r="K585" s="26">
        <v>0.94594594594594594</v>
      </c>
      <c r="L585" s="27">
        <v>0.9726027397260274</v>
      </c>
      <c r="M585" s="26">
        <v>0.96269982238010654</v>
      </c>
      <c r="N585" s="28">
        <v>0.9</v>
      </c>
      <c r="O585" s="26">
        <v>1</v>
      </c>
      <c r="P585" s="26">
        <v>0.66666666666666663</v>
      </c>
      <c r="Q585" s="26">
        <v>1</v>
      </c>
      <c r="R585" s="26">
        <v>0.72727272727272729</v>
      </c>
      <c r="S585" s="28">
        <v>0.9</v>
      </c>
      <c r="T585" s="26">
        <v>0</v>
      </c>
      <c r="U585" s="26">
        <v>0</v>
      </c>
      <c r="V585" s="26">
        <v>0</v>
      </c>
      <c r="W585" s="26">
        <v>0</v>
      </c>
      <c r="X585" s="28">
        <v>0.92</v>
      </c>
      <c r="Y585" s="28">
        <v>0</v>
      </c>
      <c r="Z585" s="28">
        <v>0</v>
      </c>
      <c r="AA585" s="28">
        <v>0</v>
      </c>
      <c r="AB585" s="28">
        <v>0.2</v>
      </c>
      <c r="AC585" s="28">
        <v>0.92</v>
      </c>
      <c r="AD585" s="26">
        <v>0.99652375434530704</v>
      </c>
      <c r="AE585" s="26">
        <v>0.99520958083832334</v>
      </c>
      <c r="AF585" s="26">
        <v>0.9877384196185286</v>
      </c>
      <c r="AG585" s="26">
        <v>0.98861081972126474</v>
      </c>
      <c r="AH585" s="28">
        <v>0.92</v>
      </c>
      <c r="AI585" s="26">
        <v>0.90929017029168779</v>
      </c>
      <c r="AJ585" s="26">
        <v>0.93209459459459465</v>
      </c>
      <c r="AK585" s="26">
        <v>0.94051282051282048</v>
      </c>
      <c r="AL585" s="26">
        <v>0.93169524341803234</v>
      </c>
      <c r="AM585" s="25">
        <v>0.99</v>
      </c>
      <c r="AN585" s="30">
        <v>1</v>
      </c>
      <c r="AO585" s="30">
        <v>1</v>
      </c>
      <c r="AP585" s="30">
        <v>1</v>
      </c>
      <c r="AQ585" s="30">
        <v>1</v>
      </c>
      <c r="AR585" s="50">
        <v>0.05</v>
      </c>
      <c r="AS585" s="34">
        <v>5.8823529411764705E-2</v>
      </c>
      <c r="AT585" s="34">
        <v>4.5454545454545456E-2</v>
      </c>
      <c r="AU585" s="34">
        <v>4.3478260869565216E-2</v>
      </c>
      <c r="AV585" s="34">
        <v>2.4390243902439025E-2</v>
      </c>
      <c r="AW585" s="10"/>
      <c r="AX585" s="8"/>
    </row>
    <row r="586" spans="1:50">
      <c r="A586" s="7"/>
      <c r="B586" s="10"/>
      <c r="C586" s="45" t="s">
        <v>396</v>
      </c>
      <c r="D586" s="23" t="s">
        <v>19</v>
      </c>
      <c r="E586" s="46" t="s">
        <v>632</v>
      </c>
      <c r="F586" s="46" t="s">
        <v>632</v>
      </c>
      <c r="G586" s="46" t="s">
        <v>632</v>
      </c>
      <c r="H586" s="46" t="s">
        <v>632</v>
      </c>
      <c r="I586" s="25">
        <v>0.9</v>
      </c>
      <c r="J586" s="26">
        <v>1</v>
      </c>
      <c r="K586" s="26">
        <v>1</v>
      </c>
      <c r="L586" s="27">
        <v>1</v>
      </c>
      <c r="M586" s="26">
        <v>0.99528301886792447</v>
      </c>
      <c r="N586" s="28">
        <v>0.9</v>
      </c>
      <c r="O586" s="26">
        <v>0.99710982658959535</v>
      </c>
      <c r="P586" s="26">
        <v>0.99831720656289435</v>
      </c>
      <c r="Q586" s="26">
        <v>0.99733954107083467</v>
      </c>
      <c r="R586" s="26">
        <v>0.99487101360958763</v>
      </c>
      <c r="S586" s="28">
        <v>0.9</v>
      </c>
      <c r="T586" s="26">
        <v>0.97543352601156075</v>
      </c>
      <c r="U586" s="26">
        <v>0.97602019352124525</v>
      </c>
      <c r="V586" s="26">
        <v>0.97472564017292984</v>
      </c>
      <c r="W586" s="26">
        <v>0.97379646556977451</v>
      </c>
      <c r="X586" s="28">
        <v>0.92</v>
      </c>
      <c r="Y586" s="28">
        <v>0.97538461538461541</v>
      </c>
      <c r="Z586" s="28">
        <v>1</v>
      </c>
      <c r="AA586" s="28">
        <v>0.98705501618122982</v>
      </c>
      <c r="AB586" s="28">
        <v>0.98613595706618962</v>
      </c>
      <c r="AC586" s="28">
        <v>0.92</v>
      </c>
      <c r="AD586" s="26">
        <v>0.99755046878959375</v>
      </c>
      <c r="AE586" s="26">
        <v>0.99715222644114598</v>
      </c>
      <c r="AF586" s="26">
        <v>0.99612211221122116</v>
      </c>
      <c r="AG586" s="26">
        <v>0.99644997644274491</v>
      </c>
      <c r="AH586" s="28">
        <v>0.92</v>
      </c>
      <c r="AI586" s="26">
        <v>0.98391342497806378</v>
      </c>
      <c r="AJ586" s="26">
        <v>0.99254024342363567</v>
      </c>
      <c r="AK586" s="26">
        <v>0.99089655172413793</v>
      </c>
      <c r="AL586" s="26">
        <v>0.99060663742448063</v>
      </c>
      <c r="AM586" s="25">
        <v>0.99</v>
      </c>
      <c r="AN586" s="30">
        <v>1</v>
      </c>
      <c r="AO586" s="30">
        <v>1</v>
      </c>
      <c r="AP586" s="30">
        <v>1</v>
      </c>
      <c r="AQ586" s="30">
        <v>1</v>
      </c>
      <c r="AR586" s="50">
        <v>0.05</v>
      </c>
      <c r="AS586" s="34">
        <v>6.25E-2</v>
      </c>
      <c r="AT586" s="34">
        <v>0.24</v>
      </c>
      <c r="AU586" s="34">
        <v>0</v>
      </c>
      <c r="AV586" s="34">
        <v>8.3333333333333329E-2</v>
      </c>
      <c r="AW586" s="10"/>
      <c r="AX586" s="8"/>
    </row>
    <row r="587" spans="1:50">
      <c r="A587" s="7"/>
      <c r="B587" s="10"/>
      <c r="C587" s="45" t="s">
        <v>396</v>
      </c>
      <c r="D587" s="23" t="s">
        <v>19</v>
      </c>
      <c r="E587" s="46" t="s">
        <v>633</v>
      </c>
      <c r="F587" s="46" t="s">
        <v>633</v>
      </c>
      <c r="G587" s="46" t="s">
        <v>633</v>
      </c>
      <c r="H587" s="46" t="s">
        <v>633</v>
      </c>
      <c r="I587" s="25">
        <v>0.9</v>
      </c>
      <c r="J587" s="26">
        <v>0.94285714285714284</v>
      </c>
      <c r="K587" s="26">
        <v>0.93333333333333335</v>
      </c>
      <c r="L587" s="27">
        <v>0.94285714285714284</v>
      </c>
      <c r="M587" s="26">
        <v>0.93129770992366412</v>
      </c>
      <c r="N587" s="28">
        <v>0.9</v>
      </c>
      <c r="O587" s="26">
        <v>0</v>
      </c>
      <c r="P587" s="26">
        <v>0</v>
      </c>
      <c r="Q587" s="26">
        <v>0</v>
      </c>
      <c r="R587" s="26">
        <v>0.42857142857142855</v>
      </c>
      <c r="S587" s="28">
        <v>0.9</v>
      </c>
      <c r="T587" s="26">
        <v>0</v>
      </c>
      <c r="U587" s="26">
        <v>0</v>
      </c>
      <c r="V587" s="26">
        <v>0</v>
      </c>
      <c r="W587" s="26">
        <v>0.2857142857142857</v>
      </c>
      <c r="X587" s="28">
        <v>0.92</v>
      </c>
      <c r="Y587" s="28">
        <v>0</v>
      </c>
      <c r="Z587" s="28">
        <v>0</v>
      </c>
      <c r="AA587" s="28">
        <v>0</v>
      </c>
      <c r="AB587" s="28">
        <v>0</v>
      </c>
      <c r="AC587" s="28">
        <v>0.92</v>
      </c>
      <c r="AD587" s="26">
        <v>1</v>
      </c>
      <c r="AE587" s="26">
        <v>0.98</v>
      </c>
      <c r="AF587" s="26">
        <v>0.9375</v>
      </c>
      <c r="AG587" s="26">
        <v>0.96855345911949686</v>
      </c>
      <c r="AH587" s="28">
        <v>0.92</v>
      </c>
      <c r="AI587" s="26">
        <v>0.95380923815236951</v>
      </c>
      <c r="AJ587" s="26">
        <v>0.90059880239520962</v>
      </c>
      <c r="AK587" s="26">
        <v>0.95332645693656526</v>
      </c>
      <c r="AL587" s="26">
        <v>0.92866454229432216</v>
      </c>
      <c r="AM587" s="25">
        <v>0.99</v>
      </c>
      <c r="AN587" s="30">
        <v>1</v>
      </c>
      <c r="AO587" s="30">
        <v>1</v>
      </c>
      <c r="AP587" s="30">
        <v>1</v>
      </c>
      <c r="AQ587" s="30">
        <v>1</v>
      </c>
      <c r="AR587" s="50">
        <v>0.05</v>
      </c>
      <c r="AS587" s="34">
        <v>0.5</v>
      </c>
      <c r="AT587" s="34">
        <v>0.15</v>
      </c>
      <c r="AU587" s="34">
        <v>0</v>
      </c>
      <c r="AV587" s="34">
        <v>0.10204081632653061</v>
      </c>
      <c r="AW587" s="10"/>
      <c r="AX587" s="8"/>
    </row>
    <row r="588" spans="1:50">
      <c r="A588" s="7"/>
      <c r="B588" s="10"/>
      <c r="C588" s="45" t="s">
        <v>396</v>
      </c>
      <c r="D588" s="23" t="s">
        <v>19</v>
      </c>
      <c r="E588" s="46" t="s">
        <v>634</v>
      </c>
      <c r="F588" s="46" t="s">
        <v>634</v>
      </c>
      <c r="G588" s="46" t="s">
        <v>634</v>
      </c>
      <c r="H588" s="46" t="s">
        <v>634</v>
      </c>
      <c r="I588" s="25">
        <v>0.9</v>
      </c>
      <c r="J588" s="26">
        <v>1</v>
      </c>
      <c r="K588" s="26">
        <v>0.95652173913043481</v>
      </c>
      <c r="L588" s="27">
        <v>0.92</v>
      </c>
      <c r="M588" s="26">
        <v>0.96858638743455494</v>
      </c>
      <c r="N588" s="28">
        <v>0.9</v>
      </c>
      <c r="O588" s="26">
        <v>0.97111218103033226</v>
      </c>
      <c r="P588" s="26">
        <v>0.96263520157325466</v>
      </c>
      <c r="Q588" s="26">
        <v>0.98275862068965514</v>
      </c>
      <c r="R588" s="26">
        <v>0.9790341983158618</v>
      </c>
      <c r="S588" s="28">
        <v>0.9</v>
      </c>
      <c r="T588" s="26">
        <v>0.8521906596051998</v>
      </c>
      <c r="U588" s="26">
        <v>0.88053097345132747</v>
      </c>
      <c r="V588" s="26">
        <v>0.89860426929392445</v>
      </c>
      <c r="W588" s="26">
        <v>0.88274044795783924</v>
      </c>
      <c r="X588" s="28">
        <v>0.92</v>
      </c>
      <c r="Y588" s="28">
        <v>0.70685579196217496</v>
      </c>
      <c r="Z588" s="28">
        <v>0.7441860465116279</v>
      </c>
      <c r="AA588" s="28">
        <v>0.7439613526570048</v>
      </c>
      <c r="AB588" s="28">
        <v>0.7102137767220903</v>
      </c>
      <c r="AC588" s="28">
        <v>0.92</v>
      </c>
      <c r="AD588" s="26">
        <v>1</v>
      </c>
      <c r="AE588" s="26">
        <v>0.99920445505171041</v>
      </c>
      <c r="AF588" s="26">
        <v>0.99926847110460859</v>
      </c>
      <c r="AG588" s="26">
        <v>0.99849974995832635</v>
      </c>
      <c r="AH588" s="28">
        <v>0.92</v>
      </c>
      <c r="AI588" s="26">
        <v>0.9052</v>
      </c>
      <c r="AJ588" s="26">
        <v>0.94015683037556752</v>
      </c>
      <c r="AK588" s="26">
        <v>0.94878989828130478</v>
      </c>
      <c r="AL588" s="26">
        <v>0.93287881697714614</v>
      </c>
      <c r="AM588" s="25">
        <v>0.99</v>
      </c>
      <c r="AN588" s="30">
        <v>1</v>
      </c>
      <c r="AO588" s="30">
        <v>1</v>
      </c>
      <c r="AP588" s="30">
        <v>1</v>
      </c>
      <c r="AQ588" s="30">
        <v>1</v>
      </c>
      <c r="AR588" s="50">
        <v>0.05</v>
      </c>
      <c r="AS588" s="34">
        <v>0.1111111111111111</v>
      </c>
      <c r="AT588" s="34">
        <v>0.1</v>
      </c>
      <c r="AU588" s="34">
        <v>0</v>
      </c>
      <c r="AV588" s="34">
        <v>5.5555555555555552E-2</v>
      </c>
      <c r="AW588" s="10"/>
      <c r="AX588" s="8"/>
    </row>
    <row r="589" spans="1:50">
      <c r="A589" s="7"/>
      <c r="B589" s="10"/>
      <c r="C589" s="45" t="s">
        <v>396</v>
      </c>
      <c r="D589" s="23" t="s">
        <v>19</v>
      </c>
      <c r="E589" s="46" t="s">
        <v>635</v>
      </c>
      <c r="F589" s="46" t="s">
        <v>635</v>
      </c>
      <c r="G589" s="46" t="s">
        <v>635</v>
      </c>
      <c r="H589" s="46" t="s">
        <v>635</v>
      </c>
      <c r="I589" s="25">
        <v>0.9</v>
      </c>
      <c r="J589" s="26">
        <v>0.96969696969696972</v>
      </c>
      <c r="K589" s="26">
        <v>1</v>
      </c>
      <c r="L589" s="27">
        <v>1</v>
      </c>
      <c r="M589" s="26">
        <v>0.98076923076923073</v>
      </c>
      <c r="N589" s="28">
        <v>0.9</v>
      </c>
      <c r="O589" s="26">
        <v>0</v>
      </c>
      <c r="P589" s="26">
        <v>0</v>
      </c>
      <c r="Q589" s="26">
        <v>0</v>
      </c>
      <c r="R589" s="26">
        <v>0.375</v>
      </c>
      <c r="S589" s="28">
        <v>0.9</v>
      </c>
      <c r="T589" s="26">
        <v>0.66666666666666663</v>
      </c>
      <c r="U589" s="26">
        <v>0</v>
      </c>
      <c r="V589" s="26">
        <v>0</v>
      </c>
      <c r="W589" s="26">
        <v>0.75</v>
      </c>
      <c r="X589" s="28">
        <v>0.92</v>
      </c>
      <c r="Y589" s="28">
        <v>0</v>
      </c>
      <c r="Z589" s="28">
        <v>0</v>
      </c>
      <c r="AA589" s="28">
        <v>0</v>
      </c>
      <c r="AB589" s="28">
        <v>0</v>
      </c>
      <c r="AC589" s="28">
        <v>0.92</v>
      </c>
      <c r="AD589" s="26">
        <v>0.98518518518518516</v>
      </c>
      <c r="AE589" s="26">
        <v>0.963963963963964</v>
      </c>
      <c r="AF589" s="26">
        <v>0.97058823529411764</v>
      </c>
      <c r="AG589" s="26">
        <v>0.97511111111111115</v>
      </c>
      <c r="AH589" s="28">
        <v>0.92</v>
      </c>
      <c r="AI589" s="26">
        <v>0.94674556213017746</v>
      </c>
      <c r="AJ589" s="26">
        <v>0.94672245467224547</v>
      </c>
      <c r="AK589" s="26">
        <v>0.97191283292978203</v>
      </c>
      <c r="AL589" s="26">
        <v>0.95301260476473304</v>
      </c>
      <c r="AM589" s="25">
        <v>0.99</v>
      </c>
      <c r="AN589" s="30">
        <v>1</v>
      </c>
      <c r="AO589" s="30">
        <v>1</v>
      </c>
      <c r="AP589" s="30">
        <v>1</v>
      </c>
      <c r="AQ589" s="30">
        <v>1</v>
      </c>
      <c r="AR589" s="50">
        <v>0.05</v>
      </c>
      <c r="AS589" s="34">
        <v>9.0909090909090912E-2</v>
      </c>
      <c r="AT589" s="34">
        <v>8.3333333333333329E-2</v>
      </c>
      <c r="AU589" s="34">
        <v>0</v>
      </c>
      <c r="AV589" s="34">
        <v>3.4482758620689655E-2</v>
      </c>
      <c r="AW589" s="10"/>
      <c r="AX589" s="8"/>
    </row>
    <row r="590" spans="1:50">
      <c r="A590" s="7"/>
      <c r="B590" s="10"/>
      <c r="C590" s="45" t="s">
        <v>396</v>
      </c>
      <c r="D590" s="23" t="s">
        <v>19</v>
      </c>
      <c r="E590" s="46" t="s">
        <v>636</v>
      </c>
      <c r="F590" s="46" t="s">
        <v>636</v>
      </c>
      <c r="G590" s="46" t="s">
        <v>636</v>
      </c>
      <c r="H590" s="46" t="s">
        <v>636</v>
      </c>
      <c r="I590" s="25">
        <v>0.9</v>
      </c>
      <c r="J590" s="26">
        <v>0.96666666666666667</v>
      </c>
      <c r="K590" s="26">
        <v>0.9</v>
      </c>
      <c r="L590" s="27">
        <v>0.93939393939393945</v>
      </c>
      <c r="M590" s="26">
        <v>0.94650205761316875</v>
      </c>
      <c r="N590" s="28">
        <v>0.9</v>
      </c>
      <c r="O590" s="26">
        <v>0.96981292517006801</v>
      </c>
      <c r="P590" s="26">
        <v>0.982441113490364</v>
      </c>
      <c r="Q590" s="26">
        <v>0.94684889901290814</v>
      </c>
      <c r="R590" s="26">
        <v>0.97454545454545449</v>
      </c>
      <c r="S590" s="28">
        <v>0.9</v>
      </c>
      <c r="T590" s="26">
        <v>0.91113945578231292</v>
      </c>
      <c r="U590" s="26">
        <v>0.92591006423982869</v>
      </c>
      <c r="V590" s="26">
        <v>0.91192103264996205</v>
      </c>
      <c r="W590" s="26">
        <v>0.92493894165535961</v>
      </c>
      <c r="X590" s="28">
        <v>0.92</v>
      </c>
      <c r="Y590" s="28">
        <v>0.89621318373071523</v>
      </c>
      <c r="Z590" s="28">
        <v>0.91743119266055051</v>
      </c>
      <c r="AA590" s="28">
        <v>0.93304221251819508</v>
      </c>
      <c r="AB590" s="28">
        <v>0.92575618698441797</v>
      </c>
      <c r="AC590" s="28">
        <v>0.92</v>
      </c>
      <c r="AD590" s="26">
        <v>0.99518304431599225</v>
      </c>
      <c r="AE590" s="26">
        <v>0.96222179768841343</v>
      </c>
      <c r="AF590" s="26">
        <v>0.98463334890238208</v>
      </c>
      <c r="AG590" s="26">
        <v>0.97954026061659316</v>
      </c>
      <c r="AH590" s="28">
        <v>0.92</v>
      </c>
      <c r="AI590" s="26">
        <v>0.95500489077274209</v>
      </c>
      <c r="AJ590" s="26">
        <v>0.95643756050338824</v>
      </c>
      <c r="AK590" s="26">
        <v>0.94971394158386024</v>
      </c>
      <c r="AL590" s="26">
        <v>0.96098296144346296</v>
      </c>
      <c r="AM590" s="25">
        <v>0.99</v>
      </c>
      <c r="AN590" s="30">
        <v>1</v>
      </c>
      <c r="AO590" s="30">
        <v>1</v>
      </c>
      <c r="AP590" s="30">
        <v>1</v>
      </c>
      <c r="AQ590" s="30">
        <v>1</v>
      </c>
      <c r="AR590" s="50">
        <v>0.05</v>
      </c>
      <c r="AS590" s="34">
        <v>0</v>
      </c>
      <c r="AT590" s="34">
        <v>5.5555555555555552E-2</v>
      </c>
      <c r="AU590" s="34">
        <v>5.2631578947368418E-2</v>
      </c>
      <c r="AV590" s="34">
        <v>2.7777777777777776E-2</v>
      </c>
      <c r="AW590" s="10"/>
      <c r="AX590" s="8"/>
    </row>
    <row r="591" spans="1:50">
      <c r="A591" s="7"/>
      <c r="B591" s="10"/>
      <c r="C591" s="45" t="s">
        <v>396</v>
      </c>
      <c r="D591" s="23" t="s">
        <v>19</v>
      </c>
      <c r="E591" s="46" t="s">
        <v>637</v>
      </c>
      <c r="F591" s="46" t="s">
        <v>637</v>
      </c>
      <c r="G591" s="46" t="s">
        <v>637</v>
      </c>
      <c r="H591" s="46" t="s">
        <v>637</v>
      </c>
      <c r="I591" s="25">
        <v>0.9</v>
      </c>
      <c r="J591" s="26">
        <v>0.98113207547169812</v>
      </c>
      <c r="K591" s="26">
        <v>1</v>
      </c>
      <c r="L591" s="27">
        <v>1</v>
      </c>
      <c r="M591" s="26">
        <v>0.99755501222493892</v>
      </c>
      <c r="N591" s="28">
        <v>0.9</v>
      </c>
      <c r="O591" s="26">
        <v>0.97898471615720528</v>
      </c>
      <c r="P591" s="26">
        <v>0.98153926157046278</v>
      </c>
      <c r="Q591" s="26">
        <v>0.97312859884836855</v>
      </c>
      <c r="R591" s="26">
        <v>0.97585780525502319</v>
      </c>
      <c r="S591" s="28">
        <v>0.9</v>
      </c>
      <c r="T591" s="26">
        <v>0.92521834061135366</v>
      </c>
      <c r="U591" s="26">
        <v>0.91185647425897032</v>
      </c>
      <c r="V591" s="26">
        <v>0.87289400725101296</v>
      </c>
      <c r="W591" s="26">
        <v>0.89703245749613603</v>
      </c>
      <c r="X591" s="28">
        <v>0.92</v>
      </c>
      <c r="Y591" s="28">
        <v>0.88465499485066945</v>
      </c>
      <c r="Z591" s="28">
        <v>0.85343035343035345</v>
      </c>
      <c r="AA591" s="28">
        <v>0.81786542923433869</v>
      </c>
      <c r="AB591" s="28">
        <v>0.84028161236885701</v>
      </c>
      <c r="AC591" s="28">
        <v>0.92</v>
      </c>
      <c r="AD591" s="26">
        <v>0.99823943661971826</v>
      </c>
      <c r="AE591" s="26">
        <v>0.9932903225806452</v>
      </c>
      <c r="AF591" s="26">
        <v>0.99833229101521781</v>
      </c>
      <c r="AG591" s="26">
        <v>0.99689232994883059</v>
      </c>
      <c r="AH591" s="28">
        <v>0.92</v>
      </c>
      <c r="AI591" s="26">
        <v>0.958593918481777</v>
      </c>
      <c r="AJ591" s="26">
        <v>0.9529950083194676</v>
      </c>
      <c r="AK591" s="26">
        <v>0.95208933717579247</v>
      </c>
      <c r="AL591" s="26">
        <v>0.95365927572099596</v>
      </c>
      <c r="AM591" s="25">
        <v>0.99</v>
      </c>
      <c r="AN591" s="30">
        <v>1</v>
      </c>
      <c r="AO591" s="30">
        <v>1</v>
      </c>
      <c r="AP591" s="30">
        <v>1</v>
      </c>
      <c r="AQ591" s="30">
        <v>1</v>
      </c>
      <c r="AR591" s="50">
        <v>0.05</v>
      </c>
      <c r="AS591" s="34">
        <v>0</v>
      </c>
      <c r="AT591" s="34">
        <v>0</v>
      </c>
      <c r="AU591" s="34">
        <v>0</v>
      </c>
      <c r="AV591" s="34">
        <v>4.0322580645161289E-2</v>
      </c>
      <c r="AW591" s="10"/>
      <c r="AX591" s="8"/>
    </row>
    <row r="592" spans="1:50">
      <c r="A592" s="7"/>
      <c r="B592" s="10"/>
      <c r="C592" s="45" t="s">
        <v>396</v>
      </c>
      <c r="D592" s="23" t="s">
        <v>19</v>
      </c>
      <c r="E592" s="46" t="s">
        <v>638</v>
      </c>
      <c r="F592" s="46" t="s">
        <v>638</v>
      </c>
      <c r="G592" s="46" t="s">
        <v>638</v>
      </c>
      <c r="H592" s="46" t="s">
        <v>638</v>
      </c>
      <c r="I592" s="25">
        <v>0.9</v>
      </c>
      <c r="J592" s="26">
        <v>1</v>
      </c>
      <c r="K592" s="26">
        <v>1</v>
      </c>
      <c r="L592" s="27">
        <v>0.96610169491525422</v>
      </c>
      <c r="M592" s="26">
        <v>0.98893805309734517</v>
      </c>
      <c r="N592" s="28">
        <v>0.9</v>
      </c>
      <c r="O592" s="26">
        <v>0.98</v>
      </c>
      <c r="P592" s="26">
        <v>0.98865414710485133</v>
      </c>
      <c r="Q592" s="26">
        <v>0.97905051528974485</v>
      </c>
      <c r="R592" s="26">
        <v>0.98471256175191091</v>
      </c>
      <c r="S592" s="28">
        <v>0.9</v>
      </c>
      <c r="T592" s="26">
        <v>0.94416666666666671</v>
      </c>
      <c r="U592" s="26">
        <v>0.95755086071987483</v>
      </c>
      <c r="V592" s="26">
        <v>0.95759418820746744</v>
      </c>
      <c r="W592" s="26">
        <v>0.94450315825693709</v>
      </c>
      <c r="X592" s="28">
        <v>0.92</v>
      </c>
      <c r="Y592" s="28">
        <v>0.9348978046934141</v>
      </c>
      <c r="Z592" s="28">
        <v>0.95251396648044695</v>
      </c>
      <c r="AA592" s="28">
        <v>0.95423855963991</v>
      </c>
      <c r="AB592" s="28">
        <v>0.9464974141984015</v>
      </c>
      <c r="AC592" s="28">
        <v>0.92</v>
      </c>
      <c r="AD592" s="26">
        <v>0.98934720673851106</v>
      </c>
      <c r="AE592" s="26">
        <v>0.9892459750108783</v>
      </c>
      <c r="AF592" s="26">
        <v>0.98142778238055783</v>
      </c>
      <c r="AG592" s="26">
        <v>0.98721518177163337</v>
      </c>
      <c r="AH592" s="28">
        <v>0.92</v>
      </c>
      <c r="AI592" s="26">
        <v>0.96994446259392353</v>
      </c>
      <c r="AJ592" s="26">
        <v>0.97937041564792171</v>
      </c>
      <c r="AK592" s="26">
        <v>0.98317705460562599</v>
      </c>
      <c r="AL592" s="26">
        <v>0.97519823874374112</v>
      </c>
      <c r="AM592" s="25">
        <v>0.99</v>
      </c>
      <c r="AN592" s="30">
        <v>1</v>
      </c>
      <c r="AO592" s="30">
        <v>1</v>
      </c>
      <c r="AP592" s="30">
        <v>1</v>
      </c>
      <c r="AQ592" s="30">
        <v>1</v>
      </c>
      <c r="AR592" s="50">
        <v>0.05</v>
      </c>
      <c r="AS592" s="34">
        <v>3.0303030303030304E-2</v>
      </c>
      <c r="AT592" s="34">
        <v>2.9411764705882353E-2</v>
      </c>
      <c r="AU592" s="34">
        <v>2.3255813953488372E-2</v>
      </c>
      <c r="AV592" s="34">
        <v>4.1666666666666664E-2</v>
      </c>
      <c r="AW592" s="10"/>
      <c r="AX592" s="8"/>
    </row>
    <row r="593" spans="1:50">
      <c r="A593" s="7"/>
      <c r="B593" s="10"/>
      <c r="C593" s="45" t="s">
        <v>396</v>
      </c>
      <c r="D593" s="23" t="s">
        <v>19</v>
      </c>
      <c r="E593" s="46" t="s">
        <v>639</v>
      </c>
      <c r="F593" s="46" t="s">
        <v>639</v>
      </c>
      <c r="G593" s="46" t="s">
        <v>639</v>
      </c>
      <c r="H593" s="46" t="s">
        <v>639</v>
      </c>
      <c r="I593" s="25">
        <v>0.9</v>
      </c>
      <c r="J593" s="26">
        <v>1</v>
      </c>
      <c r="K593" s="26">
        <v>0.95454545454545459</v>
      </c>
      <c r="L593" s="27">
        <v>0.97727272727272729</v>
      </c>
      <c r="M593" s="26">
        <v>0.97460317460317458</v>
      </c>
      <c r="N593" s="28">
        <v>0.9</v>
      </c>
      <c r="O593" s="26">
        <v>0</v>
      </c>
      <c r="P593" s="26">
        <v>0</v>
      </c>
      <c r="Q593" s="26">
        <v>0</v>
      </c>
      <c r="R593" s="26">
        <v>0</v>
      </c>
      <c r="S593" s="28">
        <v>0.9</v>
      </c>
      <c r="T593" s="26">
        <v>0</v>
      </c>
      <c r="U593" s="26">
        <v>0</v>
      </c>
      <c r="V593" s="26">
        <v>0</v>
      </c>
      <c r="W593" s="26">
        <v>0</v>
      </c>
      <c r="X593" s="28">
        <v>0.92</v>
      </c>
      <c r="Y593" s="28">
        <v>0</v>
      </c>
      <c r="Z593" s="28">
        <v>0</v>
      </c>
      <c r="AA593" s="28">
        <v>0</v>
      </c>
      <c r="AB593" s="28">
        <v>0</v>
      </c>
      <c r="AC593" s="28">
        <v>0.92</v>
      </c>
      <c r="AD593" s="26">
        <v>0.99893786510886884</v>
      </c>
      <c r="AE593" s="26">
        <v>0.99876084262701359</v>
      </c>
      <c r="AF593" s="26">
        <v>0.99818621523579198</v>
      </c>
      <c r="AG593" s="26">
        <v>0.9964082609997007</v>
      </c>
      <c r="AH593" s="28">
        <v>0.92</v>
      </c>
      <c r="AI593" s="26">
        <v>0.96885101381134298</v>
      </c>
      <c r="AJ593" s="26">
        <v>0.94082654978083913</v>
      </c>
      <c r="AK593" s="26">
        <v>0.98611799702528513</v>
      </c>
      <c r="AL593" s="26">
        <v>0.95544431426847021</v>
      </c>
      <c r="AM593" s="25">
        <v>0.99</v>
      </c>
      <c r="AN593" s="30">
        <v>1</v>
      </c>
      <c r="AO593" s="30">
        <v>1</v>
      </c>
      <c r="AP593" s="30">
        <v>1</v>
      </c>
      <c r="AQ593" s="30">
        <v>1</v>
      </c>
      <c r="AR593" s="50">
        <v>0.05</v>
      </c>
      <c r="AS593" s="34">
        <v>0</v>
      </c>
      <c r="AT593" s="34">
        <v>0.5</v>
      </c>
      <c r="AU593" s="34">
        <v>0</v>
      </c>
      <c r="AV593" s="34">
        <v>0.15942028985507245</v>
      </c>
      <c r="AW593" s="10"/>
      <c r="AX593" s="8"/>
    </row>
    <row r="594" spans="1:50">
      <c r="A594" s="7"/>
      <c r="B594" s="10"/>
      <c r="C594" s="45" t="s">
        <v>396</v>
      </c>
      <c r="D594" s="23" t="s">
        <v>19</v>
      </c>
      <c r="E594" s="46" t="s">
        <v>640</v>
      </c>
      <c r="F594" s="46" t="s">
        <v>640</v>
      </c>
      <c r="G594" s="46" t="s">
        <v>640</v>
      </c>
      <c r="H594" s="46" t="s">
        <v>640</v>
      </c>
      <c r="I594" s="25">
        <v>0.9</v>
      </c>
      <c r="J594" s="26">
        <v>0.84615384615384615</v>
      </c>
      <c r="K594" s="26">
        <v>0.84782608695652173</v>
      </c>
      <c r="L594" s="27">
        <v>0.89130434782608692</v>
      </c>
      <c r="M594" s="26">
        <v>0.81437125748502992</v>
      </c>
      <c r="N594" s="28">
        <v>0.9</v>
      </c>
      <c r="O594" s="26">
        <v>0.9778217821782178</v>
      </c>
      <c r="P594" s="26">
        <v>0.99022222222222223</v>
      </c>
      <c r="Q594" s="26">
        <v>0.98947368421052628</v>
      </c>
      <c r="R594" s="26">
        <v>0.98810480630123776</v>
      </c>
      <c r="S594" s="28">
        <v>0.9</v>
      </c>
      <c r="T594" s="26">
        <v>0.85425742574257424</v>
      </c>
      <c r="U594" s="26">
        <v>0.90755555555555556</v>
      </c>
      <c r="V594" s="26">
        <v>0.91929824561403506</v>
      </c>
      <c r="W594" s="26">
        <v>0.89990891067888334</v>
      </c>
      <c r="X594" s="28">
        <v>0.92</v>
      </c>
      <c r="Y594" s="28">
        <v>0.87453261321146658</v>
      </c>
      <c r="Z594" s="28">
        <v>0.94109461966604824</v>
      </c>
      <c r="AA594" s="28">
        <v>0.94290245836637587</v>
      </c>
      <c r="AB594" s="28">
        <v>0.92386375619529681</v>
      </c>
      <c r="AC594" s="28">
        <v>0.92</v>
      </c>
      <c r="AD594" s="26">
        <v>0.95906044721650852</v>
      </c>
      <c r="AE594" s="26">
        <v>0.99096222534906375</v>
      </c>
      <c r="AF594" s="26">
        <v>0.99080912522566877</v>
      </c>
      <c r="AG594" s="26">
        <v>0.9760080473960272</v>
      </c>
      <c r="AH594" s="28">
        <v>0.92</v>
      </c>
      <c r="AI594" s="26">
        <v>0.90859343331982168</v>
      </c>
      <c r="AJ594" s="26">
        <v>0.95150691139814181</v>
      </c>
      <c r="AK594" s="26">
        <v>0.96579516414389621</v>
      </c>
      <c r="AL594" s="26">
        <v>0.94561147258000267</v>
      </c>
      <c r="AM594" s="25">
        <v>0.99</v>
      </c>
      <c r="AN594" s="30">
        <v>1</v>
      </c>
      <c r="AO594" s="30">
        <v>1</v>
      </c>
      <c r="AP594" s="30">
        <v>1</v>
      </c>
      <c r="AQ594" s="30">
        <v>1</v>
      </c>
      <c r="AR594" s="50">
        <v>0.05</v>
      </c>
      <c r="AS594" s="34">
        <v>0.12</v>
      </c>
      <c r="AT594" s="34">
        <v>9.6774193548387094E-2</v>
      </c>
      <c r="AU594" s="34">
        <v>0</v>
      </c>
      <c r="AV594" s="34">
        <v>5.6338028169014086E-2</v>
      </c>
      <c r="AW594" s="10"/>
      <c r="AX594" s="8"/>
    </row>
    <row r="595" spans="1:50">
      <c r="A595" s="7"/>
      <c r="B595" s="10"/>
      <c r="C595" s="45" t="s">
        <v>396</v>
      </c>
      <c r="D595" s="23" t="s">
        <v>19</v>
      </c>
      <c r="E595" s="46" t="s">
        <v>641</v>
      </c>
      <c r="F595" s="46" t="s">
        <v>641</v>
      </c>
      <c r="G595" s="46" t="s">
        <v>641</v>
      </c>
      <c r="H595" s="46" t="s">
        <v>641</v>
      </c>
      <c r="I595" s="25">
        <v>0.9</v>
      </c>
      <c r="J595" s="26">
        <v>0.97959183673469385</v>
      </c>
      <c r="K595" s="26">
        <v>0.96</v>
      </c>
      <c r="L595" s="27">
        <v>0.9464285714285714</v>
      </c>
      <c r="M595" s="26">
        <v>0.96341463414634143</v>
      </c>
      <c r="N595" s="28">
        <v>0.9</v>
      </c>
      <c r="O595" s="26">
        <v>0.9879936808846761</v>
      </c>
      <c r="P595" s="26">
        <v>0.98844323589394967</v>
      </c>
      <c r="Q595" s="26">
        <v>0.98644161593801882</v>
      </c>
      <c r="R595" s="26">
        <v>0.98820634982621935</v>
      </c>
      <c r="S595" s="28">
        <v>0.9</v>
      </c>
      <c r="T595" s="26">
        <v>0.8916271721958926</v>
      </c>
      <c r="U595" s="26">
        <v>0.90924541128484027</v>
      </c>
      <c r="V595" s="26">
        <v>0.92058660763696731</v>
      </c>
      <c r="W595" s="26">
        <v>0.91326590385441486</v>
      </c>
      <c r="X595" s="28">
        <v>0.92</v>
      </c>
      <c r="Y595" s="28">
        <v>0.94590643274853803</v>
      </c>
      <c r="Z595" s="28">
        <v>0.96816372939169981</v>
      </c>
      <c r="AA595" s="28">
        <v>0.97096774193548385</v>
      </c>
      <c r="AB595" s="28">
        <v>0.96667406538351774</v>
      </c>
      <c r="AC595" s="28">
        <v>0.92</v>
      </c>
      <c r="AD595" s="26">
        <v>0.99029710417450167</v>
      </c>
      <c r="AE595" s="26">
        <v>0.97448550440195147</v>
      </c>
      <c r="AF595" s="26">
        <v>0.98424218647835748</v>
      </c>
      <c r="AG595" s="26">
        <v>0.97562316859528808</v>
      </c>
      <c r="AH595" s="28">
        <v>0.92</v>
      </c>
      <c r="AI595" s="26">
        <v>0.9591527987897126</v>
      </c>
      <c r="AJ595" s="26">
        <v>0.97631945519269459</v>
      </c>
      <c r="AK595" s="26">
        <v>0.98025111169238821</v>
      </c>
      <c r="AL595" s="26">
        <v>0.97622463261021697</v>
      </c>
      <c r="AM595" s="25">
        <v>0.99</v>
      </c>
      <c r="AN595" s="30">
        <v>1</v>
      </c>
      <c r="AO595" s="30">
        <v>1</v>
      </c>
      <c r="AP595" s="30">
        <v>1</v>
      </c>
      <c r="AQ595" s="30">
        <v>1</v>
      </c>
      <c r="AR595" s="50">
        <v>0.05</v>
      </c>
      <c r="AS595" s="34">
        <v>4.7619047619047616E-2</v>
      </c>
      <c r="AT595" s="34">
        <v>0.1111111111111111</v>
      </c>
      <c r="AU595" s="34">
        <v>8.6956521739130432E-2</v>
      </c>
      <c r="AV595" s="34">
        <v>5.128205128205128E-2</v>
      </c>
      <c r="AW595" s="10"/>
      <c r="AX595" s="8"/>
    </row>
    <row r="596" spans="1:50">
      <c r="A596" s="7"/>
      <c r="B596" s="10"/>
      <c r="C596" s="45" t="s">
        <v>396</v>
      </c>
      <c r="D596" s="23" t="s">
        <v>19</v>
      </c>
      <c r="E596" s="46" t="s">
        <v>642</v>
      </c>
      <c r="F596" s="46" t="s">
        <v>642</v>
      </c>
      <c r="G596" s="46" t="s">
        <v>642</v>
      </c>
      <c r="H596" s="46" t="s">
        <v>642</v>
      </c>
      <c r="I596" s="25">
        <v>0.9</v>
      </c>
      <c r="J596" s="26">
        <v>0.83908045977011492</v>
      </c>
      <c r="K596" s="26">
        <v>0.84782608695652173</v>
      </c>
      <c r="L596" s="27">
        <v>0.81443298969072164</v>
      </c>
      <c r="M596" s="26">
        <v>0.83661971830985915</v>
      </c>
      <c r="N596" s="28">
        <v>0.9</v>
      </c>
      <c r="O596" s="26">
        <v>0.94113045178955601</v>
      </c>
      <c r="P596" s="26">
        <v>0.93914680050188204</v>
      </c>
      <c r="Q596" s="26">
        <v>0.94700619408121134</v>
      </c>
      <c r="R596" s="26">
        <v>0.92155092418428508</v>
      </c>
      <c r="S596" s="28">
        <v>0.9</v>
      </c>
      <c r="T596" s="26">
        <v>0.86720125171132412</v>
      </c>
      <c r="U596" s="26">
        <v>0.88707653701380174</v>
      </c>
      <c r="V596" s="26">
        <v>0.86768754301445283</v>
      </c>
      <c r="W596" s="26">
        <v>0.86063250821357806</v>
      </c>
      <c r="X596" s="28">
        <v>0.92</v>
      </c>
      <c r="Y596" s="28">
        <v>0.84819697557192708</v>
      </c>
      <c r="Z596" s="28">
        <v>0.90071590052750561</v>
      </c>
      <c r="AA596" s="28">
        <v>0.88705372038705377</v>
      </c>
      <c r="AB596" s="28">
        <v>0.85394288708409749</v>
      </c>
      <c r="AC596" s="28">
        <v>0.92</v>
      </c>
      <c r="AD596" s="26">
        <v>0.8024130589070263</v>
      </c>
      <c r="AE596" s="26">
        <v>0.8829253907401946</v>
      </c>
      <c r="AF596" s="26">
        <v>0.86550488370458856</v>
      </c>
      <c r="AG596" s="26">
        <v>0.88372915695197052</v>
      </c>
      <c r="AH596" s="28">
        <v>0.92</v>
      </c>
      <c r="AI596" s="26">
        <v>0.89682694179482192</v>
      </c>
      <c r="AJ596" s="26">
        <v>0.92651282559175996</v>
      </c>
      <c r="AK596" s="26">
        <v>0.92097908020665709</v>
      </c>
      <c r="AL596" s="26">
        <v>0.89977013640129289</v>
      </c>
      <c r="AM596" s="25">
        <v>0.99</v>
      </c>
      <c r="AN596" s="30">
        <v>1</v>
      </c>
      <c r="AO596" s="30">
        <v>1</v>
      </c>
      <c r="AP596" s="30">
        <v>1</v>
      </c>
      <c r="AQ596" s="30">
        <v>1</v>
      </c>
      <c r="AR596" s="50">
        <v>0.05</v>
      </c>
      <c r="AS596" s="34">
        <v>0</v>
      </c>
      <c r="AT596" s="34">
        <v>1.7964071856287425E-2</v>
      </c>
      <c r="AU596" s="34">
        <v>0</v>
      </c>
      <c r="AV596" s="34">
        <v>1.0197578075207138E-2</v>
      </c>
      <c r="AW596" s="10"/>
      <c r="AX596" s="8"/>
    </row>
    <row r="597" spans="1:50">
      <c r="A597" s="7"/>
      <c r="B597" s="10"/>
      <c r="C597" s="45" t="s">
        <v>396</v>
      </c>
      <c r="D597" s="23" t="s">
        <v>19</v>
      </c>
      <c r="E597" s="46" t="s">
        <v>643</v>
      </c>
      <c r="F597" s="46" t="s">
        <v>643</v>
      </c>
      <c r="G597" s="46" t="s">
        <v>643</v>
      </c>
      <c r="H597" s="46" t="s">
        <v>643</v>
      </c>
      <c r="I597" s="25">
        <v>0.9</v>
      </c>
      <c r="J597" s="26">
        <v>0</v>
      </c>
      <c r="K597" s="26">
        <v>0</v>
      </c>
      <c r="L597" s="27">
        <v>0</v>
      </c>
      <c r="M597" s="26">
        <v>0</v>
      </c>
      <c r="N597" s="28">
        <v>0.9</v>
      </c>
      <c r="O597" s="26">
        <v>0</v>
      </c>
      <c r="P597" s="26">
        <v>0</v>
      </c>
      <c r="Q597" s="26">
        <v>0</v>
      </c>
      <c r="R597" s="26">
        <v>0</v>
      </c>
      <c r="S597" s="28">
        <v>0.9</v>
      </c>
      <c r="T597" s="26">
        <v>0</v>
      </c>
      <c r="U597" s="26">
        <v>0</v>
      </c>
      <c r="V597" s="26">
        <v>0</v>
      </c>
      <c r="W597" s="26">
        <v>0</v>
      </c>
      <c r="X597" s="28">
        <v>0.92</v>
      </c>
      <c r="Y597" s="28">
        <v>0</v>
      </c>
      <c r="Z597" s="28">
        <v>0</v>
      </c>
      <c r="AA597" s="28">
        <v>0</v>
      </c>
      <c r="AB597" s="28">
        <v>0</v>
      </c>
      <c r="AC597" s="28">
        <v>0.92</v>
      </c>
      <c r="AD597" s="26">
        <v>1</v>
      </c>
      <c r="AE597" s="26">
        <v>0.72727272727272729</v>
      </c>
      <c r="AF597" s="26">
        <v>0.83018867924528306</v>
      </c>
      <c r="AG597" s="26">
        <v>0.7816523605150214</v>
      </c>
      <c r="AH597" s="28">
        <v>0.92</v>
      </c>
      <c r="AI597" s="26">
        <v>0</v>
      </c>
      <c r="AJ597" s="26">
        <v>0</v>
      </c>
      <c r="AK597" s="26">
        <v>0</v>
      </c>
      <c r="AL597" s="26">
        <v>0</v>
      </c>
      <c r="AM597" s="25">
        <v>0.99</v>
      </c>
      <c r="AN597" s="30">
        <v>0</v>
      </c>
      <c r="AO597" s="30">
        <v>1</v>
      </c>
      <c r="AP597" s="30">
        <v>1</v>
      </c>
      <c r="AQ597" s="30">
        <v>1</v>
      </c>
      <c r="AR597" s="50">
        <v>0.05</v>
      </c>
      <c r="AS597" s="34">
        <v>0</v>
      </c>
      <c r="AT597" s="34">
        <v>0</v>
      </c>
      <c r="AU597" s="34">
        <v>0</v>
      </c>
      <c r="AV597" s="34">
        <v>0</v>
      </c>
      <c r="AW597" s="10"/>
      <c r="AX597" s="8"/>
    </row>
    <row r="598" spans="1:50">
      <c r="A598" s="7"/>
      <c r="B598" s="10"/>
      <c r="C598" s="45" t="s">
        <v>396</v>
      </c>
      <c r="D598" s="23" t="s">
        <v>19</v>
      </c>
      <c r="E598" s="46" t="s">
        <v>644</v>
      </c>
      <c r="F598" s="46" t="s">
        <v>644</v>
      </c>
      <c r="G598" s="46" t="s">
        <v>644</v>
      </c>
      <c r="H598" s="46" t="s">
        <v>644</v>
      </c>
      <c r="I598" s="25">
        <v>0.9</v>
      </c>
      <c r="J598" s="26">
        <v>0.68354430379746833</v>
      </c>
      <c r="K598" s="26">
        <v>0.72289156626506024</v>
      </c>
      <c r="L598" s="27">
        <v>0.70114942528735635</v>
      </c>
      <c r="M598" s="26">
        <v>0.69011976047904189</v>
      </c>
      <c r="N598" s="28">
        <v>0.9</v>
      </c>
      <c r="O598" s="26">
        <v>0.92698653517921492</v>
      </c>
      <c r="P598" s="26">
        <v>0.89502762430939231</v>
      </c>
      <c r="Q598" s="26">
        <v>0.92230347349177333</v>
      </c>
      <c r="R598" s="26">
        <v>0.91105670103092784</v>
      </c>
      <c r="S598" s="28">
        <v>0.9</v>
      </c>
      <c r="T598" s="26">
        <v>0.73753081737151527</v>
      </c>
      <c r="U598" s="26">
        <v>0.74217311233885819</v>
      </c>
      <c r="V598" s="26">
        <v>0.7488117001828154</v>
      </c>
      <c r="W598" s="26">
        <v>0.73590206185567009</v>
      </c>
      <c r="X598" s="28">
        <v>0.92</v>
      </c>
      <c r="Y598" s="28">
        <v>0.80288222627132677</v>
      </c>
      <c r="Z598" s="28">
        <v>0.82514803204458376</v>
      </c>
      <c r="AA598" s="28">
        <v>0.81232834909978635</v>
      </c>
      <c r="AB598" s="28">
        <v>0.81833575711695916</v>
      </c>
      <c r="AC598" s="28">
        <v>0.92</v>
      </c>
      <c r="AD598" s="26">
        <v>0.99899735013965485</v>
      </c>
      <c r="AE598" s="26">
        <v>0.97956432271340377</v>
      </c>
      <c r="AF598" s="26">
        <v>0.98867924528301887</v>
      </c>
      <c r="AG598" s="26">
        <v>0.98486122048114955</v>
      </c>
      <c r="AH598" s="28">
        <v>0.92</v>
      </c>
      <c r="AI598" s="26">
        <v>0.86162687886825817</v>
      </c>
      <c r="AJ598" s="26">
        <v>0.87923854848304583</v>
      </c>
      <c r="AK598" s="26">
        <v>0.87925155925155929</v>
      </c>
      <c r="AL598" s="26">
        <v>0.87659383250014045</v>
      </c>
      <c r="AM598" s="25">
        <v>0.99</v>
      </c>
      <c r="AN598" s="30">
        <v>1</v>
      </c>
      <c r="AO598" s="30">
        <v>1</v>
      </c>
      <c r="AP598" s="30">
        <v>1</v>
      </c>
      <c r="AQ598" s="30">
        <v>1</v>
      </c>
      <c r="AR598" s="50">
        <v>0.05</v>
      </c>
      <c r="AS598" s="34">
        <v>0</v>
      </c>
      <c r="AT598" s="34">
        <v>7.8947368421052627E-2</v>
      </c>
      <c r="AU598" s="34">
        <v>1.8518518518518517E-2</v>
      </c>
      <c r="AV598" s="34">
        <v>2.4498886414253896E-2</v>
      </c>
      <c r="AW598" s="10"/>
      <c r="AX598" s="8"/>
    </row>
    <row r="599" spans="1:50">
      <c r="A599" s="7"/>
      <c r="B599" s="10"/>
      <c r="C599" s="45" t="s">
        <v>396</v>
      </c>
      <c r="D599" s="23" t="s">
        <v>19</v>
      </c>
      <c r="E599" s="46" t="s">
        <v>645</v>
      </c>
      <c r="F599" s="46" t="s">
        <v>645</v>
      </c>
      <c r="G599" s="46" t="s">
        <v>645</v>
      </c>
      <c r="H599" s="46" t="s">
        <v>645</v>
      </c>
      <c r="I599" s="25">
        <v>0.9</v>
      </c>
      <c r="J599" s="26">
        <v>0.85106382978723405</v>
      </c>
      <c r="K599" s="26">
        <v>0.88</v>
      </c>
      <c r="L599" s="27">
        <v>0.86111111111111116</v>
      </c>
      <c r="M599" s="26">
        <v>0.85859872611464971</v>
      </c>
      <c r="N599" s="28">
        <v>0.9</v>
      </c>
      <c r="O599" s="26">
        <v>0.94905040175310451</v>
      </c>
      <c r="P599" s="26">
        <v>0.93723702664796638</v>
      </c>
      <c r="Q599" s="26">
        <v>0.96916229534255283</v>
      </c>
      <c r="R599" s="26">
        <v>0.95672116257947326</v>
      </c>
      <c r="S599" s="28">
        <v>0.9</v>
      </c>
      <c r="T599" s="26">
        <v>0.91143170197224255</v>
      </c>
      <c r="U599" s="26">
        <v>0.91777699859747541</v>
      </c>
      <c r="V599" s="26">
        <v>0.93435065967254805</v>
      </c>
      <c r="W599" s="26">
        <v>0.89318801089918254</v>
      </c>
      <c r="X599" s="28">
        <v>0.92</v>
      </c>
      <c r="Y599" s="28">
        <v>0.88558352402745999</v>
      </c>
      <c r="Z599" s="28">
        <v>0.92399718508092887</v>
      </c>
      <c r="AA599" s="28">
        <v>0.97225747960108799</v>
      </c>
      <c r="AB599" s="28">
        <v>0.88500752485321232</v>
      </c>
      <c r="AC599" s="28">
        <v>0.92</v>
      </c>
      <c r="AD599" s="26">
        <v>0.98609913793103443</v>
      </c>
      <c r="AE599" s="26">
        <v>0.96985272674249057</v>
      </c>
      <c r="AF599" s="26">
        <v>0.95112267707603515</v>
      </c>
      <c r="AG599" s="26">
        <v>0.97884751676388815</v>
      </c>
      <c r="AH599" s="28">
        <v>0.92</v>
      </c>
      <c r="AI599" s="26">
        <v>0.92653536109033496</v>
      </c>
      <c r="AJ599" s="26">
        <v>0.94881025550970233</v>
      </c>
      <c r="AK599" s="26">
        <v>0.97756138865368336</v>
      </c>
      <c r="AL599" s="26">
        <v>0.92921633941093973</v>
      </c>
      <c r="AM599" s="25">
        <v>0.99</v>
      </c>
      <c r="AN599" s="30">
        <v>1</v>
      </c>
      <c r="AO599" s="30">
        <v>1</v>
      </c>
      <c r="AP599" s="30">
        <v>1</v>
      </c>
      <c r="AQ599" s="30">
        <v>1</v>
      </c>
      <c r="AR599" s="50">
        <v>0.05</v>
      </c>
      <c r="AS599" s="34">
        <v>7.407407407407407E-2</v>
      </c>
      <c r="AT599" s="34">
        <v>6.25E-2</v>
      </c>
      <c r="AU599" s="34">
        <v>0</v>
      </c>
      <c r="AV599" s="34">
        <v>4.0892193308550186E-2</v>
      </c>
      <c r="AW599" s="10"/>
      <c r="AX599" s="8"/>
    </row>
    <row r="600" spans="1:50">
      <c r="A600" s="7"/>
      <c r="B600" s="10"/>
      <c r="C600" s="45" t="s">
        <v>396</v>
      </c>
      <c r="D600" s="23" t="s">
        <v>19</v>
      </c>
      <c r="E600" s="46" t="s">
        <v>646</v>
      </c>
      <c r="F600" s="46" t="s">
        <v>646</v>
      </c>
      <c r="G600" s="46" t="s">
        <v>646</v>
      </c>
      <c r="H600" s="46" t="s">
        <v>646</v>
      </c>
      <c r="I600" s="25">
        <v>0.9</v>
      </c>
      <c r="J600" s="26">
        <v>0.81578947368421051</v>
      </c>
      <c r="K600" s="26">
        <v>0.90666666666666662</v>
      </c>
      <c r="L600" s="27">
        <v>0.93902439024390238</v>
      </c>
      <c r="M600" s="26">
        <v>0.90819672131147544</v>
      </c>
      <c r="N600" s="28">
        <v>0.9</v>
      </c>
      <c r="O600" s="26">
        <v>0.98336291038154389</v>
      </c>
      <c r="P600" s="26">
        <v>0.98606811145510831</v>
      </c>
      <c r="Q600" s="26">
        <v>0.98342429755407312</v>
      </c>
      <c r="R600" s="26">
        <v>0.98260153833054242</v>
      </c>
      <c r="S600" s="28">
        <v>0.9</v>
      </c>
      <c r="T600" s="26">
        <v>0.89219165927240462</v>
      </c>
      <c r="U600" s="26">
        <v>0.90918472652218785</v>
      </c>
      <c r="V600" s="26">
        <v>0.89953507176066305</v>
      </c>
      <c r="W600" s="26">
        <v>0.89898674538075096</v>
      </c>
      <c r="X600" s="28">
        <v>0.92</v>
      </c>
      <c r="Y600" s="28">
        <v>0.94506823285541541</v>
      </c>
      <c r="Z600" s="28">
        <v>0.96217882836587876</v>
      </c>
      <c r="AA600" s="28">
        <v>0.96949929478138219</v>
      </c>
      <c r="AB600" s="28">
        <v>0.96511236333430617</v>
      </c>
      <c r="AC600" s="28">
        <v>0.92</v>
      </c>
      <c r="AD600" s="26">
        <v>0.99550056242969631</v>
      </c>
      <c r="AE600" s="26">
        <v>0.95722504794463437</v>
      </c>
      <c r="AF600" s="26">
        <v>0.99355957394104533</v>
      </c>
      <c r="AG600" s="26">
        <v>0.99138098898283367</v>
      </c>
      <c r="AH600" s="28">
        <v>0.92</v>
      </c>
      <c r="AI600" s="26">
        <v>0.96003104384943738</v>
      </c>
      <c r="AJ600" s="26">
        <v>0.97254946814594534</v>
      </c>
      <c r="AK600" s="26">
        <v>0.98013743763531957</v>
      </c>
      <c r="AL600" s="26">
        <v>0.97485592583312453</v>
      </c>
      <c r="AM600" s="25">
        <v>0.99</v>
      </c>
      <c r="AN600" s="30">
        <v>1</v>
      </c>
      <c r="AO600" s="30">
        <v>1</v>
      </c>
      <c r="AP600" s="30">
        <v>1</v>
      </c>
      <c r="AQ600" s="30">
        <v>1</v>
      </c>
      <c r="AR600" s="50">
        <v>0.05</v>
      </c>
      <c r="AS600" s="34">
        <v>0</v>
      </c>
      <c r="AT600" s="34">
        <v>0</v>
      </c>
      <c r="AU600" s="34">
        <v>2.6315789473684209E-2</v>
      </c>
      <c r="AV600" s="34">
        <v>3.9426523297491037E-2</v>
      </c>
      <c r="AW600" s="10"/>
      <c r="AX600" s="8"/>
    </row>
    <row r="601" spans="1:50">
      <c r="A601" s="7"/>
      <c r="B601" s="10"/>
      <c r="C601" s="45" t="s">
        <v>396</v>
      </c>
      <c r="D601" s="23" t="s">
        <v>19</v>
      </c>
      <c r="E601" s="46" t="s">
        <v>647</v>
      </c>
      <c r="F601" s="46" t="s">
        <v>647</v>
      </c>
      <c r="G601" s="46" t="s">
        <v>647</v>
      </c>
      <c r="H601" s="46" t="s">
        <v>647</v>
      </c>
      <c r="I601" s="25">
        <v>0.9</v>
      </c>
      <c r="J601" s="26">
        <v>0.88421052631578945</v>
      </c>
      <c r="K601" s="26">
        <v>0.83478260869565213</v>
      </c>
      <c r="L601" s="27">
        <v>0.91869918699186992</v>
      </c>
      <c r="M601" s="26">
        <v>0.88941176470588235</v>
      </c>
      <c r="N601" s="28">
        <v>0.9</v>
      </c>
      <c r="O601" s="26">
        <v>0.98682157100745627</v>
      </c>
      <c r="P601" s="26">
        <v>0.98647723382403285</v>
      </c>
      <c r="Q601" s="26">
        <v>0.97777123509495067</v>
      </c>
      <c r="R601" s="26">
        <v>0.98317999783526355</v>
      </c>
      <c r="S601" s="28">
        <v>0.9</v>
      </c>
      <c r="T601" s="26">
        <v>0.94035026877059125</v>
      </c>
      <c r="U601" s="26">
        <v>0.93512495720643618</v>
      </c>
      <c r="V601" s="26">
        <v>0.95009568673634626</v>
      </c>
      <c r="W601" s="26">
        <v>0.93425695421582422</v>
      </c>
      <c r="X601" s="28">
        <v>0.92</v>
      </c>
      <c r="Y601" s="28">
        <v>0.91163151766075823</v>
      </c>
      <c r="Z601" s="28">
        <v>0.92898165009104916</v>
      </c>
      <c r="AA601" s="28">
        <v>0.94783109958207235</v>
      </c>
      <c r="AB601" s="28">
        <v>0.93392436870697737</v>
      </c>
      <c r="AC601" s="28">
        <v>0.92</v>
      </c>
      <c r="AD601" s="26">
        <v>0.99907428835917611</v>
      </c>
      <c r="AE601" s="26">
        <v>0.99951816904236102</v>
      </c>
      <c r="AF601" s="26">
        <v>0.99971138781231961</v>
      </c>
      <c r="AG601" s="26">
        <v>0.99898982964408656</v>
      </c>
      <c r="AH601" s="28">
        <v>0.92</v>
      </c>
      <c r="AI601" s="26">
        <v>0.93712508331481892</v>
      </c>
      <c r="AJ601" s="26">
        <v>0.94894108586830961</v>
      </c>
      <c r="AK601" s="26">
        <v>0.96745066627830778</v>
      </c>
      <c r="AL601" s="26">
        <v>0.95486219246340709</v>
      </c>
      <c r="AM601" s="25">
        <v>0.99</v>
      </c>
      <c r="AN601" s="30">
        <v>1</v>
      </c>
      <c r="AO601" s="30">
        <v>1</v>
      </c>
      <c r="AP601" s="30">
        <v>1</v>
      </c>
      <c r="AQ601" s="30">
        <v>1</v>
      </c>
      <c r="AR601" s="50">
        <v>0.05</v>
      </c>
      <c r="AS601" s="34">
        <v>0.15625</v>
      </c>
      <c r="AT601" s="34">
        <v>2.0833333333333332E-2</v>
      </c>
      <c r="AU601" s="34">
        <v>2.1276595744680851E-2</v>
      </c>
      <c r="AV601" s="34">
        <v>5.0955414012738856E-2</v>
      </c>
      <c r="AW601" s="10"/>
      <c r="AX601" s="8"/>
    </row>
    <row r="602" spans="1:50">
      <c r="A602" s="7"/>
      <c r="B602" s="10"/>
      <c r="C602" s="45" t="s">
        <v>396</v>
      </c>
      <c r="D602" s="23" t="s">
        <v>19</v>
      </c>
      <c r="E602" s="46" t="s">
        <v>648</v>
      </c>
      <c r="F602" s="46" t="s">
        <v>648</v>
      </c>
      <c r="G602" s="46" t="s">
        <v>648</v>
      </c>
      <c r="H602" s="46" t="s">
        <v>648</v>
      </c>
      <c r="I602" s="25">
        <v>0.9</v>
      </c>
      <c r="J602" s="26">
        <v>1</v>
      </c>
      <c r="K602" s="26">
        <v>0.967741935483871</v>
      </c>
      <c r="L602" s="27">
        <v>1</v>
      </c>
      <c r="M602" s="26">
        <v>0.94941634241245132</v>
      </c>
      <c r="N602" s="28">
        <v>0.9</v>
      </c>
      <c r="O602" s="26">
        <v>0.98656126482213435</v>
      </c>
      <c r="P602" s="26">
        <v>0.97701149425287359</v>
      </c>
      <c r="Q602" s="26">
        <v>0.96648044692737434</v>
      </c>
      <c r="R602" s="26">
        <v>0.90131951752610706</v>
      </c>
      <c r="S602" s="28">
        <v>0.9</v>
      </c>
      <c r="T602" s="26">
        <v>0.92727272727272725</v>
      </c>
      <c r="U602" s="26">
        <v>0.91034482758620694</v>
      </c>
      <c r="V602" s="26">
        <v>0.93420235878336433</v>
      </c>
      <c r="W602" s="26">
        <v>0.88998623816077072</v>
      </c>
      <c r="X602" s="28">
        <v>0.92</v>
      </c>
      <c r="Y602" s="28">
        <v>0.80295826730058106</v>
      </c>
      <c r="Z602" s="28">
        <v>0.89168162776780369</v>
      </c>
      <c r="AA602" s="28">
        <v>0.91705069124423966</v>
      </c>
      <c r="AB602" s="28">
        <v>0.90619212496980428</v>
      </c>
      <c r="AC602" s="28">
        <v>0.92</v>
      </c>
      <c r="AD602" s="26">
        <v>1</v>
      </c>
      <c r="AE602" s="26">
        <v>1</v>
      </c>
      <c r="AF602" s="26">
        <v>1</v>
      </c>
      <c r="AG602" s="26">
        <v>0.98964968152866239</v>
      </c>
      <c r="AH602" s="28">
        <v>0.92</v>
      </c>
      <c r="AI602" s="26">
        <v>0.86953768207726412</v>
      </c>
      <c r="AJ602" s="26">
        <v>0.93077956989247312</v>
      </c>
      <c r="AK602" s="26">
        <v>0.94980579623543471</v>
      </c>
      <c r="AL602" s="26">
        <v>0.93940984135954464</v>
      </c>
      <c r="AM602" s="25">
        <v>0.99</v>
      </c>
      <c r="AN602" s="30">
        <v>1</v>
      </c>
      <c r="AO602" s="30">
        <v>1</v>
      </c>
      <c r="AP602" s="30">
        <v>1</v>
      </c>
      <c r="AQ602" s="30">
        <v>1</v>
      </c>
      <c r="AR602" s="50">
        <v>0.05</v>
      </c>
      <c r="AS602" s="34">
        <v>0</v>
      </c>
      <c r="AT602" s="34">
        <v>0.1111111111111111</v>
      </c>
      <c r="AU602" s="34">
        <v>0.25</v>
      </c>
      <c r="AV602" s="34">
        <v>9.6385542168674704E-2</v>
      </c>
      <c r="AW602" s="10"/>
      <c r="AX602" s="8"/>
    </row>
    <row r="603" spans="1:50">
      <c r="A603" s="7"/>
      <c r="B603" s="10"/>
      <c r="C603" s="45" t="s">
        <v>396</v>
      </c>
      <c r="D603" s="23" t="s">
        <v>19</v>
      </c>
      <c r="E603" s="46" t="s">
        <v>649</v>
      </c>
      <c r="F603" s="46" t="s">
        <v>649</v>
      </c>
      <c r="G603" s="46" t="s">
        <v>649</v>
      </c>
      <c r="H603" s="46" t="s">
        <v>649</v>
      </c>
      <c r="I603" s="25">
        <v>0.9</v>
      </c>
      <c r="J603" s="26">
        <v>0.91836734693877553</v>
      </c>
      <c r="K603" s="26">
        <v>0.96078431372549022</v>
      </c>
      <c r="L603" s="27">
        <v>0.9107142857142857</v>
      </c>
      <c r="M603" s="26">
        <v>0.92753623188405798</v>
      </c>
      <c r="N603" s="28">
        <v>0.9</v>
      </c>
      <c r="O603" s="26">
        <v>0.93852106620808251</v>
      </c>
      <c r="P603" s="26">
        <v>0.94727272727272727</v>
      </c>
      <c r="Q603" s="26">
        <v>0.95950506186726658</v>
      </c>
      <c r="R603" s="26">
        <v>0.94593423262365239</v>
      </c>
      <c r="S603" s="28">
        <v>0.9</v>
      </c>
      <c r="T603" s="26">
        <v>0.87145313843508165</v>
      </c>
      <c r="U603" s="26">
        <v>0.90636363636363637</v>
      </c>
      <c r="V603" s="26">
        <v>0.9208848893888264</v>
      </c>
      <c r="W603" s="26">
        <v>0.90335337775610813</v>
      </c>
      <c r="X603" s="28">
        <v>0.92</v>
      </c>
      <c r="Y603" s="28">
        <v>0.79933993399339931</v>
      </c>
      <c r="Z603" s="28">
        <v>0.92718245759205631</v>
      </c>
      <c r="AA603" s="28">
        <v>0.92952175476447318</v>
      </c>
      <c r="AB603" s="28">
        <v>0.89328027080188466</v>
      </c>
      <c r="AC603" s="28">
        <v>0.92</v>
      </c>
      <c r="AD603" s="26">
        <v>0.99616011170584129</v>
      </c>
      <c r="AE603" s="26">
        <v>0.99534997552618698</v>
      </c>
      <c r="AF603" s="26">
        <v>0.99446583253128007</v>
      </c>
      <c r="AG603" s="26">
        <v>0.99436516648371753</v>
      </c>
      <c r="AH603" s="28">
        <v>0.92</v>
      </c>
      <c r="AI603" s="26">
        <v>0.85405001866368047</v>
      </c>
      <c r="AJ603" s="26">
        <v>0.94478129060199223</v>
      </c>
      <c r="AK603" s="26">
        <v>0.95525398863011191</v>
      </c>
      <c r="AL603" s="26">
        <v>0.92750030982773579</v>
      </c>
      <c r="AM603" s="25">
        <v>0.99</v>
      </c>
      <c r="AN603" s="30">
        <v>1</v>
      </c>
      <c r="AO603" s="30">
        <v>1</v>
      </c>
      <c r="AP603" s="30">
        <v>1</v>
      </c>
      <c r="AQ603" s="30">
        <v>1</v>
      </c>
      <c r="AR603" s="50">
        <v>0.05</v>
      </c>
      <c r="AS603" s="34">
        <v>7.1428571428571425E-2</v>
      </c>
      <c r="AT603" s="34">
        <v>0</v>
      </c>
      <c r="AU603" s="34">
        <v>0.18181818181818182</v>
      </c>
      <c r="AV603" s="34">
        <v>0.05</v>
      </c>
      <c r="AW603" s="10"/>
      <c r="AX603" s="8"/>
    </row>
    <row r="604" spans="1:50">
      <c r="A604" s="7"/>
      <c r="B604" s="10"/>
      <c r="C604" s="45" t="s">
        <v>396</v>
      </c>
      <c r="D604" s="23" t="s">
        <v>19</v>
      </c>
      <c r="E604" s="46" t="s">
        <v>650</v>
      </c>
      <c r="F604" s="46" t="s">
        <v>650</v>
      </c>
      <c r="G604" s="46" t="s">
        <v>650</v>
      </c>
      <c r="H604" s="46" t="s">
        <v>650</v>
      </c>
      <c r="I604" s="25">
        <v>0.9</v>
      </c>
      <c r="J604" s="26">
        <v>0.78723404255319152</v>
      </c>
      <c r="K604" s="26">
        <v>0.88888888888888884</v>
      </c>
      <c r="L604" s="27">
        <v>0.86206896551724133</v>
      </c>
      <c r="M604" s="26">
        <v>0.85342789598108748</v>
      </c>
      <c r="N604" s="28">
        <v>0.9</v>
      </c>
      <c r="O604" s="26">
        <v>0.97494961128707169</v>
      </c>
      <c r="P604" s="26">
        <v>0.97881486030089038</v>
      </c>
      <c r="Q604" s="26">
        <v>0.98119440914866585</v>
      </c>
      <c r="R604" s="26">
        <v>0.9651954325867369</v>
      </c>
      <c r="S604" s="28">
        <v>0.9</v>
      </c>
      <c r="T604" s="26">
        <v>0.85632018427872159</v>
      </c>
      <c r="U604" s="26">
        <v>0.91710162726435374</v>
      </c>
      <c r="V604" s="26">
        <v>0.92325285895806863</v>
      </c>
      <c r="W604" s="26">
        <v>0.88965744400527014</v>
      </c>
      <c r="X604" s="28">
        <v>0.92</v>
      </c>
      <c r="Y604" s="28">
        <v>0.88921113689095133</v>
      </c>
      <c r="Z604" s="28">
        <v>0.91673360107095048</v>
      </c>
      <c r="AA604" s="28">
        <v>0.94536539808545417</v>
      </c>
      <c r="AB604" s="28">
        <v>0.91562169269747606</v>
      </c>
      <c r="AC604" s="28">
        <v>0.92</v>
      </c>
      <c r="AD604" s="26">
        <v>0.98979809621377046</v>
      </c>
      <c r="AE604" s="26">
        <v>0.99218011965991393</v>
      </c>
      <c r="AF604" s="26">
        <v>0.97877147811465504</v>
      </c>
      <c r="AG604" s="26">
        <v>0.9810218513091673</v>
      </c>
      <c r="AH604" s="28">
        <v>0.92</v>
      </c>
      <c r="AI604" s="26">
        <v>0.91984402079722705</v>
      </c>
      <c r="AJ604" s="26">
        <v>0.94268153230417384</v>
      </c>
      <c r="AK604" s="26">
        <v>0.96522796352583584</v>
      </c>
      <c r="AL604" s="26">
        <v>0.94175005976980086</v>
      </c>
      <c r="AM604" s="25">
        <v>0.99</v>
      </c>
      <c r="AN604" s="30">
        <v>1</v>
      </c>
      <c r="AO604" s="30">
        <v>1</v>
      </c>
      <c r="AP604" s="30">
        <v>1</v>
      </c>
      <c r="AQ604" s="30">
        <v>1</v>
      </c>
      <c r="AR604" s="50">
        <v>0.05</v>
      </c>
      <c r="AS604" s="34">
        <v>2.6315789473684209E-2</v>
      </c>
      <c r="AT604" s="34">
        <v>6.8181818181818177E-2</v>
      </c>
      <c r="AU604" s="34">
        <v>6.5217391304347824E-2</v>
      </c>
      <c r="AV604" s="34">
        <v>5.0802139037433157E-2</v>
      </c>
      <c r="AW604" s="10"/>
      <c r="AX604" s="8"/>
    </row>
    <row r="605" spans="1:50">
      <c r="A605" s="7"/>
      <c r="B605" s="10"/>
      <c r="C605" s="45" t="s">
        <v>396</v>
      </c>
      <c r="D605" s="23" t="s">
        <v>19</v>
      </c>
      <c r="E605" s="46" t="s">
        <v>651</v>
      </c>
      <c r="F605" s="46" t="s">
        <v>651</v>
      </c>
      <c r="G605" s="46" t="s">
        <v>651</v>
      </c>
      <c r="H605" s="46" t="s">
        <v>651</v>
      </c>
      <c r="I605" s="25">
        <v>0.9</v>
      </c>
      <c r="J605" s="26">
        <v>0.88461538461538458</v>
      </c>
      <c r="K605" s="26">
        <v>0.84905660377358494</v>
      </c>
      <c r="L605" s="27">
        <v>0.84482758620689657</v>
      </c>
      <c r="M605" s="26">
        <v>0.82476635514018692</v>
      </c>
      <c r="N605" s="28">
        <v>0.9</v>
      </c>
      <c r="O605" s="26">
        <v>0.99242174629324542</v>
      </c>
      <c r="P605" s="26">
        <v>0.9898880462260744</v>
      </c>
      <c r="Q605" s="26">
        <v>0.98603683897801542</v>
      </c>
      <c r="R605" s="26">
        <v>0.98098230527534314</v>
      </c>
      <c r="S605" s="28">
        <v>0.9</v>
      </c>
      <c r="T605" s="26">
        <v>0.88303130148270181</v>
      </c>
      <c r="U605" s="26">
        <v>0.91152040447815097</v>
      </c>
      <c r="V605" s="26">
        <v>0.90879382055852642</v>
      </c>
      <c r="W605" s="26">
        <v>0.88663800231519763</v>
      </c>
      <c r="X605" s="28">
        <v>0.92</v>
      </c>
      <c r="Y605" s="28">
        <v>0.92616690240452615</v>
      </c>
      <c r="Z605" s="28">
        <v>0.94597768643570168</v>
      </c>
      <c r="AA605" s="28">
        <v>0.95142022829838069</v>
      </c>
      <c r="AB605" s="28">
        <v>0.9369052183916059</v>
      </c>
      <c r="AC605" s="28">
        <v>0.92</v>
      </c>
      <c r="AD605" s="26">
        <v>0.99866991797827531</v>
      </c>
      <c r="AE605" s="26">
        <v>0.99180946222653299</v>
      </c>
      <c r="AF605" s="26">
        <v>0.99363805422335327</v>
      </c>
      <c r="AG605" s="26">
        <v>0.98391413663521587</v>
      </c>
      <c r="AH605" s="28">
        <v>0.92</v>
      </c>
      <c r="AI605" s="26">
        <v>0.94491783323189293</v>
      </c>
      <c r="AJ605" s="26">
        <v>0.95887305699481862</v>
      </c>
      <c r="AK605" s="26">
        <v>0.96609694592322781</v>
      </c>
      <c r="AL605" s="26">
        <v>0.95413641863278886</v>
      </c>
      <c r="AM605" s="25">
        <v>0.99</v>
      </c>
      <c r="AN605" s="30">
        <v>1</v>
      </c>
      <c r="AO605" s="30">
        <v>1</v>
      </c>
      <c r="AP605" s="30">
        <v>1</v>
      </c>
      <c r="AQ605" s="30">
        <v>1</v>
      </c>
      <c r="AR605" s="50">
        <v>0.05</v>
      </c>
      <c r="AS605" s="34">
        <v>0.10344827586206896</v>
      </c>
      <c r="AT605" s="34">
        <v>0</v>
      </c>
      <c r="AU605" s="34">
        <v>7.8947368421052627E-2</v>
      </c>
      <c r="AV605" s="34">
        <v>4.9019607843137254E-2</v>
      </c>
      <c r="AW605" s="10"/>
      <c r="AX605" s="8"/>
    </row>
    <row r="606" spans="1:50">
      <c r="A606" s="7"/>
      <c r="B606" s="10"/>
      <c r="C606" s="45" t="s">
        <v>396</v>
      </c>
      <c r="D606" s="23" t="s">
        <v>19</v>
      </c>
      <c r="E606" s="46" t="s">
        <v>652</v>
      </c>
      <c r="F606" s="46" t="s">
        <v>652</v>
      </c>
      <c r="G606" s="46" t="s">
        <v>652</v>
      </c>
      <c r="H606" s="46" t="s">
        <v>652</v>
      </c>
      <c r="I606" s="25">
        <v>0.9</v>
      </c>
      <c r="J606" s="26">
        <v>0.59459459459459463</v>
      </c>
      <c r="K606" s="26">
        <v>0.8529411764705882</v>
      </c>
      <c r="L606" s="27">
        <v>0.77777777777777779</v>
      </c>
      <c r="M606" s="26">
        <v>0.72262773722627738</v>
      </c>
      <c r="N606" s="28">
        <v>0.9</v>
      </c>
      <c r="O606" s="26">
        <v>0.91498771498771503</v>
      </c>
      <c r="P606" s="26">
        <v>0.81330049261083748</v>
      </c>
      <c r="Q606" s="26">
        <v>0.78342137342543683</v>
      </c>
      <c r="R606" s="26">
        <v>0.78930468074595528</v>
      </c>
      <c r="S606" s="28">
        <v>0.9</v>
      </c>
      <c r="T606" s="26">
        <v>0.84815724815724813</v>
      </c>
      <c r="U606" s="26">
        <v>0.7931034482758621</v>
      </c>
      <c r="V606" s="26">
        <v>0.74238114587566029</v>
      </c>
      <c r="W606" s="26">
        <v>0.74002717055699641</v>
      </c>
      <c r="X606" s="28">
        <v>0.92</v>
      </c>
      <c r="Y606" s="28">
        <v>0.84925373134328364</v>
      </c>
      <c r="Z606" s="28">
        <v>0.80860995850622408</v>
      </c>
      <c r="AA606" s="28">
        <v>0.71165919282511214</v>
      </c>
      <c r="AB606" s="28">
        <v>0.67411437832831678</v>
      </c>
      <c r="AC606" s="28">
        <v>0.92</v>
      </c>
      <c r="AD606" s="26">
        <v>0.99071120285231751</v>
      </c>
      <c r="AE606" s="26">
        <v>0.72220903552496241</v>
      </c>
      <c r="AF606" s="26">
        <v>0.60644366653701542</v>
      </c>
      <c r="AG606" s="26">
        <v>0.74548713226192953</v>
      </c>
      <c r="AH606" s="28">
        <v>0.92</v>
      </c>
      <c r="AI606" s="26">
        <v>0.88984934551741168</v>
      </c>
      <c r="AJ606" s="26">
        <v>0.86212121212121207</v>
      </c>
      <c r="AK606" s="26">
        <v>0.82296548785683854</v>
      </c>
      <c r="AL606" s="26">
        <v>0.77967569504583867</v>
      </c>
      <c r="AM606" s="25">
        <v>0.99</v>
      </c>
      <c r="AN606" s="30">
        <v>1</v>
      </c>
      <c r="AO606" s="30">
        <v>1</v>
      </c>
      <c r="AP606" s="30">
        <v>1</v>
      </c>
      <c r="AQ606" s="30">
        <v>1</v>
      </c>
      <c r="AR606" s="50">
        <v>0.05</v>
      </c>
      <c r="AS606" s="34">
        <v>2.0408163265306121E-2</v>
      </c>
      <c r="AT606" s="34">
        <v>3.2258064516129031E-2</v>
      </c>
      <c r="AU606" s="34">
        <v>7.1428571428571425E-2</v>
      </c>
      <c r="AV606" s="34">
        <v>2.2535211267605635E-2</v>
      </c>
      <c r="AW606" s="10"/>
      <c r="AX606" s="8"/>
    </row>
    <row r="607" spans="1:50">
      <c r="A607" s="7"/>
      <c r="B607" s="10"/>
      <c r="C607" s="45" t="s">
        <v>396</v>
      </c>
      <c r="D607" s="23" t="s">
        <v>19</v>
      </c>
      <c r="E607" s="46" t="s">
        <v>653</v>
      </c>
      <c r="F607" s="46" t="s">
        <v>653</v>
      </c>
      <c r="G607" s="46" t="s">
        <v>653</v>
      </c>
      <c r="H607" s="46" t="s">
        <v>653</v>
      </c>
      <c r="I607" s="25">
        <v>0.9</v>
      </c>
      <c r="J607" s="26">
        <v>0.91935483870967738</v>
      </c>
      <c r="K607" s="26">
        <v>0.88405797101449279</v>
      </c>
      <c r="L607" s="27">
        <v>0.87142857142857144</v>
      </c>
      <c r="M607" s="26">
        <v>0.89768339768339767</v>
      </c>
      <c r="N607" s="28">
        <v>0.9</v>
      </c>
      <c r="O607" s="26">
        <v>0.98242736644798501</v>
      </c>
      <c r="P607" s="26">
        <v>0.9761521972132905</v>
      </c>
      <c r="Q607" s="26">
        <v>0.97192575406032478</v>
      </c>
      <c r="R607" s="26">
        <v>0.96593953310371217</v>
      </c>
      <c r="S607" s="28">
        <v>0.9</v>
      </c>
      <c r="T607" s="26">
        <v>0.8931583880037488</v>
      </c>
      <c r="U607" s="26">
        <v>0.92845659163987138</v>
      </c>
      <c r="V607" s="26">
        <v>0.89767981438515076</v>
      </c>
      <c r="W607" s="26">
        <v>0.89427860696517414</v>
      </c>
      <c r="X607" s="28">
        <v>0.92</v>
      </c>
      <c r="Y607" s="28">
        <v>0.85421348314606738</v>
      </c>
      <c r="Z607" s="28">
        <v>0.93473005640612405</v>
      </c>
      <c r="AA607" s="28">
        <v>0.92963050129442226</v>
      </c>
      <c r="AB607" s="28">
        <v>0.89438043877926221</v>
      </c>
      <c r="AC607" s="28">
        <v>0.92</v>
      </c>
      <c r="AD607" s="26">
        <v>0.99843164256751582</v>
      </c>
      <c r="AE607" s="26">
        <v>0.99315456902138688</v>
      </c>
      <c r="AF607" s="26">
        <v>0.97408077154912598</v>
      </c>
      <c r="AG607" s="26">
        <v>0.99006946482731628</v>
      </c>
      <c r="AH607" s="28">
        <v>0.92</v>
      </c>
      <c r="AI607" s="26">
        <v>0.91115649731937709</v>
      </c>
      <c r="AJ607" s="26">
        <v>0.9531920600858369</v>
      </c>
      <c r="AK607" s="26">
        <v>0.95175233644859814</v>
      </c>
      <c r="AL607" s="26">
        <v>0.93142553656784033</v>
      </c>
      <c r="AM607" s="25">
        <v>0.99</v>
      </c>
      <c r="AN607" s="30">
        <v>1</v>
      </c>
      <c r="AO607" s="30">
        <v>1</v>
      </c>
      <c r="AP607" s="30">
        <v>1</v>
      </c>
      <c r="AQ607" s="30">
        <v>1</v>
      </c>
      <c r="AR607" s="50">
        <v>0.05</v>
      </c>
      <c r="AS607" s="34">
        <v>4.8387096774193547E-2</v>
      </c>
      <c r="AT607" s="34">
        <v>0.13157894736842105</v>
      </c>
      <c r="AU607" s="34">
        <v>1.3698630136986301E-2</v>
      </c>
      <c r="AV607" s="34">
        <v>6.2176165803108807E-2</v>
      </c>
      <c r="AW607" s="10"/>
      <c r="AX607" s="8"/>
    </row>
    <row r="608" spans="1:50">
      <c r="A608" s="7"/>
      <c r="B608" s="10"/>
      <c r="C608" s="45" t="s">
        <v>396</v>
      </c>
      <c r="D608" s="23" t="s">
        <v>19</v>
      </c>
      <c r="E608" s="46" t="s">
        <v>654</v>
      </c>
      <c r="F608" s="46" t="s">
        <v>654</v>
      </c>
      <c r="G608" s="46" t="s">
        <v>654</v>
      </c>
      <c r="H608" s="46" t="s">
        <v>654</v>
      </c>
      <c r="I608" s="25">
        <v>0.9</v>
      </c>
      <c r="J608" s="26">
        <v>0.89610389610389607</v>
      </c>
      <c r="K608" s="26">
        <v>0.92771084337349397</v>
      </c>
      <c r="L608" s="27">
        <v>0.90909090909090906</v>
      </c>
      <c r="M608" s="26">
        <v>0.92101105845181674</v>
      </c>
      <c r="N608" s="28">
        <v>0.9</v>
      </c>
      <c r="O608" s="26">
        <v>0.94236509758897824</v>
      </c>
      <c r="P608" s="26">
        <v>0.95200408475874398</v>
      </c>
      <c r="Q608" s="26">
        <v>0.93937512931926337</v>
      </c>
      <c r="R608" s="26">
        <v>0.94123585830091749</v>
      </c>
      <c r="S608" s="28">
        <v>0.9</v>
      </c>
      <c r="T608" s="26">
        <v>0.89092996555683124</v>
      </c>
      <c r="U608" s="26">
        <v>0.90145519530252749</v>
      </c>
      <c r="V608" s="26">
        <v>0.90978688185392098</v>
      </c>
      <c r="W608" s="26">
        <v>0.8920331383436767</v>
      </c>
      <c r="X608" s="28">
        <v>0.92</v>
      </c>
      <c r="Y608" s="28">
        <v>0.91386782231852659</v>
      </c>
      <c r="Z608" s="28">
        <v>0.94654358093602409</v>
      </c>
      <c r="AA608" s="28">
        <v>0.95407098121085598</v>
      </c>
      <c r="AB608" s="28">
        <v>0.93907614864531408</v>
      </c>
      <c r="AC608" s="28">
        <v>0.92</v>
      </c>
      <c r="AD608" s="26">
        <v>0.99928163955208116</v>
      </c>
      <c r="AE608" s="26">
        <v>0.99942438313058823</v>
      </c>
      <c r="AF608" s="26">
        <v>0.99964444444444445</v>
      </c>
      <c r="AG608" s="26">
        <v>0.99966093377055032</v>
      </c>
      <c r="AH608" s="28">
        <v>0.92</v>
      </c>
      <c r="AI608" s="26">
        <v>0.93266027258960116</v>
      </c>
      <c r="AJ608" s="26">
        <v>0.9588913473855829</v>
      </c>
      <c r="AK608" s="26">
        <v>0.96715472892758214</v>
      </c>
      <c r="AL608" s="26">
        <v>0.95422046883625744</v>
      </c>
      <c r="AM608" s="25">
        <v>0.99</v>
      </c>
      <c r="AN608" s="30">
        <v>1</v>
      </c>
      <c r="AO608" s="30">
        <v>1</v>
      </c>
      <c r="AP608" s="30">
        <v>1</v>
      </c>
      <c r="AQ608" s="30">
        <v>1</v>
      </c>
      <c r="AR608" s="50">
        <v>0.05</v>
      </c>
      <c r="AS608" s="34">
        <v>4.7619047619047616E-2</v>
      </c>
      <c r="AT608" s="34">
        <v>0</v>
      </c>
      <c r="AU608" s="34">
        <v>0</v>
      </c>
      <c r="AV608" s="34">
        <v>2.1739130434782608E-2</v>
      </c>
      <c r="AW608" s="10"/>
      <c r="AX608" s="8"/>
    </row>
    <row r="609" spans="1:50">
      <c r="A609" s="7"/>
      <c r="B609" s="10"/>
      <c r="C609" s="45" t="s">
        <v>396</v>
      </c>
      <c r="D609" s="23" t="s">
        <v>19</v>
      </c>
      <c r="E609" s="46" t="s">
        <v>655</v>
      </c>
      <c r="F609" s="46" t="s">
        <v>655</v>
      </c>
      <c r="G609" s="46" t="s">
        <v>655</v>
      </c>
      <c r="H609" s="46" t="s">
        <v>655</v>
      </c>
      <c r="I609" s="25">
        <v>0.9</v>
      </c>
      <c r="J609" s="26">
        <v>0.90666666666666662</v>
      </c>
      <c r="K609" s="26">
        <v>0.93670886075949367</v>
      </c>
      <c r="L609" s="27">
        <v>0.98809523809523814</v>
      </c>
      <c r="M609" s="26">
        <v>0.94563426688632624</v>
      </c>
      <c r="N609" s="28">
        <v>0.9</v>
      </c>
      <c r="O609" s="26">
        <v>0.96691759112519815</v>
      </c>
      <c r="P609" s="26">
        <v>0.95929416482855423</v>
      </c>
      <c r="Q609" s="26">
        <v>0.97070041608876556</v>
      </c>
      <c r="R609" s="26">
        <v>0.9634766311350591</v>
      </c>
      <c r="S609" s="28">
        <v>0.9</v>
      </c>
      <c r="T609" s="26">
        <v>0.93264659270998418</v>
      </c>
      <c r="U609" s="26">
        <v>0.9175857228794867</v>
      </c>
      <c r="V609" s="26">
        <v>0.92042302357836336</v>
      </c>
      <c r="W609" s="26">
        <v>0.90659482253719104</v>
      </c>
      <c r="X609" s="28">
        <v>0.92</v>
      </c>
      <c r="Y609" s="28">
        <v>0.93103448275862066</v>
      </c>
      <c r="Z609" s="28">
        <v>0.94171779141104295</v>
      </c>
      <c r="AA609" s="28">
        <v>0.95024875621890548</v>
      </c>
      <c r="AB609" s="28">
        <v>0.93507525969896121</v>
      </c>
      <c r="AC609" s="28">
        <v>0.92</v>
      </c>
      <c r="AD609" s="26">
        <v>0.99839615076182842</v>
      </c>
      <c r="AE609" s="26">
        <v>0.99638009049773757</v>
      </c>
      <c r="AF609" s="26">
        <v>0.9826897470039947</v>
      </c>
      <c r="AG609" s="26">
        <v>0.98103581055063538</v>
      </c>
      <c r="AH609" s="28">
        <v>0.92</v>
      </c>
      <c r="AI609" s="26">
        <v>0.96267837541163559</v>
      </c>
      <c r="AJ609" s="26">
        <v>0.96810119620514234</v>
      </c>
      <c r="AK609" s="26">
        <v>0.97518497438816165</v>
      </c>
      <c r="AL609" s="26">
        <v>0.96573729763083971</v>
      </c>
      <c r="AM609" s="25">
        <v>0.99</v>
      </c>
      <c r="AN609" s="30">
        <v>1</v>
      </c>
      <c r="AO609" s="30">
        <v>1</v>
      </c>
      <c r="AP609" s="30">
        <v>1</v>
      </c>
      <c r="AQ609" s="30">
        <v>1</v>
      </c>
      <c r="AR609" s="50">
        <v>0.05</v>
      </c>
      <c r="AS609" s="34">
        <v>6.41025641025641E-3</v>
      </c>
      <c r="AT609" s="34">
        <v>0</v>
      </c>
      <c r="AU609" s="34">
        <v>0</v>
      </c>
      <c r="AV609" s="34">
        <v>4.3613707165109034E-3</v>
      </c>
      <c r="AW609" s="10"/>
      <c r="AX609" s="8"/>
    </row>
    <row r="610" spans="1:50">
      <c r="A610" s="7"/>
      <c r="B610" s="10"/>
      <c r="C610" s="45" t="s">
        <v>396</v>
      </c>
      <c r="D610" s="23" t="s">
        <v>19</v>
      </c>
      <c r="E610" s="46" t="s">
        <v>656</v>
      </c>
      <c r="F610" s="46" t="s">
        <v>656</v>
      </c>
      <c r="G610" s="46" t="s">
        <v>656</v>
      </c>
      <c r="H610" s="46" t="s">
        <v>656</v>
      </c>
      <c r="I610" s="25">
        <v>0.9</v>
      </c>
      <c r="J610" s="26">
        <v>1</v>
      </c>
      <c r="K610" s="26">
        <v>0.9838709677419355</v>
      </c>
      <c r="L610" s="27">
        <v>1</v>
      </c>
      <c r="M610" s="26">
        <v>0.99587628865979383</v>
      </c>
      <c r="N610" s="28">
        <v>0.9</v>
      </c>
      <c r="O610" s="26">
        <v>0.98680124223602483</v>
      </c>
      <c r="P610" s="26">
        <v>0.99059003051881989</v>
      </c>
      <c r="Q610" s="26">
        <v>0.9842706313294548</v>
      </c>
      <c r="R610" s="26">
        <v>0.98582052840234979</v>
      </c>
      <c r="S610" s="28">
        <v>0.9</v>
      </c>
      <c r="T610" s="26">
        <v>0.96790890269151142</v>
      </c>
      <c r="U610" s="26">
        <v>0.95778229908443535</v>
      </c>
      <c r="V610" s="26">
        <v>0.95367377720318902</v>
      </c>
      <c r="W610" s="26">
        <v>0.94970628237404864</v>
      </c>
      <c r="X610" s="28">
        <v>0.92</v>
      </c>
      <c r="Y610" s="28">
        <v>0.95906040268456372</v>
      </c>
      <c r="Z610" s="28">
        <v>0.94898586355255066</v>
      </c>
      <c r="AA610" s="28">
        <v>0.95769230769230773</v>
      </c>
      <c r="AB610" s="28">
        <v>0.94736417211592794</v>
      </c>
      <c r="AC610" s="28">
        <v>0.92</v>
      </c>
      <c r="AD610" s="26">
        <v>0.99774266365688491</v>
      </c>
      <c r="AE610" s="26">
        <v>0.9988974641675854</v>
      </c>
      <c r="AF610" s="26">
        <v>0.99769585253456217</v>
      </c>
      <c r="AG610" s="26">
        <v>0.9951982651796778</v>
      </c>
      <c r="AH610" s="28">
        <v>0.92</v>
      </c>
      <c r="AI610" s="26">
        <v>0.97929876911600144</v>
      </c>
      <c r="AJ610" s="26">
        <v>0.97806149973026435</v>
      </c>
      <c r="AK610" s="26">
        <v>0.98235840297121635</v>
      </c>
      <c r="AL610" s="26">
        <v>0.97902916755375768</v>
      </c>
      <c r="AM610" s="25">
        <v>0.99</v>
      </c>
      <c r="AN610" s="30">
        <v>1</v>
      </c>
      <c r="AO610" s="30">
        <v>1</v>
      </c>
      <c r="AP610" s="30">
        <v>1</v>
      </c>
      <c r="AQ610" s="30">
        <v>1</v>
      </c>
      <c r="AR610" s="50">
        <v>0.05</v>
      </c>
      <c r="AS610" s="34">
        <v>1.8072289156626505E-2</v>
      </c>
      <c r="AT610" s="34">
        <v>6.7567567567567571E-3</v>
      </c>
      <c r="AU610" s="34">
        <v>6.0975609756097563E-3</v>
      </c>
      <c r="AV610" s="34">
        <v>1.0582010582010581E-2</v>
      </c>
      <c r="AW610" s="10"/>
      <c r="AX610" s="8"/>
    </row>
    <row r="611" spans="1:50">
      <c r="A611" s="7"/>
      <c r="B611" s="10"/>
      <c r="C611" s="45" t="s">
        <v>396</v>
      </c>
      <c r="D611" s="23" t="s">
        <v>19</v>
      </c>
      <c r="E611" s="46" t="s">
        <v>657</v>
      </c>
      <c r="F611" s="46" t="s">
        <v>657</v>
      </c>
      <c r="G611" s="46" t="s">
        <v>657</v>
      </c>
      <c r="H611" s="46" t="s">
        <v>657</v>
      </c>
      <c r="I611" s="25">
        <v>0.9</v>
      </c>
      <c r="J611" s="26">
        <v>0.93877551020408168</v>
      </c>
      <c r="K611" s="26">
        <v>0.8867924528301887</v>
      </c>
      <c r="L611" s="27">
        <v>0.96226415094339623</v>
      </c>
      <c r="M611" s="26">
        <v>0.92481203007518797</v>
      </c>
      <c r="N611" s="28">
        <v>0.9</v>
      </c>
      <c r="O611" s="26">
        <v>0.93113673805601316</v>
      </c>
      <c r="P611" s="26">
        <v>0.95682319571383545</v>
      </c>
      <c r="Q611" s="26">
        <v>0.94130799329234205</v>
      </c>
      <c r="R611" s="26">
        <v>0.93766034845874013</v>
      </c>
      <c r="S611" s="28">
        <v>0.9</v>
      </c>
      <c r="T611" s="26">
        <v>0.8586490939044481</v>
      </c>
      <c r="U611" s="26">
        <v>0.91112511818468322</v>
      </c>
      <c r="V611" s="26">
        <v>0.88736724427054225</v>
      </c>
      <c r="W611" s="26">
        <v>0.86283744974152787</v>
      </c>
      <c r="X611" s="28">
        <v>0.92</v>
      </c>
      <c r="Y611" s="28">
        <v>0.91152416356877319</v>
      </c>
      <c r="Z611" s="28">
        <v>0.95192307692307687</v>
      </c>
      <c r="AA611" s="28">
        <v>0.94797026872498569</v>
      </c>
      <c r="AB611" s="28">
        <v>0.93164600550964183</v>
      </c>
      <c r="AC611" s="28">
        <v>0.92</v>
      </c>
      <c r="AD611" s="26">
        <v>0.84584178498985796</v>
      </c>
      <c r="AE611" s="26">
        <v>0.96527777777777779</v>
      </c>
      <c r="AF611" s="26">
        <v>0.97289156626506024</v>
      </c>
      <c r="AG611" s="26">
        <v>0.94765651727677047</v>
      </c>
      <c r="AH611" s="28">
        <v>0.92</v>
      </c>
      <c r="AI611" s="26">
        <v>0.95609645131938126</v>
      </c>
      <c r="AJ611" s="26">
        <v>0.97473547829842366</v>
      </c>
      <c r="AK611" s="26">
        <v>0.97635578907862641</v>
      </c>
      <c r="AL611" s="26">
        <v>0.96480868529061303</v>
      </c>
      <c r="AM611" s="25">
        <v>0.99</v>
      </c>
      <c r="AN611" s="30">
        <v>1</v>
      </c>
      <c r="AO611" s="30">
        <v>1</v>
      </c>
      <c r="AP611" s="30">
        <v>1</v>
      </c>
      <c r="AQ611" s="30">
        <v>1</v>
      </c>
      <c r="AR611" s="50">
        <v>0.05</v>
      </c>
      <c r="AS611" s="34">
        <v>0.1111111111111111</v>
      </c>
      <c r="AT611" s="34">
        <v>0.14285714285714285</v>
      </c>
      <c r="AU611" s="34">
        <v>0.2</v>
      </c>
      <c r="AV611" s="34">
        <v>8.9743589743589744E-2</v>
      </c>
      <c r="AW611" s="10"/>
      <c r="AX611" s="8"/>
    </row>
    <row r="612" spans="1:50">
      <c r="A612" s="7"/>
      <c r="B612" s="10"/>
      <c r="C612" s="45" t="s">
        <v>396</v>
      </c>
      <c r="D612" s="23" t="s">
        <v>19</v>
      </c>
      <c r="E612" s="46" t="s">
        <v>658</v>
      </c>
      <c r="F612" s="46" t="s">
        <v>658</v>
      </c>
      <c r="G612" s="46" t="s">
        <v>658</v>
      </c>
      <c r="H612" s="46" t="s">
        <v>658</v>
      </c>
      <c r="I612" s="25">
        <v>0.9</v>
      </c>
      <c r="J612" s="26">
        <v>0.97499999999999998</v>
      </c>
      <c r="K612" s="26">
        <v>1</v>
      </c>
      <c r="L612" s="27">
        <v>0.97560975609756095</v>
      </c>
      <c r="M612" s="26">
        <v>0.98181818181818181</v>
      </c>
      <c r="N612" s="28">
        <v>0.9</v>
      </c>
      <c r="O612" s="26">
        <v>0.98763955342902709</v>
      </c>
      <c r="P612" s="26">
        <v>0.97175362887406824</v>
      </c>
      <c r="Q612" s="26">
        <v>0.9900275103163686</v>
      </c>
      <c r="R612" s="26">
        <v>0.98450113012592833</v>
      </c>
      <c r="S612" s="28">
        <v>0.9</v>
      </c>
      <c r="T612" s="26">
        <v>0.9202551834130781</v>
      </c>
      <c r="U612" s="26">
        <v>0.90427618673989796</v>
      </c>
      <c r="V612" s="26">
        <v>0.89167812929848689</v>
      </c>
      <c r="W612" s="26">
        <v>0.90908252225656161</v>
      </c>
      <c r="X612" s="28">
        <v>0.92</v>
      </c>
      <c r="Y612" s="28">
        <v>0.90843155031731637</v>
      </c>
      <c r="Z612" s="28">
        <v>0.90862510674637065</v>
      </c>
      <c r="AA612" s="28">
        <v>0.9334330590875094</v>
      </c>
      <c r="AB612" s="28">
        <v>0.92203685530476498</v>
      </c>
      <c r="AC612" s="28">
        <v>0.92</v>
      </c>
      <c r="AD612" s="26">
        <v>0.99883177570093462</v>
      </c>
      <c r="AE612" s="26">
        <v>0.9925373134328358</v>
      </c>
      <c r="AF612" s="26">
        <v>0.99363057324840764</v>
      </c>
      <c r="AG612" s="26">
        <v>0.99382006323656225</v>
      </c>
      <c r="AH612" s="28">
        <v>0.92</v>
      </c>
      <c r="AI612" s="26">
        <v>0.95599225020758372</v>
      </c>
      <c r="AJ612" s="26">
        <v>0.96264445041655466</v>
      </c>
      <c r="AK612" s="26">
        <v>0.9689119170984456</v>
      </c>
      <c r="AL612" s="26">
        <v>0.96461897356143078</v>
      </c>
      <c r="AM612" s="25">
        <v>0.99</v>
      </c>
      <c r="AN612" s="30">
        <v>1</v>
      </c>
      <c r="AO612" s="30">
        <v>1</v>
      </c>
      <c r="AP612" s="30">
        <v>1</v>
      </c>
      <c r="AQ612" s="30">
        <v>1</v>
      </c>
      <c r="AR612" s="50">
        <v>0.05</v>
      </c>
      <c r="AS612" s="34">
        <v>0</v>
      </c>
      <c r="AT612" s="34">
        <v>0</v>
      </c>
      <c r="AU612" s="34">
        <v>0</v>
      </c>
      <c r="AV612" s="34">
        <v>4.1237113402061855E-2</v>
      </c>
      <c r="AW612" s="10"/>
      <c r="AX612" s="8"/>
    </row>
    <row r="613" spans="1:50">
      <c r="A613" s="7"/>
      <c r="B613" s="10"/>
      <c r="C613" s="45" t="s">
        <v>396</v>
      </c>
      <c r="D613" s="23" t="s">
        <v>19</v>
      </c>
      <c r="E613" s="46" t="s">
        <v>659</v>
      </c>
      <c r="F613" s="46" t="s">
        <v>659</v>
      </c>
      <c r="G613" s="46" t="s">
        <v>659</v>
      </c>
      <c r="H613" s="46" t="s">
        <v>659</v>
      </c>
      <c r="I613" s="25">
        <v>0.9</v>
      </c>
      <c r="J613" s="26">
        <v>0.82758620689655171</v>
      </c>
      <c r="K613" s="26">
        <v>0.7857142857142857</v>
      </c>
      <c r="L613" s="27">
        <v>0.81481481481481477</v>
      </c>
      <c r="M613" s="26">
        <v>0.78801843317972353</v>
      </c>
      <c r="N613" s="28">
        <v>0.9</v>
      </c>
      <c r="O613" s="26">
        <v>0.5</v>
      </c>
      <c r="P613" s="26">
        <v>0</v>
      </c>
      <c r="Q613" s="26">
        <v>0</v>
      </c>
      <c r="R613" s="26">
        <v>0.5</v>
      </c>
      <c r="S613" s="28">
        <v>0.9</v>
      </c>
      <c r="T613" s="26">
        <v>0</v>
      </c>
      <c r="U613" s="26">
        <v>0</v>
      </c>
      <c r="V613" s="26">
        <v>0</v>
      </c>
      <c r="W613" s="26">
        <v>0</v>
      </c>
      <c r="X613" s="28">
        <v>0.92</v>
      </c>
      <c r="Y613" s="28">
        <v>0</v>
      </c>
      <c r="Z613" s="28">
        <v>0.5</v>
      </c>
      <c r="AA613" s="28">
        <v>0</v>
      </c>
      <c r="AB613" s="28">
        <v>0.4</v>
      </c>
      <c r="AC613" s="28">
        <v>0.92</v>
      </c>
      <c r="AD613" s="26">
        <v>1</v>
      </c>
      <c r="AE613" s="26">
        <v>0.97872340425531912</v>
      </c>
      <c r="AF613" s="26">
        <v>0.96153846153846156</v>
      </c>
      <c r="AG613" s="26">
        <v>0.94628099173553715</v>
      </c>
      <c r="AH613" s="28">
        <v>0.92</v>
      </c>
      <c r="AI613" s="26">
        <v>0.93848519800076891</v>
      </c>
      <c r="AJ613" s="26">
        <v>0.92209141274238227</v>
      </c>
      <c r="AK613" s="26">
        <v>0.92234600262123201</v>
      </c>
      <c r="AL613" s="26">
        <v>0.90787095608169166</v>
      </c>
      <c r="AM613" s="25">
        <v>0.99</v>
      </c>
      <c r="AN613" s="30">
        <v>1</v>
      </c>
      <c r="AO613" s="30">
        <v>1</v>
      </c>
      <c r="AP613" s="30">
        <v>1</v>
      </c>
      <c r="AQ613" s="30">
        <v>1</v>
      </c>
      <c r="AR613" s="50">
        <v>0.05</v>
      </c>
      <c r="AS613" s="34">
        <v>0.1111111111111111</v>
      </c>
      <c r="AT613" s="34">
        <v>0</v>
      </c>
      <c r="AU613" s="34">
        <v>0</v>
      </c>
      <c r="AV613" s="34">
        <v>2.7397260273972601E-2</v>
      </c>
      <c r="AW613" s="10"/>
      <c r="AX613" s="8"/>
    </row>
    <row r="614" spans="1:50">
      <c r="A614" s="7"/>
      <c r="B614" s="10"/>
      <c r="C614" s="45" t="s">
        <v>396</v>
      </c>
      <c r="D614" s="23" t="s">
        <v>19</v>
      </c>
      <c r="E614" s="46" t="s">
        <v>660</v>
      </c>
      <c r="F614" s="46" t="s">
        <v>660</v>
      </c>
      <c r="G614" s="46" t="s">
        <v>660</v>
      </c>
      <c r="H614" s="46" t="s">
        <v>660</v>
      </c>
      <c r="I614" s="25">
        <v>0.9</v>
      </c>
      <c r="J614" s="26">
        <v>0.95454545454545459</v>
      </c>
      <c r="K614" s="26">
        <v>0.9438202247191011</v>
      </c>
      <c r="L614" s="27">
        <v>0.95454545454545459</v>
      </c>
      <c r="M614" s="26">
        <v>0.94827586206896552</v>
      </c>
      <c r="N614" s="28">
        <v>0.9</v>
      </c>
      <c r="O614" s="26">
        <v>0.61904761904761907</v>
      </c>
      <c r="P614" s="26">
        <v>1</v>
      </c>
      <c r="Q614" s="26">
        <v>1</v>
      </c>
      <c r="R614" s="26">
        <v>0.92622950819672134</v>
      </c>
      <c r="S614" s="28">
        <v>0.9</v>
      </c>
      <c r="T614" s="26">
        <v>0.47619047619047616</v>
      </c>
      <c r="U614" s="26">
        <v>1</v>
      </c>
      <c r="V614" s="26">
        <v>1</v>
      </c>
      <c r="W614" s="26">
        <v>0.90163934426229508</v>
      </c>
      <c r="X614" s="28">
        <v>0.92</v>
      </c>
      <c r="Y614" s="28">
        <v>0</v>
      </c>
      <c r="Z614" s="28">
        <v>0.5</v>
      </c>
      <c r="AA614" s="28">
        <v>1</v>
      </c>
      <c r="AB614" s="28">
        <v>0.3</v>
      </c>
      <c r="AC614" s="28">
        <v>0.92</v>
      </c>
      <c r="AD614" s="26">
        <v>0.99586776859504134</v>
      </c>
      <c r="AE614" s="26">
        <v>0.98832684824902728</v>
      </c>
      <c r="AF614" s="26">
        <v>0.99049881235154391</v>
      </c>
      <c r="AG614" s="26">
        <v>0.99073505323505329</v>
      </c>
      <c r="AH614" s="28">
        <v>0.92</v>
      </c>
      <c r="AI614" s="26">
        <v>0.94837162332744251</v>
      </c>
      <c r="AJ614" s="26">
        <v>0.96402704007725737</v>
      </c>
      <c r="AK614" s="26">
        <v>0.96092877874525562</v>
      </c>
      <c r="AL614" s="26">
        <v>0.95708370892090511</v>
      </c>
      <c r="AM614" s="25">
        <v>0.99</v>
      </c>
      <c r="AN614" s="30">
        <v>1</v>
      </c>
      <c r="AO614" s="30">
        <v>1</v>
      </c>
      <c r="AP614" s="30">
        <v>1</v>
      </c>
      <c r="AQ614" s="30">
        <v>1</v>
      </c>
      <c r="AR614" s="50">
        <v>0.05</v>
      </c>
      <c r="AS614" s="34">
        <v>1.5888778550148957E-2</v>
      </c>
      <c r="AT614" s="34">
        <v>8.4889643463497456E-3</v>
      </c>
      <c r="AU614" s="34">
        <v>2.2181146025878003E-2</v>
      </c>
      <c r="AV614" s="34">
        <v>1.2324509698853285E-2</v>
      </c>
      <c r="AW614" s="10"/>
      <c r="AX614" s="8"/>
    </row>
    <row r="615" spans="1:50">
      <c r="A615" s="7"/>
      <c r="B615" s="10"/>
      <c r="C615" s="45" t="s">
        <v>396</v>
      </c>
      <c r="D615" s="23" t="s">
        <v>19</v>
      </c>
      <c r="E615" s="46" t="s">
        <v>661</v>
      </c>
      <c r="F615" s="46" t="s">
        <v>661</v>
      </c>
      <c r="G615" s="46" t="s">
        <v>661</v>
      </c>
      <c r="H615" s="46" t="s">
        <v>661</v>
      </c>
      <c r="I615" s="25">
        <v>0.9</v>
      </c>
      <c r="J615" s="26">
        <v>0.94444444444444442</v>
      </c>
      <c r="K615" s="26">
        <v>1</v>
      </c>
      <c r="L615" s="27">
        <v>0.95238095238095233</v>
      </c>
      <c r="M615" s="26">
        <v>0.97419354838709682</v>
      </c>
      <c r="N615" s="28">
        <v>0.9</v>
      </c>
      <c r="O615" s="26">
        <v>0.93531598513011149</v>
      </c>
      <c r="P615" s="26">
        <v>0.96969696969696972</v>
      </c>
      <c r="Q615" s="26">
        <v>0.97373029772329245</v>
      </c>
      <c r="R615" s="26">
        <v>0.96402250574530468</v>
      </c>
      <c r="S615" s="28">
        <v>0.9</v>
      </c>
      <c r="T615" s="26">
        <v>0.90111524163568768</v>
      </c>
      <c r="U615" s="26">
        <v>0.95179063360881544</v>
      </c>
      <c r="V615" s="26">
        <v>0.94687682428488029</v>
      </c>
      <c r="W615" s="26">
        <v>0.92067517235914098</v>
      </c>
      <c r="X615" s="28">
        <v>0.92</v>
      </c>
      <c r="Y615" s="28">
        <v>0.92293577981651376</v>
      </c>
      <c r="Z615" s="28">
        <v>0.94561403508771935</v>
      </c>
      <c r="AA615" s="28">
        <v>0.96273291925465843</v>
      </c>
      <c r="AB615" s="28">
        <v>0.95525727069351229</v>
      </c>
      <c r="AC615" s="28">
        <v>0.92</v>
      </c>
      <c r="AD615" s="26">
        <v>0.97826086956521741</v>
      </c>
      <c r="AE615" s="26">
        <v>0.96875</v>
      </c>
      <c r="AF615" s="26">
        <v>0.96825396825396826</v>
      </c>
      <c r="AG615" s="26">
        <v>0.96989966555183948</v>
      </c>
      <c r="AH615" s="28">
        <v>0.92</v>
      </c>
      <c r="AI615" s="26">
        <v>0.95562599049128372</v>
      </c>
      <c r="AJ615" s="26">
        <v>0.96986166007905139</v>
      </c>
      <c r="AK615" s="26">
        <v>0.97837150127226458</v>
      </c>
      <c r="AL615" s="26">
        <v>0.9734533972634779</v>
      </c>
      <c r="AM615" s="25">
        <v>0.99</v>
      </c>
      <c r="AN615" s="30">
        <v>1</v>
      </c>
      <c r="AO615" s="30">
        <v>1</v>
      </c>
      <c r="AP615" s="30">
        <v>1</v>
      </c>
      <c r="AQ615" s="30">
        <v>1</v>
      </c>
      <c r="AR615" s="50">
        <v>0.05</v>
      </c>
      <c r="AS615" s="34">
        <v>0</v>
      </c>
      <c r="AT615" s="34">
        <v>0.25</v>
      </c>
      <c r="AU615" s="34">
        <v>0</v>
      </c>
      <c r="AV615" s="34">
        <v>0.23076923076923078</v>
      </c>
      <c r="AW615" s="10"/>
      <c r="AX615" s="8"/>
    </row>
    <row r="616" spans="1:50">
      <c r="A616" s="7"/>
      <c r="B616" s="10"/>
      <c r="C616" s="45" t="s">
        <v>396</v>
      </c>
      <c r="D616" s="23" t="s">
        <v>19</v>
      </c>
      <c r="E616" s="46" t="s">
        <v>662</v>
      </c>
      <c r="F616" s="46" t="s">
        <v>662</v>
      </c>
      <c r="G616" s="46" t="s">
        <v>662</v>
      </c>
      <c r="H616" s="46" t="s">
        <v>662</v>
      </c>
      <c r="I616" s="25">
        <v>0.9</v>
      </c>
      <c r="J616" s="26">
        <v>0.91578947368421049</v>
      </c>
      <c r="K616" s="26">
        <v>0.89898989898989901</v>
      </c>
      <c r="L616" s="27">
        <v>0.9375</v>
      </c>
      <c r="M616" s="26">
        <v>0.90969455511288178</v>
      </c>
      <c r="N616" s="28">
        <v>0.9</v>
      </c>
      <c r="O616" s="26">
        <v>0</v>
      </c>
      <c r="P616" s="26">
        <v>0.8</v>
      </c>
      <c r="Q616" s="26">
        <v>0.8</v>
      </c>
      <c r="R616" s="26">
        <v>0.59677419354838712</v>
      </c>
      <c r="S616" s="28">
        <v>0.9</v>
      </c>
      <c r="T616" s="26">
        <v>0.14285714285714285</v>
      </c>
      <c r="U616" s="26">
        <v>0.8</v>
      </c>
      <c r="V616" s="26">
        <v>0.6</v>
      </c>
      <c r="W616" s="26">
        <v>0.64516129032258063</v>
      </c>
      <c r="X616" s="28">
        <v>0.92</v>
      </c>
      <c r="Y616" s="28">
        <v>5.8823529411764705E-2</v>
      </c>
      <c r="Z616" s="28">
        <v>1</v>
      </c>
      <c r="AA616" s="28">
        <v>1</v>
      </c>
      <c r="AB616" s="28">
        <v>0.6</v>
      </c>
      <c r="AC616" s="28">
        <v>0.92</v>
      </c>
      <c r="AD616" s="26">
        <v>0.99906454630495789</v>
      </c>
      <c r="AE616" s="26">
        <v>0.99728014505893015</v>
      </c>
      <c r="AF616" s="26">
        <v>0.99428274428274432</v>
      </c>
      <c r="AG616" s="26">
        <v>0.99659902505384879</v>
      </c>
      <c r="AH616" s="28">
        <v>0.92</v>
      </c>
      <c r="AI616" s="26">
        <v>0.96744186046511627</v>
      </c>
      <c r="AJ616" s="26">
        <v>0.98027772187562889</v>
      </c>
      <c r="AK616" s="26">
        <v>0.9837182885270731</v>
      </c>
      <c r="AL616" s="26">
        <v>0.97750129339171477</v>
      </c>
      <c r="AM616" s="25">
        <v>0.99</v>
      </c>
      <c r="AN616" s="30">
        <v>1</v>
      </c>
      <c r="AO616" s="30">
        <v>1</v>
      </c>
      <c r="AP616" s="30">
        <v>1</v>
      </c>
      <c r="AQ616" s="30">
        <v>1</v>
      </c>
      <c r="AR616" s="50">
        <v>0.05</v>
      </c>
      <c r="AS616" s="34">
        <v>9.2764378478664197E-3</v>
      </c>
      <c r="AT616" s="34">
        <v>6.7001675041876048E-3</v>
      </c>
      <c r="AU616" s="34">
        <v>6.1255742725880554E-3</v>
      </c>
      <c r="AV616" s="34">
        <v>5.4506521315943156E-3</v>
      </c>
      <c r="AW616" s="10"/>
      <c r="AX616" s="8"/>
    </row>
    <row r="617" spans="1:50">
      <c r="A617" s="7"/>
      <c r="B617" s="10"/>
      <c r="C617" s="45" t="s">
        <v>396</v>
      </c>
      <c r="D617" s="23" t="s">
        <v>19</v>
      </c>
      <c r="E617" s="46" t="s">
        <v>663</v>
      </c>
      <c r="F617" s="46" t="s">
        <v>663</v>
      </c>
      <c r="G617" s="46" t="s">
        <v>663</v>
      </c>
      <c r="H617" s="46" t="s">
        <v>663</v>
      </c>
      <c r="I617" s="25">
        <v>0.9</v>
      </c>
      <c r="J617" s="26">
        <v>1</v>
      </c>
      <c r="K617" s="26">
        <v>1</v>
      </c>
      <c r="L617" s="27">
        <v>1</v>
      </c>
      <c r="M617" s="26">
        <v>1</v>
      </c>
      <c r="N617" s="28">
        <v>0.9</v>
      </c>
      <c r="O617" s="26">
        <v>0.99278557114228461</v>
      </c>
      <c r="P617" s="26">
        <v>0.9942475839852738</v>
      </c>
      <c r="Q617" s="26">
        <v>0.99115554701019037</v>
      </c>
      <c r="R617" s="26">
        <v>0.99304766184673132</v>
      </c>
      <c r="S617" s="28">
        <v>0.9</v>
      </c>
      <c r="T617" s="26">
        <v>0.91843687374749494</v>
      </c>
      <c r="U617" s="26">
        <v>0.95720202485043715</v>
      </c>
      <c r="V617" s="26">
        <v>0.94308786771774655</v>
      </c>
      <c r="W617" s="26">
        <v>0.95043485156890217</v>
      </c>
      <c r="X617" s="28">
        <v>0.92</v>
      </c>
      <c r="Y617" s="28">
        <v>0.93832793641448342</v>
      </c>
      <c r="Z617" s="28">
        <v>0.97515418502202644</v>
      </c>
      <c r="AA617" s="28">
        <v>0.97731629392971242</v>
      </c>
      <c r="AB617" s="28">
        <v>0.96379103715200687</v>
      </c>
      <c r="AC617" s="28">
        <v>0.92</v>
      </c>
      <c r="AD617" s="26">
        <v>0.99945121951219518</v>
      </c>
      <c r="AE617" s="26">
        <v>0.99781644489935173</v>
      </c>
      <c r="AF617" s="26">
        <v>0.99894970241568448</v>
      </c>
      <c r="AG617" s="26">
        <v>0.99687281706385955</v>
      </c>
      <c r="AH617" s="28">
        <v>0.92</v>
      </c>
      <c r="AI617" s="26">
        <v>0.94630587836118418</v>
      </c>
      <c r="AJ617" s="26">
        <v>0.98053697973849685</v>
      </c>
      <c r="AK617" s="26">
        <v>0.98246991104133963</v>
      </c>
      <c r="AL617" s="26">
        <v>0.97288253982560102</v>
      </c>
      <c r="AM617" s="25">
        <v>0.99</v>
      </c>
      <c r="AN617" s="30">
        <v>1</v>
      </c>
      <c r="AO617" s="30">
        <v>1</v>
      </c>
      <c r="AP617" s="30">
        <v>1</v>
      </c>
      <c r="AQ617" s="30">
        <v>1</v>
      </c>
      <c r="AR617" s="50">
        <v>0.05</v>
      </c>
      <c r="AS617" s="34">
        <v>0</v>
      </c>
      <c r="AT617" s="34">
        <v>8.6956521739130432E-2</v>
      </c>
      <c r="AU617" s="34">
        <v>2.9411764705882353E-2</v>
      </c>
      <c r="AV617" s="34">
        <v>4.1509433962264149E-2</v>
      </c>
      <c r="AW617" s="10"/>
      <c r="AX617" s="8"/>
    </row>
    <row r="618" spans="1:50">
      <c r="A618" s="7"/>
      <c r="B618" s="10"/>
      <c r="C618" s="45" t="s">
        <v>396</v>
      </c>
      <c r="D618" s="23" t="s">
        <v>19</v>
      </c>
      <c r="E618" s="46" t="s">
        <v>664</v>
      </c>
      <c r="F618" s="46" t="s">
        <v>664</v>
      </c>
      <c r="G618" s="46" t="s">
        <v>664</v>
      </c>
      <c r="H618" s="46" t="s">
        <v>664</v>
      </c>
      <c r="I618" s="25">
        <v>0.9</v>
      </c>
      <c r="J618" s="26">
        <v>1</v>
      </c>
      <c r="K618" s="26">
        <v>0.97368421052631582</v>
      </c>
      <c r="L618" s="27">
        <v>0.97777777777777775</v>
      </c>
      <c r="M618" s="26">
        <v>0.96190476190476193</v>
      </c>
      <c r="N618" s="28">
        <v>0.9</v>
      </c>
      <c r="O618" s="26">
        <v>0.99388083735909827</v>
      </c>
      <c r="P618" s="26">
        <v>0.98885887913571913</v>
      </c>
      <c r="Q618" s="26">
        <v>0.97398421514177136</v>
      </c>
      <c r="R618" s="26">
        <v>0.97822807518245203</v>
      </c>
      <c r="S618" s="28">
        <v>0.9</v>
      </c>
      <c r="T618" s="26">
        <v>0.91304347826086951</v>
      </c>
      <c r="U618" s="26">
        <v>0.91593517893315324</v>
      </c>
      <c r="V618" s="26">
        <v>0.88892136802104649</v>
      </c>
      <c r="W618" s="26">
        <v>0.8955844579443063</v>
      </c>
      <c r="X618" s="28">
        <v>0.92</v>
      </c>
      <c r="Y618" s="28">
        <v>0.92406380027739254</v>
      </c>
      <c r="Z618" s="28">
        <v>0.94601184256356674</v>
      </c>
      <c r="AA618" s="28">
        <v>0.96057779115257302</v>
      </c>
      <c r="AB618" s="28">
        <v>0.93221894962322616</v>
      </c>
      <c r="AC618" s="28">
        <v>0.92</v>
      </c>
      <c r="AD618" s="26">
        <v>0.99930555555555556</v>
      </c>
      <c r="AE618" s="26">
        <v>0.99569721115537846</v>
      </c>
      <c r="AF618" s="26">
        <v>0.99364510347075119</v>
      </c>
      <c r="AG618" s="26">
        <v>0.94014615473842944</v>
      </c>
      <c r="AH618" s="28">
        <v>0.92</v>
      </c>
      <c r="AI618" s="26">
        <v>0.9475792988313857</v>
      </c>
      <c r="AJ618" s="26">
        <v>0.96196676374850099</v>
      </c>
      <c r="AK618" s="26">
        <v>0.97257227575982208</v>
      </c>
      <c r="AL618" s="26">
        <v>0.95270683364559705</v>
      </c>
      <c r="AM618" s="25">
        <v>0.99</v>
      </c>
      <c r="AN618" s="30">
        <v>1</v>
      </c>
      <c r="AO618" s="30">
        <v>1</v>
      </c>
      <c r="AP618" s="30">
        <v>1</v>
      </c>
      <c r="AQ618" s="30">
        <v>1</v>
      </c>
      <c r="AR618" s="50">
        <v>0.05</v>
      </c>
      <c r="AS618" s="34">
        <v>8.6956521739130432E-2</v>
      </c>
      <c r="AT618" s="34">
        <v>0.1111111111111111</v>
      </c>
      <c r="AU618" s="34">
        <v>0</v>
      </c>
      <c r="AV618" s="34">
        <v>4.0178571428571432E-2</v>
      </c>
      <c r="AW618" s="10"/>
      <c r="AX618" s="8"/>
    </row>
    <row r="619" spans="1:50">
      <c r="A619" s="7"/>
      <c r="B619" s="10"/>
      <c r="C619" s="45" t="s">
        <v>396</v>
      </c>
      <c r="D619" s="23" t="s">
        <v>19</v>
      </c>
      <c r="E619" s="46" t="s">
        <v>665</v>
      </c>
      <c r="F619" s="46" t="s">
        <v>665</v>
      </c>
      <c r="G619" s="46" t="s">
        <v>665</v>
      </c>
      <c r="H619" s="46" t="s">
        <v>665</v>
      </c>
      <c r="I619" s="25">
        <v>0.9</v>
      </c>
      <c r="J619" s="26">
        <v>0.75903614457831325</v>
      </c>
      <c r="K619" s="26">
        <v>0.93023255813953487</v>
      </c>
      <c r="L619" s="27">
        <v>0.96739130434782605</v>
      </c>
      <c r="M619" s="26">
        <v>0.86818181818181817</v>
      </c>
      <c r="N619" s="28">
        <v>0.9</v>
      </c>
      <c r="O619" s="26">
        <v>0.96792538671519568</v>
      </c>
      <c r="P619" s="26">
        <v>0.98774885145482394</v>
      </c>
      <c r="Q619" s="26">
        <v>0.98492981007431879</v>
      </c>
      <c r="R619" s="26">
        <v>0.97705496005231585</v>
      </c>
      <c r="S619" s="28">
        <v>0.9</v>
      </c>
      <c r="T619" s="26">
        <v>0.89717925386715192</v>
      </c>
      <c r="U619" s="26">
        <v>0.91704951505870347</v>
      </c>
      <c r="V619" s="26">
        <v>0.89905037159372414</v>
      </c>
      <c r="W619" s="26">
        <v>0.89394671746609422</v>
      </c>
      <c r="X619" s="28">
        <v>0.92</v>
      </c>
      <c r="Y619" s="28">
        <v>0.91365655785203781</v>
      </c>
      <c r="Z619" s="28">
        <v>0.94111302847282141</v>
      </c>
      <c r="AA619" s="28">
        <v>0.93794200848656295</v>
      </c>
      <c r="AB619" s="28">
        <v>0.93231903007250683</v>
      </c>
      <c r="AC619" s="28">
        <v>0.92</v>
      </c>
      <c r="AD619" s="26">
        <v>0.95929592959295928</v>
      </c>
      <c r="AE619" s="26">
        <v>0.99559981472904124</v>
      </c>
      <c r="AF619" s="26">
        <v>0.99303066507367588</v>
      </c>
      <c r="AG619" s="26">
        <v>0.98636108593379079</v>
      </c>
      <c r="AH619" s="28">
        <v>0.92</v>
      </c>
      <c r="AI619" s="26">
        <v>0.93984962406015038</v>
      </c>
      <c r="AJ619" s="26">
        <v>0.96130917592051435</v>
      </c>
      <c r="AK619" s="26">
        <v>0.96200361870298068</v>
      </c>
      <c r="AL619" s="26">
        <v>0.95311751685931367</v>
      </c>
      <c r="AM619" s="25">
        <v>0.99</v>
      </c>
      <c r="AN619" s="30">
        <v>1</v>
      </c>
      <c r="AO619" s="30">
        <v>1</v>
      </c>
      <c r="AP619" s="30">
        <v>1</v>
      </c>
      <c r="AQ619" s="30">
        <v>1</v>
      </c>
      <c r="AR619" s="50">
        <v>0.05</v>
      </c>
      <c r="AS619" s="34">
        <v>0.125</v>
      </c>
      <c r="AT619" s="34">
        <v>6.25E-2</v>
      </c>
      <c r="AU619" s="34">
        <v>4.4444444444444446E-2</v>
      </c>
      <c r="AV619" s="34">
        <v>4.7923322683706068E-2</v>
      </c>
      <c r="AW619" s="10"/>
      <c r="AX619" s="8"/>
    </row>
    <row r="620" spans="1:50">
      <c r="A620" s="7"/>
      <c r="B620" s="10"/>
      <c r="C620" s="45" t="s">
        <v>396</v>
      </c>
      <c r="D620" s="23" t="s">
        <v>19</v>
      </c>
      <c r="E620" s="46" t="s">
        <v>666</v>
      </c>
      <c r="F620" s="46" t="s">
        <v>666</v>
      </c>
      <c r="G620" s="46" t="s">
        <v>666</v>
      </c>
      <c r="H620" s="46" t="s">
        <v>666</v>
      </c>
      <c r="I620" s="25">
        <v>0.9</v>
      </c>
      <c r="J620" s="26">
        <v>0.94285714285714284</v>
      </c>
      <c r="K620" s="26">
        <v>0.94594594594594594</v>
      </c>
      <c r="L620" s="27">
        <v>0.97297297297297303</v>
      </c>
      <c r="M620" s="26">
        <v>0.95890410958904104</v>
      </c>
      <c r="N620" s="28">
        <v>0.9</v>
      </c>
      <c r="O620" s="26">
        <v>0.99089726918075427</v>
      </c>
      <c r="P620" s="26">
        <v>0.99221411192214115</v>
      </c>
      <c r="Q620" s="26">
        <v>0.99365331217770725</v>
      </c>
      <c r="R620" s="26">
        <v>0.98994857410004677</v>
      </c>
      <c r="S620" s="28">
        <v>0.9</v>
      </c>
      <c r="T620" s="26">
        <v>0.95361941915908111</v>
      </c>
      <c r="U620" s="26">
        <v>0.9664233576642336</v>
      </c>
      <c r="V620" s="26">
        <v>0.9516065053550179</v>
      </c>
      <c r="W620" s="26">
        <v>0.95786582515194019</v>
      </c>
      <c r="X620" s="28">
        <v>0.92</v>
      </c>
      <c r="Y620" s="28">
        <v>0.92178333985138838</v>
      </c>
      <c r="Z620" s="28">
        <v>0.93406593406593408</v>
      </c>
      <c r="AA620" s="28">
        <v>0.92735703245749612</v>
      </c>
      <c r="AB620" s="28">
        <v>0.93872064120123777</v>
      </c>
      <c r="AC620" s="28">
        <v>0.92</v>
      </c>
      <c r="AD620" s="26">
        <v>0.97827054699237659</v>
      </c>
      <c r="AE620" s="26">
        <v>0.98270298555190561</v>
      </c>
      <c r="AF620" s="26">
        <v>0.98469313235766653</v>
      </c>
      <c r="AG620" s="26">
        <v>0.97040519111724466</v>
      </c>
      <c r="AH620" s="28">
        <v>0.92</v>
      </c>
      <c r="AI620" s="26">
        <v>0.94761709120788828</v>
      </c>
      <c r="AJ620" s="26">
        <v>0.95820826598937892</v>
      </c>
      <c r="AK620" s="26">
        <v>0.95641977721321092</v>
      </c>
      <c r="AL620" s="26">
        <v>0.95982203412821143</v>
      </c>
      <c r="AM620" s="25">
        <v>0.99</v>
      </c>
      <c r="AN620" s="30">
        <v>1</v>
      </c>
      <c r="AO620" s="30">
        <v>1</v>
      </c>
      <c r="AP620" s="30">
        <v>1</v>
      </c>
      <c r="AQ620" s="30">
        <v>1</v>
      </c>
      <c r="AR620" s="50">
        <v>0.05</v>
      </c>
      <c r="AS620" s="34">
        <v>6.6666666666666666E-2</v>
      </c>
      <c r="AT620" s="34">
        <v>0</v>
      </c>
      <c r="AU620" s="34">
        <v>0.1111111111111111</v>
      </c>
      <c r="AV620" s="34">
        <v>6.25E-2</v>
      </c>
      <c r="AW620" s="10"/>
      <c r="AX620" s="8"/>
    </row>
    <row r="621" spans="1:50">
      <c r="A621" s="7"/>
      <c r="B621" s="10"/>
      <c r="C621" s="45" t="s">
        <v>396</v>
      </c>
      <c r="D621" s="23" t="s">
        <v>19</v>
      </c>
      <c r="E621" s="46" t="s">
        <v>667</v>
      </c>
      <c r="F621" s="46" t="s">
        <v>667</v>
      </c>
      <c r="G621" s="46" t="s">
        <v>667</v>
      </c>
      <c r="H621" s="46" t="s">
        <v>667</v>
      </c>
      <c r="I621" s="25">
        <v>0.9</v>
      </c>
      <c r="J621" s="26">
        <v>0.95</v>
      </c>
      <c r="K621" s="26">
        <v>0.97916666666666663</v>
      </c>
      <c r="L621" s="27">
        <v>0.87755102040816324</v>
      </c>
      <c r="M621" s="26">
        <v>0.9576271186440678</v>
      </c>
      <c r="N621" s="28">
        <v>0.9</v>
      </c>
      <c r="O621" s="26">
        <v>0.97679972705561247</v>
      </c>
      <c r="P621" s="26">
        <v>0.96507276507276507</v>
      </c>
      <c r="Q621" s="26">
        <v>0.97676767676767673</v>
      </c>
      <c r="R621" s="26">
        <v>0.96903182707448587</v>
      </c>
      <c r="S621" s="28">
        <v>0.9</v>
      </c>
      <c r="T621" s="26">
        <v>0.94404640054588873</v>
      </c>
      <c r="U621" s="26">
        <v>0.94677754677754677</v>
      </c>
      <c r="V621" s="26">
        <v>0.92962962962962958</v>
      </c>
      <c r="W621" s="26">
        <v>0.9339600133606909</v>
      </c>
      <c r="X621" s="28">
        <v>0.92</v>
      </c>
      <c r="Y621" s="28">
        <v>0.92664892043774028</v>
      </c>
      <c r="Z621" s="28">
        <v>0.94654409261150829</v>
      </c>
      <c r="AA621" s="28">
        <v>0.93683571211661099</v>
      </c>
      <c r="AB621" s="28">
        <v>0.93489756747228647</v>
      </c>
      <c r="AC621" s="28">
        <v>0.92</v>
      </c>
      <c r="AD621" s="26">
        <v>0.99909817585570815</v>
      </c>
      <c r="AE621" s="26">
        <v>0.97965116279069764</v>
      </c>
      <c r="AF621" s="26">
        <v>0.98517149682246363</v>
      </c>
      <c r="AG621" s="26">
        <v>0.98746584718228947</v>
      </c>
      <c r="AH621" s="28">
        <v>0.92</v>
      </c>
      <c r="AI621" s="26">
        <v>0.9488438390877415</v>
      </c>
      <c r="AJ621" s="26">
        <v>0.96443279670535376</v>
      </c>
      <c r="AK621" s="26">
        <v>0.95944435574006071</v>
      </c>
      <c r="AL621" s="26">
        <v>0.95647030991246751</v>
      </c>
      <c r="AM621" s="25">
        <v>0.99</v>
      </c>
      <c r="AN621" s="30">
        <v>1</v>
      </c>
      <c r="AO621" s="30">
        <v>1</v>
      </c>
      <c r="AP621" s="30">
        <v>1</v>
      </c>
      <c r="AQ621" s="30">
        <v>1</v>
      </c>
      <c r="AR621" s="50">
        <v>0.05</v>
      </c>
      <c r="AS621" s="34">
        <v>7.6923076923076927E-2</v>
      </c>
      <c r="AT621" s="34">
        <v>0.33333333333333331</v>
      </c>
      <c r="AU621" s="34">
        <v>0</v>
      </c>
      <c r="AV621" s="34">
        <v>4.9504950495049507E-2</v>
      </c>
      <c r="AW621" s="10"/>
      <c r="AX621" s="8"/>
    </row>
    <row r="622" spans="1:50">
      <c r="A622" s="7"/>
      <c r="B622" s="10"/>
      <c r="C622" s="45" t="s">
        <v>396</v>
      </c>
      <c r="D622" s="23" t="s">
        <v>19</v>
      </c>
      <c r="E622" s="46" t="s">
        <v>668</v>
      </c>
      <c r="F622" s="46" t="s">
        <v>668</v>
      </c>
      <c r="G622" s="46" t="s">
        <v>668</v>
      </c>
      <c r="H622" s="46" t="s">
        <v>668</v>
      </c>
      <c r="I622" s="25">
        <v>0.9</v>
      </c>
      <c r="J622" s="26">
        <v>0.9375</v>
      </c>
      <c r="K622" s="26">
        <v>1</v>
      </c>
      <c r="L622" s="27">
        <v>0.98148148148148151</v>
      </c>
      <c r="M622" s="26">
        <v>0.97179487179487178</v>
      </c>
      <c r="N622" s="28">
        <v>0.9</v>
      </c>
      <c r="O622" s="26">
        <v>0.98093395965736396</v>
      </c>
      <c r="P622" s="26">
        <v>0.96993670886075944</v>
      </c>
      <c r="Q622" s="26">
        <v>0.98446141690808531</v>
      </c>
      <c r="R622" s="26">
        <v>0.97540060317575672</v>
      </c>
      <c r="S622" s="28">
        <v>0.9</v>
      </c>
      <c r="T622" s="26">
        <v>0.92815694943354521</v>
      </c>
      <c r="U622" s="26">
        <v>0.89905063291139242</v>
      </c>
      <c r="V622" s="26">
        <v>0.87068738477745589</v>
      </c>
      <c r="W622" s="26">
        <v>0.8906289742378547</v>
      </c>
      <c r="X622" s="28">
        <v>0.92</v>
      </c>
      <c r="Y622" s="28">
        <v>0.95843389648699384</v>
      </c>
      <c r="Z622" s="28">
        <v>0.95048344564898912</v>
      </c>
      <c r="AA622" s="28">
        <v>0.95298602287166456</v>
      </c>
      <c r="AB622" s="28">
        <v>0.93030499675535372</v>
      </c>
      <c r="AC622" s="28">
        <v>0.92</v>
      </c>
      <c r="AD622" s="26">
        <v>0.99875994626433817</v>
      </c>
      <c r="AE622" s="26">
        <v>0.99541224275789753</v>
      </c>
      <c r="AF622" s="26">
        <v>0.99320388349514566</v>
      </c>
      <c r="AG622" s="26">
        <v>0.98532947883176181</v>
      </c>
      <c r="AH622" s="28">
        <v>0.92</v>
      </c>
      <c r="AI622" s="26">
        <v>0.96625850340136055</v>
      </c>
      <c r="AJ622" s="26">
        <v>0.9564886657538415</v>
      </c>
      <c r="AK622" s="26">
        <v>0.96715800362037752</v>
      </c>
      <c r="AL622" s="26">
        <v>0.94862567687984101</v>
      </c>
      <c r="AM622" s="25">
        <v>0.99</v>
      </c>
      <c r="AN622" s="30">
        <v>1</v>
      </c>
      <c r="AO622" s="30">
        <v>1</v>
      </c>
      <c r="AP622" s="30">
        <v>1</v>
      </c>
      <c r="AQ622" s="30">
        <v>1</v>
      </c>
      <c r="AR622" s="50">
        <v>0.05</v>
      </c>
      <c r="AS622" s="34">
        <v>6.25E-2</v>
      </c>
      <c r="AT622" s="34">
        <v>2.0833333333333332E-2</v>
      </c>
      <c r="AU622" s="34">
        <v>0.11764705882352941</v>
      </c>
      <c r="AV622" s="34">
        <v>5.7356608478802994E-2</v>
      </c>
      <c r="AW622" s="10"/>
      <c r="AX622" s="8"/>
    </row>
    <row r="623" spans="1:50">
      <c r="A623" s="7"/>
      <c r="B623" s="10"/>
      <c r="C623" s="45" t="s">
        <v>396</v>
      </c>
      <c r="D623" s="23" t="s">
        <v>19</v>
      </c>
      <c r="E623" s="46" t="s">
        <v>669</v>
      </c>
      <c r="F623" s="46" t="s">
        <v>669</v>
      </c>
      <c r="G623" s="46" t="s">
        <v>669</v>
      </c>
      <c r="H623" s="46" t="s">
        <v>669</v>
      </c>
      <c r="I623" s="25">
        <v>0.9</v>
      </c>
      <c r="J623" s="26">
        <v>1</v>
      </c>
      <c r="K623" s="26">
        <v>1</v>
      </c>
      <c r="L623" s="27">
        <v>1</v>
      </c>
      <c r="M623" s="26">
        <v>0.99737532808398954</v>
      </c>
      <c r="N623" s="28">
        <v>0.9</v>
      </c>
      <c r="O623" s="26">
        <v>0.93843031123139375</v>
      </c>
      <c r="P623" s="26">
        <v>0.9883679943602397</v>
      </c>
      <c r="Q623" s="26">
        <v>0.98996559633027525</v>
      </c>
      <c r="R623" s="26">
        <v>0.97945555082943425</v>
      </c>
      <c r="S623" s="28">
        <v>0.9</v>
      </c>
      <c r="T623" s="26">
        <v>0.95635994587280104</v>
      </c>
      <c r="U623" s="26">
        <v>0.95206203736341211</v>
      </c>
      <c r="V623" s="26">
        <v>0.98050458715596334</v>
      </c>
      <c r="W623" s="26">
        <v>0.96907698851552526</v>
      </c>
      <c r="X623" s="28">
        <v>0.92</v>
      </c>
      <c r="Y623" s="28">
        <v>0.96443057722308889</v>
      </c>
      <c r="Z623" s="28">
        <v>0.97761685319289005</v>
      </c>
      <c r="AA623" s="28">
        <v>0.9814593301435407</v>
      </c>
      <c r="AB623" s="28">
        <v>0.9819542088048423</v>
      </c>
      <c r="AC623" s="28">
        <v>0.92</v>
      </c>
      <c r="AD623" s="26">
        <v>0.99138254027725736</v>
      </c>
      <c r="AE623" s="26">
        <v>0.99086147330881535</v>
      </c>
      <c r="AF623" s="26">
        <v>0.99126784214945429</v>
      </c>
      <c r="AG623" s="26">
        <v>0.99124009906056199</v>
      </c>
      <c r="AH623" s="28">
        <v>0.92</v>
      </c>
      <c r="AI623" s="26">
        <v>0.97518650664936746</v>
      </c>
      <c r="AJ623" s="26">
        <v>0.98605916354981293</v>
      </c>
      <c r="AK623" s="26">
        <v>0.98902706656912953</v>
      </c>
      <c r="AL623" s="26">
        <v>0.98791745588675106</v>
      </c>
      <c r="AM623" s="25">
        <v>0.99</v>
      </c>
      <c r="AN623" s="30">
        <v>1</v>
      </c>
      <c r="AO623" s="30">
        <v>1</v>
      </c>
      <c r="AP623" s="30">
        <v>1</v>
      </c>
      <c r="AQ623" s="30">
        <v>1</v>
      </c>
      <c r="AR623" s="50">
        <v>0.05</v>
      </c>
      <c r="AS623" s="34">
        <v>0</v>
      </c>
      <c r="AT623" s="34">
        <v>3.9215686274509803E-3</v>
      </c>
      <c r="AU623" s="34">
        <v>6.2305295950155761E-3</v>
      </c>
      <c r="AV623" s="34">
        <v>3.7236243276789409E-3</v>
      </c>
      <c r="AW623" s="10"/>
      <c r="AX623" s="8"/>
    </row>
    <row r="624" spans="1:50">
      <c r="A624" s="7"/>
      <c r="B624" s="10"/>
      <c r="C624" s="45" t="s">
        <v>396</v>
      </c>
      <c r="D624" s="23" t="s">
        <v>19</v>
      </c>
      <c r="E624" s="46" t="s">
        <v>670</v>
      </c>
      <c r="F624" s="46" t="s">
        <v>670</v>
      </c>
      <c r="G624" s="46" t="s">
        <v>670</v>
      </c>
      <c r="H624" s="46" t="s">
        <v>670</v>
      </c>
      <c r="I624" s="25">
        <v>0.9</v>
      </c>
      <c r="J624" s="26">
        <v>1</v>
      </c>
      <c r="K624" s="26">
        <v>1</v>
      </c>
      <c r="L624" s="27">
        <v>1</v>
      </c>
      <c r="M624" s="26">
        <v>1</v>
      </c>
      <c r="N624" s="28">
        <v>0.9</v>
      </c>
      <c r="O624" s="26">
        <v>0.97479398933591854</v>
      </c>
      <c r="P624" s="26">
        <v>0.98220436280137768</v>
      </c>
      <c r="Q624" s="26">
        <v>0.98489010989010994</v>
      </c>
      <c r="R624" s="26">
        <v>0.98499422854944207</v>
      </c>
      <c r="S624" s="28">
        <v>0.9</v>
      </c>
      <c r="T624" s="26">
        <v>0.9510421715947649</v>
      </c>
      <c r="U624" s="26">
        <v>0.96268656716417911</v>
      </c>
      <c r="V624" s="26">
        <v>0.95970695970695974</v>
      </c>
      <c r="W624" s="26">
        <v>0.96030524560728481</v>
      </c>
      <c r="X624" s="28">
        <v>0.92</v>
      </c>
      <c r="Y624" s="28">
        <v>0.96724797958315611</v>
      </c>
      <c r="Z624" s="28">
        <v>0.98430066603235011</v>
      </c>
      <c r="AA624" s="28">
        <v>0.9823434991974318</v>
      </c>
      <c r="AB624" s="28">
        <v>0.97941977377461253</v>
      </c>
      <c r="AC624" s="28">
        <v>0.92</v>
      </c>
      <c r="AD624" s="26">
        <v>0.99242424242424243</v>
      </c>
      <c r="AE624" s="26">
        <v>0.99399999999999999</v>
      </c>
      <c r="AF624" s="26">
        <v>0.99201065246338216</v>
      </c>
      <c r="AG624" s="26">
        <v>0.99277061352090656</v>
      </c>
      <c r="AH624" s="28">
        <v>0.92</v>
      </c>
      <c r="AI624" s="26">
        <v>0.9694224235560589</v>
      </c>
      <c r="AJ624" s="26">
        <v>0.98725286160249737</v>
      </c>
      <c r="AK624" s="26">
        <v>0.98502994011976053</v>
      </c>
      <c r="AL624" s="26">
        <v>0.98371804847122557</v>
      </c>
      <c r="AM624" s="25">
        <v>0.99</v>
      </c>
      <c r="AN624" s="30">
        <v>1</v>
      </c>
      <c r="AO624" s="30">
        <v>1</v>
      </c>
      <c r="AP624" s="30">
        <v>1</v>
      </c>
      <c r="AQ624" s="30">
        <v>1</v>
      </c>
      <c r="AR624" s="50">
        <v>0.05</v>
      </c>
      <c r="AS624" s="34">
        <v>0</v>
      </c>
      <c r="AT624" s="34">
        <v>0</v>
      </c>
      <c r="AU624" s="34">
        <v>0</v>
      </c>
      <c r="AV624" s="34">
        <v>4.195804195804196E-2</v>
      </c>
      <c r="AW624" s="10"/>
      <c r="AX624" s="8"/>
    </row>
    <row r="625" spans="1:50">
      <c r="A625" s="7"/>
      <c r="B625" s="10"/>
      <c r="C625" s="45" t="s">
        <v>396</v>
      </c>
      <c r="D625" s="23" t="s">
        <v>19</v>
      </c>
      <c r="E625" s="46" t="s">
        <v>671</v>
      </c>
      <c r="F625" s="46" t="s">
        <v>671</v>
      </c>
      <c r="G625" s="46" t="s">
        <v>671</v>
      </c>
      <c r="H625" s="46" t="s">
        <v>671</v>
      </c>
      <c r="I625" s="25">
        <v>0.9</v>
      </c>
      <c r="J625" s="26">
        <v>0.84482758620689657</v>
      </c>
      <c r="K625" s="26">
        <v>0.83870967741935487</v>
      </c>
      <c r="L625" s="27">
        <v>0.84126984126984128</v>
      </c>
      <c r="M625" s="26">
        <v>0.80543933054393302</v>
      </c>
      <c r="N625" s="28">
        <v>0.9</v>
      </c>
      <c r="O625" s="26">
        <v>0.97004383828543594</v>
      </c>
      <c r="P625" s="26">
        <v>0.98228243877019283</v>
      </c>
      <c r="Q625" s="26">
        <v>0.97953586497890299</v>
      </c>
      <c r="R625" s="26">
        <v>0.97558094994892752</v>
      </c>
      <c r="S625" s="28">
        <v>0.9</v>
      </c>
      <c r="T625" s="26">
        <v>0.94958597174866055</v>
      </c>
      <c r="U625" s="26">
        <v>0.95336112558624286</v>
      </c>
      <c r="V625" s="26">
        <v>0.95822784810126582</v>
      </c>
      <c r="W625" s="26">
        <v>0.94097931562819204</v>
      </c>
      <c r="X625" s="28">
        <v>0.92</v>
      </c>
      <c r="Y625" s="28">
        <v>0.83220568335588629</v>
      </c>
      <c r="Z625" s="28">
        <v>0.87032856784549784</v>
      </c>
      <c r="AA625" s="28">
        <v>0.88328912466843501</v>
      </c>
      <c r="AB625" s="28">
        <v>0.87009233014340637</v>
      </c>
      <c r="AC625" s="28">
        <v>0.92</v>
      </c>
      <c r="AD625" s="26">
        <v>0.97773490876939151</v>
      </c>
      <c r="AE625" s="26">
        <v>0.98177915251085979</v>
      </c>
      <c r="AF625" s="26">
        <v>0.98468353749305015</v>
      </c>
      <c r="AG625" s="26">
        <v>0.96923273825914624</v>
      </c>
      <c r="AH625" s="28">
        <v>0.92</v>
      </c>
      <c r="AI625" s="26">
        <v>0.89941451990632315</v>
      </c>
      <c r="AJ625" s="26">
        <v>0.92078701929219364</v>
      </c>
      <c r="AK625" s="26">
        <v>0.93739205526770297</v>
      </c>
      <c r="AL625" s="26">
        <v>0.9214942666029623</v>
      </c>
      <c r="AM625" s="25">
        <v>0.99</v>
      </c>
      <c r="AN625" s="30">
        <v>1</v>
      </c>
      <c r="AO625" s="30">
        <v>1</v>
      </c>
      <c r="AP625" s="30">
        <v>1</v>
      </c>
      <c r="AQ625" s="30">
        <v>1</v>
      </c>
      <c r="AR625" s="50">
        <v>0.05</v>
      </c>
      <c r="AS625" s="34">
        <v>7.1428571428571425E-2</v>
      </c>
      <c r="AT625" s="34">
        <v>0.04</v>
      </c>
      <c r="AU625" s="34">
        <v>4.7619047619047616E-2</v>
      </c>
      <c r="AV625" s="34">
        <v>5.2884615384615384E-2</v>
      </c>
      <c r="AW625" s="10"/>
      <c r="AX625" s="8"/>
    </row>
    <row r="626" spans="1:50">
      <c r="A626" s="7"/>
      <c r="B626" s="10"/>
      <c r="C626" s="45" t="s">
        <v>396</v>
      </c>
      <c r="D626" s="23" t="s">
        <v>19</v>
      </c>
      <c r="E626" s="46" t="s">
        <v>672</v>
      </c>
      <c r="F626" s="46" t="s">
        <v>672</v>
      </c>
      <c r="G626" s="46" t="s">
        <v>672</v>
      </c>
      <c r="H626" s="46" t="s">
        <v>672</v>
      </c>
      <c r="I626" s="25">
        <v>0.9</v>
      </c>
      <c r="J626" s="26">
        <v>0.85964912280701755</v>
      </c>
      <c r="K626" s="26">
        <v>0.93103448275862066</v>
      </c>
      <c r="L626" s="27">
        <v>0.91803278688524592</v>
      </c>
      <c r="M626" s="26">
        <v>0.92592592592592593</v>
      </c>
      <c r="N626" s="28">
        <v>0.9</v>
      </c>
      <c r="O626" s="26">
        <v>0.98049645390070927</v>
      </c>
      <c r="P626" s="26">
        <v>0.98201701093560145</v>
      </c>
      <c r="Q626" s="26">
        <v>0.98625724715482066</v>
      </c>
      <c r="R626" s="26">
        <v>0.95571151261759002</v>
      </c>
      <c r="S626" s="28">
        <v>0.9</v>
      </c>
      <c r="T626" s="26">
        <v>0.91511524822695034</v>
      </c>
      <c r="U626" s="26">
        <v>0.94532199270959905</v>
      </c>
      <c r="V626" s="26">
        <v>0.94245222246081173</v>
      </c>
      <c r="W626" s="26">
        <v>0.91357324175003729</v>
      </c>
      <c r="X626" s="28">
        <v>0.92</v>
      </c>
      <c r="Y626" s="28">
        <v>0.91125485122897798</v>
      </c>
      <c r="Z626" s="28">
        <v>0.9518354595157511</v>
      </c>
      <c r="AA626" s="28">
        <v>0.95696259576385756</v>
      </c>
      <c r="AB626" s="28">
        <v>0.9395169973850177</v>
      </c>
      <c r="AC626" s="28">
        <v>0.92</v>
      </c>
      <c r="AD626" s="26">
        <v>0.99691261996505753</v>
      </c>
      <c r="AE626" s="26">
        <v>0.99817719081029033</v>
      </c>
      <c r="AF626" s="26">
        <v>0.99616157592656296</v>
      </c>
      <c r="AG626" s="26">
        <v>0.96522483487935518</v>
      </c>
      <c r="AH626" s="28">
        <v>0.92</v>
      </c>
      <c r="AI626" s="26">
        <v>0.93603818615751788</v>
      </c>
      <c r="AJ626" s="26">
        <v>0.96559517830236063</v>
      </c>
      <c r="AK626" s="26">
        <v>0.9715353335531377</v>
      </c>
      <c r="AL626" s="26">
        <v>0.95663895073227623</v>
      </c>
      <c r="AM626" s="25">
        <v>0.99</v>
      </c>
      <c r="AN626" s="30">
        <v>1</v>
      </c>
      <c r="AO626" s="30">
        <v>1</v>
      </c>
      <c r="AP626" s="30">
        <v>1</v>
      </c>
      <c r="AQ626" s="30">
        <v>1</v>
      </c>
      <c r="AR626" s="50">
        <v>0.05</v>
      </c>
      <c r="AS626" s="34">
        <v>2.0408163265306121E-2</v>
      </c>
      <c r="AT626" s="34">
        <v>0.04</v>
      </c>
      <c r="AU626" s="34">
        <v>0</v>
      </c>
      <c r="AV626" s="34">
        <v>3.3932135728542916E-2</v>
      </c>
      <c r="AW626" s="10"/>
      <c r="AX626" s="8"/>
    </row>
    <row r="627" spans="1:50">
      <c r="A627" s="7"/>
      <c r="B627" s="10"/>
      <c r="C627" s="45" t="s">
        <v>396</v>
      </c>
      <c r="D627" s="23" t="s">
        <v>19</v>
      </c>
      <c r="E627" s="46" t="s">
        <v>673</v>
      </c>
      <c r="F627" s="46" t="s">
        <v>673</v>
      </c>
      <c r="G627" s="46" t="s">
        <v>673</v>
      </c>
      <c r="H627" s="46" t="s">
        <v>673</v>
      </c>
      <c r="I627" s="25">
        <v>0.9</v>
      </c>
      <c r="J627" s="26">
        <v>0.97368421052631582</v>
      </c>
      <c r="K627" s="26">
        <v>1</v>
      </c>
      <c r="L627" s="27">
        <v>0.93023255813953487</v>
      </c>
      <c r="M627" s="26">
        <v>0.9668674698795181</v>
      </c>
      <c r="N627" s="28">
        <v>0.9</v>
      </c>
      <c r="O627" s="26">
        <v>0.96323529411764708</v>
      </c>
      <c r="P627" s="26">
        <v>0.98890479599141012</v>
      </c>
      <c r="Q627" s="26">
        <v>0.97124887690925432</v>
      </c>
      <c r="R627" s="26">
        <v>0.97814577950955062</v>
      </c>
      <c r="S627" s="28">
        <v>0.9</v>
      </c>
      <c r="T627" s="26">
        <v>0.95934256055363321</v>
      </c>
      <c r="U627" s="26">
        <v>0.95382963493199713</v>
      </c>
      <c r="V627" s="26">
        <v>0.94489368074273739</v>
      </c>
      <c r="W627" s="26">
        <v>0.95468213968065729</v>
      </c>
      <c r="X627" s="28">
        <v>0.92</v>
      </c>
      <c r="Y627" s="28">
        <v>0.96737683089214377</v>
      </c>
      <c r="Z627" s="28">
        <v>0.97017045454545459</v>
      </c>
      <c r="AA627" s="28">
        <v>0.98495748855461085</v>
      </c>
      <c r="AB627" s="28">
        <v>0.97409621406205527</v>
      </c>
      <c r="AC627" s="28">
        <v>0.92</v>
      </c>
      <c r="AD627" s="26">
        <v>0.99349240780911063</v>
      </c>
      <c r="AE627" s="26">
        <v>0.99534161490683226</v>
      </c>
      <c r="AF627" s="26">
        <v>0.99866310160427807</v>
      </c>
      <c r="AG627" s="26">
        <v>0.98640000000000005</v>
      </c>
      <c r="AH627" s="28">
        <v>0.92</v>
      </c>
      <c r="AI627" s="26">
        <v>0.97771952817824381</v>
      </c>
      <c r="AJ627" s="26">
        <v>0.98119942884340794</v>
      </c>
      <c r="AK627" s="26">
        <v>0.98952341824157763</v>
      </c>
      <c r="AL627" s="26">
        <v>0.9856540578522075</v>
      </c>
      <c r="AM627" s="25">
        <v>0.99</v>
      </c>
      <c r="AN627" s="30">
        <v>1</v>
      </c>
      <c r="AO627" s="30">
        <v>1</v>
      </c>
      <c r="AP627" s="30">
        <v>1</v>
      </c>
      <c r="AQ627" s="30">
        <v>1</v>
      </c>
      <c r="AR627" s="50">
        <v>0.05</v>
      </c>
      <c r="AS627" s="34">
        <v>8.3333333333333329E-2</v>
      </c>
      <c r="AT627" s="34">
        <v>5.8823529411764705E-2</v>
      </c>
      <c r="AU627" s="34">
        <v>5.8823529411764705E-2</v>
      </c>
      <c r="AV627" s="34">
        <v>4.3478260869565216E-2</v>
      </c>
      <c r="AW627" s="10"/>
      <c r="AX627" s="8"/>
    </row>
    <row r="628" spans="1:50">
      <c r="A628" s="7"/>
      <c r="B628" s="10"/>
      <c r="C628" s="45" t="s">
        <v>396</v>
      </c>
      <c r="D628" s="23" t="s">
        <v>19</v>
      </c>
      <c r="E628" s="46" t="s">
        <v>674</v>
      </c>
      <c r="F628" s="46" t="s">
        <v>674</v>
      </c>
      <c r="G628" s="46" t="s">
        <v>674</v>
      </c>
      <c r="H628" s="46" t="s">
        <v>674</v>
      </c>
      <c r="I628" s="25">
        <v>0.9</v>
      </c>
      <c r="J628" s="26">
        <v>0.89583333333333337</v>
      </c>
      <c r="K628" s="26">
        <v>0.93069306930693074</v>
      </c>
      <c r="L628" s="27">
        <v>0.91588785046728971</v>
      </c>
      <c r="M628" s="26">
        <v>0.90186335403726703</v>
      </c>
      <c r="N628" s="28">
        <v>0.9</v>
      </c>
      <c r="O628" s="26">
        <v>0.9719626168224299</v>
      </c>
      <c r="P628" s="26">
        <v>0.98124644819094531</v>
      </c>
      <c r="Q628" s="26">
        <v>0.97558964209137389</v>
      </c>
      <c r="R628" s="26">
        <v>0.96987309010829337</v>
      </c>
      <c r="S628" s="28">
        <v>0.9</v>
      </c>
      <c r="T628" s="26">
        <v>0.81407834559554582</v>
      </c>
      <c r="U628" s="26">
        <v>0.78367114983898467</v>
      </c>
      <c r="V628" s="26">
        <v>0.78327560613557645</v>
      </c>
      <c r="W628" s="26">
        <v>0.78016664017980797</v>
      </c>
      <c r="X628" s="28">
        <v>0.92</v>
      </c>
      <c r="Y628" s="28">
        <v>0.94427823485415108</v>
      </c>
      <c r="Z628" s="28">
        <v>0.95009900990099005</v>
      </c>
      <c r="AA628" s="28">
        <v>0.93041606886657102</v>
      </c>
      <c r="AB628" s="28">
        <v>0.9396605581007913</v>
      </c>
      <c r="AC628" s="28">
        <v>0.92</v>
      </c>
      <c r="AD628" s="26">
        <v>0.99918300653594772</v>
      </c>
      <c r="AE628" s="26">
        <v>0.99810695693327023</v>
      </c>
      <c r="AF628" s="26">
        <v>0.99897645854657113</v>
      </c>
      <c r="AG628" s="26">
        <v>0.99855968313028864</v>
      </c>
      <c r="AH628" s="28">
        <v>0.92</v>
      </c>
      <c r="AI628" s="26">
        <v>0.96274178891341033</v>
      </c>
      <c r="AJ628" s="26">
        <v>0.9705279343926192</v>
      </c>
      <c r="AK628" s="26">
        <v>0.96272028920018071</v>
      </c>
      <c r="AL628" s="26">
        <v>0.9672789352217761</v>
      </c>
      <c r="AM628" s="25">
        <v>0.99</v>
      </c>
      <c r="AN628" s="30">
        <v>1</v>
      </c>
      <c r="AO628" s="30">
        <v>1</v>
      </c>
      <c r="AP628" s="30">
        <v>1</v>
      </c>
      <c r="AQ628" s="30">
        <v>1</v>
      </c>
      <c r="AR628" s="50">
        <v>0.05</v>
      </c>
      <c r="AS628" s="34">
        <v>4.1666666666666664E-2</v>
      </c>
      <c r="AT628" s="34">
        <v>0.125</v>
      </c>
      <c r="AU628" s="34">
        <v>0.125</v>
      </c>
      <c r="AV628" s="34">
        <v>8.5227272727272721E-2</v>
      </c>
      <c r="AW628" s="10"/>
      <c r="AX628" s="8"/>
    </row>
    <row r="629" spans="1:50">
      <c r="A629" s="7"/>
      <c r="B629" s="10"/>
      <c r="C629" s="45" t="s">
        <v>396</v>
      </c>
      <c r="D629" s="23" t="s">
        <v>19</v>
      </c>
      <c r="E629" s="46" t="s">
        <v>675</v>
      </c>
      <c r="F629" s="46" t="s">
        <v>675</v>
      </c>
      <c r="G629" s="46" t="s">
        <v>675</v>
      </c>
      <c r="H629" s="46" t="s">
        <v>675</v>
      </c>
      <c r="I629" s="25">
        <v>0.9</v>
      </c>
      <c r="J629" s="26">
        <v>0.77027027027027029</v>
      </c>
      <c r="K629" s="26">
        <v>0.77777777777777779</v>
      </c>
      <c r="L629" s="27">
        <v>0.73684210526315785</v>
      </c>
      <c r="M629" s="26">
        <v>0.78524590163934427</v>
      </c>
      <c r="N629" s="28">
        <v>0.9</v>
      </c>
      <c r="O629" s="26">
        <v>0.9136898616559983</v>
      </c>
      <c r="P629" s="26">
        <v>0.9518840579710145</v>
      </c>
      <c r="Q629" s="26">
        <v>0.90900131406044682</v>
      </c>
      <c r="R629" s="26">
        <v>0.90231612038278397</v>
      </c>
      <c r="S629" s="28">
        <v>0.9</v>
      </c>
      <c r="T629" s="26">
        <v>0.6458806524881272</v>
      </c>
      <c r="U629" s="26">
        <v>0.61178743961352655</v>
      </c>
      <c r="V629" s="26">
        <v>0.59214848883048621</v>
      </c>
      <c r="W629" s="26">
        <v>0.57100919975960429</v>
      </c>
      <c r="X629" s="28">
        <v>0.92</v>
      </c>
      <c r="Y629" s="28">
        <v>0.834941050375134</v>
      </c>
      <c r="Z629" s="28">
        <v>0.87890487890487889</v>
      </c>
      <c r="AA629" s="28">
        <v>0.83799068529607457</v>
      </c>
      <c r="AB629" s="28">
        <v>0.84508388700348935</v>
      </c>
      <c r="AC629" s="28">
        <v>0.92</v>
      </c>
      <c r="AD629" s="26">
        <v>0.99905888679752619</v>
      </c>
      <c r="AE629" s="26">
        <v>0.95795515216230642</v>
      </c>
      <c r="AF629" s="26">
        <v>0.99854248651800026</v>
      </c>
      <c r="AG629" s="26">
        <v>0.97323558905909613</v>
      </c>
      <c r="AH629" s="28">
        <v>0.92</v>
      </c>
      <c r="AI629" s="26">
        <v>0.88537032190526044</v>
      </c>
      <c r="AJ629" s="26">
        <v>0.91861914257228316</v>
      </c>
      <c r="AK629" s="26">
        <v>0.89819700967458227</v>
      </c>
      <c r="AL629" s="26">
        <v>0.90051409876927868</v>
      </c>
      <c r="AM629" s="25">
        <v>0.99</v>
      </c>
      <c r="AN629" s="30">
        <v>1</v>
      </c>
      <c r="AO629" s="30">
        <v>1</v>
      </c>
      <c r="AP629" s="30">
        <v>1</v>
      </c>
      <c r="AQ629" s="30">
        <v>1</v>
      </c>
      <c r="AR629" s="50">
        <v>0.05</v>
      </c>
      <c r="AS629" s="34">
        <v>5.1948051948051951E-2</v>
      </c>
      <c r="AT629" s="34">
        <v>1.8867924528301886E-2</v>
      </c>
      <c r="AU629" s="34">
        <v>1.6949152542372881E-2</v>
      </c>
      <c r="AV629" s="34">
        <v>2.2756005056890013E-2</v>
      </c>
      <c r="AW629" s="10"/>
      <c r="AX629" s="8"/>
    </row>
    <row r="630" spans="1:50">
      <c r="A630" s="7"/>
      <c r="B630" s="10"/>
      <c r="C630" s="45" t="s">
        <v>396</v>
      </c>
      <c r="D630" s="23" t="s">
        <v>19</v>
      </c>
      <c r="E630" s="46" t="s">
        <v>676</v>
      </c>
      <c r="F630" s="46" t="s">
        <v>676</v>
      </c>
      <c r="G630" s="46" t="s">
        <v>676</v>
      </c>
      <c r="H630" s="46" t="s">
        <v>676</v>
      </c>
      <c r="I630" s="25">
        <v>0.9</v>
      </c>
      <c r="J630" s="26">
        <v>0.8</v>
      </c>
      <c r="K630" s="26">
        <v>0.82089552238805974</v>
      </c>
      <c r="L630" s="27">
        <v>0.8571428571428571</v>
      </c>
      <c r="M630" s="26">
        <v>0.82003710575139144</v>
      </c>
      <c r="N630" s="28">
        <v>0.9</v>
      </c>
      <c r="O630" s="26">
        <v>0.6608893557422969</v>
      </c>
      <c r="P630" s="26">
        <v>0.9583521955636034</v>
      </c>
      <c r="Q630" s="26">
        <v>0.97520661157024791</v>
      </c>
      <c r="R630" s="26">
        <v>0.92208242950108454</v>
      </c>
      <c r="S630" s="28">
        <v>0.9</v>
      </c>
      <c r="T630" s="26">
        <v>0.82563025210084029</v>
      </c>
      <c r="U630" s="26">
        <v>0.73381620642824807</v>
      </c>
      <c r="V630" s="26">
        <v>0.72706081796990885</v>
      </c>
      <c r="W630" s="26">
        <v>0.75083152566883582</v>
      </c>
      <c r="X630" s="28">
        <v>0.92</v>
      </c>
      <c r="Y630" s="28">
        <v>0.91264786169244771</v>
      </c>
      <c r="Z630" s="28">
        <v>0.91998106060606055</v>
      </c>
      <c r="AA630" s="28">
        <v>0.94155844155844159</v>
      </c>
      <c r="AB630" s="28">
        <v>0.92512769403263984</v>
      </c>
      <c r="AC630" s="28">
        <v>0.92</v>
      </c>
      <c r="AD630" s="26">
        <v>0.9957753916563985</v>
      </c>
      <c r="AE630" s="26">
        <v>0.99466589079623702</v>
      </c>
      <c r="AF630" s="26">
        <v>0.99497265831716353</v>
      </c>
      <c r="AG630" s="26">
        <v>0.97517980380971558</v>
      </c>
      <c r="AH630" s="28">
        <v>0.92</v>
      </c>
      <c r="AI630" s="26">
        <v>0.94454269833249116</v>
      </c>
      <c r="AJ630" s="26">
        <v>0.93687861271676298</v>
      </c>
      <c r="AK630" s="26">
        <v>0.96714082503556187</v>
      </c>
      <c r="AL630" s="26">
        <v>0.95411739156186448</v>
      </c>
      <c r="AM630" s="25">
        <v>0.99</v>
      </c>
      <c r="AN630" s="30">
        <v>1</v>
      </c>
      <c r="AO630" s="30">
        <v>1</v>
      </c>
      <c r="AP630" s="30">
        <v>1</v>
      </c>
      <c r="AQ630" s="30">
        <v>1</v>
      </c>
      <c r="AR630" s="50">
        <v>0.05</v>
      </c>
      <c r="AS630" s="34">
        <v>0.1111111111111111</v>
      </c>
      <c r="AT630" s="34">
        <v>3.125E-2</v>
      </c>
      <c r="AU630" s="34">
        <v>0.11764705882352941</v>
      </c>
      <c r="AV630" s="34">
        <v>7.6086956521739135E-2</v>
      </c>
      <c r="AW630" s="10"/>
      <c r="AX630" s="8"/>
    </row>
    <row r="631" spans="1:50">
      <c r="A631" s="7"/>
      <c r="B631" s="10"/>
      <c r="C631" s="45" t="s">
        <v>396</v>
      </c>
      <c r="D631" s="23" t="s">
        <v>19</v>
      </c>
      <c r="E631" s="46" t="s">
        <v>677</v>
      </c>
      <c r="F631" s="46" t="s">
        <v>677</v>
      </c>
      <c r="G631" s="46" t="s">
        <v>677</v>
      </c>
      <c r="H631" s="46" t="s">
        <v>677</v>
      </c>
      <c r="I631" s="25">
        <v>0.9</v>
      </c>
      <c r="J631" s="26">
        <v>0.94805194805194803</v>
      </c>
      <c r="K631" s="26">
        <v>0.93506493506493504</v>
      </c>
      <c r="L631" s="27">
        <v>0.92500000000000004</v>
      </c>
      <c r="M631" s="26">
        <v>0.9278688524590164</v>
      </c>
      <c r="N631" s="28">
        <v>0.9</v>
      </c>
      <c r="O631" s="26">
        <v>0.97709780364182464</v>
      </c>
      <c r="P631" s="26">
        <v>0.97814498933901917</v>
      </c>
      <c r="Q631" s="26">
        <v>0.94774666866297352</v>
      </c>
      <c r="R631" s="26">
        <v>0.9027342187795997</v>
      </c>
      <c r="S631" s="28">
        <v>0.9</v>
      </c>
      <c r="T631" s="26">
        <v>0.89487516425755587</v>
      </c>
      <c r="U631" s="26">
        <v>0.89552238805970152</v>
      </c>
      <c r="V631" s="26">
        <v>0.88022159005839196</v>
      </c>
      <c r="W631" s="26">
        <v>0.8500494643120251</v>
      </c>
      <c r="X631" s="28">
        <v>0.92</v>
      </c>
      <c r="Y631" s="28">
        <v>0.93841747225205874</v>
      </c>
      <c r="Z631" s="28">
        <v>0.95386904761904767</v>
      </c>
      <c r="AA631" s="28">
        <v>0.92816948030453494</v>
      </c>
      <c r="AB631" s="28">
        <v>0.93844445517307973</v>
      </c>
      <c r="AC631" s="28">
        <v>0.92</v>
      </c>
      <c r="AD631" s="26">
        <v>0.99661819411565777</v>
      </c>
      <c r="AE631" s="26">
        <v>0.99385474860335199</v>
      </c>
      <c r="AF631" s="26">
        <v>0.99378495960223745</v>
      </c>
      <c r="AG631" s="26">
        <v>0.99388460515820265</v>
      </c>
      <c r="AH631" s="28">
        <v>0.92</v>
      </c>
      <c r="AI631" s="26">
        <v>0.96465952468907767</v>
      </c>
      <c r="AJ631" s="26">
        <v>0.97438672438672436</v>
      </c>
      <c r="AK631" s="26">
        <v>0.96361574933003502</v>
      </c>
      <c r="AL631" s="26">
        <v>0.96895930121788576</v>
      </c>
      <c r="AM631" s="25">
        <v>0.99</v>
      </c>
      <c r="AN631" s="30">
        <v>1</v>
      </c>
      <c r="AO631" s="30">
        <v>1</v>
      </c>
      <c r="AP631" s="30">
        <v>1</v>
      </c>
      <c r="AQ631" s="30">
        <v>1</v>
      </c>
      <c r="AR631" s="50">
        <v>0.05</v>
      </c>
      <c r="AS631" s="34">
        <v>0.04</v>
      </c>
      <c r="AT631" s="34">
        <v>0</v>
      </c>
      <c r="AU631" s="34">
        <v>7.6923076923076927E-2</v>
      </c>
      <c r="AV631" s="34">
        <v>5.6074766355140186E-2</v>
      </c>
      <c r="AW631" s="10"/>
      <c r="AX631" s="8"/>
    </row>
    <row r="632" spans="1:50">
      <c r="A632" s="7"/>
      <c r="B632" s="10"/>
      <c r="C632" s="45" t="s">
        <v>396</v>
      </c>
      <c r="D632" s="23" t="s">
        <v>19</v>
      </c>
      <c r="E632" s="46" t="s">
        <v>678</v>
      </c>
      <c r="F632" s="46" t="s">
        <v>678</v>
      </c>
      <c r="G632" s="46" t="s">
        <v>678</v>
      </c>
      <c r="H632" s="46" t="s">
        <v>678</v>
      </c>
      <c r="I632" s="25">
        <v>0.9</v>
      </c>
      <c r="J632" s="26">
        <v>0.97368421052631582</v>
      </c>
      <c r="K632" s="26">
        <v>0.97560975609756095</v>
      </c>
      <c r="L632" s="27">
        <v>1</v>
      </c>
      <c r="M632" s="26">
        <v>0.99047619047619051</v>
      </c>
      <c r="N632" s="28">
        <v>0.9</v>
      </c>
      <c r="O632" s="26">
        <v>0.984489444205084</v>
      </c>
      <c r="P632" s="26">
        <v>0.9933749025720966</v>
      </c>
      <c r="Q632" s="26">
        <v>0.989247311827957</v>
      </c>
      <c r="R632" s="26">
        <v>0.98885833491371133</v>
      </c>
      <c r="S632" s="28">
        <v>0.9</v>
      </c>
      <c r="T632" s="26">
        <v>0.96423955191727706</v>
      </c>
      <c r="U632" s="26">
        <v>0.96024941543257991</v>
      </c>
      <c r="V632" s="26">
        <v>0.95629552549427677</v>
      </c>
      <c r="W632" s="26">
        <v>0.96055376446045893</v>
      </c>
      <c r="X632" s="28">
        <v>0.92</v>
      </c>
      <c r="Y632" s="28">
        <v>0.97056545313710307</v>
      </c>
      <c r="Z632" s="28">
        <v>0.96821305841924399</v>
      </c>
      <c r="AA632" s="28">
        <v>0.98102766798418972</v>
      </c>
      <c r="AB632" s="28">
        <v>0.97187813860060257</v>
      </c>
      <c r="AC632" s="28">
        <v>0.92</v>
      </c>
      <c r="AD632" s="26">
        <v>0.99367088607594933</v>
      </c>
      <c r="AE632" s="26">
        <v>0.99456521739130432</v>
      </c>
      <c r="AF632" s="26">
        <v>0.9880239520958084</v>
      </c>
      <c r="AG632" s="26">
        <v>0.98666666666666669</v>
      </c>
      <c r="AH632" s="28">
        <v>0.92</v>
      </c>
      <c r="AI632" s="26">
        <v>0.97951840575698867</v>
      </c>
      <c r="AJ632" s="26">
        <v>0.98445456982042345</v>
      </c>
      <c r="AK632" s="26">
        <v>0.99180327868852458</v>
      </c>
      <c r="AL632" s="26">
        <v>0.98519430396593022</v>
      </c>
      <c r="AM632" s="25">
        <v>0.99</v>
      </c>
      <c r="AN632" s="30">
        <v>1</v>
      </c>
      <c r="AO632" s="30">
        <v>1</v>
      </c>
      <c r="AP632" s="30">
        <v>1</v>
      </c>
      <c r="AQ632" s="30">
        <v>1</v>
      </c>
      <c r="AR632" s="50">
        <v>0.05</v>
      </c>
      <c r="AS632" s="34">
        <v>0</v>
      </c>
      <c r="AT632" s="34">
        <v>0</v>
      </c>
      <c r="AU632" s="34">
        <v>0</v>
      </c>
      <c r="AV632" s="34">
        <v>3.5714285714285712E-2</v>
      </c>
      <c r="AW632" s="10"/>
      <c r="AX632" s="8"/>
    </row>
    <row r="633" spans="1:50">
      <c r="A633" s="7"/>
      <c r="B633" s="10"/>
      <c r="C633" s="45" t="s">
        <v>396</v>
      </c>
      <c r="D633" s="23" t="s">
        <v>19</v>
      </c>
      <c r="E633" s="46" t="s">
        <v>679</v>
      </c>
      <c r="F633" s="46" t="s">
        <v>679</v>
      </c>
      <c r="G633" s="46" t="s">
        <v>679</v>
      </c>
      <c r="H633" s="46" t="s">
        <v>679</v>
      </c>
      <c r="I633" s="25">
        <v>0.9</v>
      </c>
      <c r="J633" s="26">
        <v>0.76923076923076927</v>
      </c>
      <c r="K633" s="26">
        <v>0.77083333333333337</v>
      </c>
      <c r="L633" s="27">
        <v>0.81818181818181823</v>
      </c>
      <c r="M633" s="26">
        <v>0.77732793522267207</v>
      </c>
      <c r="N633" s="28">
        <v>0.9</v>
      </c>
      <c r="O633" s="26">
        <v>0.96642041638683684</v>
      </c>
      <c r="P633" s="26">
        <v>0.96182345360824739</v>
      </c>
      <c r="Q633" s="26">
        <v>0.98772413793103453</v>
      </c>
      <c r="R633" s="26">
        <v>0.97546861956439246</v>
      </c>
      <c r="S633" s="28">
        <v>0.9</v>
      </c>
      <c r="T633" s="26">
        <v>0.72028206850235055</v>
      </c>
      <c r="U633" s="26">
        <v>0.73179768041237114</v>
      </c>
      <c r="V633" s="26">
        <v>0.71917241379310348</v>
      </c>
      <c r="W633" s="26">
        <v>0.70256887000075885</v>
      </c>
      <c r="X633" s="28">
        <v>0.92</v>
      </c>
      <c r="Y633" s="28">
        <v>0.82635709614126884</v>
      </c>
      <c r="Z633" s="28">
        <v>0.91160773849232823</v>
      </c>
      <c r="AA633" s="28">
        <v>0.91216635630043452</v>
      </c>
      <c r="AB633" s="28">
        <v>0.88560416940393294</v>
      </c>
      <c r="AC633" s="28">
        <v>0.92</v>
      </c>
      <c r="AD633" s="26">
        <v>1</v>
      </c>
      <c r="AE633" s="26">
        <v>0.99798994974874367</v>
      </c>
      <c r="AF633" s="26">
        <v>0.99022482893450636</v>
      </c>
      <c r="AG633" s="26">
        <v>0.9950649350649351</v>
      </c>
      <c r="AH633" s="28">
        <v>0.92</v>
      </c>
      <c r="AI633" s="26">
        <v>0.90937326677759289</v>
      </c>
      <c r="AJ633" s="26">
        <v>0.95807082337605909</v>
      </c>
      <c r="AK633" s="26">
        <v>0.96189839572192515</v>
      </c>
      <c r="AL633" s="26">
        <v>0.94980873846805469</v>
      </c>
      <c r="AM633" s="25">
        <v>0.99</v>
      </c>
      <c r="AN633" s="30">
        <v>1</v>
      </c>
      <c r="AO633" s="30">
        <v>1</v>
      </c>
      <c r="AP633" s="30">
        <v>1</v>
      </c>
      <c r="AQ633" s="30">
        <v>1</v>
      </c>
      <c r="AR633" s="50">
        <v>0.05</v>
      </c>
      <c r="AS633" s="34">
        <v>0</v>
      </c>
      <c r="AT633" s="34">
        <v>3.5714285714285712E-2</v>
      </c>
      <c r="AU633" s="34">
        <v>0.3</v>
      </c>
      <c r="AV633" s="34">
        <v>9.7087378640776698E-2</v>
      </c>
      <c r="AW633" s="10"/>
      <c r="AX633" s="8"/>
    </row>
    <row r="634" spans="1:50">
      <c r="A634" s="7"/>
      <c r="B634" s="10"/>
      <c r="C634" s="45" t="s">
        <v>396</v>
      </c>
      <c r="D634" s="23" t="s">
        <v>19</v>
      </c>
      <c r="E634" s="46" t="s">
        <v>680</v>
      </c>
      <c r="F634" s="46" t="s">
        <v>680</v>
      </c>
      <c r="G634" s="46" t="s">
        <v>680</v>
      </c>
      <c r="H634" s="46" t="s">
        <v>680</v>
      </c>
      <c r="I634" s="25">
        <v>0.9</v>
      </c>
      <c r="J634" s="26">
        <v>0.72727272727272729</v>
      </c>
      <c r="K634" s="26">
        <v>0.70833333333333337</v>
      </c>
      <c r="L634" s="27">
        <v>0.72340425531914898</v>
      </c>
      <c r="M634" s="26">
        <v>0.72451790633608815</v>
      </c>
      <c r="N634" s="28">
        <v>0.9</v>
      </c>
      <c r="O634" s="26">
        <v>0.91236749116607774</v>
      </c>
      <c r="P634" s="26">
        <v>0.97069476457029968</v>
      </c>
      <c r="Q634" s="26">
        <v>0.98986596927100357</v>
      </c>
      <c r="R634" s="26">
        <v>0.89738430583501005</v>
      </c>
      <c r="S634" s="28">
        <v>0.9</v>
      </c>
      <c r="T634" s="26">
        <v>0.55618374558303885</v>
      </c>
      <c r="U634" s="26">
        <v>0.62199539018768524</v>
      </c>
      <c r="V634" s="26">
        <v>0.52566198103955541</v>
      </c>
      <c r="W634" s="26">
        <v>0.52873239436619723</v>
      </c>
      <c r="X634" s="28">
        <v>0.92</v>
      </c>
      <c r="Y634" s="28">
        <v>0.82474226804123707</v>
      </c>
      <c r="Z634" s="28">
        <v>0.93983739837398372</v>
      </c>
      <c r="AA634" s="28">
        <v>0.93524096385542166</v>
      </c>
      <c r="AB634" s="28">
        <v>0.8621348911311737</v>
      </c>
      <c r="AC634" s="28">
        <v>0.92</v>
      </c>
      <c r="AD634" s="26">
        <v>0.99554069119286515</v>
      </c>
      <c r="AE634" s="26">
        <v>0.99894403379091867</v>
      </c>
      <c r="AF634" s="26">
        <v>0.99271844660194175</v>
      </c>
      <c r="AG634" s="26">
        <v>0.99555687203791465</v>
      </c>
      <c r="AH634" s="28">
        <v>0.92</v>
      </c>
      <c r="AI634" s="26">
        <v>0.85274463007159906</v>
      </c>
      <c r="AJ634" s="26">
        <v>0.92900656044985941</v>
      </c>
      <c r="AK634" s="26">
        <v>0.93457943925233644</v>
      </c>
      <c r="AL634" s="26">
        <v>0.90634300052517947</v>
      </c>
      <c r="AM634" s="25">
        <v>0.99</v>
      </c>
      <c r="AN634" s="30">
        <v>1</v>
      </c>
      <c r="AO634" s="30">
        <v>1</v>
      </c>
      <c r="AP634" s="30">
        <v>1</v>
      </c>
      <c r="AQ634" s="30">
        <v>1</v>
      </c>
      <c r="AR634" s="50">
        <v>0.05</v>
      </c>
      <c r="AS634" s="34">
        <v>0</v>
      </c>
      <c r="AT634" s="34">
        <v>6.25E-2</v>
      </c>
      <c r="AU634" s="34">
        <v>0</v>
      </c>
      <c r="AV634" s="34">
        <v>5.3030303030303032E-2</v>
      </c>
      <c r="AW634" s="10"/>
      <c r="AX634" s="8"/>
    </row>
    <row r="635" spans="1:50">
      <c r="A635" s="7"/>
      <c r="B635" s="10"/>
      <c r="C635" s="45" t="s">
        <v>396</v>
      </c>
      <c r="D635" s="23" t="s">
        <v>19</v>
      </c>
      <c r="E635" s="46" t="s">
        <v>681</v>
      </c>
      <c r="F635" s="46" t="s">
        <v>681</v>
      </c>
      <c r="G635" s="46" t="s">
        <v>681</v>
      </c>
      <c r="H635" s="46" t="s">
        <v>681</v>
      </c>
      <c r="I635" s="25">
        <v>0.9</v>
      </c>
      <c r="J635" s="26">
        <v>0.921875</v>
      </c>
      <c r="K635" s="26">
        <v>0.91666666666666663</v>
      </c>
      <c r="L635" s="27">
        <v>0.9726027397260274</v>
      </c>
      <c r="M635" s="26">
        <v>0.92459605026929981</v>
      </c>
      <c r="N635" s="28">
        <v>0.9</v>
      </c>
      <c r="O635" s="26">
        <v>0.88592152983844374</v>
      </c>
      <c r="P635" s="26">
        <v>0.87394120577977075</v>
      </c>
      <c r="Q635" s="26">
        <v>0.98551539867810434</v>
      </c>
      <c r="R635" s="26">
        <v>0.95354928167006892</v>
      </c>
      <c r="S635" s="28">
        <v>0.9</v>
      </c>
      <c r="T635" s="26">
        <v>0.85492911308935049</v>
      </c>
      <c r="U635" s="26">
        <v>0.83856502242152464</v>
      </c>
      <c r="V635" s="26">
        <v>0.86401350021094081</v>
      </c>
      <c r="W635" s="26">
        <v>0.8887070061240997</v>
      </c>
      <c r="X635" s="28">
        <v>0.92</v>
      </c>
      <c r="Y635" s="28">
        <v>0.75293350717079532</v>
      </c>
      <c r="Z635" s="28">
        <v>0.66243194192377497</v>
      </c>
      <c r="AA635" s="28">
        <v>0.74482570806100223</v>
      </c>
      <c r="AB635" s="28">
        <v>0.77549426610218253</v>
      </c>
      <c r="AC635" s="28">
        <v>0.92</v>
      </c>
      <c r="AD635" s="26">
        <v>0.9964993394980185</v>
      </c>
      <c r="AE635" s="26">
        <v>0.96600877192982459</v>
      </c>
      <c r="AF635" s="26">
        <v>0.97105069801616462</v>
      </c>
      <c r="AG635" s="26">
        <v>0.9796312718786464</v>
      </c>
      <c r="AH635" s="28">
        <v>0.92</v>
      </c>
      <c r="AI635" s="26">
        <v>0.85096837728416674</v>
      </c>
      <c r="AJ635" s="26">
        <v>0.83331546789580879</v>
      </c>
      <c r="AK635" s="26">
        <v>0.85449318371510707</v>
      </c>
      <c r="AL635" s="26">
        <v>0.88561988672120828</v>
      </c>
      <c r="AM635" s="25">
        <v>0.99</v>
      </c>
      <c r="AN635" s="30">
        <v>1</v>
      </c>
      <c r="AO635" s="30">
        <v>1</v>
      </c>
      <c r="AP635" s="30">
        <v>1</v>
      </c>
      <c r="AQ635" s="30">
        <v>1</v>
      </c>
      <c r="AR635" s="50">
        <v>0.05</v>
      </c>
      <c r="AS635" s="34">
        <v>7.6142131979695434E-3</v>
      </c>
      <c r="AT635" s="34">
        <v>0</v>
      </c>
      <c r="AU635" s="34">
        <v>2.4752475247524753E-3</v>
      </c>
      <c r="AV635" s="34">
        <v>4.9209138840070298E-3</v>
      </c>
      <c r="AW635" s="10"/>
      <c r="AX635" s="8"/>
    </row>
    <row r="636" spans="1:50">
      <c r="A636" s="7"/>
      <c r="B636" s="10"/>
      <c r="C636" s="45" t="s">
        <v>396</v>
      </c>
      <c r="D636" s="23" t="s">
        <v>19</v>
      </c>
      <c r="E636" s="46" t="s">
        <v>682</v>
      </c>
      <c r="F636" s="46" t="s">
        <v>682</v>
      </c>
      <c r="G636" s="46" t="s">
        <v>682</v>
      </c>
      <c r="H636" s="46" t="s">
        <v>682</v>
      </c>
      <c r="I636" s="25">
        <v>0.9</v>
      </c>
      <c r="J636" s="26">
        <v>0.88764044943820219</v>
      </c>
      <c r="K636" s="26">
        <v>0.8666666666666667</v>
      </c>
      <c r="L636" s="27">
        <v>0.89583333333333337</v>
      </c>
      <c r="M636" s="26">
        <v>0.91816920943134539</v>
      </c>
      <c r="N636" s="28">
        <v>0.9</v>
      </c>
      <c r="O636" s="26">
        <v>0.98735362997658083</v>
      </c>
      <c r="P636" s="26">
        <v>0.98844472204871958</v>
      </c>
      <c r="Q636" s="26">
        <v>0.97729083665338645</v>
      </c>
      <c r="R636" s="26">
        <v>0.96360233323036104</v>
      </c>
      <c r="S636" s="28">
        <v>0.9</v>
      </c>
      <c r="T636" s="26">
        <v>0.87775175644028103</v>
      </c>
      <c r="U636" s="26">
        <v>0.8911617738913179</v>
      </c>
      <c r="V636" s="26">
        <v>0.89229747675962812</v>
      </c>
      <c r="W636" s="26">
        <v>0.88911704312114992</v>
      </c>
      <c r="X636" s="28">
        <v>0.92</v>
      </c>
      <c r="Y636" s="28">
        <v>0.83462686567164179</v>
      </c>
      <c r="Z636" s="28">
        <v>0.8444187391555813</v>
      </c>
      <c r="AA636" s="28">
        <v>0.8559593800106895</v>
      </c>
      <c r="AB636" s="28">
        <v>0.82908303817394724</v>
      </c>
      <c r="AC636" s="28">
        <v>0.92</v>
      </c>
      <c r="AD636" s="26">
        <v>0.99968681490761035</v>
      </c>
      <c r="AE636" s="26">
        <v>0.99916736053288924</v>
      </c>
      <c r="AF636" s="26">
        <v>0.9990844167734847</v>
      </c>
      <c r="AG636" s="26">
        <v>0.99890765298319972</v>
      </c>
      <c r="AH636" s="28">
        <v>0.92</v>
      </c>
      <c r="AI636" s="26">
        <v>0.9128830583171057</v>
      </c>
      <c r="AJ636" s="26">
        <v>0.91899016526411847</v>
      </c>
      <c r="AK636" s="26">
        <v>0.92362281557704251</v>
      </c>
      <c r="AL636" s="26">
        <v>0.91377081779766345</v>
      </c>
      <c r="AM636" s="25">
        <v>0.99</v>
      </c>
      <c r="AN636" s="30">
        <v>1</v>
      </c>
      <c r="AO636" s="30">
        <v>1</v>
      </c>
      <c r="AP636" s="30">
        <v>1</v>
      </c>
      <c r="AQ636" s="30">
        <v>1</v>
      </c>
      <c r="AR636" s="50">
        <v>0.05</v>
      </c>
      <c r="AS636" s="34">
        <v>0.14285714285714285</v>
      </c>
      <c r="AT636" s="34">
        <v>2.564102564102564E-2</v>
      </c>
      <c r="AU636" s="34">
        <v>2.9411764705882353E-2</v>
      </c>
      <c r="AV636" s="34">
        <v>3.4351145038167941E-2</v>
      </c>
      <c r="AW636" s="10"/>
      <c r="AX636" s="8"/>
    </row>
    <row r="637" spans="1:50">
      <c r="A637" s="7"/>
      <c r="B637" s="10"/>
      <c r="C637" s="45" t="s">
        <v>396</v>
      </c>
      <c r="D637" s="23" t="s">
        <v>19</v>
      </c>
      <c r="E637" s="46" t="s">
        <v>683</v>
      </c>
      <c r="F637" s="46" t="s">
        <v>683</v>
      </c>
      <c r="G637" s="46" t="s">
        <v>683</v>
      </c>
      <c r="H637" s="46" t="s">
        <v>683</v>
      </c>
      <c r="I637" s="25">
        <v>0.9</v>
      </c>
      <c r="J637" s="26">
        <v>0.72368421052631582</v>
      </c>
      <c r="K637" s="26">
        <v>0.82278481012658233</v>
      </c>
      <c r="L637" s="27">
        <v>0.81176470588235294</v>
      </c>
      <c r="M637" s="26">
        <v>0.8197767145135566</v>
      </c>
      <c r="N637" s="28">
        <v>0.9</v>
      </c>
      <c r="O637" s="26">
        <v>0.91159657002858308</v>
      </c>
      <c r="P637" s="26">
        <v>0.93735177865612651</v>
      </c>
      <c r="Q637" s="26">
        <v>0.91784118253695424</v>
      </c>
      <c r="R637" s="26">
        <v>0.91159269914634722</v>
      </c>
      <c r="S637" s="28">
        <v>0.9</v>
      </c>
      <c r="T637" s="26">
        <v>0.64148632094732538</v>
      </c>
      <c r="U637" s="26">
        <v>0.6349802371541502</v>
      </c>
      <c r="V637" s="26">
        <v>0.62736335510484698</v>
      </c>
      <c r="W637" s="26">
        <v>0.59083620242418522</v>
      </c>
      <c r="X637" s="28">
        <v>0.92</v>
      </c>
      <c r="Y637" s="28">
        <v>0.85</v>
      </c>
      <c r="Z637" s="28">
        <v>0.8772614402270309</v>
      </c>
      <c r="AA637" s="28">
        <v>0.90816672314469671</v>
      </c>
      <c r="AB637" s="28">
        <v>0.85720588235294115</v>
      </c>
      <c r="AC637" s="28">
        <v>0.92</v>
      </c>
      <c r="AD637" s="26">
        <v>0.99770642201834858</v>
      </c>
      <c r="AE637" s="26">
        <v>0.99475890985324944</v>
      </c>
      <c r="AF637" s="26">
        <v>0.99098449332852512</v>
      </c>
      <c r="AG637" s="26">
        <v>0.99418269482731514</v>
      </c>
      <c r="AH637" s="28">
        <v>0.92</v>
      </c>
      <c r="AI637" s="26">
        <v>0.89228918882801012</v>
      </c>
      <c r="AJ637" s="26">
        <v>0.9268942759233405</v>
      </c>
      <c r="AK637" s="26">
        <v>0.95201185455374449</v>
      </c>
      <c r="AL637" s="26">
        <v>0.92039341757647131</v>
      </c>
      <c r="AM637" s="25">
        <v>0.99</v>
      </c>
      <c r="AN637" s="30">
        <v>1</v>
      </c>
      <c r="AO637" s="30">
        <v>1</v>
      </c>
      <c r="AP637" s="30">
        <v>1</v>
      </c>
      <c r="AQ637" s="30">
        <v>1</v>
      </c>
      <c r="AR637" s="50">
        <v>0.05</v>
      </c>
      <c r="AS637" s="34">
        <v>0.10909090909090909</v>
      </c>
      <c r="AT637" s="34">
        <v>6.25E-2</v>
      </c>
      <c r="AU637" s="34">
        <v>6.7567567567567571E-3</v>
      </c>
      <c r="AV637" s="34">
        <v>2.9476787030213707E-3</v>
      </c>
      <c r="AW637" s="10"/>
      <c r="AX637" s="8"/>
    </row>
    <row r="638" spans="1:50">
      <c r="A638" s="7"/>
      <c r="B638" s="10"/>
      <c r="C638" s="45" t="s">
        <v>396</v>
      </c>
      <c r="D638" s="23" t="s">
        <v>19</v>
      </c>
      <c r="E638" s="46" t="s">
        <v>684</v>
      </c>
      <c r="F638" s="46" t="s">
        <v>684</v>
      </c>
      <c r="G638" s="46" t="s">
        <v>684</v>
      </c>
      <c r="H638" s="46" t="s">
        <v>684</v>
      </c>
      <c r="I638" s="25">
        <v>0.9</v>
      </c>
      <c r="J638" s="26">
        <v>0.41538461538461541</v>
      </c>
      <c r="K638" s="26">
        <v>0.3888888888888889</v>
      </c>
      <c r="L638" s="27">
        <v>0.33823529411764708</v>
      </c>
      <c r="M638" s="26">
        <v>0.40337711069418386</v>
      </c>
      <c r="N638" s="28">
        <v>0.9</v>
      </c>
      <c r="O638" s="26">
        <v>0.41680985108820162</v>
      </c>
      <c r="P638" s="26">
        <v>0.50870165745856355</v>
      </c>
      <c r="Q638" s="26">
        <v>0.40747879722436392</v>
      </c>
      <c r="R638" s="26">
        <v>0.45812027615653461</v>
      </c>
      <c r="S638" s="28">
        <v>0.9</v>
      </c>
      <c r="T638" s="26">
        <v>0.47709049255441011</v>
      </c>
      <c r="U638" s="26">
        <v>0.48439226519337014</v>
      </c>
      <c r="V638" s="26">
        <v>0.40053970701619124</v>
      </c>
      <c r="W638" s="26">
        <v>0.45596818346159806</v>
      </c>
      <c r="X638" s="28">
        <v>0.92</v>
      </c>
      <c r="Y638" s="28">
        <v>0</v>
      </c>
      <c r="Z638" s="28">
        <v>0</v>
      </c>
      <c r="AA638" s="28">
        <v>0</v>
      </c>
      <c r="AB638" s="28">
        <v>0</v>
      </c>
      <c r="AC638" s="28">
        <v>0.92</v>
      </c>
      <c r="AD638" s="26">
        <v>1</v>
      </c>
      <c r="AE638" s="26">
        <v>0.99569583931133432</v>
      </c>
      <c r="AF638" s="26">
        <v>0.99551569506726456</v>
      </c>
      <c r="AG638" s="26">
        <v>0.9950924259774252</v>
      </c>
      <c r="AH638" s="28">
        <v>0.92</v>
      </c>
      <c r="AI638" s="26">
        <v>0.84770484770484766</v>
      </c>
      <c r="AJ638" s="26">
        <v>0.91578075383128543</v>
      </c>
      <c r="AK638" s="26">
        <v>0.86984982672314204</v>
      </c>
      <c r="AL638" s="26">
        <v>0.88517734524239766</v>
      </c>
      <c r="AM638" s="25">
        <v>0.99</v>
      </c>
      <c r="AN638" s="30">
        <v>1</v>
      </c>
      <c r="AO638" s="30">
        <v>1</v>
      </c>
      <c r="AP638" s="30">
        <v>1</v>
      </c>
      <c r="AQ638" s="30">
        <v>1</v>
      </c>
      <c r="AR638" s="50">
        <v>0.05</v>
      </c>
      <c r="AS638" s="34">
        <v>0</v>
      </c>
      <c r="AT638" s="34">
        <v>9.6774193548387094E-2</v>
      </c>
      <c r="AU638" s="34">
        <v>0.08</v>
      </c>
      <c r="AV638" s="34">
        <v>0.08</v>
      </c>
      <c r="AW638" s="10"/>
      <c r="AX638" s="8"/>
    </row>
    <row r="639" spans="1:50">
      <c r="A639" s="7"/>
      <c r="B639" s="10"/>
      <c r="C639" s="45" t="s">
        <v>396</v>
      </c>
      <c r="D639" s="23" t="s">
        <v>19</v>
      </c>
      <c r="E639" s="46" t="s">
        <v>685</v>
      </c>
      <c r="F639" s="46" t="s">
        <v>685</v>
      </c>
      <c r="G639" s="46" t="s">
        <v>685</v>
      </c>
      <c r="H639" s="46" t="s">
        <v>685</v>
      </c>
      <c r="I639" s="25">
        <v>0.9</v>
      </c>
      <c r="J639" s="26">
        <v>0.27027027027027029</v>
      </c>
      <c r="K639" s="26">
        <v>0.21686746987951808</v>
      </c>
      <c r="L639" s="27">
        <v>0.15730337078651685</v>
      </c>
      <c r="M639" s="26">
        <v>0.17115689381933438</v>
      </c>
      <c r="N639" s="28">
        <v>0.9</v>
      </c>
      <c r="O639" s="26">
        <v>0.73579904064630142</v>
      </c>
      <c r="P639" s="26">
        <v>0.68131319435775806</v>
      </c>
      <c r="Q639" s="26">
        <v>0.69007817197835242</v>
      </c>
      <c r="R639" s="26">
        <v>0.46213866861601538</v>
      </c>
      <c r="S639" s="28">
        <v>0.9</v>
      </c>
      <c r="T639" s="26">
        <v>0.70739712193890436</v>
      </c>
      <c r="U639" s="26">
        <v>0.73049556859318432</v>
      </c>
      <c r="V639" s="26">
        <v>0.6643415514131088</v>
      </c>
      <c r="W639" s="26">
        <v>0.66008231760611502</v>
      </c>
      <c r="X639" s="28">
        <v>0.92</v>
      </c>
      <c r="Y639" s="28">
        <v>0.20512820512820512</v>
      </c>
      <c r="Z639" s="28">
        <v>0</v>
      </c>
      <c r="AA639" s="28">
        <v>1</v>
      </c>
      <c r="AB639" s="28">
        <v>0.2857142857142857</v>
      </c>
      <c r="AC639" s="28">
        <v>0.92</v>
      </c>
      <c r="AD639" s="26">
        <v>0.98933094975466895</v>
      </c>
      <c r="AE639" s="26">
        <v>0.97368821582131582</v>
      </c>
      <c r="AF639" s="26">
        <v>0.99021347801835602</v>
      </c>
      <c r="AG639" s="26">
        <v>0.92998038562599461</v>
      </c>
      <c r="AH639" s="28">
        <v>0.92</v>
      </c>
      <c r="AI639" s="26">
        <v>0.91936699321778448</v>
      </c>
      <c r="AJ639" s="26">
        <v>0.94721078247847246</v>
      </c>
      <c r="AK639" s="26">
        <v>0.95756701526625798</v>
      </c>
      <c r="AL639" s="26">
        <v>0.93983995427264932</v>
      </c>
      <c r="AM639" s="25">
        <v>0.99</v>
      </c>
      <c r="AN639" s="30">
        <v>1</v>
      </c>
      <c r="AO639" s="30">
        <v>1</v>
      </c>
      <c r="AP639" s="30">
        <v>1</v>
      </c>
      <c r="AQ639" s="30">
        <v>1</v>
      </c>
      <c r="AR639" s="50">
        <v>0.05</v>
      </c>
      <c r="AS639" s="34">
        <v>0.12</v>
      </c>
      <c r="AT639" s="34">
        <v>2.9411764705882353E-2</v>
      </c>
      <c r="AU639" s="34">
        <v>2.7027027027027029E-2</v>
      </c>
      <c r="AV639" s="34">
        <v>7.3469387755102047E-2</v>
      </c>
      <c r="AW639" s="10"/>
      <c r="AX639" s="8"/>
    </row>
    <row r="640" spans="1:50">
      <c r="A640" s="7"/>
      <c r="B640" s="10"/>
      <c r="C640" s="45" t="s">
        <v>396</v>
      </c>
      <c r="D640" s="23" t="s">
        <v>19</v>
      </c>
      <c r="E640" s="46" t="s">
        <v>686</v>
      </c>
      <c r="F640" s="46" t="s">
        <v>686</v>
      </c>
      <c r="G640" s="46" t="s">
        <v>686</v>
      </c>
      <c r="H640" s="46" t="s">
        <v>686</v>
      </c>
      <c r="I640" s="25">
        <v>0.9</v>
      </c>
      <c r="J640" s="26">
        <v>0.97777777777777775</v>
      </c>
      <c r="K640" s="26">
        <v>0.95652173913043481</v>
      </c>
      <c r="L640" s="27">
        <v>1</v>
      </c>
      <c r="M640" s="26">
        <v>0.97527472527472525</v>
      </c>
      <c r="N640" s="28">
        <v>0.9</v>
      </c>
      <c r="O640" s="26">
        <v>0.97412755716004817</v>
      </c>
      <c r="P640" s="26">
        <v>0.95835694050991505</v>
      </c>
      <c r="Q640" s="26">
        <v>0.95543967764873194</v>
      </c>
      <c r="R640" s="26">
        <v>0.9684819536479532</v>
      </c>
      <c r="S640" s="28">
        <v>0.9</v>
      </c>
      <c r="T640" s="26">
        <v>0.8038507821901324</v>
      </c>
      <c r="U640" s="26">
        <v>0.79235127478753542</v>
      </c>
      <c r="V640" s="26">
        <v>0.81630718179663431</v>
      </c>
      <c r="W640" s="26">
        <v>0.78986847858992904</v>
      </c>
      <c r="X640" s="28">
        <v>0.92</v>
      </c>
      <c r="Y640" s="28">
        <v>0.91819611955951752</v>
      </c>
      <c r="Z640" s="28">
        <v>0.9045092838196287</v>
      </c>
      <c r="AA640" s="28">
        <v>0.9400191938579654</v>
      </c>
      <c r="AB640" s="28">
        <v>0.92294354279373003</v>
      </c>
      <c r="AC640" s="28">
        <v>0.92</v>
      </c>
      <c r="AD640" s="26">
        <v>0.99890029325513197</v>
      </c>
      <c r="AE640" s="26">
        <v>0.99788060755916641</v>
      </c>
      <c r="AF640" s="26">
        <v>0.99854651162790697</v>
      </c>
      <c r="AG640" s="26">
        <v>0.99859359404772707</v>
      </c>
      <c r="AH640" s="28">
        <v>0.92</v>
      </c>
      <c r="AI640" s="26">
        <v>0.95030581039755346</v>
      </c>
      <c r="AJ640" s="26">
        <v>0.94796087839084697</v>
      </c>
      <c r="AK640" s="26">
        <v>0.96795176899888946</v>
      </c>
      <c r="AL640" s="26">
        <v>0.95527525532733981</v>
      </c>
      <c r="AM640" s="25">
        <v>0.99</v>
      </c>
      <c r="AN640" s="30">
        <v>1</v>
      </c>
      <c r="AO640" s="30">
        <v>1</v>
      </c>
      <c r="AP640" s="30">
        <v>1</v>
      </c>
      <c r="AQ640" s="30">
        <v>1</v>
      </c>
      <c r="AR640" s="50">
        <v>0.05</v>
      </c>
      <c r="AS640" s="34">
        <v>0.14285714285714285</v>
      </c>
      <c r="AT640" s="34">
        <v>3.125E-2</v>
      </c>
      <c r="AU640" s="34">
        <v>4.3478260869565216E-2</v>
      </c>
      <c r="AV640" s="34">
        <v>7.7380952380952384E-2</v>
      </c>
      <c r="AW640" s="10"/>
      <c r="AX640" s="8"/>
    </row>
    <row r="641" spans="1:50">
      <c r="A641" s="7"/>
      <c r="B641" s="10"/>
      <c r="C641" s="45" t="s">
        <v>396</v>
      </c>
      <c r="D641" s="23" t="s">
        <v>19</v>
      </c>
      <c r="E641" s="46" t="s">
        <v>687</v>
      </c>
      <c r="F641" s="46" t="s">
        <v>687</v>
      </c>
      <c r="G641" s="46" t="s">
        <v>687</v>
      </c>
      <c r="H641" s="46" t="s">
        <v>687</v>
      </c>
      <c r="I641" s="25">
        <v>0.9</v>
      </c>
      <c r="J641" s="26">
        <v>0.75438596491228072</v>
      </c>
      <c r="K641" s="26">
        <v>0.80701754385964908</v>
      </c>
      <c r="L641" s="27">
        <v>0.79661016949152541</v>
      </c>
      <c r="M641" s="26">
        <v>0.78103837471783299</v>
      </c>
      <c r="N641" s="28">
        <v>0.9</v>
      </c>
      <c r="O641" s="26">
        <v>0.98202188639916621</v>
      </c>
      <c r="P641" s="26">
        <v>0.99514432155381716</v>
      </c>
      <c r="Q641" s="26">
        <v>0.98846516007532959</v>
      </c>
      <c r="R641" s="26">
        <v>0.97255916929121577</v>
      </c>
      <c r="S641" s="28">
        <v>0.9</v>
      </c>
      <c r="T641" s="26">
        <v>0.68837936425221469</v>
      </c>
      <c r="U641" s="26">
        <v>0.71837065012139201</v>
      </c>
      <c r="V641" s="26">
        <v>0.66784369114877584</v>
      </c>
      <c r="W641" s="26">
        <v>0.66534659640150928</v>
      </c>
      <c r="X641" s="28">
        <v>0.92</v>
      </c>
      <c r="Y641" s="28">
        <v>0.83743842364532017</v>
      </c>
      <c r="Z641" s="28">
        <v>0.81265952016334864</v>
      </c>
      <c r="AA641" s="28">
        <v>0.87444389520514088</v>
      </c>
      <c r="AB641" s="28">
        <v>0.84834027684451019</v>
      </c>
      <c r="AC641" s="28">
        <v>0.92</v>
      </c>
      <c r="AD641" s="26">
        <v>0.9945769310992143</v>
      </c>
      <c r="AE641" s="26">
        <v>0.98543778801843318</v>
      </c>
      <c r="AF641" s="26">
        <v>0.97827165393392201</v>
      </c>
      <c r="AG641" s="26">
        <v>0.98284274239948444</v>
      </c>
      <c r="AH641" s="28">
        <v>0.92</v>
      </c>
      <c r="AI641" s="26">
        <v>0.90679843244164249</v>
      </c>
      <c r="AJ641" s="26">
        <v>0.90915505380137596</v>
      </c>
      <c r="AK641" s="26">
        <v>0.93355640535372852</v>
      </c>
      <c r="AL641" s="26">
        <v>0.92371726634021711</v>
      </c>
      <c r="AM641" s="25">
        <v>0.99</v>
      </c>
      <c r="AN641" s="30">
        <v>1</v>
      </c>
      <c r="AO641" s="30">
        <v>1</v>
      </c>
      <c r="AP641" s="30">
        <v>1</v>
      </c>
      <c r="AQ641" s="30">
        <v>1</v>
      </c>
      <c r="AR641" s="50">
        <v>0.05</v>
      </c>
      <c r="AS641" s="34">
        <v>0</v>
      </c>
      <c r="AT641" s="34">
        <v>0.125</v>
      </c>
      <c r="AU641" s="34">
        <v>0</v>
      </c>
      <c r="AV641" s="34">
        <v>8.0246913580246909E-2</v>
      </c>
      <c r="AW641" s="10"/>
      <c r="AX641" s="8"/>
    </row>
    <row r="642" spans="1:50">
      <c r="A642" s="7"/>
      <c r="B642" s="10"/>
      <c r="C642" s="64"/>
      <c r="D642" s="65"/>
      <c r="E642" s="65"/>
      <c r="F642" s="38"/>
      <c r="G642" s="38"/>
      <c r="H642" s="65"/>
      <c r="I642" s="66"/>
      <c r="J642" s="67"/>
      <c r="K642" s="67"/>
      <c r="L642" s="27"/>
      <c r="M642" s="67"/>
      <c r="N642" s="43"/>
      <c r="O642" s="67"/>
      <c r="P642" s="67"/>
      <c r="Q642" s="26"/>
      <c r="R642" s="67"/>
      <c r="S642" s="43"/>
      <c r="T642" s="67"/>
      <c r="U642" s="67"/>
      <c r="V642" s="26"/>
      <c r="W642" s="67"/>
      <c r="X642" s="43"/>
      <c r="Y642" s="43"/>
      <c r="Z642" s="43"/>
      <c r="AA642" s="28"/>
      <c r="AB642" s="43"/>
      <c r="AC642" s="67"/>
      <c r="AD642" s="67"/>
      <c r="AE642" s="67"/>
      <c r="AF642" s="26"/>
      <c r="AG642" s="67"/>
      <c r="AH642" s="67"/>
      <c r="AI642" s="67"/>
      <c r="AJ642" s="67"/>
      <c r="AK642" s="26"/>
      <c r="AL642" s="67"/>
      <c r="AM642" s="66"/>
      <c r="AN642" s="66"/>
      <c r="AO642" s="66"/>
      <c r="AP642" s="30"/>
      <c r="AQ642" s="66"/>
      <c r="AR642" s="67"/>
      <c r="AS642" s="66"/>
      <c r="AT642" s="66"/>
      <c r="AU642" s="34"/>
      <c r="AV642" s="66"/>
      <c r="AW642" s="10"/>
      <c r="AX642" s="8"/>
    </row>
    <row r="643" spans="1:50">
      <c r="A643" s="7"/>
      <c r="B643" s="10"/>
      <c r="C643" s="45" t="s">
        <v>688</v>
      </c>
      <c r="D643" s="23" t="s">
        <v>21</v>
      </c>
      <c r="E643" s="68" t="s">
        <v>689</v>
      </c>
      <c r="F643" s="68" t="s">
        <v>689</v>
      </c>
      <c r="G643" s="68" t="s">
        <v>689</v>
      </c>
      <c r="H643" s="68" t="s">
        <v>689</v>
      </c>
      <c r="I643" s="25">
        <v>0.9</v>
      </c>
      <c r="J643" s="26">
        <v>1</v>
      </c>
      <c r="K643" s="26">
        <v>1</v>
      </c>
      <c r="L643" s="27">
        <v>0.96875</v>
      </c>
      <c r="M643" s="26">
        <v>0.99586776859504134</v>
      </c>
      <c r="N643" s="28">
        <v>0.9</v>
      </c>
      <c r="O643" s="26">
        <v>0.9846322722283205</v>
      </c>
      <c r="P643" s="26">
        <v>0.97707065980346275</v>
      </c>
      <c r="Q643" s="26">
        <v>0.97950969630442741</v>
      </c>
      <c r="R643" s="26">
        <v>0.97923753665689151</v>
      </c>
      <c r="S643" s="28">
        <v>0.9</v>
      </c>
      <c r="T643" s="26">
        <v>0.96377607025246981</v>
      </c>
      <c r="U643" s="26">
        <v>0.96630790828263924</v>
      </c>
      <c r="V643" s="26">
        <v>0.96706915477497257</v>
      </c>
      <c r="W643" s="26">
        <v>0.96234604105571853</v>
      </c>
      <c r="X643" s="28">
        <v>0.92</v>
      </c>
      <c r="Y643" s="28">
        <v>0.93252212389380529</v>
      </c>
      <c r="Z643" s="28">
        <v>0.92105263157894735</v>
      </c>
      <c r="AA643" s="28">
        <v>0.8828125</v>
      </c>
      <c r="AB643" s="28">
        <v>0.9218838127467569</v>
      </c>
      <c r="AC643" s="28">
        <v>0.92</v>
      </c>
      <c r="AD643" s="26">
        <v>1</v>
      </c>
      <c r="AE643" s="26">
        <v>1</v>
      </c>
      <c r="AF643" s="26">
        <v>0.98607242339832868</v>
      </c>
      <c r="AG643" s="26">
        <v>0.99365079365079367</v>
      </c>
      <c r="AH643" s="28">
        <v>0.92</v>
      </c>
      <c r="AI643" s="26">
        <v>0.96661775495231106</v>
      </c>
      <c r="AJ643" s="26">
        <v>0.97066942719116633</v>
      </c>
      <c r="AK643" s="26">
        <v>0.9511587341141291</v>
      </c>
      <c r="AL643" s="26">
        <v>0.96421471172962225</v>
      </c>
      <c r="AM643" s="25">
        <v>0.99</v>
      </c>
      <c r="AN643" s="30">
        <v>1</v>
      </c>
      <c r="AO643" s="30">
        <v>1</v>
      </c>
      <c r="AP643" s="30">
        <v>1</v>
      </c>
      <c r="AQ643" s="30">
        <v>1</v>
      </c>
      <c r="AR643" s="50">
        <v>8.1059522893420499E-2</v>
      </c>
      <c r="AS643" s="34">
        <v>0</v>
      </c>
      <c r="AT643" s="34">
        <v>0</v>
      </c>
      <c r="AU643" s="34">
        <v>0</v>
      </c>
      <c r="AV643" s="34">
        <v>3.1496062992125984E-2</v>
      </c>
      <c r="AW643" s="10"/>
      <c r="AX643" s="8"/>
    </row>
    <row r="644" spans="1:50">
      <c r="A644" s="7"/>
      <c r="B644" s="10"/>
      <c r="C644" s="45" t="s">
        <v>688</v>
      </c>
      <c r="D644" s="23" t="s">
        <v>21</v>
      </c>
      <c r="E644" s="68" t="s">
        <v>690</v>
      </c>
      <c r="F644" s="68" t="s">
        <v>690</v>
      </c>
      <c r="G644" s="68" t="s">
        <v>690</v>
      </c>
      <c r="H644" s="68" t="s">
        <v>690</v>
      </c>
      <c r="I644" s="25">
        <v>0.9</v>
      </c>
      <c r="J644" s="26">
        <v>1</v>
      </c>
      <c r="K644" s="26">
        <v>1</v>
      </c>
      <c r="L644" s="27">
        <v>1</v>
      </c>
      <c r="M644" s="26">
        <v>1</v>
      </c>
      <c r="N644" s="28">
        <v>0.9</v>
      </c>
      <c r="O644" s="26">
        <v>0.98293723339427175</v>
      </c>
      <c r="P644" s="26">
        <v>0.98383500557413606</v>
      </c>
      <c r="Q644" s="26">
        <v>0.98783666377063428</v>
      </c>
      <c r="R644" s="26">
        <v>0.98224564810319714</v>
      </c>
      <c r="S644" s="28">
        <v>0.9</v>
      </c>
      <c r="T644" s="26">
        <v>0.96465569774527726</v>
      </c>
      <c r="U644" s="26">
        <v>0.96042363433667777</v>
      </c>
      <c r="V644" s="26">
        <v>0.95916594265855781</v>
      </c>
      <c r="W644" s="26">
        <v>0.95720923781122136</v>
      </c>
      <c r="X644" s="28">
        <v>0.92</v>
      </c>
      <c r="Y644" s="28">
        <v>0.9669926650366748</v>
      </c>
      <c r="Z644" s="28">
        <v>0.98634812286689422</v>
      </c>
      <c r="AA644" s="28">
        <v>0.9709418837675351</v>
      </c>
      <c r="AB644" s="28">
        <v>0.96801066311229589</v>
      </c>
      <c r="AC644" s="28">
        <v>0.92</v>
      </c>
      <c r="AD644" s="26">
        <v>0.99915469146238378</v>
      </c>
      <c r="AE644" s="26">
        <v>0.99783013019218847</v>
      </c>
      <c r="AF644" s="26">
        <v>0.98999309868875085</v>
      </c>
      <c r="AG644" s="26">
        <v>0.99187853107344637</v>
      </c>
      <c r="AH644" s="28">
        <v>0.92</v>
      </c>
      <c r="AI644" s="26">
        <v>0.98049573344169039</v>
      </c>
      <c r="AJ644" s="26">
        <v>0.9874055415617129</v>
      </c>
      <c r="AK644" s="26">
        <v>0.98576189033626171</v>
      </c>
      <c r="AL644" s="26">
        <v>0.98228095937347037</v>
      </c>
      <c r="AM644" s="25">
        <v>0.99</v>
      </c>
      <c r="AN644" s="30">
        <v>1</v>
      </c>
      <c r="AO644" s="30">
        <v>1</v>
      </c>
      <c r="AP644" s="30">
        <v>1</v>
      </c>
      <c r="AQ644" s="30">
        <v>1</v>
      </c>
      <c r="AR644" s="50">
        <v>8.1059522893420499E-2</v>
      </c>
      <c r="AS644" s="34">
        <v>0</v>
      </c>
      <c r="AT644" s="34">
        <v>0</v>
      </c>
      <c r="AU644" s="34">
        <v>0</v>
      </c>
      <c r="AV644" s="34">
        <v>3.8461538461538464E-2</v>
      </c>
      <c r="AW644" s="10"/>
      <c r="AX644" s="8"/>
    </row>
    <row r="645" spans="1:50">
      <c r="A645" s="7"/>
      <c r="B645" s="10"/>
      <c r="C645" s="45" t="s">
        <v>688</v>
      </c>
      <c r="D645" s="23" t="s">
        <v>21</v>
      </c>
      <c r="E645" s="68" t="s">
        <v>691</v>
      </c>
      <c r="F645" s="68" t="s">
        <v>691</v>
      </c>
      <c r="G645" s="68" t="s">
        <v>691</v>
      </c>
      <c r="H645" s="68" t="s">
        <v>691</v>
      </c>
      <c r="I645" s="25">
        <v>0.9</v>
      </c>
      <c r="J645" s="26">
        <v>1</v>
      </c>
      <c r="K645" s="26">
        <v>1</v>
      </c>
      <c r="L645" s="27">
        <v>1</v>
      </c>
      <c r="M645" s="26">
        <v>0.99415204678362568</v>
      </c>
      <c r="N645" s="28">
        <v>0.9</v>
      </c>
      <c r="O645" s="26">
        <v>0.97365220916092421</v>
      </c>
      <c r="P645" s="26">
        <v>0.97712418300653592</v>
      </c>
      <c r="Q645" s="26">
        <v>0.97265056735525168</v>
      </c>
      <c r="R645" s="26">
        <v>0.96855120508914971</v>
      </c>
      <c r="S645" s="28">
        <v>0.9</v>
      </c>
      <c r="T645" s="26">
        <v>0.93392784758816372</v>
      </c>
      <c r="U645" s="26">
        <v>0.92883079157588966</v>
      </c>
      <c r="V645" s="26">
        <v>0.93802734943264476</v>
      </c>
      <c r="W645" s="26">
        <v>0.92787384642953141</v>
      </c>
      <c r="X645" s="28">
        <v>0.92</v>
      </c>
      <c r="Y645" s="28">
        <v>0.77344398340248965</v>
      </c>
      <c r="Z645" s="28">
        <v>0.80558539205155744</v>
      </c>
      <c r="AA645" s="28">
        <v>0.69336670838548187</v>
      </c>
      <c r="AB645" s="28">
        <v>0.70681145113524191</v>
      </c>
      <c r="AC645" s="28">
        <v>0.92</v>
      </c>
      <c r="AD645" s="26">
        <v>0.98837209302325579</v>
      </c>
      <c r="AE645" s="26">
        <v>0.9885057471264368</v>
      </c>
      <c r="AF645" s="26">
        <v>0.989247311827957</v>
      </c>
      <c r="AG645" s="26">
        <v>0.98044328552803128</v>
      </c>
      <c r="AH645" s="28">
        <v>0.92</v>
      </c>
      <c r="AI645" s="26">
        <v>0.89787581699346408</v>
      </c>
      <c r="AJ645" s="26">
        <v>0.92998643147896876</v>
      </c>
      <c r="AK645" s="26">
        <v>0.88937437934458785</v>
      </c>
      <c r="AL645" s="26">
        <v>0.89052162849872774</v>
      </c>
      <c r="AM645" s="25">
        <v>0.99</v>
      </c>
      <c r="AN645" s="30">
        <v>1</v>
      </c>
      <c r="AO645" s="30">
        <v>1</v>
      </c>
      <c r="AP645" s="30">
        <v>1</v>
      </c>
      <c r="AQ645" s="30">
        <v>1</v>
      </c>
      <c r="AR645" s="50">
        <v>8.1059522893420499E-2</v>
      </c>
      <c r="AS645" s="34">
        <v>0</v>
      </c>
      <c r="AT645" s="34">
        <v>0</v>
      </c>
      <c r="AU645" s="34">
        <v>0.1111111111111111</v>
      </c>
      <c r="AV645" s="34">
        <v>3.7383177570093455E-2</v>
      </c>
      <c r="AW645" s="10"/>
      <c r="AX645" s="8"/>
    </row>
    <row r="646" spans="1:50">
      <c r="A646" s="7"/>
      <c r="B646" s="10"/>
      <c r="C646" s="45" t="s">
        <v>688</v>
      </c>
      <c r="D646" s="23" t="s">
        <v>21</v>
      </c>
      <c r="E646" s="68" t="s">
        <v>692</v>
      </c>
      <c r="F646" s="68" t="s">
        <v>692</v>
      </c>
      <c r="G646" s="68" t="s">
        <v>692</v>
      </c>
      <c r="H646" s="68" t="s">
        <v>692</v>
      </c>
      <c r="I646" s="25">
        <v>0.9</v>
      </c>
      <c r="J646" s="26">
        <v>0.90476190476190477</v>
      </c>
      <c r="K646" s="26">
        <v>0.88636363636363635</v>
      </c>
      <c r="L646" s="27">
        <v>0.88888888888888884</v>
      </c>
      <c r="M646" s="26">
        <v>0.89411764705882357</v>
      </c>
      <c r="N646" s="28">
        <v>0.9</v>
      </c>
      <c r="O646" s="26">
        <v>0.97803468208092481</v>
      </c>
      <c r="P646" s="26">
        <v>0.9865816839986582</v>
      </c>
      <c r="Q646" s="26">
        <v>0.98675317653419847</v>
      </c>
      <c r="R646" s="26">
        <v>0.98122377767623481</v>
      </c>
      <c r="S646" s="28">
        <v>0.9</v>
      </c>
      <c r="T646" s="26">
        <v>0.95144508670520234</v>
      </c>
      <c r="U646" s="26">
        <v>0.96041596779604155</v>
      </c>
      <c r="V646" s="26">
        <v>0.95539334955393351</v>
      </c>
      <c r="W646" s="26">
        <v>0.95380716985834757</v>
      </c>
      <c r="X646" s="28">
        <v>0.92</v>
      </c>
      <c r="Y646" s="28">
        <v>0.92447129909365555</v>
      </c>
      <c r="Z646" s="28">
        <v>0.92402464065708423</v>
      </c>
      <c r="AA646" s="28">
        <v>0.92955421023665386</v>
      </c>
      <c r="AB646" s="28">
        <v>0.91984428029546816</v>
      </c>
      <c r="AC646" s="28">
        <v>0.92</v>
      </c>
      <c r="AD646" s="26">
        <v>0.97916666666666663</v>
      </c>
      <c r="AE646" s="26">
        <v>1</v>
      </c>
      <c r="AF646" s="26">
        <v>0.98742138364779874</v>
      </c>
      <c r="AG646" s="26">
        <v>0.99084668192219683</v>
      </c>
      <c r="AH646" s="28">
        <v>0.92</v>
      </c>
      <c r="AI646" s="26">
        <v>0.95534575146721101</v>
      </c>
      <c r="AJ646" s="26">
        <v>0.96866312863280268</v>
      </c>
      <c r="AK646" s="26">
        <v>0.96519847743338771</v>
      </c>
      <c r="AL646" s="26">
        <v>0.96248826841858282</v>
      </c>
      <c r="AM646" s="25">
        <v>0.99</v>
      </c>
      <c r="AN646" s="30">
        <v>1</v>
      </c>
      <c r="AO646" s="30">
        <v>1</v>
      </c>
      <c r="AP646" s="30">
        <v>1</v>
      </c>
      <c r="AQ646" s="30">
        <v>1</v>
      </c>
      <c r="AR646" s="50">
        <v>8.1059522893420499E-2</v>
      </c>
      <c r="AS646" s="34">
        <v>0.1111111111111111</v>
      </c>
      <c r="AT646" s="34">
        <v>0.13333333333333333</v>
      </c>
      <c r="AU646" s="34">
        <v>0.1</v>
      </c>
      <c r="AV646" s="34">
        <v>6.9306930693069313E-2</v>
      </c>
      <c r="AW646" s="10"/>
      <c r="AX646" s="8"/>
    </row>
    <row r="647" spans="1:50">
      <c r="A647" s="7"/>
      <c r="B647" s="10"/>
      <c r="C647" s="45" t="s">
        <v>688</v>
      </c>
      <c r="D647" s="23" t="s">
        <v>21</v>
      </c>
      <c r="E647" s="68" t="s">
        <v>693</v>
      </c>
      <c r="F647" s="68" t="s">
        <v>693</v>
      </c>
      <c r="G647" s="68" t="s">
        <v>693</v>
      </c>
      <c r="H647" s="68" t="s">
        <v>693</v>
      </c>
      <c r="I647" s="25">
        <v>0.9</v>
      </c>
      <c r="J647" s="26">
        <v>1</v>
      </c>
      <c r="K647" s="26">
        <v>1</v>
      </c>
      <c r="L647" s="27">
        <v>1</v>
      </c>
      <c r="M647" s="26">
        <v>1</v>
      </c>
      <c r="N647" s="28">
        <v>0.9</v>
      </c>
      <c r="O647" s="26">
        <v>0.99000832639467107</v>
      </c>
      <c r="P647" s="26">
        <v>0.99486049926578557</v>
      </c>
      <c r="Q647" s="26">
        <v>0.9923976608187135</v>
      </c>
      <c r="R647" s="26">
        <v>0.99065161051462425</v>
      </c>
      <c r="S647" s="28">
        <v>0.9</v>
      </c>
      <c r="T647" s="26">
        <v>0.97002497918401331</v>
      </c>
      <c r="U647" s="26">
        <v>0.98531571218795888</v>
      </c>
      <c r="V647" s="26">
        <v>0.96666666666666667</v>
      </c>
      <c r="W647" s="26">
        <v>0.97139948167345425</v>
      </c>
      <c r="X647" s="28">
        <v>0.92</v>
      </c>
      <c r="Y647" s="28">
        <v>0.96441281138790036</v>
      </c>
      <c r="Z647" s="28">
        <v>0.96371882086167804</v>
      </c>
      <c r="AA647" s="28">
        <v>0.95543905635648751</v>
      </c>
      <c r="AB647" s="28">
        <v>0.95645306859205781</v>
      </c>
      <c r="AC647" s="28">
        <v>0.92</v>
      </c>
      <c r="AD647" s="26">
        <v>1</v>
      </c>
      <c r="AE647" s="26">
        <v>0.98888888888888893</v>
      </c>
      <c r="AF647" s="26">
        <v>0.99170124481327804</v>
      </c>
      <c r="AG647" s="26">
        <v>0.99180022363026465</v>
      </c>
      <c r="AH647" s="28">
        <v>0.92</v>
      </c>
      <c r="AI647" s="26">
        <v>0.97901304594441296</v>
      </c>
      <c r="AJ647" s="26">
        <v>0.98835274542429286</v>
      </c>
      <c r="AK647" s="26">
        <v>0.97817299919159262</v>
      </c>
      <c r="AL647" s="26">
        <v>0.98109864146485526</v>
      </c>
      <c r="AM647" s="25">
        <v>0.99</v>
      </c>
      <c r="AN647" s="30">
        <v>1</v>
      </c>
      <c r="AO647" s="30">
        <v>1</v>
      </c>
      <c r="AP647" s="30">
        <v>1</v>
      </c>
      <c r="AQ647" s="30">
        <v>1</v>
      </c>
      <c r="AR647" s="50">
        <v>8.1059522893420499E-2</v>
      </c>
      <c r="AS647" s="34">
        <v>0</v>
      </c>
      <c r="AT647" s="34">
        <v>0.14285714285714285</v>
      </c>
      <c r="AU647" s="34">
        <v>0.14285714285714285</v>
      </c>
      <c r="AV647" s="34">
        <v>5.4545454545454543E-2</v>
      </c>
      <c r="AW647" s="10"/>
      <c r="AX647" s="8"/>
    </row>
    <row r="648" spans="1:50">
      <c r="A648" s="7"/>
      <c r="B648" s="10"/>
      <c r="C648" s="45" t="s">
        <v>688</v>
      </c>
      <c r="D648" s="23" t="s">
        <v>21</v>
      </c>
      <c r="E648" s="68" t="s">
        <v>694</v>
      </c>
      <c r="F648" s="68" t="s">
        <v>694</v>
      </c>
      <c r="G648" s="68" t="s">
        <v>694</v>
      </c>
      <c r="H648" s="68" t="s">
        <v>694</v>
      </c>
      <c r="I648" s="25">
        <v>0.9</v>
      </c>
      <c r="J648" s="26">
        <v>0.95833333333333337</v>
      </c>
      <c r="K648" s="26">
        <v>1</v>
      </c>
      <c r="L648" s="27">
        <v>1</v>
      </c>
      <c r="M648" s="26">
        <v>0.995</v>
      </c>
      <c r="N648" s="28">
        <v>0.9</v>
      </c>
      <c r="O648" s="26">
        <v>0.97992403689636465</v>
      </c>
      <c r="P648" s="26">
        <v>0.97390891840607208</v>
      </c>
      <c r="Q648" s="26">
        <v>0.97348927875243663</v>
      </c>
      <c r="R648" s="26">
        <v>0.97814274375725019</v>
      </c>
      <c r="S648" s="28">
        <v>0.9</v>
      </c>
      <c r="T648" s="26">
        <v>0.96147585458491591</v>
      </c>
      <c r="U648" s="26">
        <v>0.95777988614800758</v>
      </c>
      <c r="V648" s="26">
        <v>0.95984405458089672</v>
      </c>
      <c r="W648" s="26">
        <v>0.96501617925392269</v>
      </c>
      <c r="X648" s="28">
        <v>0.92</v>
      </c>
      <c r="Y648" s="28">
        <v>0.93981945837512537</v>
      </c>
      <c r="Z648" s="28">
        <v>0.92665726375176305</v>
      </c>
      <c r="AA648" s="28">
        <v>0.94784026079869599</v>
      </c>
      <c r="AB648" s="28">
        <v>0.94227724197495322</v>
      </c>
      <c r="AC648" s="28">
        <v>0.92</v>
      </c>
      <c r="AD648" s="26">
        <v>0.99869621903520212</v>
      </c>
      <c r="AE648" s="26">
        <v>0.99037304452466912</v>
      </c>
      <c r="AF648" s="26">
        <v>0.98555956678700363</v>
      </c>
      <c r="AG648" s="26">
        <v>0.98651918423781537</v>
      </c>
      <c r="AH648" s="28">
        <v>0.92</v>
      </c>
      <c r="AI648" s="26">
        <v>0.96373239436619718</v>
      </c>
      <c r="AJ648" s="26">
        <v>0.96379126730564435</v>
      </c>
      <c r="AK648" s="26">
        <v>0.97047970479704793</v>
      </c>
      <c r="AL648" s="26">
        <v>0.97080886450340775</v>
      </c>
      <c r="AM648" s="25">
        <v>0.99</v>
      </c>
      <c r="AN648" s="30">
        <v>1</v>
      </c>
      <c r="AO648" s="30">
        <v>1</v>
      </c>
      <c r="AP648" s="30">
        <v>1</v>
      </c>
      <c r="AQ648" s="30">
        <v>1</v>
      </c>
      <c r="AR648" s="50">
        <v>8.1059522893420499E-2</v>
      </c>
      <c r="AS648" s="34">
        <v>0.14285714285714285</v>
      </c>
      <c r="AT648" s="34">
        <v>8.3333333333333329E-2</v>
      </c>
      <c r="AU648" s="34">
        <v>0</v>
      </c>
      <c r="AV648" s="34">
        <v>4.9504950495049507E-2</v>
      </c>
      <c r="AW648" s="10"/>
      <c r="AX648" s="8"/>
    </row>
    <row r="649" spans="1:50">
      <c r="A649" s="7"/>
      <c r="B649" s="10"/>
      <c r="C649" s="45" t="s">
        <v>688</v>
      </c>
      <c r="D649" s="23" t="s">
        <v>21</v>
      </c>
      <c r="E649" s="68" t="s">
        <v>695</v>
      </c>
      <c r="F649" s="68" t="s">
        <v>695</v>
      </c>
      <c r="G649" s="68" t="s">
        <v>695</v>
      </c>
      <c r="H649" s="68" t="s">
        <v>695</v>
      </c>
      <c r="I649" s="25">
        <v>0.9</v>
      </c>
      <c r="J649" s="26">
        <v>1</v>
      </c>
      <c r="K649" s="26">
        <v>1</v>
      </c>
      <c r="L649" s="27">
        <v>1</v>
      </c>
      <c r="M649" s="26">
        <v>1</v>
      </c>
      <c r="N649" s="28">
        <v>0.9</v>
      </c>
      <c r="O649" s="26">
        <v>0.99519615692554042</v>
      </c>
      <c r="P649" s="26">
        <v>0.99456521739130432</v>
      </c>
      <c r="Q649" s="26">
        <v>0.99403794037940374</v>
      </c>
      <c r="R649" s="26">
        <v>0.99144575251969169</v>
      </c>
      <c r="S649" s="28">
        <v>0.9</v>
      </c>
      <c r="T649" s="26">
        <v>0.93995196156925542</v>
      </c>
      <c r="U649" s="26">
        <v>0.94972826086956519</v>
      </c>
      <c r="V649" s="26">
        <v>0.95176151761517613</v>
      </c>
      <c r="W649" s="26">
        <v>0.95290929109850087</v>
      </c>
      <c r="X649" s="28">
        <v>0.92</v>
      </c>
      <c r="Y649" s="28">
        <v>0.86988304093567248</v>
      </c>
      <c r="Z649" s="28">
        <v>0.84306569343065696</v>
      </c>
      <c r="AA649" s="28">
        <v>0.85952380952380958</v>
      </c>
      <c r="AB649" s="28">
        <v>0.89830173775671407</v>
      </c>
      <c r="AC649" s="28">
        <v>0.92</v>
      </c>
      <c r="AD649" s="26">
        <v>1</v>
      </c>
      <c r="AE649" s="26">
        <v>0.98913043478260865</v>
      </c>
      <c r="AF649" s="26">
        <v>1</v>
      </c>
      <c r="AG649" s="26">
        <v>0.99191631003328573</v>
      </c>
      <c r="AH649" s="28">
        <v>0.92</v>
      </c>
      <c r="AI649" s="26">
        <v>0.9513709260217279</v>
      </c>
      <c r="AJ649" s="26">
        <v>0.95346534653465342</v>
      </c>
      <c r="AK649" s="26">
        <v>0.95270018621973929</v>
      </c>
      <c r="AL649" s="26">
        <v>0.96384328137039887</v>
      </c>
      <c r="AM649" s="25">
        <v>0.99</v>
      </c>
      <c r="AN649" s="30">
        <v>1</v>
      </c>
      <c r="AO649" s="30">
        <v>1</v>
      </c>
      <c r="AP649" s="30">
        <v>1</v>
      </c>
      <c r="AQ649" s="30">
        <v>1</v>
      </c>
      <c r="AR649" s="50">
        <v>8.1059522893420499E-2</v>
      </c>
      <c r="AS649" s="34">
        <v>0.14285714285714285</v>
      </c>
      <c r="AT649" s="34">
        <v>0</v>
      </c>
      <c r="AU649" s="34">
        <v>0</v>
      </c>
      <c r="AV649" s="34">
        <v>7.4999999999999997E-2</v>
      </c>
      <c r="AW649" s="10"/>
      <c r="AX649" s="8"/>
    </row>
    <row r="650" spans="1:50">
      <c r="A650" s="7"/>
      <c r="B650" s="10"/>
      <c r="C650" s="45" t="s">
        <v>688</v>
      </c>
      <c r="D650" s="23" t="s">
        <v>21</v>
      </c>
      <c r="E650" s="68" t="s">
        <v>696</v>
      </c>
      <c r="F650" s="68" t="s">
        <v>696</v>
      </c>
      <c r="G650" s="68" t="s">
        <v>696</v>
      </c>
      <c r="H650" s="68" t="s">
        <v>696</v>
      </c>
      <c r="I650" s="25">
        <v>0.9</v>
      </c>
      <c r="J650" s="26">
        <v>0.88461538461538458</v>
      </c>
      <c r="K650" s="26">
        <v>0.8214285714285714</v>
      </c>
      <c r="L650" s="27">
        <v>0.83870967741935487</v>
      </c>
      <c r="M650" s="26">
        <v>0.84331797235023043</v>
      </c>
      <c r="N650" s="28">
        <v>0.9</v>
      </c>
      <c r="O650" s="26">
        <v>0.97640449438202248</v>
      </c>
      <c r="P650" s="26">
        <v>0.98029094321914589</v>
      </c>
      <c r="Q650" s="26">
        <v>0.97892644135188867</v>
      </c>
      <c r="R650" s="26">
        <v>0.9788343367885296</v>
      </c>
      <c r="S650" s="28">
        <v>0.9</v>
      </c>
      <c r="T650" s="26">
        <v>0.96011235955056184</v>
      </c>
      <c r="U650" s="26">
        <v>0.96762083528859688</v>
      </c>
      <c r="V650" s="26">
        <v>0.96819085487077539</v>
      </c>
      <c r="W650" s="26">
        <v>0.96399975172242569</v>
      </c>
      <c r="X650" s="28">
        <v>0.92</v>
      </c>
      <c r="Y650" s="28">
        <v>0.9702176403207331</v>
      </c>
      <c r="Z650" s="28">
        <v>0.97258297258297255</v>
      </c>
      <c r="AA650" s="28">
        <v>0.98289136013686917</v>
      </c>
      <c r="AB650" s="28">
        <v>0.97142010958092695</v>
      </c>
      <c r="AC650" s="28">
        <v>0.92</v>
      </c>
      <c r="AD650" s="26">
        <v>0.99795918367346936</v>
      </c>
      <c r="AE650" s="26">
        <v>0.99262899262899262</v>
      </c>
      <c r="AF650" s="26">
        <v>0.99502487562189057</v>
      </c>
      <c r="AG650" s="26">
        <v>0.99525272270315557</v>
      </c>
      <c r="AH650" s="28">
        <v>0.92</v>
      </c>
      <c r="AI650" s="26">
        <v>0.98228420655861293</v>
      </c>
      <c r="AJ650" s="26">
        <v>0.98654390934844194</v>
      </c>
      <c r="AK650" s="26">
        <v>0.98832790445168295</v>
      </c>
      <c r="AL650" s="26">
        <v>0.98425610076095515</v>
      </c>
      <c r="AM650" s="25">
        <v>0.99</v>
      </c>
      <c r="AN650" s="30">
        <v>1</v>
      </c>
      <c r="AO650" s="30">
        <v>1</v>
      </c>
      <c r="AP650" s="30">
        <v>1</v>
      </c>
      <c r="AQ650" s="30">
        <v>1</v>
      </c>
      <c r="AR650" s="50">
        <v>8.1059522893420499E-2</v>
      </c>
      <c r="AS650" s="34">
        <v>0</v>
      </c>
      <c r="AT650" s="34">
        <v>0</v>
      </c>
      <c r="AU650" s="34">
        <v>0</v>
      </c>
      <c r="AV650" s="34">
        <v>6.25E-2</v>
      </c>
      <c r="AW650" s="10"/>
      <c r="AX650" s="8"/>
    </row>
    <row r="651" spans="1:50">
      <c r="A651" s="7"/>
      <c r="B651" s="10"/>
      <c r="C651" s="45" t="s">
        <v>688</v>
      </c>
      <c r="D651" s="23" t="s">
        <v>21</v>
      </c>
      <c r="E651" s="68" t="s">
        <v>697</v>
      </c>
      <c r="F651" s="68" t="s">
        <v>697</v>
      </c>
      <c r="G651" s="68" t="s">
        <v>697</v>
      </c>
      <c r="H651" s="68" t="s">
        <v>697</v>
      </c>
      <c r="I651" s="25">
        <v>0.9</v>
      </c>
      <c r="J651" s="26">
        <v>0.9285714285714286</v>
      </c>
      <c r="K651" s="26">
        <v>1</v>
      </c>
      <c r="L651" s="27">
        <v>1</v>
      </c>
      <c r="M651" s="26">
        <v>0.97846153846153849</v>
      </c>
      <c r="N651" s="28">
        <v>0.9</v>
      </c>
      <c r="O651" s="26">
        <v>0.96235521235521237</v>
      </c>
      <c r="P651" s="26">
        <v>0.96100628930817611</v>
      </c>
      <c r="Q651" s="26">
        <v>0.922627235213205</v>
      </c>
      <c r="R651" s="26">
        <v>0.941781923448054</v>
      </c>
      <c r="S651" s="28">
        <v>0.9</v>
      </c>
      <c r="T651" s="26">
        <v>0.93484555984555984</v>
      </c>
      <c r="U651" s="26">
        <v>0.93291404612159334</v>
      </c>
      <c r="V651" s="26">
        <v>0.93363136176066019</v>
      </c>
      <c r="W651" s="26">
        <v>0.93454486973303308</v>
      </c>
      <c r="X651" s="28">
        <v>0.92</v>
      </c>
      <c r="Y651" s="28">
        <v>0.83349374398460063</v>
      </c>
      <c r="Z651" s="28">
        <v>0.81818181818181823</v>
      </c>
      <c r="AA651" s="28">
        <v>0.77600000000000002</v>
      </c>
      <c r="AB651" s="28">
        <v>0.81189523932395824</v>
      </c>
      <c r="AC651" s="28">
        <v>0.92</v>
      </c>
      <c r="AD651" s="26">
        <v>0.99494949494949492</v>
      </c>
      <c r="AE651" s="26">
        <v>0.98951048951048948</v>
      </c>
      <c r="AF651" s="26">
        <v>0.99065420560747663</v>
      </c>
      <c r="AG651" s="26">
        <v>0.98590722254844387</v>
      </c>
      <c r="AH651" s="28">
        <v>0.92</v>
      </c>
      <c r="AI651" s="26">
        <v>0.92287917737789205</v>
      </c>
      <c r="AJ651" s="26">
        <v>0.93220868478600438</v>
      </c>
      <c r="AK651" s="26">
        <v>0.91479925303454712</v>
      </c>
      <c r="AL651" s="26">
        <v>0.92677293551929119</v>
      </c>
      <c r="AM651" s="25">
        <v>0.99</v>
      </c>
      <c r="AN651" s="30">
        <v>1</v>
      </c>
      <c r="AO651" s="30">
        <v>1</v>
      </c>
      <c r="AP651" s="30">
        <v>1</v>
      </c>
      <c r="AQ651" s="30">
        <v>1</v>
      </c>
      <c r="AR651" s="50">
        <v>8.1059522893420499E-2</v>
      </c>
      <c r="AS651" s="34">
        <v>7.6923076923076927E-2</v>
      </c>
      <c r="AT651" s="34">
        <v>0</v>
      </c>
      <c r="AU651" s="34">
        <v>6.6666666666666666E-2</v>
      </c>
      <c r="AV651" s="34">
        <v>5.4263565891472867E-2</v>
      </c>
      <c r="AW651" s="10"/>
      <c r="AX651" s="8"/>
    </row>
    <row r="652" spans="1:50">
      <c r="A652" s="7"/>
      <c r="B652" s="10"/>
      <c r="C652" s="45" t="s">
        <v>688</v>
      </c>
      <c r="D652" s="23" t="s">
        <v>21</v>
      </c>
      <c r="E652" s="68" t="s">
        <v>698</v>
      </c>
      <c r="F652" s="68" t="s">
        <v>698</v>
      </c>
      <c r="G652" s="68" t="s">
        <v>698</v>
      </c>
      <c r="H652" s="68" t="s">
        <v>698</v>
      </c>
      <c r="I652" s="25">
        <v>0.9</v>
      </c>
      <c r="J652" s="26">
        <v>1</v>
      </c>
      <c r="K652" s="26">
        <v>1</v>
      </c>
      <c r="L652" s="27">
        <v>1</v>
      </c>
      <c r="M652" s="26">
        <v>0.99532710280373837</v>
      </c>
      <c r="N652" s="28">
        <v>0.9</v>
      </c>
      <c r="O652" s="26">
        <v>0.93419170243204575</v>
      </c>
      <c r="P652" s="26">
        <v>0.91764176417641763</v>
      </c>
      <c r="Q652" s="26">
        <v>0.94480257856567285</v>
      </c>
      <c r="R652" s="26">
        <v>0.93905664536037026</v>
      </c>
      <c r="S652" s="28">
        <v>0.9</v>
      </c>
      <c r="T652" s="26">
        <v>0.90701001430615169</v>
      </c>
      <c r="U652" s="26">
        <v>0.93069306930693074</v>
      </c>
      <c r="V652" s="26">
        <v>0.92989524576954075</v>
      </c>
      <c r="W652" s="26">
        <v>0.92269120564249507</v>
      </c>
      <c r="X652" s="28">
        <v>0.92</v>
      </c>
      <c r="Y652" s="28">
        <v>0.89393939393939392</v>
      </c>
      <c r="Z652" s="28">
        <v>0.86594202898550721</v>
      </c>
      <c r="AA652" s="28">
        <v>0.8607809847198642</v>
      </c>
      <c r="AB652" s="28">
        <v>0.87390542907180391</v>
      </c>
      <c r="AC652" s="28">
        <v>0.92</v>
      </c>
      <c r="AD652" s="26">
        <v>0.99719602345144021</v>
      </c>
      <c r="AE652" s="26">
        <v>0.99584426946631666</v>
      </c>
      <c r="AF652" s="26">
        <v>0.99427782162588796</v>
      </c>
      <c r="AG652" s="26">
        <v>0.99590426212722383</v>
      </c>
      <c r="AH652" s="28">
        <v>0.92</v>
      </c>
      <c r="AI652" s="26">
        <v>0.94056463595839523</v>
      </c>
      <c r="AJ652" s="26">
        <v>0.95025234318673391</v>
      </c>
      <c r="AK652" s="26">
        <v>0.947265625</v>
      </c>
      <c r="AL652" s="26">
        <v>0.94983972188360644</v>
      </c>
      <c r="AM652" s="25">
        <v>0.99</v>
      </c>
      <c r="AN652" s="30">
        <v>1</v>
      </c>
      <c r="AO652" s="30">
        <v>1</v>
      </c>
      <c r="AP652" s="30">
        <v>1</v>
      </c>
      <c r="AQ652" s="30">
        <v>1</v>
      </c>
      <c r="AR652" s="50">
        <v>8.1059522893420499E-2</v>
      </c>
      <c r="AS652" s="34">
        <v>0</v>
      </c>
      <c r="AT652" s="34">
        <v>0</v>
      </c>
      <c r="AU652" s="34">
        <v>0</v>
      </c>
      <c r="AV652" s="34">
        <v>3.896103896103896E-2</v>
      </c>
      <c r="AW652" s="10"/>
      <c r="AX652" s="8"/>
    </row>
    <row r="653" spans="1:50">
      <c r="A653" s="7"/>
      <c r="B653" s="10"/>
      <c r="C653" s="45" t="s">
        <v>688</v>
      </c>
      <c r="D653" s="23" t="s">
        <v>21</v>
      </c>
      <c r="E653" s="68" t="s">
        <v>699</v>
      </c>
      <c r="F653" s="68" t="s">
        <v>699</v>
      </c>
      <c r="G653" s="68" t="s">
        <v>699</v>
      </c>
      <c r="H653" s="68" t="s">
        <v>699</v>
      </c>
      <c r="I653" s="25">
        <v>0.9</v>
      </c>
      <c r="J653" s="26">
        <v>0.95238095238095233</v>
      </c>
      <c r="K653" s="26">
        <v>0.8833333333333333</v>
      </c>
      <c r="L653" s="27">
        <v>0.93846153846153846</v>
      </c>
      <c r="M653" s="26">
        <v>0.9509803921568627</v>
      </c>
      <c r="N653" s="28">
        <v>0.9</v>
      </c>
      <c r="O653" s="26">
        <v>0.96462321298764231</v>
      </c>
      <c r="P653" s="26">
        <v>0.9602487230735065</v>
      </c>
      <c r="Q653" s="26">
        <v>0.96979726934215971</v>
      </c>
      <c r="R653" s="26">
        <v>0.97133892987365389</v>
      </c>
      <c r="S653" s="28">
        <v>0.9</v>
      </c>
      <c r="T653" s="26">
        <v>0.94984250060576692</v>
      </c>
      <c r="U653" s="26">
        <v>0.93537641572285146</v>
      </c>
      <c r="V653" s="26">
        <v>0.95841952834091848</v>
      </c>
      <c r="W653" s="26">
        <v>0.95053562848017181</v>
      </c>
      <c r="X653" s="28">
        <v>0.92</v>
      </c>
      <c r="Y653" s="28">
        <v>0.97529880478087649</v>
      </c>
      <c r="Z653" s="28">
        <v>0.97868852459016398</v>
      </c>
      <c r="AA653" s="28">
        <v>0.98336594911937381</v>
      </c>
      <c r="AB653" s="28">
        <v>0.97419821557752595</v>
      </c>
      <c r="AC653" s="28">
        <v>0.92</v>
      </c>
      <c r="AD653" s="26">
        <v>0.99526012865365088</v>
      </c>
      <c r="AE653" s="26">
        <v>0.9774885826294305</v>
      </c>
      <c r="AF653" s="26">
        <v>0.9767389762162566</v>
      </c>
      <c r="AG653" s="26">
        <v>0.96759429716903944</v>
      </c>
      <c r="AH653" s="28">
        <v>0.92</v>
      </c>
      <c r="AI653" s="26">
        <v>0.98588410104011892</v>
      </c>
      <c r="AJ653" s="26">
        <v>0.98741918574174381</v>
      </c>
      <c r="AK653" s="26">
        <v>0.99112021857923494</v>
      </c>
      <c r="AL653" s="26">
        <v>0.98775155108862378</v>
      </c>
      <c r="AM653" s="25">
        <v>0.99</v>
      </c>
      <c r="AN653" s="30">
        <v>1</v>
      </c>
      <c r="AO653" s="30">
        <v>1</v>
      </c>
      <c r="AP653" s="30">
        <v>1</v>
      </c>
      <c r="AQ653" s="30">
        <v>1</v>
      </c>
      <c r="AR653" s="50">
        <v>8.1059522893420499E-2</v>
      </c>
      <c r="AS653" s="34">
        <v>0</v>
      </c>
      <c r="AT653" s="34">
        <v>0</v>
      </c>
      <c r="AU653" s="34">
        <v>0</v>
      </c>
      <c r="AV653" s="34">
        <v>2.6548672566371681E-2</v>
      </c>
      <c r="AW653" s="10"/>
      <c r="AX653" s="8"/>
    </row>
    <row r="654" spans="1:50">
      <c r="A654" s="7"/>
      <c r="B654" s="10"/>
      <c r="C654" s="45" t="s">
        <v>688</v>
      </c>
      <c r="D654" s="23" t="s">
        <v>21</v>
      </c>
      <c r="E654" s="68" t="s">
        <v>700</v>
      </c>
      <c r="F654" s="68" t="s">
        <v>700</v>
      </c>
      <c r="G654" s="68" t="s">
        <v>700</v>
      </c>
      <c r="H654" s="68" t="s">
        <v>700</v>
      </c>
      <c r="I654" s="25">
        <v>0.9</v>
      </c>
      <c r="J654" s="26">
        <v>0.94444444444444442</v>
      </c>
      <c r="K654" s="26">
        <v>0.88888888888888884</v>
      </c>
      <c r="L654" s="27">
        <v>1</v>
      </c>
      <c r="M654" s="26">
        <v>0.97222222222222221</v>
      </c>
      <c r="N654" s="28">
        <v>0.9</v>
      </c>
      <c r="O654" s="26">
        <v>0.94752714113389624</v>
      </c>
      <c r="P654" s="26">
        <v>0.89202453987730057</v>
      </c>
      <c r="Q654" s="26">
        <v>0.97864184008762323</v>
      </c>
      <c r="R654" s="26">
        <v>0.94862496222423698</v>
      </c>
      <c r="S654" s="28">
        <v>0.9</v>
      </c>
      <c r="T654" s="26">
        <v>0.91556091676718943</v>
      </c>
      <c r="U654" s="26">
        <v>0.8907975460122699</v>
      </c>
      <c r="V654" s="26">
        <v>0.92059145673603504</v>
      </c>
      <c r="W654" s="26">
        <v>0.90812934421275304</v>
      </c>
      <c r="X654" s="28">
        <v>0.92</v>
      </c>
      <c r="Y654" s="28">
        <v>0.81877729257641918</v>
      </c>
      <c r="Z654" s="28">
        <v>0.8848920863309353</v>
      </c>
      <c r="AA654" s="28">
        <v>0.86419753086419748</v>
      </c>
      <c r="AB654" s="28">
        <v>0.82313607489134066</v>
      </c>
      <c r="AC654" s="28">
        <v>0.92</v>
      </c>
      <c r="AD654" s="26">
        <v>0.99046711153479505</v>
      </c>
      <c r="AE654" s="26">
        <v>0.99693855237262197</v>
      </c>
      <c r="AF654" s="26">
        <v>0.9907749077490775</v>
      </c>
      <c r="AG654" s="26">
        <v>0.9940452101520495</v>
      </c>
      <c r="AH654" s="28">
        <v>0.92</v>
      </c>
      <c r="AI654" s="26">
        <v>0.92722117202268428</v>
      </c>
      <c r="AJ654" s="26">
        <v>0.94284318514899856</v>
      </c>
      <c r="AK654" s="26">
        <v>0.96414164051994622</v>
      </c>
      <c r="AL654" s="26">
        <v>0.94133957729989526</v>
      </c>
      <c r="AM654" s="25">
        <v>0.99</v>
      </c>
      <c r="AN654" s="30">
        <v>1</v>
      </c>
      <c r="AO654" s="30">
        <v>1</v>
      </c>
      <c r="AP654" s="30">
        <v>1</v>
      </c>
      <c r="AQ654" s="30">
        <v>1</v>
      </c>
      <c r="AR654" s="50">
        <v>8.1059522893420499E-2</v>
      </c>
      <c r="AS654" s="34">
        <v>0</v>
      </c>
      <c r="AT654" s="34">
        <v>0</v>
      </c>
      <c r="AU654" s="34">
        <v>0</v>
      </c>
      <c r="AV654" s="34">
        <v>0.13333333333333333</v>
      </c>
      <c r="AW654" s="10"/>
      <c r="AX654" s="8"/>
    </row>
    <row r="655" spans="1:50">
      <c r="A655" s="7"/>
      <c r="B655" s="10"/>
      <c r="C655" s="45" t="s">
        <v>688</v>
      </c>
      <c r="D655" s="23" t="s">
        <v>21</v>
      </c>
      <c r="E655" s="68" t="s">
        <v>701</v>
      </c>
      <c r="F655" s="68" t="s">
        <v>701</v>
      </c>
      <c r="G655" s="68" t="s">
        <v>701</v>
      </c>
      <c r="H655" s="68" t="s">
        <v>701</v>
      </c>
      <c r="I655" s="25">
        <v>0.9</v>
      </c>
      <c r="J655" s="26">
        <v>0.97916666666666663</v>
      </c>
      <c r="K655" s="26">
        <v>1</v>
      </c>
      <c r="L655" s="27">
        <v>1</v>
      </c>
      <c r="M655" s="26">
        <v>0.97468354430379744</v>
      </c>
      <c r="N655" s="28">
        <v>0.9</v>
      </c>
      <c r="O655" s="26">
        <v>0.9804648862512364</v>
      </c>
      <c r="P655" s="26">
        <v>0.9812369701181376</v>
      </c>
      <c r="Q655" s="26">
        <v>0.97623719206453019</v>
      </c>
      <c r="R655" s="26">
        <v>0.98210397590002085</v>
      </c>
      <c r="S655" s="28">
        <v>0.9</v>
      </c>
      <c r="T655" s="26">
        <v>0.91147378832838777</v>
      </c>
      <c r="U655" s="26">
        <v>0.92309474171878625</v>
      </c>
      <c r="V655" s="26">
        <v>0.90582079790712888</v>
      </c>
      <c r="W655" s="26">
        <v>0.90705998150744171</v>
      </c>
      <c r="X655" s="28">
        <v>0.92</v>
      </c>
      <c r="Y655" s="28">
        <v>0.86352941176470588</v>
      </c>
      <c r="Z655" s="28">
        <v>0.90843023255813948</v>
      </c>
      <c r="AA655" s="28">
        <v>0.88065447545717035</v>
      </c>
      <c r="AB655" s="28">
        <v>0.88382687927107062</v>
      </c>
      <c r="AC655" s="28">
        <v>0.92</v>
      </c>
      <c r="AD655" s="26">
        <v>0.99432509120389134</v>
      </c>
      <c r="AE655" s="26">
        <v>0.98911957762557079</v>
      </c>
      <c r="AF655" s="26">
        <v>0.97398620433666372</v>
      </c>
      <c r="AG655" s="26">
        <v>0.98111819931583411</v>
      </c>
      <c r="AH655" s="28">
        <v>0.92</v>
      </c>
      <c r="AI655" s="26">
        <v>0.93704190941552334</v>
      </c>
      <c r="AJ655" s="26">
        <v>0.95345160723695765</v>
      </c>
      <c r="AK655" s="26">
        <v>0.95005332385353713</v>
      </c>
      <c r="AL655" s="26">
        <v>0.94604622583542086</v>
      </c>
      <c r="AM655" s="25">
        <v>0.99</v>
      </c>
      <c r="AN655" s="30">
        <v>1</v>
      </c>
      <c r="AO655" s="30">
        <v>1</v>
      </c>
      <c r="AP655" s="30">
        <v>1</v>
      </c>
      <c r="AQ655" s="30">
        <v>1</v>
      </c>
      <c r="AR655" s="50">
        <v>8.1059522893420499E-2</v>
      </c>
      <c r="AS655" s="34">
        <v>0.1</v>
      </c>
      <c r="AT655" s="34">
        <v>0</v>
      </c>
      <c r="AU655" s="34">
        <v>0</v>
      </c>
      <c r="AV655" s="34">
        <v>6.3492063492063489E-2</v>
      </c>
      <c r="AW655" s="10"/>
      <c r="AX655" s="8"/>
    </row>
    <row r="656" spans="1:50">
      <c r="A656" s="7"/>
      <c r="B656" s="10"/>
      <c r="C656" s="45" t="s">
        <v>688</v>
      </c>
      <c r="D656" s="23" t="s">
        <v>21</v>
      </c>
      <c r="E656" s="68" t="s">
        <v>702</v>
      </c>
      <c r="F656" s="68" t="s">
        <v>702</v>
      </c>
      <c r="G656" s="68" t="s">
        <v>702</v>
      </c>
      <c r="H656" s="68" t="s">
        <v>702</v>
      </c>
      <c r="I656" s="25">
        <v>0.9</v>
      </c>
      <c r="J656" s="26">
        <v>0.91666666666666663</v>
      </c>
      <c r="K656" s="26">
        <v>0.76923076923076927</v>
      </c>
      <c r="L656" s="27">
        <v>1</v>
      </c>
      <c r="M656" s="26">
        <v>0.90384615384615385</v>
      </c>
      <c r="N656" s="28">
        <v>0.9</v>
      </c>
      <c r="O656" s="26">
        <v>0.86618998978549544</v>
      </c>
      <c r="P656" s="26">
        <v>0.95508586525759576</v>
      </c>
      <c r="Q656" s="26">
        <v>0.93600000000000005</v>
      </c>
      <c r="R656" s="26">
        <v>0.95543104546033364</v>
      </c>
      <c r="S656" s="28">
        <v>0.9</v>
      </c>
      <c r="T656" s="26">
        <v>0.80286006128702758</v>
      </c>
      <c r="U656" s="26">
        <v>0.88110964332892994</v>
      </c>
      <c r="V656" s="26">
        <v>0.86311111111111116</v>
      </c>
      <c r="W656" s="26">
        <v>0.91277218897236723</v>
      </c>
      <c r="X656" s="28">
        <v>0.92</v>
      </c>
      <c r="Y656" s="28">
        <v>0.77220077220077221</v>
      </c>
      <c r="Z656" s="28">
        <v>0.81690140845070425</v>
      </c>
      <c r="AA656" s="28">
        <v>0.79894179894179895</v>
      </c>
      <c r="AB656" s="28">
        <v>0.84648058252427183</v>
      </c>
      <c r="AC656" s="28">
        <v>0.92</v>
      </c>
      <c r="AD656" s="26">
        <v>0.99405940594059405</v>
      </c>
      <c r="AE656" s="26">
        <v>1</v>
      </c>
      <c r="AF656" s="26">
        <v>1</v>
      </c>
      <c r="AG656" s="26">
        <v>0.99586883552801442</v>
      </c>
      <c r="AH656" s="28">
        <v>0.92</v>
      </c>
      <c r="AI656" s="26">
        <v>0.87560581583198704</v>
      </c>
      <c r="AJ656" s="26">
        <v>0.9402061855670103</v>
      </c>
      <c r="AK656" s="26">
        <v>0.9452054794520548</v>
      </c>
      <c r="AL656" s="26">
        <v>0.94926849805283653</v>
      </c>
      <c r="AM656" s="25">
        <v>0.99</v>
      </c>
      <c r="AN656" s="30">
        <v>1</v>
      </c>
      <c r="AO656" s="30">
        <v>1</v>
      </c>
      <c r="AP656" s="30">
        <v>1</v>
      </c>
      <c r="AQ656" s="30">
        <v>1</v>
      </c>
      <c r="AR656" s="50">
        <v>8.1059522893420499E-2</v>
      </c>
      <c r="AS656" s="34">
        <v>0.33333333333333331</v>
      </c>
      <c r="AT656" s="34">
        <v>0</v>
      </c>
      <c r="AU656" s="34">
        <v>0</v>
      </c>
      <c r="AV656" s="34">
        <v>5.128205128205128E-2</v>
      </c>
      <c r="AW656" s="10"/>
      <c r="AX656" s="8"/>
    </row>
    <row r="657" spans="1:50">
      <c r="A657" s="7"/>
      <c r="B657" s="10"/>
      <c r="C657" s="45" t="s">
        <v>688</v>
      </c>
      <c r="D657" s="23" t="s">
        <v>21</v>
      </c>
      <c r="E657" s="68" t="s">
        <v>703</v>
      </c>
      <c r="F657" s="68" t="s">
        <v>703</v>
      </c>
      <c r="G657" s="68" t="s">
        <v>703</v>
      </c>
      <c r="H657" s="68" t="s">
        <v>703</v>
      </c>
      <c r="I657" s="25">
        <v>0.9</v>
      </c>
      <c r="J657" s="26">
        <v>0.96969696969696972</v>
      </c>
      <c r="K657" s="26">
        <v>0.96551724137931039</v>
      </c>
      <c r="L657" s="27">
        <v>0.96969696969696972</v>
      </c>
      <c r="M657" s="26">
        <v>0.96825396825396826</v>
      </c>
      <c r="N657" s="28">
        <v>0.9</v>
      </c>
      <c r="O657" s="26">
        <v>0.97136258660508079</v>
      </c>
      <c r="P657" s="26">
        <v>0.93380096448925909</v>
      </c>
      <c r="Q657" s="26">
        <v>0.84840110540860636</v>
      </c>
      <c r="R657" s="26">
        <v>0.87630548302872058</v>
      </c>
      <c r="S657" s="28">
        <v>0.9</v>
      </c>
      <c r="T657" s="26">
        <v>0.96304849884526555</v>
      </c>
      <c r="U657" s="26">
        <v>0.94782989916703198</v>
      </c>
      <c r="V657" s="26">
        <v>0.95854717726016581</v>
      </c>
      <c r="W657" s="26">
        <v>0.95865970409051349</v>
      </c>
      <c r="X657" s="28">
        <v>0.92</v>
      </c>
      <c r="Y657" s="28">
        <v>0.97021943573667713</v>
      </c>
      <c r="Z657" s="28">
        <v>0.97452229299363058</v>
      </c>
      <c r="AA657" s="28">
        <v>0.97009345794392521</v>
      </c>
      <c r="AB657" s="28">
        <v>0.96640589047399905</v>
      </c>
      <c r="AC657" s="28">
        <v>0.92</v>
      </c>
      <c r="AD657" s="26">
        <v>0.99934744103663653</v>
      </c>
      <c r="AE657" s="26">
        <v>0.98240287074736043</v>
      </c>
      <c r="AF657" s="26">
        <v>0.99857549857549854</v>
      </c>
      <c r="AG657" s="26">
        <v>0.99632641902744079</v>
      </c>
      <c r="AH657" s="28">
        <v>0.92</v>
      </c>
      <c r="AI657" s="26">
        <v>0.98715661790938281</v>
      </c>
      <c r="AJ657" s="26">
        <v>0.98178068064627022</v>
      </c>
      <c r="AK657" s="26">
        <v>0.99185402411208867</v>
      </c>
      <c r="AL657" s="26">
        <v>0.98548621190130625</v>
      </c>
      <c r="AM657" s="25">
        <v>0.99</v>
      </c>
      <c r="AN657" s="30">
        <v>1</v>
      </c>
      <c r="AO657" s="30">
        <v>1</v>
      </c>
      <c r="AP657" s="30">
        <v>1</v>
      </c>
      <c r="AQ657" s="30">
        <v>1</v>
      </c>
      <c r="AR657" s="50">
        <v>8.1059522893420499E-2</v>
      </c>
      <c r="AS657" s="34">
        <v>0.125</v>
      </c>
      <c r="AT657" s="34">
        <v>0</v>
      </c>
      <c r="AU657" s="34">
        <v>0.14285714285714285</v>
      </c>
      <c r="AV657" s="34">
        <v>4.9180327868852458E-2</v>
      </c>
      <c r="AW657" s="10"/>
      <c r="AX657" s="8"/>
    </row>
    <row r="658" spans="1:50">
      <c r="A658" s="7"/>
      <c r="B658" s="10"/>
      <c r="C658" s="45" t="s">
        <v>688</v>
      </c>
      <c r="D658" s="23" t="s">
        <v>21</v>
      </c>
      <c r="E658" s="68" t="s">
        <v>704</v>
      </c>
      <c r="F658" s="68" t="s">
        <v>704</v>
      </c>
      <c r="G658" s="68" t="s">
        <v>704</v>
      </c>
      <c r="H658" s="68" t="s">
        <v>704</v>
      </c>
      <c r="I658" s="25">
        <v>0.9</v>
      </c>
      <c r="J658" s="26">
        <v>0.92592592592592593</v>
      </c>
      <c r="K658" s="26">
        <v>0.92</v>
      </c>
      <c r="L658" s="27">
        <v>0.90322580645161288</v>
      </c>
      <c r="M658" s="26">
        <v>0.92156862745098034</v>
      </c>
      <c r="N658" s="28">
        <v>0.9</v>
      </c>
      <c r="O658" s="26">
        <v>0.86622516556291396</v>
      </c>
      <c r="P658" s="26">
        <v>0.90363007778738114</v>
      </c>
      <c r="Q658" s="26">
        <v>0.91702741702741708</v>
      </c>
      <c r="R658" s="26">
        <v>0.89156007602609544</v>
      </c>
      <c r="S658" s="28">
        <v>0.9</v>
      </c>
      <c r="T658" s="26">
        <v>0.54128035320088297</v>
      </c>
      <c r="U658" s="26">
        <v>0.57000864304235088</v>
      </c>
      <c r="V658" s="26">
        <v>0.54365079365079361</v>
      </c>
      <c r="W658" s="26">
        <v>0.5271998767144398</v>
      </c>
      <c r="X658" s="28">
        <v>0.92</v>
      </c>
      <c r="Y658" s="28">
        <v>0.48154093097913325</v>
      </c>
      <c r="Z658" s="28">
        <v>0.50166666666666671</v>
      </c>
      <c r="AA658" s="28">
        <v>0.5501930501930502</v>
      </c>
      <c r="AB658" s="28">
        <v>0.48243948742287612</v>
      </c>
      <c r="AC658" s="28">
        <v>0.92</v>
      </c>
      <c r="AD658" s="26">
        <v>0.98806282722513084</v>
      </c>
      <c r="AE658" s="26">
        <v>0.99483337638853009</v>
      </c>
      <c r="AF658" s="26">
        <v>0.99675399953628563</v>
      </c>
      <c r="AG658" s="26">
        <v>0.99222842668815847</v>
      </c>
      <c r="AH658" s="28">
        <v>0.92</v>
      </c>
      <c r="AI658" s="26">
        <v>0.78012465373961215</v>
      </c>
      <c r="AJ658" s="26">
        <v>0.73850377487989016</v>
      </c>
      <c r="AK658" s="26">
        <v>0.85835866261398175</v>
      </c>
      <c r="AL658" s="26">
        <v>0.79779598040871469</v>
      </c>
      <c r="AM658" s="25">
        <v>0.99</v>
      </c>
      <c r="AN658" s="30">
        <v>1</v>
      </c>
      <c r="AO658" s="30">
        <v>1</v>
      </c>
      <c r="AP658" s="30">
        <v>1</v>
      </c>
      <c r="AQ658" s="30">
        <v>1</v>
      </c>
      <c r="AR658" s="50">
        <v>8.1059522893420499E-2</v>
      </c>
      <c r="AS658" s="34">
        <v>0</v>
      </c>
      <c r="AT658" s="34">
        <v>0</v>
      </c>
      <c r="AU658" s="34">
        <v>-0.25</v>
      </c>
      <c r="AV658" s="34">
        <v>1.4285714285714285E-2</v>
      </c>
      <c r="AW658" s="10"/>
      <c r="AX658" s="8"/>
    </row>
    <row r="659" spans="1:50">
      <c r="A659" s="7"/>
      <c r="B659" s="10"/>
      <c r="C659" s="45" t="s">
        <v>688</v>
      </c>
      <c r="D659" s="23" t="s">
        <v>21</v>
      </c>
      <c r="E659" s="68" t="s">
        <v>705</v>
      </c>
      <c r="F659" s="68" t="s">
        <v>705</v>
      </c>
      <c r="G659" s="68" t="s">
        <v>705</v>
      </c>
      <c r="H659" s="68" t="s">
        <v>705</v>
      </c>
      <c r="I659" s="25">
        <v>0.9</v>
      </c>
      <c r="J659" s="26">
        <v>1</v>
      </c>
      <c r="K659" s="26">
        <v>1</v>
      </c>
      <c r="L659" s="27">
        <v>1</v>
      </c>
      <c r="M659" s="26">
        <v>0.96808510638297873</v>
      </c>
      <c r="N659" s="28">
        <v>0.9</v>
      </c>
      <c r="O659" s="26">
        <v>0.98469988230678696</v>
      </c>
      <c r="P659" s="26">
        <v>0.985850725150336</v>
      </c>
      <c r="Q659" s="26">
        <v>0.9844742413549753</v>
      </c>
      <c r="R659" s="26">
        <v>0.9740435181164665</v>
      </c>
      <c r="S659" s="28">
        <v>0.9</v>
      </c>
      <c r="T659" s="26">
        <v>0.97214593958415063</v>
      </c>
      <c r="U659" s="26">
        <v>0.97736116024053765</v>
      </c>
      <c r="V659" s="26">
        <v>0.97424135497529996</v>
      </c>
      <c r="W659" s="26">
        <v>0.96183721715636605</v>
      </c>
      <c r="X659" s="28">
        <v>0.92</v>
      </c>
      <c r="Y659" s="28">
        <v>0.97709923664122134</v>
      </c>
      <c r="Z659" s="28">
        <v>0.98328108672936254</v>
      </c>
      <c r="AA659" s="28">
        <v>0.97023809523809523</v>
      </c>
      <c r="AB659" s="28">
        <v>0.97713682729511075</v>
      </c>
      <c r="AC659" s="28">
        <v>0.92</v>
      </c>
      <c r="AD659" s="26">
        <v>0.99199815342001996</v>
      </c>
      <c r="AE659" s="26">
        <v>0.97355339679651709</v>
      </c>
      <c r="AF659" s="26">
        <v>0.96057452733401727</v>
      </c>
      <c r="AG659" s="26">
        <v>0.96884175161077613</v>
      </c>
      <c r="AH659" s="28">
        <v>0.92</v>
      </c>
      <c r="AI659" s="26">
        <v>0.98800599700149927</v>
      </c>
      <c r="AJ659" s="26">
        <v>0.98996567203591235</v>
      </c>
      <c r="AK659" s="26">
        <v>0.98887938408896492</v>
      </c>
      <c r="AL659" s="26">
        <v>0.98762348132167599</v>
      </c>
      <c r="AM659" s="25">
        <v>0.99</v>
      </c>
      <c r="AN659" s="30">
        <v>1</v>
      </c>
      <c r="AO659" s="30">
        <v>1</v>
      </c>
      <c r="AP659" s="30">
        <v>1</v>
      </c>
      <c r="AQ659" s="30">
        <v>1</v>
      </c>
      <c r="AR659" s="50">
        <v>8.1059522893420499E-2</v>
      </c>
      <c r="AS659" s="34">
        <v>0</v>
      </c>
      <c r="AT659" s="34">
        <v>0</v>
      </c>
      <c r="AU659" s="34">
        <v>0</v>
      </c>
      <c r="AV659" s="34">
        <v>0</v>
      </c>
      <c r="AW659" s="10"/>
      <c r="AX659" s="8"/>
    </row>
    <row r="660" spans="1:50">
      <c r="A660" s="7"/>
      <c r="B660" s="10"/>
      <c r="C660" s="45" t="s">
        <v>688</v>
      </c>
      <c r="D660" s="23" t="s">
        <v>21</v>
      </c>
      <c r="E660" s="68" t="s">
        <v>706</v>
      </c>
      <c r="F660" s="68" t="s">
        <v>706</v>
      </c>
      <c r="G660" s="68" t="s">
        <v>706</v>
      </c>
      <c r="H660" s="68" t="s">
        <v>706</v>
      </c>
      <c r="I660" s="25">
        <v>0.9</v>
      </c>
      <c r="J660" s="26">
        <v>0.93939393939393945</v>
      </c>
      <c r="K660" s="26">
        <v>0.96969696969696972</v>
      </c>
      <c r="L660" s="27">
        <v>0.95945945945945943</v>
      </c>
      <c r="M660" s="26">
        <v>0.96096654275092941</v>
      </c>
      <c r="N660" s="28">
        <v>0.9</v>
      </c>
      <c r="O660" s="26">
        <v>0.95961781142960156</v>
      </c>
      <c r="P660" s="26">
        <v>0.96969195097714478</v>
      </c>
      <c r="Q660" s="26">
        <v>0.97755454402762521</v>
      </c>
      <c r="R660" s="26">
        <v>0.95225948323254539</v>
      </c>
      <c r="S660" s="28">
        <v>0.9</v>
      </c>
      <c r="T660" s="26">
        <v>0.95348837209302328</v>
      </c>
      <c r="U660" s="26">
        <v>0.9580987081815171</v>
      </c>
      <c r="V660" s="26">
        <v>0.95636477789985874</v>
      </c>
      <c r="W660" s="26">
        <v>0.95437053326003296</v>
      </c>
      <c r="X660" s="28">
        <v>0.92</v>
      </c>
      <c r="Y660" s="28">
        <v>0.89913043478260868</v>
      </c>
      <c r="Z660" s="28">
        <v>0.91036717062634986</v>
      </c>
      <c r="AA660" s="28">
        <v>0.91210374639769454</v>
      </c>
      <c r="AB660" s="28">
        <v>0.90217109246604965</v>
      </c>
      <c r="AC660" s="28">
        <v>0.92</v>
      </c>
      <c r="AD660" s="26">
        <v>0.99455337690631807</v>
      </c>
      <c r="AE660" s="26">
        <v>0.9787783638304125</v>
      </c>
      <c r="AF660" s="26">
        <v>0.98103102957824151</v>
      </c>
      <c r="AG660" s="26">
        <v>0.97501504158224328</v>
      </c>
      <c r="AH660" s="28">
        <v>0.92</v>
      </c>
      <c r="AI660" s="26">
        <v>0.96067647463220129</v>
      </c>
      <c r="AJ660" s="26">
        <v>0.96540800810947791</v>
      </c>
      <c r="AK660" s="26">
        <v>0.97126288659793814</v>
      </c>
      <c r="AL660" s="26">
        <v>0.96615427760152839</v>
      </c>
      <c r="AM660" s="25">
        <v>0.99</v>
      </c>
      <c r="AN660" s="30">
        <v>1</v>
      </c>
      <c r="AO660" s="30">
        <v>1</v>
      </c>
      <c r="AP660" s="30">
        <v>1</v>
      </c>
      <c r="AQ660" s="30">
        <v>1</v>
      </c>
      <c r="AR660" s="50">
        <v>8.1059522893420499E-2</v>
      </c>
      <c r="AS660" s="34">
        <v>0</v>
      </c>
      <c r="AT660" s="34">
        <v>4.7619047619047616E-2</v>
      </c>
      <c r="AU660" s="34">
        <v>0.05</v>
      </c>
      <c r="AV660" s="34">
        <v>2.0547945205479451E-2</v>
      </c>
      <c r="AW660" s="10"/>
      <c r="AX660" s="8"/>
    </row>
    <row r="661" spans="1:50">
      <c r="A661" s="7"/>
      <c r="B661" s="10"/>
      <c r="C661" s="45" t="s">
        <v>688</v>
      </c>
      <c r="D661" s="23" t="s">
        <v>21</v>
      </c>
      <c r="E661" s="68" t="s">
        <v>707</v>
      </c>
      <c r="F661" s="68" t="s">
        <v>707</v>
      </c>
      <c r="G661" s="68" t="s">
        <v>707</v>
      </c>
      <c r="H661" s="68" t="s">
        <v>707</v>
      </c>
      <c r="I661" s="25">
        <v>0.9</v>
      </c>
      <c r="J661" s="26">
        <v>0.96153846153846156</v>
      </c>
      <c r="K661" s="26">
        <v>0.93103448275862066</v>
      </c>
      <c r="L661" s="27">
        <v>0.96551724137931039</v>
      </c>
      <c r="M661" s="26">
        <v>0.96172248803827753</v>
      </c>
      <c r="N661" s="28">
        <v>0.9</v>
      </c>
      <c r="O661" s="26">
        <v>0.95266843757546482</v>
      </c>
      <c r="P661" s="26">
        <v>0.93943244387971203</v>
      </c>
      <c r="Q661" s="26">
        <v>0.94647046278524205</v>
      </c>
      <c r="R661" s="26">
        <v>0.85267164397599182</v>
      </c>
      <c r="S661" s="28">
        <v>0.9</v>
      </c>
      <c r="T661" s="26">
        <v>0.95943008935039842</v>
      </c>
      <c r="U661" s="26">
        <v>0.95002117746717496</v>
      </c>
      <c r="V661" s="26">
        <v>0.94561740243122205</v>
      </c>
      <c r="W661" s="26">
        <v>0.94700629483238175</v>
      </c>
      <c r="X661" s="28">
        <v>0.92</v>
      </c>
      <c r="Y661" s="28">
        <v>0.96093214530500348</v>
      </c>
      <c r="Z661" s="28">
        <v>0.97782831154064809</v>
      </c>
      <c r="AA661" s="28">
        <v>0.9523411371237458</v>
      </c>
      <c r="AB661" s="28">
        <v>0.95859585958595861</v>
      </c>
      <c r="AC661" s="28">
        <v>0.92</v>
      </c>
      <c r="AD661" s="26">
        <v>0.99778572981949742</v>
      </c>
      <c r="AE661" s="26">
        <v>0.97295267612349501</v>
      </c>
      <c r="AF661" s="26">
        <v>0.98173240441055465</v>
      </c>
      <c r="AG661" s="26">
        <v>0.96980624145925998</v>
      </c>
      <c r="AH661" s="28">
        <v>0.92</v>
      </c>
      <c r="AI661" s="26">
        <v>0.97822595038372295</v>
      </c>
      <c r="AJ661" s="26">
        <v>0.98025300833076212</v>
      </c>
      <c r="AK661" s="26">
        <v>0.978264561046018</v>
      </c>
      <c r="AL661" s="26">
        <v>0.97747696765285108</v>
      </c>
      <c r="AM661" s="25">
        <v>0.99</v>
      </c>
      <c r="AN661" s="30">
        <v>1</v>
      </c>
      <c r="AO661" s="30">
        <v>1</v>
      </c>
      <c r="AP661" s="30">
        <v>1</v>
      </c>
      <c r="AQ661" s="30">
        <v>1</v>
      </c>
      <c r="AR661" s="50">
        <v>8.1059522893420499E-2</v>
      </c>
      <c r="AS661" s="34">
        <v>0</v>
      </c>
      <c r="AT661" s="34">
        <v>0</v>
      </c>
      <c r="AU661" s="34">
        <v>0</v>
      </c>
      <c r="AV661" s="34">
        <v>2.9411764705882353E-2</v>
      </c>
      <c r="AW661" s="10"/>
      <c r="AX661" s="8"/>
    </row>
    <row r="662" spans="1:50">
      <c r="A662" s="7"/>
      <c r="B662" s="10"/>
      <c r="C662" s="45" t="s">
        <v>688</v>
      </c>
      <c r="D662" s="23" t="s">
        <v>21</v>
      </c>
      <c r="E662" s="68" t="s">
        <v>708</v>
      </c>
      <c r="F662" s="68" t="s">
        <v>708</v>
      </c>
      <c r="G662" s="68" t="s">
        <v>708</v>
      </c>
      <c r="H662" s="68" t="s">
        <v>708</v>
      </c>
      <c r="I662" s="25">
        <v>0.9</v>
      </c>
      <c r="J662" s="26">
        <v>0.97368421052631582</v>
      </c>
      <c r="K662" s="26">
        <v>1</v>
      </c>
      <c r="L662" s="27">
        <v>1</v>
      </c>
      <c r="M662" s="26">
        <v>0.98299319727891155</v>
      </c>
      <c r="N662" s="28">
        <v>0.9</v>
      </c>
      <c r="O662" s="26">
        <v>0.96446488294314381</v>
      </c>
      <c r="P662" s="26">
        <v>0.96614894464356826</v>
      </c>
      <c r="Q662" s="26">
        <v>0.9616548940464178</v>
      </c>
      <c r="R662" s="26">
        <v>0.95659957422101805</v>
      </c>
      <c r="S662" s="28">
        <v>0.9</v>
      </c>
      <c r="T662" s="26">
        <v>0.92307692307692313</v>
      </c>
      <c r="U662" s="26">
        <v>0.93588211867781756</v>
      </c>
      <c r="V662" s="26">
        <v>0.94248234106962669</v>
      </c>
      <c r="W662" s="26">
        <v>0.92795626088639438</v>
      </c>
      <c r="X662" s="28">
        <v>0.92</v>
      </c>
      <c r="Y662" s="28">
        <v>0.92030075187969929</v>
      </c>
      <c r="Z662" s="28">
        <v>0.94470774091627174</v>
      </c>
      <c r="AA662" s="28">
        <v>0.92915980230642503</v>
      </c>
      <c r="AB662" s="28">
        <v>0.92583732057416268</v>
      </c>
      <c r="AC662" s="28">
        <v>0.92</v>
      </c>
      <c r="AD662" s="26">
        <v>0.99797843665768193</v>
      </c>
      <c r="AE662" s="26">
        <v>0.99180887372013649</v>
      </c>
      <c r="AF662" s="26">
        <v>0.99215173315892735</v>
      </c>
      <c r="AG662" s="26">
        <v>0.9927710843373494</v>
      </c>
      <c r="AH662" s="28">
        <v>0.92</v>
      </c>
      <c r="AI662" s="26">
        <v>0.94896957801766435</v>
      </c>
      <c r="AJ662" s="26">
        <v>0.9580152671755725</v>
      </c>
      <c r="AK662" s="26">
        <v>0.96284916201117321</v>
      </c>
      <c r="AL662" s="26">
        <v>0.95666112562336736</v>
      </c>
      <c r="AM662" s="25">
        <v>0.99</v>
      </c>
      <c r="AN662" s="30">
        <v>1</v>
      </c>
      <c r="AO662" s="30">
        <v>1</v>
      </c>
      <c r="AP662" s="30">
        <v>1</v>
      </c>
      <c r="AQ662" s="30">
        <v>1</v>
      </c>
      <c r="AR662" s="50">
        <v>8.1059522893420499E-2</v>
      </c>
      <c r="AS662" s="34">
        <v>8.3333333333333329E-2</v>
      </c>
      <c r="AT662" s="34">
        <v>0</v>
      </c>
      <c r="AU662" s="34">
        <v>0.1111111111111111</v>
      </c>
      <c r="AV662" s="34">
        <v>2.564102564102564E-2</v>
      </c>
      <c r="AW662" s="10"/>
      <c r="AX662" s="8"/>
    </row>
    <row r="663" spans="1:50">
      <c r="A663" s="7"/>
      <c r="B663" s="10"/>
      <c r="C663" s="45" t="s">
        <v>688</v>
      </c>
      <c r="D663" s="23" t="s">
        <v>21</v>
      </c>
      <c r="E663" s="68" t="s">
        <v>709</v>
      </c>
      <c r="F663" s="68" t="s">
        <v>709</v>
      </c>
      <c r="G663" s="68" t="s">
        <v>709</v>
      </c>
      <c r="H663" s="68" t="s">
        <v>709</v>
      </c>
      <c r="I663" s="25">
        <v>0.9</v>
      </c>
      <c r="J663" s="26">
        <v>0.91304347826086951</v>
      </c>
      <c r="K663" s="26">
        <v>0.95833333333333337</v>
      </c>
      <c r="L663" s="27">
        <v>0.95833333333333337</v>
      </c>
      <c r="M663" s="26">
        <v>0.89893617021276595</v>
      </c>
      <c r="N663" s="28">
        <v>0.9</v>
      </c>
      <c r="O663" s="26">
        <v>0.76275862068965516</v>
      </c>
      <c r="P663" s="26">
        <v>0.70307595731324546</v>
      </c>
      <c r="Q663" s="26">
        <v>0.72199885123492247</v>
      </c>
      <c r="R663" s="26">
        <v>0.77733311989755083</v>
      </c>
      <c r="S663" s="28">
        <v>0.9</v>
      </c>
      <c r="T663" s="26">
        <v>0.90413793103448281</v>
      </c>
      <c r="U663" s="26">
        <v>0.91713747645951038</v>
      </c>
      <c r="V663" s="26">
        <v>0.92073520964962663</v>
      </c>
      <c r="W663" s="26">
        <v>0.91796062109812715</v>
      </c>
      <c r="X663" s="28">
        <v>0.92</v>
      </c>
      <c r="Y663" s="28">
        <v>0.92272727272727273</v>
      </c>
      <c r="Z663" s="28">
        <v>0.9240196078431373</v>
      </c>
      <c r="AA663" s="28">
        <v>0.90277777777777779</v>
      </c>
      <c r="AB663" s="28">
        <v>0.92701487374610858</v>
      </c>
      <c r="AC663" s="28">
        <v>0.92</v>
      </c>
      <c r="AD663" s="26">
        <v>0.99832775919732442</v>
      </c>
      <c r="AE663" s="26">
        <v>0.98911070780399279</v>
      </c>
      <c r="AF663" s="26">
        <v>0.99444444444444446</v>
      </c>
      <c r="AG663" s="26">
        <v>0.99300411522633747</v>
      </c>
      <c r="AH663" s="28">
        <v>0.92</v>
      </c>
      <c r="AI663" s="26">
        <v>0.94391534391534393</v>
      </c>
      <c r="AJ663" s="26">
        <v>0.95602198900549729</v>
      </c>
      <c r="AK663" s="26">
        <v>0.9609709662065683</v>
      </c>
      <c r="AL663" s="26">
        <v>0.96178095547611309</v>
      </c>
      <c r="AM663" s="25">
        <v>0.99</v>
      </c>
      <c r="AN663" s="30">
        <v>1</v>
      </c>
      <c r="AO663" s="30">
        <v>1</v>
      </c>
      <c r="AP663" s="30">
        <v>1</v>
      </c>
      <c r="AQ663" s="30">
        <v>1</v>
      </c>
      <c r="AR663" s="50">
        <v>8.1059522893420499E-2</v>
      </c>
      <c r="AS663" s="34">
        <v>0</v>
      </c>
      <c r="AT663" s="34">
        <v>0</v>
      </c>
      <c r="AU663" s="34">
        <v>0</v>
      </c>
      <c r="AV663" s="34">
        <v>3.896103896103896E-2</v>
      </c>
      <c r="AW663" s="10"/>
      <c r="AX663" s="8"/>
    </row>
    <row r="664" spans="1:50">
      <c r="A664" s="7"/>
      <c r="B664" s="10"/>
      <c r="C664" s="45" t="s">
        <v>688</v>
      </c>
      <c r="D664" s="23" t="s">
        <v>21</v>
      </c>
      <c r="E664" s="68" t="s">
        <v>710</v>
      </c>
      <c r="F664" s="68" t="s">
        <v>710</v>
      </c>
      <c r="G664" s="68" t="s">
        <v>710</v>
      </c>
      <c r="H664" s="68" t="s">
        <v>710</v>
      </c>
      <c r="I664" s="25">
        <v>0.9</v>
      </c>
      <c r="J664" s="26">
        <v>0.967741935483871</v>
      </c>
      <c r="K664" s="26">
        <v>0.93103448275862066</v>
      </c>
      <c r="L664" s="27">
        <v>0.93333333333333335</v>
      </c>
      <c r="M664" s="26">
        <v>0.93991416309012876</v>
      </c>
      <c r="N664" s="28">
        <v>0.9</v>
      </c>
      <c r="O664" s="26">
        <v>0.99450549450549453</v>
      </c>
      <c r="P664" s="26">
        <v>0.97997711670480547</v>
      </c>
      <c r="Q664" s="26">
        <v>0.82010309278350513</v>
      </c>
      <c r="R664" s="26">
        <v>0.87799882972498533</v>
      </c>
      <c r="S664" s="28">
        <v>0.9</v>
      </c>
      <c r="T664" s="26">
        <v>0.9072039072039072</v>
      </c>
      <c r="U664" s="26">
        <v>0.92848970251716245</v>
      </c>
      <c r="V664" s="26">
        <v>0.91958762886597933</v>
      </c>
      <c r="W664" s="26">
        <v>0.90952311293153887</v>
      </c>
      <c r="X664" s="28">
        <v>0.92</v>
      </c>
      <c r="Y664" s="28">
        <v>0.87551867219917012</v>
      </c>
      <c r="Z664" s="28">
        <v>0.8716216216216216</v>
      </c>
      <c r="AA664" s="28">
        <v>0.82677165354330706</v>
      </c>
      <c r="AB664" s="28">
        <v>0.85452824234774372</v>
      </c>
      <c r="AC664" s="28">
        <v>0.92</v>
      </c>
      <c r="AD664" s="26">
        <v>0.99928901528617131</v>
      </c>
      <c r="AE664" s="26">
        <v>0.96662999633296665</v>
      </c>
      <c r="AF664" s="26">
        <v>0.93832442067736188</v>
      </c>
      <c r="AG664" s="26">
        <v>0.9816863100634633</v>
      </c>
      <c r="AH664" s="28">
        <v>0.92</v>
      </c>
      <c r="AI664" s="26">
        <v>0.92032060348892031</v>
      </c>
      <c r="AJ664" s="26">
        <v>0.93613138686131392</v>
      </c>
      <c r="AK664" s="26">
        <v>0.93149504523912108</v>
      </c>
      <c r="AL664" s="26">
        <v>0.93130677432761388</v>
      </c>
      <c r="AM664" s="25">
        <v>0.99</v>
      </c>
      <c r="AN664" s="30">
        <v>1</v>
      </c>
      <c r="AO664" s="30">
        <v>1</v>
      </c>
      <c r="AP664" s="30">
        <v>1</v>
      </c>
      <c r="AQ664" s="30">
        <v>1</v>
      </c>
      <c r="AR664" s="50">
        <v>8.1059522893420499E-2</v>
      </c>
      <c r="AS664" s="34">
        <v>0</v>
      </c>
      <c r="AT664" s="34">
        <v>0</v>
      </c>
      <c r="AU664" s="34">
        <v>0</v>
      </c>
      <c r="AV664" s="34">
        <v>4.1666666666666664E-2</v>
      </c>
      <c r="AW664" s="10"/>
      <c r="AX664" s="8"/>
    </row>
    <row r="665" spans="1:50">
      <c r="A665" s="7"/>
      <c r="B665" s="10"/>
      <c r="C665" s="45" t="s">
        <v>688</v>
      </c>
      <c r="D665" s="23" t="s">
        <v>21</v>
      </c>
      <c r="E665" s="68" t="s">
        <v>711</v>
      </c>
      <c r="F665" s="68" t="s">
        <v>711</v>
      </c>
      <c r="G665" s="68" t="s">
        <v>711</v>
      </c>
      <c r="H665" s="68" t="s">
        <v>711</v>
      </c>
      <c r="I665" s="25">
        <v>0.9</v>
      </c>
      <c r="J665" s="26">
        <v>0.88888888888888884</v>
      </c>
      <c r="K665" s="26">
        <v>0.9642857142857143</v>
      </c>
      <c r="L665" s="27">
        <v>0.9642857142857143</v>
      </c>
      <c r="M665" s="26">
        <v>0.95475113122171951</v>
      </c>
      <c r="N665" s="28">
        <v>0.9</v>
      </c>
      <c r="O665" s="26">
        <v>0.93319194061505828</v>
      </c>
      <c r="P665" s="26">
        <v>0.93526670119109268</v>
      </c>
      <c r="Q665" s="26">
        <v>0.97958297132927885</v>
      </c>
      <c r="R665" s="26">
        <v>0.96701432520733854</v>
      </c>
      <c r="S665" s="28">
        <v>0.9</v>
      </c>
      <c r="T665" s="26">
        <v>0.92948038176033931</v>
      </c>
      <c r="U665" s="26">
        <v>0.94821336095287412</v>
      </c>
      <c r="V665" s="26">
        <v>0.93701129452649867</v>
      </c>
      <c r="W665" s="26">
        <v>0.93911786881125914</v>
      </c>
      <c r="X665" s="28">
        <v>0.92</v>
      </c>
      <c r="Y665" s="28">
        <v>0.91635687732342008</v>
      </c>
      <c r="Z665" s="28">
        <v>0.90744920993227995</v>
      </c>
      <c r="AA665" s="28">
        <v>0.95642701525054463</v>
      </c>
      <c r="AB665" s="28">
        <v>0.9196185286103542</v>
      </c>
      <c r="AC665" s="28">
        <v>0.92</v>
      </c>
      <c r="AD665" s="26">
        <v>0.99537037037037035</v>
      </c>
      <c r="AE665" s="26">
        <v>0.99160748870238868</v>
      </c>
      <c r="AF665" s="26">
        <v>0.98577524893314372</v>
      </c>
      <c r="AG665" s="26">
        <v>0.98517919698194556</v>
      </c>
      <c r="AH665" s="28">
        <v>0.92</v>
      </c>
      <c r="AI665" s="26">
        <v>0.95874587458745875</v>
      </c>
      <c r="AJ665" s="26">
        <v>0.96461668070766637</v>
      </c>
      <c r="AK665" s="26">
        <v>0.97790655559579864</v>
      </c>
      <c r="AL665" s="26">
        <v>0.96589400592259778</v>
      </c>
      <c r="AM665" s="25">
        <v>0.99</v>
      </c>
      <c r="AN665" s="30">
        <v>1</v>
      </c>
      <c r="AO665" s="30">
        <v>1</v>
      </c>
      <c r="AP665" s="30">
        <v>1</v>
      </c>
      <c r="AQ665" s="30">
        <v>1</v>
      </c>
      <c r="AR665" s="50">
        <v>8.1059522893420499E-2</v>
      </c>
      <c r="AS665" s="34">
        <v>0</v>
      </c>
      <c r="AT665" s="34">
        <v>0</v>
      </c>
      <c r="AU665" s="34">
        <v>9.0909090909090912E-2</v>
      </c>
      <c r="AV665" s="34">
        <v>4.2105263157894736E-2</v>
      </c>
      <c r="AW665" s="10"/>
      <c r="AX665" s="8"/>
    </row>
    <row r="666" spans="1:50">
      <c r="A666" s="7"/>
      <c r="B666" s="10"/>
      <c r="C666" s="45" t="s">
        <v>688</v>
      </c>
      <c r="D666" s="23" t="s">
        <v>21</v>
      </c>
      <c r="E666" s="68" t="s">
        <v>712</v>
      </c>
      <c r="F666" s="68" t="s">
        <v>712</v>
      </c>
      <c r="G666" s="68" t="s">
        <v>712</v>
      </c>
      <c r="H666" s="68" t="s">
        <v>712</v>
      </c>
      <c r="I666" s="25">
        <v>0.9</v>
      </c>
      <c r="J666" s="26">
        <v>1</v>
      </c>
      <c r="K666" s="26">
        <v>1</v>
      </c>
      <c r="L666" s="27">
        <v>0.96</v>
      </c>
      <c r="M666" s="26">
        <v>0.98</v>
      </c>
      <c r="N666" s="28">
        <v>0.9</v>
      </c>
      <c r="O666" s="26">
        <v>0.97594677584442169</v>
      </c>
      <c r="P666" s="26">
        <v>0.98325123152709359</v>
      </c>
      <c r="Q666" s="26">
        <v>0.98072805139186292</v>
      </c>
      <c r="R666" s="26">
        <v>0.97469353076829712</v>
      </c>
      <c r="S666" s="28">
        <v>0.9</v>
      </c>
      <c r="T666" s="26">
        <v>0.94165813715455471</v>
      </c>
      <c r="U666" s="26">
        <v>0.94926108374384233</v>
      </c>
      <c r="V666" s="26">
        <v>0.95117773019271945</v>
      </c>
      <c r="W666" s="26">
        <v>0.95005461827891735</v>
      </c>
      <c r="X666" s="28">
        <v>0.92</v>
      </c>
      <c r="Y666" s="28">
        <v>0.93165467625899279</v>
      </c>
      <c r="Z666" s="28">
        <v>0.91732283464566933</v>
      </c>
      <c r="AA666" s="28">
        <v>0.94951456310679616</v>
      </c>
      <c r="AB666" s="28">
        <v>0.93866807054488022</v>
      </c>
      <c r="AC666" s="28">
        <v>0.92</v>
      </c>
      <c r="AD666" s="26">
        <v>0.99857448325017817</v>
      </c>
      <c r="AE666" s="26">
        <v>0.99823477493380408</v>
      </c>
      <c r="AF666" s="26">
        <v>0.99779249448123619</v>
      </c>
      <c r="AG666" s="26">
        <v>0.99694947569113446</v>
      </c>
      <c r="AH666" s="28">
        <v>0.92</v>
      </c>
      <c r="AI666" s="26">
        <v>0.96095617529880473</v>
      </c>
      <c r="AJ666" s="26">
        <v>0.97241922773837663</v>
      </c>
      <c r="AK666" s="26">
        <v>0.97930550683970541</v>
      </c>
      <c r="AL666" s="26">
        <v>0.97618343195266277</v>
      </c>
      <c r="AM666" s="25">
        <v>0.99</v>
      </c>
      <c r="AN666" s="30">
        <v>1</v>
      </c>
      <c r="AO666" s="30">
        <v>1</v>
      </c>
      <c r="AP666" s="30">
        <v>1</v>
      </c>
      <c r="AQ666" s="30">
        <v>1</v>
      </c>
      <c r="AR666" s="50">
        <v>8.1059522893420499E-2</v>
      </c>
      <c r="AS666" s="34">
        <v>0</v>
      </c>
      <c r="AT666" s="34">
        <v>0</v>
      </c>
      <c r="AU666" s="34">
        <v>0</v>
      </c>
      <c r="AV666" s="34">
        <v>3.8461538461538464E-2</v>
      </c>
      <c r="AW666" s="10"/>
      <c r="AX666" s="8"/>
    </row>
    <row r="667" spans="1:50">
      <c r="A667" s="7"/>
      <c r="B667" s="10"/>
      <c r="C667" s="45" t="s">
        <v>688</v>
      </c>
      <c r="D667" s="23" t="s">
        <v>21</v>
      </c>
      <c r="E667" s="68" t="s">
        <v>713</v>
      </c>
      <c r="F667" s="68" t="s">
        <v>713</v>
      </c>
      <c r="G667" s="68" t="s">
        <v>713</v>
      </c>
      <c r="H667" s="68" t="s">
        <v>713</v>
      </c>
      <c r="I667" s="25">
        <v>0.9</v>
      </c>
      <c r="J667" s="26">
        <v>1</v>
      </c>
      <c r="K667" s="26">
        <v>1</v>
      </c>
      <c r="L667" s="27">
        <v>1</v>
      </c>
      <c r="M667" s="26">
        <v>1</v>
      </c>
      <c r="N667" s="28">
        <v>0.9</v>
      </c>
      <c r="O667" s="26">
        <v>0.92274509803921567</v>
      </c>
      <c r="P667" s="26">
        <v>0.9359404096834264</v>
      </c>
      <c r="Q667" s="26">
        <v>0.94626865671641791</v>
      </c>
      <c r="R667" s="26">
        <v>0.9311436304417634</v>
      </c>
      <c r="S667" s="28">
        <v>0.9</v>
      </c>
      <c r="T667" s="26">
        <v>0.96823529411764708</v>
      </c>
      <c r="U667" s="26">
        <v>0.97951582867783982</v>
      </c>
      <c r="V667" s="26">
        <v>0.98009950248756217</v>
      </c>
      <c r="W667" s="26">
        <v>0.97775127299417408</v>
      </c>
      <c r="X667" s="28">
        <v>0.92</v>
      </c>
      <c r="Y667" s="28">
        <v>0.96132596685082872</v>
      </c>
      <c r="Z667" s="28">
        <v>0.96947674418604646</v>
      </c>
      <c r="AA667" s="28">
        <v>0.9581939799331104</v>
      </c>
      <c r="AB667" s="28">
        <v>0.96837286724927174</v>
      </c>
      <c r="AC667" s="28">
        <v>0.92</v>
      </c>
      <c r="AD667" s="26">
        <v>0.99950099800399206</v>
      </c>
      <c r="AE667" s="26">
        <v>0.99669547534316216</v>
      </c>
      <c r="AF667" s="26">
        <v>0.9926160337552743</v>
      </c>
      <c r="AG667" s="26">
        <v>0.99681174681174678</v>
      </c>
      <c r="AH667" s="28">
        <v>0.92</v>
      </c>
      <c r="AI667" s="26">
        <v>0.98017688319609642</v>
      </c>
      <c r="AJ667" s="26">
        <v>0.98873406463089242</v>
      </c>
      <c r="AK667" s="26">
        <v>0.98809853307500695</v>
      </c>
      <c r="AL667" s="26">
        <v>0.98760004509074517</v>
      </c>
      <c r="AM667" s="25">
        <v>0.99</v>
      </c>
      <c r="AN667" s="30">
        <v>1</v>
      </c>
      <c r="AO667" s="30">
        <v>1</v>
      </c>
      <c r="AP667" s="30">
        <v>1</v>
      </c>
      <c r="AQ667" s="30">
        <v>1</v>
      </c>
      <c r="AR667" s="50">
        <v>8.1059522893420499E-2</v>
      </c>
      <c r="AS667" s="34">
        <v>0</v>
      </c>
      <c r="AT667" s="34">
        <v>0</v>
      </c>
      <c r="AU667" s="34">
        <v>6.6666666666666666E-2</v>
      </c>
      <c r="AV667" s="34">
        <v>2.247191011235955E-2</v>
      </c>
      <c r="AW667" s="10"/>
      <c r="AX667" s="8"/>
    </row>
    <row r="668" spans="1:50">
      <c r="A668" s="7"/>
      <c r="B668" s="10"/>
      <c r="C668" s="45" t="s">
        <v>688</v>
      </c>
      <c r="D668" s="23" t="s">
        <v>21</v>
      </c>
      <c r="E668" s="68" t="s">
        <v>714</v>
      </c>
      <c r="F668" s="68" t="s">
        <v>714</v>
      </c>
      <c r="G668" s="68" t="s">
        <v>714</v>
      </c>
      <c r="H668" s="68" t="s">
        <v>714</v>
      </c>
      <c r="I668" s="25">
        <v>0.9</v>
      </c>
      <c r="J668" s="26">
        <v>1</v>
      </c>
      <c r="K668" s="26">
        <v>1</v>
      </c>
      <c r="L668" s="27">
        <v>0.97297297297297303</v>
      </c>
      <c r="M668" s="26">
        <v>0.99288256227758009</v>
      </c>
      <c r="N668" s="28">
        <v>0.9</v>
      </c>
      <c r="O668" s="26">
        <v>0.99400074990626175</v>
      </c>
      <c r="P668" s="26">
        <v>0.9938672438672439</v>
      </c>
      <c r="Q668" s="26">
        <v>0.99409855414576576</v>
      </c>
      <c r="R668" s="26">
        <v>0.99347186073302896</v>
      </c>
      <c r="S668" s="28">
        <v>0.9</v>
      </c>
      <c r="T668" s="26">
        <v>0.94075740532433449</v>
      </c>
      <c r="U668" s="26">
        <v>0.94372294372294374</v>
      </c>
      <c r="V668" s="26">
        <v>0.95839480672764832</v>
      </c>
      <c r="W668" s="26">
        <v>0.95178563809361272</v>
      </c>
      <c r="X668" s="28">
        <v>0.92</v>
      </c>
      <c r="Y668" s="28">
        <v>0.92405063291139244</v>
      </c>
      <c r="Z668" s="28">
        <v>0.93455098934550984</v>
      </c>
      <c r="AA668" s="28">
        <v>0.91916167664670656</v>
      </c>
      <c r="AB668" s="28">
        <v>0.92792961437663801</v>
      </c>
      <c r="AC668" s="28">
        <v>0.92</v>
      </c>
      <c r="AD668" s="26">
        <v>0.99838449111470118</v>
      </c>
      <c r="AE668" s="26">
        <v>0.99297012302284715</v>
      </c>
      <c r="AF668" s="26">
        <v>0.99300699300699302</v>
      </c>
      <c r="AG668" s="26">
        <v>0.99679897567221509</v>
      </c>
      <c r="AH668" s="28">
        <v>0.92</v>
      </c>
      <c r="AI668" s="26">
        <v>0.95660977726352325</v>
      </c>
      <c r="AJ668" s="26">
        <v>0.96062992125984248</v>
      </c>
      <c r="AK668" s="26">
        <v>0.97042878265155252</v>
      </c>
      <c r="AL668" s="26">
        <v>0.96855892162312396</v>
      </c>
      <c r="AM668" s="25">
        <v>0.99</v>
      </c>
      <c r="AN668" s="30">
        <v>1</v>
      </c>
      <c r="AO668" s="30">
        <v>1</v>
      </c>
      <c r="AP668" s="30">
        <v>1</v>
      </c>
      <c r="AQ668" s="30">
        <v>1</v>
      </c>
      <c r="AR668" s="50">
        <v>8.1059522893420499E-2</v>
      </c>
      <c r="AS668" s="34">
        <v>0</v>
      </c>
      <c r="AT668" s="34">
        <v>0</v>
      </c>
      <c r="AU668" s="34">
        <v>6.6666666666666666E-2</v>
      </c>
      <c r="AV668" s="34">
        <v>3.2258064516129031E-2</v>
      </c>
      <c r="AW668" s="10"/>
      <c r="AX668" s="8"/>
    </row>
    <row r="669" spans="1:50">
      <c r="A669" s="7"/>
      <c r="B669" s="10"/>
      <c r="C669" s="45" t="s">
        <v>688</v>
      </c>
      <c r="D669" s="23" t="s">
        <v>21</v>
      </c>
      <c r="E669" s="68" t="s">
        <v>715</v>
      </c>
      <c r="F669" s="68" t="s">
        <v>715</v>
      </c>
      <c r="G669" s="68" t="s">
        <v>715</v>
      </c>
      <c r="H669" s="68" t="s">
        <v>715</v>
      </c>
      <c r="I669" s="25">
        <v>0.9</v>
      </c>
      <c r="J669" s="26">
        <v>1</v>
      </c>
      <c r="K669" s="26">
        <v>1</v>
      </c>
      <c r="L669" s="27">
        <v>1</v>
      </c>
      <c r="M669" s="26">
        <v>1</v>
      </c>
      <c r="N669" s="28">
        <v>0.9</v>
      </c>
      <c r="O669" s="26">
        <v>0.98116169544740972</v>
      </c>
      <c r="P669" s="26">
        <v>0.98072289156626502</v>
      </c>
      <c r="Q669" s="26">
        <v>0.98997852541159626</v>
      </c>
      <c r="R669" s="26">
        <v>0.98750983477576715</v>
      </c>
      <c r="S669" s="28">
        <v>0.9</v>
      </c>
      <c r="T669" s="26">
        <v>0.92935635792778648</v>
      </c>
      <c r="U669" s="26">
        <v>0.92369477911646591</v>
      </c>
      <c r="V669" s="26">
        <v>0.95204008589835365</v>
      </c>
      <c r="W669" s="26">
        <v>0.93577891424075532</v>
      </c>
      <c r="X669" s="28">
        <v>0.92</v>
      </c>
      <c r="Y669" s="28">
        <v>0.93195266272189348</v>
      </c>
      <c r="Z669" s="28">
        <v>0.91703056768558955</v>
      </c>
      <c r="AA669" s="28">
        <v>0.93515358361774747</v>
      </c>
      <c r="AB669" s="28">
        <v>0.93736017897091728</v>
      </c>
      <c r="AC669" s="28">
        <v>0.92</v>
      </c>
      <c r="AD669" s="26">
        <v>1</v>
      </c>
      <c r="AE669" s="26">
        <v>0.9941860465116279</v>
      </c>
      <c r="AF669" s="26">
        <v>0.99242424242424243</v>
      </c>
      <c r="AG669" s="26">
        <v>0.9942196531791907</v>
      </c>
      <c r="AH669" s="28">
        <v>0.92</v>
      </c>
      <c r="AI669" s="26">
        <v>0.95719602977667495</v>
      </c>
      <c r="AJ669" s="26">
        <v>0.96404341926729986</v>
      </c>
      <c r="AK669" s="26">
        <v>0.98047337278106506</v>
      </c>
      <c r="AL669" s="26">
        <v>0.97178102072079331</v>
      </c>
      <c r="AM669" s="25">
        <v>0.99</v>
      </c>
      <c r="AN669" s="30">
        <v>1</v>
      </c>
      <c r="AO669" s="30">
        <v>1</v>
      </c>
      <c r="AP669" s="30">
        <v>1</v>
      </c>
      <c r="AQ669" s="30">
        <v>1</v>
      </c>
      <c r="AR669" s="50">
        <v>8.1059522893420499E-2</v>
      </c>
      <c r="AS669" s="34">
        <v>0</v>
      </c>
      <c r="AT669" s="34">
        <v>0.1111111111111111</v>
      </c>
      <c r="AU669" s="34">
        <v>0</v>
      </c>
      <c r="AV669" s="34">
        <v>4.6153846153846156E-2</v>
      </c>
      <c r="AW669" s="10"/>
      <c r="AX669" s="8"/>
    </row>
    <row r="670" spans="1:50">
      <c r="A670" s="7"/>
      <c r="B670" s="10"/>
      <c r="C670" s="45" t="s">
        <v>688</v>
      </c>
      <c r="D670" s="23" t="s">
        <v>21</v>
      </c>
      <c r="E670" s="68" t="s">
        <v>716</v>
      </c>
      <c r="F670" s="68" t="s">
        <v>716</v>
      </c>
      <c r="G670" s="68" t="s">
        <v>716</v>
      </c>
      <c r="H670" s="68" t="s">
        <v>716</v>
      </c>
      <c r="I670" s="25">
        <v>0.9</v>
      </c>
      <c r="J670" s="26">
        <v>0</v>
      </c>
      <c r="K670" s="26">
        <v>0</v>
      </c>
      <c r="L670" s="27">
        <v>0</v>
      </c>
      <c r="M670" s="26">
        <v>0</v>
      </c>
      <c r="N670" s="28">
        <v>0.9</v>
      </c>
      <c r="O670" s="26">
        <v>0</v>
      </c>
      <c r="P670" s="26">
        <v>0</v>
      </c>
      <c r="Q670" s="26">
        <v>0</v>
      </c>
      <c r="R670" s="26">
        <v>0</v>
      </c>
      <c r="S670" s="28">
        <v>0.9</v>
      </c>
      <c r="T670" s="26">
        <v>0</v>
      </c>
      <c r="U670" s="26">
        <v>0</v>
      </c>
      <c r="V670" s="26">
        <v>0</v>
      </c>
      <c r="W670" s="26">
        <v>0</v>
      </c>
      <c r="X670" s="28">
        <v>0.92</v>
      </c>
      <c r="Y670" s="28">
        <v>0</v>
      </c>
      <c r="Z670" s="28">
        <v>0</v>
      </c>
      <c r="AA670" s="28">
        <v>0</v>
      </c>
      <c r="AB670" s="28">
        <v>0</v>
      </c>
      <c r="AC670" s="28">
        <v>0.92</v>
      </c>
      <c r="AD670" s="26">
        <v>0</v>
      </c>
      <c r="AE670" s="26">
        <v>0</v>
      </c>
      <c r="AF670" s="26">
        <v>0</v>
      </c>
      <c r="AG670" s="26">
        <v>0</v>
      </c>
      <c r="AH670" s="28">
        <v>0.92</v>
      </c>
      <c r="AI670" s="26">
        <v>0</v>
      </c>
      <c r="AJ670" s="26">
        <v>0</v>
      </c>
      <c r="AK670" s="26">
        <v>0</v>
      </c>
      <c r="AL670" s="26">
        <v>0</v>
      </c>
      <c r="AM670" s="25">
        <v>0.99</v>
      </c>
      <c r="AN670" s="30">
        <v>0</v>
      </c>
      <c r="AO670" s="30">
        <v>0</v>
      </c>
      <c r="AP670" s="30">
        <v>0</v>
      </c>
      <c r="AQ670" s="30">
        <v>0</v>
      </c>
      <c r="AR670" s="50">
        <v>8.1059522893420499E-2</v>
      </c>
      <c r="AS670" s="34">
        <v>0</v>
      </c>
      <c r="AT670" s="34">
        <v>0</v>
      </c>
      <c r="AU670" s="34">
        <v>0</v>
      </c>
      <c r="AV670" s="34">
        <v>0</v>
      </c>
      <c r="AW670" s="10"/>
      <c r="AX670" s="8"/>
    </row>
    <row r="671" spans="1:50">
      <c r="A671" s="7"/>
      <c r="B671" s="10"/>
      <c r="C671" s="45" t="s">
        <v>688</v>
      </c>
      <c r="D671" s="23" t="s">
        <v>21</v>
      </c>
      <c r="E671" s="68" t="s">
        <v>717</v>
      </c>
      <c r="F671" s="68" t="s">
        <v>717</v>
      </c>
      <c r="G671" s="68" t="s">
        <v>717</v>
      </c>
      <c r="H671" s="68" t="s">
        <v>717</v>
      </c>
      <c r="I671" s="25">
        <v>0.9</v>
      </c>
      <c r="J671" s="26">
        <v>0.8</v>
      </c>
      <c r="K671" s="26">
        <v>0.88888888888888884</v>
      </c>
      <c r="L671" s="27">
        <v>0.9</v>
      </c>
      <c r="M671" s="26">
        <v>0.90697674418604646</v>
      </c>
      <c r="N671" s="28">
        <v>0.9</v>
      </c>
      <c r="O671" s="26">
        <v>0.94273594909862146</v>
      </c>
      <c r="P671" s="26">
        <v>0.96001926782273606</v>
      </c>
      <c r="Q671" s="26">
        <v>0.95031578947368422</v>
      </c>
      <c r="R671" s="26">
        <v>0.94621989029334608</v>
      </c>
      <c r="S671" s="28">
        <v>0.9</v>
      </c>
      <c r="T671" s="26">
        <v>0.93584305408271473</v>
      </c>
      <c r="U671" s="26">
        <v>0.9532755298651252</v>
      </c>
      <c r="V671" s="26">
        <v>0.95326315789473681</v>
      </c>
      <c r="W671" s="26">
        <v>0.94443119484855709</v>
      </c>
      <c r="X671" s="28">
        <v>0.92</v>
      </c>
      <c r="Y671" s="28">
        <v>0.94920634920634916</v>
      </c>
      <c r="Z671" s="28">
        <v>0.95988112927191682</v>
      </c>
      <c r="AA671" s="28">
        <v>0.96711509715994026</v>
      </c>
      <c r="AB671" s="28">
        <v>0.95931758530183731</v>
      </c>
      <c r="AC671" s="28">
        <v>0.92</v>
      </c>
      <c r="AD671" s="26">
        <v>0.99846153846153851</v>
      </c>
      <c r="AE671" s="26">
        <v>1</v>
      </c>
      <c r="AF671" s="26">
        <v>0.99457504520795659</v>
      </c>
      <c r="AG671" s="26">
        <v>0.99621371476651244</v>
      </c>
      <c r="AH671" s="28">
        <v>0.92</v>
      </c>
      <c r="AI671" s="26">
        <v>0.97218911402463248</v>
      </c>
      <c r="AJ671" s="26">
        <v>0.98035649327028007</v>
      </c>
      <c r="AK671" s="26">
        <v>0.98390275952693829</v>
      </c>
      <c r="AL671" s="26">
        <v>0.97757381199981919</v>
      </c>
      <c r="AM671" s="25">
        <v>0.99</v>
      </c>
      <c r="AN671" s="30">
        <v>1</v>
      </c>
      <c r="AO671" s="30">
        <v>1</v>
      </c>
      <c r="AP671" s="30">
        <v>1</v>
      </c>
      <c r="AQ671" s="30">
        <v>1</v>
      </c>
      <c r="AR671" s="50">
        <v>8.1059522893420499E-2</v>
      </c>
      <c r="AS671" s="34">
        <v>0</v>
      </c>
      <c r="AT671" s="34">
        <v>0</v>
      </c>
      <c r="AU671" s="34">
        <v>0.125</v>
      </c>
      <c r="AV671" s="34">
        <v>0.05</v>
      </c>
      <c r="AW671" s="10"/>
      <c r="AX671" s="8"/>
    </row>
    <row r="672" spans="1:50">
      <c r="A672" s="7"/>
      <c r="B672" s="10"/>
      <c r="C672" s="45" t="s">
        <v>688</v>
      </c>
      <c r="D672" s="23" t="s">
        <v>21</v>
      </c>
      <c r="E672" s="68" t="s">
        <v>718</v>
      </c>
      <c r="F672" s="68" t="s">
        <v>718</v>
      </c>
      <c r="G672" s="68" t="s">
        <v>718</v>
      </c>
      <c r="H672" s="68" t="s">
        <v>718</v>
      </c>
      <c r="I672" s="25">
        <v>0.9</v>
      </c>
      <c r="J672" s="26">
        <v>0.84615384615384615</v>
      </c>
      <c r="K672" s="26">
        <v>0.88</v>
      </c>
      <c r="L672" s="27">
        <v>0.81481481481481477</v>
      </c>
      <c r="M672" s="26">
        <v>0.85238095238095235</v>
      </c>
      <c r="N672" s="28">
        <v>0.9</v>
      </c>
      <c r="O672" s="26">
        <v>0.94499999999999995</v>
      </c>
      <c r="P672" s="26">
        <v>0.95541685242978158</v>
      </c>
      <c r="Q672" s="26">
        <v>0.95836516424751717</v>
      </c>
      <c r="R672" s="26">
        <v>0.95416394157401352</v>
      </c>
      <c r="S672" s="28">
        <v>0.9</v>
      </c>
      <c r="T672" s="26">
        <v>0.94545454545454544</v>
      </c>
      <c r="U672" s="26">
        <v>0.94605439144003567</v>
      </c>
      <c r="V672" s="26">
        <v>0.95301757066462944</v>
      </c>
      <c r="W672" s="26">
        <v>0.94528013952474388</v>
      </c>
      <c r="X672" s="28">
        <v>0.92</v>
      </c>
      <c r="Y672" s="28">
        <v>0.91263650546021846</v>
      </c>
      <c r="Z672" s="28">
        <v>0.91693290734824284</v>
      </c>
      <c r="AA672" s="28">
        <v>0.93568147013782543</v>
      </c>
      <c r="AB672" s="28">
        <v>0.92228961334344195</v>
      </c>
      <c r="AC672" s="28">
        <v>0.92</v>
      </c>
      <c r="AD672" s="26">
        <v>0.9859154929577465</v>
      </c>
      <c r="AE672" s="26">
        <v>0.99473684210526314</v>
      </c>
      <c r="AF672" s="26">
        <v>0.99350649350649356</v>
      </c>
      <c r="AG672" s="26">
        <v>0.98411122144985108</v>
      </c>
      <c r="AH672" s="28">
        <v>0.92</v>
      </c>
      <c r="AI672" s="26">
        <v>0.96340605207600283</v>
      </c>
      <c r="AJ672" s="26">
        <v>0.96620209059233453</v>
      </c>
      <c r="AK672" s="26">
        <v>0.97465648854961828</v>
      </c>
      <c r="AL672" s="26">
        <v>0.96724014033901173</v>
      </c>
      <c r="AM672" s="25">
        <v>0.99</v>
      </c>
      <c r="AN672" s="30">
        <v>1</v>
      </c>
      <c r="AO672" s="30">
        <v>1</v>
      </c>
      <c r="AP672" s="30">
        <v>1</v>
      </c>
      <c r="AQ672" s="30">
        <v>1</v>
      </c>
      <c r="AR672" s="50">
        <v>8.1059522893420499E-2</v>
      </c>
      <c r="AS672" s="34">
        <v>0</v>
      </c>
      <c r="AT672" s="34">
        <v>0</v>
      </c>
      <c r="AU672" s="34">
        <v>0</v>
      </c>
      <c r="AV672" s="34">
        <v>3.5714285714285712E-2</v>
      </c>
      <c r="AW672" s="10"/>
      <c r="AX672" s="8"/>
    </row>
    <row r="673" spans="1:50">
      <c r="A673" s="7"/>
      <c r="B673" s="10"/>
      <c r="C673" s="45" t="s">
        <v>688</v>
      </c>
      <c r="D673" s="23" t="s">
        <v>21</v>
      </c>
      <c r="E673" s="68" t="s">
        <v>719</v>
      </c>
      <c r="F673" s="68" t="s">
        <v>719</v>
      </c>
      <c r="G673" s="68" t="s">
        <v>719</v>
      </c>
      <c r="H673" s="68" t="s">
        <v>719</v>
      </c>
      <c r="I673" s="25">
        <v>0.9</v>
      </c>
      <c r="J673" s="26">
        <v>0.89189189189189189</v>
      </c>
      <c r="K673" s="26">
        <v>0.82857142857142863</v>
      </c>
      <c r="L673" s="27">
        <v>0.88888888888888884</v>
      </c>
      <c r="M673" s="26">
        <v>0.83157894736842108</v>
      </c>
      <c r="N673" s="28">
        <v>0.9</v>
      </c>
      <c r="O673" s="26">
        <v>0.96388395500296031</v>
      </c>
      <c r="P673" s="26">
        <v>0.91836173721825176</v>
      </c>
      <c r="Q673" s="26">
        <v>0.9325040313291868</v>
      </c>
      <c r="R673" s="26">
        <v>0.92078199441432562</v>
      </c>
      <c r="S673" s="28">
        <v>0.9</v>
      </c>
      <c r="T673" s="26">
        <v>0.93132030787448195</v>
      </c>
      <c r="U673" s="26">
        <v>0.90599230346344151</v>
      </c>
      <c r="V673" s="26">
        <v>0.93181294632573142</v>
      </c>
      <c r="W673" s="26">
        <v>0.91828486939379006</v>
      </c>
      <c r="X673" s="28">
        <v>0.92</v>
      </c>
      <c r="Y673" s="28">
        <v>0.91253644314868809</v>
      </c>
      <c r="Z673" s="28">
        <v>0.92728758169934644</v>
      </c>
      <c r="AA673" s="28">
        <v>0.93922651933701662</v>
      </c>
      <c r="AB673" s="28">
        <v>0.93237971391417429</v>
      </c>
      <c r="AC673" s="28">
        <v>0.92</v>
      </c>
      <c r="AD673" s="26">
        <v>1</v>
      </c>
      <c r="AE673" s="26">
        <v>0.99219878647789661</v>
      </c>
      <c r="AF673" s="26">
        <v>0.98385565052231716</v>
      </c>
      <c r="AG673" s="26">
        <v>0.99336025123373706</v>
      </c>
      <c r="AH673" s="28">
        <v>0.92</v>
      </c>
      <c r="AI673" s="26">
        <v>0.96324029952348533</v>
      </c>
      <c r="AJ673" s="26">
        <v>0.96688605512134929</v>
      </c>
      <c r="AK673" s="26">
        <v>0.97825686382900312</v>
      </c>
      <c r="AL673" s="26">
        <v>0.97088186356073214</v>
      </c>
      <c r="AM673" s="25">
        <v>0.99</v>
      </c>
      <c r="AN673" s="30">
        <v>1</v>
      </c>
      <c r="AO673" s="30">
        <v>1</v>
      </c>
      <c r="AP673" s="30">
        <v>1</v>
      </c>
      <c r="AQ673" s="30">
        <v>1</v>
      </c>
      <c r="AR673" s="50">
        <v>8.1059522893420499E-2</v>
      </c>
      <c r="AS673" s="34">
        <v>0</v>
      </c>
      <c r="AT673" s="34">
        <v>0</v>
      </c>
      <c r="AU673" s="34">
        <v>0</v>
      </c>
      <c r="AV673" s="34">
        <v>2.247191011235955E-2</v>
      </c>
      <c r="AW673" s="10"/>
      <c r="AX673" s="8"/>
    </row>
    <row r="674" spans="1:50">
      <c r="A674" s="7"/>
      <c r="B674" s="10"/>
      <c r="C674" s="45" t="s">
        <v>688</v>
      </c>
      <c r="D674" s="23" t="s">
        <v>21</v>
      </c>
      <c r="E674" s="68" t="s">
        <v>720</v>
      </c>
      <c r="F674" s="68" t="s">
        <v>720</v>
      </c>
      <c r="G674" s="68" t="s">
        <v>720</v>
      </c>
      <c r="H674" s="68" t="s">
        <v>720</v>
      </c>
      <c r="I674" s="25">
        <v>0.9</v>
      </c>
      <c r="J674" s="26">
        <v>0.7407407407407407</v>
      </c>
      <c r="K674" s="26">
        <v>0.75</v>
      </c>
      <c r="L674" s="27">
        <v>0.82758620689655171</v>
      </c>
      <c r="M674" s="26">
        <v>0.78181818181818186</v>
      </c>
      <c r="N674" s="28">
        <v>0.9</v>
      </c>
      <c r="O674" s="26">
        <v>0.90660685154975529</v>
      </c>
      <c r="P674" s="26">
        <v>0.94728497820055491</v>
      </c>
      <c r="Q674" s="26">
        <v>0.93859951707485345</v>
      </c>
      <c r="R674" s="26">
        <v>0.93026219063954918</v>
      </c>
      <c r="S674" s="28">
        <v>0.9</v>
      </c>
      <c r="T674" s="26">
        <v>0.89763458401305052</v>
      </c>
      <c r="U674" s="26">
        <v>0.93460166468489891</v>
      </c>
      <c r="V674" s="26">
        <v>0.92514660227664713</v>
      </c>
      <c r="W674" s="26">
        <v>0.92217593727027691</v>
      </c>
      <c r="X674" s="28">
        <v>0.92</v>
      </c>
      <c r="Y674" s="28">
        <v>0.86356821589205401</v>
      </c>
      <c r="Z674" s="28">
        <v>0.90804597701149425</v>
      </c>
      <c r="AA674" s="28">
        <v>0.87412587412587417</v>
      </c>
      <c r="AB674" s="28">
        <v>0.89417721518987336</v>
      </c>
      <c r="AC674" s="28">
        <v>0.92</v>
      </c>
      <c r="AD674" s="26">
        <v>1</v>
      </c>
      <c r="AE674" s="26">
        <v>0.99887429643527204</v>
      </c>
      <c r="AF674" s="26">
        <v>0.99189189189189186</v>
      </c>
      <c r="AG674" s="26">
        <v>0.99860607750209085</v>
      </c>
      <c r="AH674" s="28">
        <v>0.92</v>
      </c>
      <c r="AI674" s="26">
        <v>0.92021787888497275</v>
      </c>
      <c r="AJ674" s="26">
        <v>0.95916515426497273</v>
      </c>
      <c r="AK674" s="26">
        <v>0.95214384508990313</v>
      </c>
      <c r="AL674" s="26">
        <v>0.94962034927866368</v>
      </c>
      <c r="AM674" s="25">
        <v>0.99</v>
      </c>
      <c r="AN674" s="30">
        <v>1</v>
      </c>
      <c r="AO674" s="30">
        <v>1</v>
      </c>
      <c r="AP674" s="30">
        <v>1</v>
      </c>
      <c r="AQ674" s="30">
        <v>1</v>
      </c>
      <c r="AR674" s="50">
        <v>8.1059522893420499E-2</v>
      </c>
      <c r="AS674" s="34">
        <v>7.6923076923076927E-2</v>
      </c>
      <c r="AT674" s="34">
        <v>0</v>
      </c>
      <c r="AU674" s="34">
        <v>0</v>
      </c>
      <c r="AV674" s="34">
        <v>-1.4084507042253521E-2</v>
      </c>
      <c r="AW674" s="10"/>
      <c r="AX674" s="8"/>
    </row>
    <row r="675" spans="1:50">
      <c r="A675" s="7"/>
      <c r="B675" s="10"/>
      <c r="C675" s="45" t="s">
        <v>688</v>
      </c>
      <c r="D675" s="23" t="s">
        <v>21</v>
      </c>
      <c r="E675" s="68" t="s">
        <v>721</v>
      </c>
      <c r="F675" s="68" t="s">
        <v>721</v>
      </c>
      <c r="G675" s="68" t="s">
        <v>721</v>
      </c>
      <c r="H675" s="68" t="s">
        <v>721</v>
      </c>
      <c r="I675" s="25">
        <v>0.9</v>
      </c>
      <c r="J675" s="26">
        <v>0.61111111111111116</v>
      </c>
      <c r="K675" s="26">
        <v>0.94444444444444442</v>
      </c>
      <c r="L675" s="27">
        <v>0.68421052631578949</v>
      </c>
      <c r="M675" s="26">
        <v>0.80536912751677847</v>
      </c>
      <c r="N675" s="28">
        <v>0.9</v>
      </c>
      <c r="O675" s="26">
        <v>0.98398462524023067</v>
      </c>
      <c r="P675" s="26">
        <v>0.99054505005561733</v>
      </c>
      <c r="Q675" s="26">
        <v>0.97723899059871355</v>
      </c>
      <c r="R675" s="26">
        <v>0.98307505534528317</v>
      </c>
      <c r="S675" s="28">
        <v>0.9</v>
      </c>
      <c r="T675" s="26">
        <v>0.92953235105701471</v>
      </c>
      <c r="U675" s="26">
        <v>0.94605116796440492</v>
      </c>
      <c r="V675" s="26">
        <v>0.93765462642256314</v>
      </c>
      <c r="W675" s="26">
        <v>0.94229807898307505</v>
      </c>
      <c r="X675" s="28">
        <v>0.92</v>
      </c>
      <c r="Y675" s="28">
        <v>0.94226804123711339</v>
      </c>
      <c r="Z675" s="28">
        <v>0.90467625899280579</v>
      </c>
      <c r="AA675" s="28">
        <v>0.95414462081128748</v>
      </c>
      <c r="AB675" s="28">
        <v>0.94264981273408244</v>
      </c>
      <c r="AC675" s="28">
        <v>0.92</v>
      </c>
      <c r="AD675" s="26">
        <v>1</v>
      </c>
      <c r="AE675" s="26">
        <v>1</v>
      </c>
      <c r="AF675" s="26">
        <v>0.99664991624790622</v>
      </c>
      <c r="AG675" s="26">
        <v>0.99455676516329705</v>
      </c>
      <c r="AH675" s="28">
        <v>0.92</v>
      </c>
      <c r="AI675" s="26">
        <v>0.961969770843491</v>
      </c>
      <c r="AJ675" s="26">
        <v>0.96644010195412067</v>
      </c>
      <c r="AK675" s="26">
        <v>0.97179289026275117</v>
      </c>
      <c r="AL675" s="26">
        <v>0.97133949570639389</v>
      </c>
      <c r="AM675" s="25">
        <v>0.99</v>
      </c>
      <c r="AN675" s="30">
        <v>1</v>
      </c>
      <c r="AO675" s="30">
        <v>1</v>
      </c>
      <c r="AP675" s="30">
        <v>1</v>
      </c>
      <c r="AQ675" s="30">
        <v>1</v>
      </c>
      <c r="AR675" s="50">
        <v>8.1059522893420499E-2</v>
      </c>
      <c r="AS675" s="34">
        <v>0.33333333333333331</v>
      </c>
      <c r="AT675" s="34">
        <v>0</v>
      </c>
      <c r="AU675" s="34">
        <v>0</v>
      </c>
      <c r="AV675" s="34">
        <v>0.10526315789473684</v>
      </c>
      <c r="AW675" s="10"/>
      <c r="AX675" s="8"/>
    </row>
    <row r="676" spans="1:50">
      <c r="A676" s="7"/>
      <c r="B676" s="10"/>
      <c r="C676" s="45" t="s">
        <v>688</v>
      </c>
      <c r="D676" s="23" t="s">
        <v>21</v>
      </c>
      <c r="E676" s="68" t="s">
        <v>722</v>
      </c>
      <c r="F676" s="68" t="s">
        <v>722</v>
      </c>
      <c r="G676" s="68" t="s">
        <v>722</v>
      </c>
      <c r="H676" s="68" t="s">
        <v>722</v>
      </c>
      <c r="I676" s="25">
        <v>0.9</v>
      </c>
      <c r="J676" s="26">
        <v>1</v>
      </c>
      <c r="K676" s="26">
        <v>0.95238095238095233</v>
      </c>
      <c r="L676" s="27">
        <v>1</v>
      </c>
      <c r="M676" s="26">
        <v>0.97647058823529409</v>
      </c>
      <c r="N676" s="28">
        <v>0.9</v>
      </c>
      <c r="O676" s="26">
        <v>0.99007832898172321</v>
      </c>
      <c r="P676" s="26">
        <v>0.99697580645161288</v>
      </c>
      <c r="Q676" s="26">
        <v>0.99708211754897869</v>
      </c>
      <c r="R676" s="26">
        <v>0.99454838309998761</v>
      </c>
      <c r="S676" s="28">
        <v>0.9</v>
      </c>
      <c r="T676" s="26">
        <v>0.95665796344647525</v>
      </c>
      <c r="U676" s="26">
        <v>0.96723790322580649</v>
      </c>
      <c r="V676" s="26">
        <v>0.97082117548978741</v>
      </c>
      <c r="W676" s="26">
        <v>0.96252013381241486</v>
      </c>
      <c r="X676" s="28">
        <v>0.92</v>
      </c>
      <c r="Y676" s="28">
        <v>0.96397941680960553</v>
      </c>
      <c r="Z676" s="28">
        <v>0.98119122257053293</v>
      </c>
      <c r="AA676" s="28">
        <v>0.97987616099071206</v>
      </c>
      <c r="AB676" s="28">
        <v>0.976390243902439</v>
      </c>
      <c r="AC676" s="28">
        <v>0.92</v>
      </c>
      <c r="AD676" s="26">
        <v>1</v>
      </c>
      <c r="AE676" s="26">
        <v>1</v>
      </c>
      <c r="AF676" s="26">
        <v>0.97841726618705038</v>
      </c>
      <c r="AG676" s="26">
        <v>0.9908088235294118</v>
      </c>
      <c r="AH676" s="28">
        <v>0.92</v>
      </c>
      <c r="AI676" s="26">
        <v>0.98038430744595673</v>
      </c>
      <c r="AJ676" s="26">
        <v>0.99160945842868042</v>
      </c>
      <c r="AK676" s="26">
        <v>0.99244663382594422</v>
      </c>
      <c r="AL676" s="26">
        <v>0.98805661353270324</v>
      </c>
      <c r="AM676" s="25">
        <v>0.99</v>
      </c>
      <c r="AN676" s="30">
        <v>1</v>
      </c>
      <c r="AO676" s="30">
        <v>1</v>
      </c>
      <c r="AP676" s="30">
        <v>1</v>
      </c>
      <c r="AQ676" s="30">
        <v>1</v>
      </c>
      <c r="AR676" s="50">
        <v>8.1059522893420499E-2</v>
      </c>
      <c r="AS676" s="34">
        <v>0</v>
      </c>
      <c r="AT676" s="34">
        <v>0</v>
      </c>
      <c r="AU676" s="34">
        <v>0</v>
      </c>
      <c r="AV676" s="34">
        <v>0</v>
      </c>
      <c r="AW676" s="10"/>
      <c r="AX676" s="8"/>
    </row>
    <row r="677" spans="1:50">
      <c r="A677" s="7"/>
      <c r="B677" s="10"/>
      <c r="C677" s="45" t="s">
        <v>688</v>
      </c>
      <c r="D677" s="23" t="s">
        <v>21</v>
      </c>
      <c r="E677" s="68" t="s">
        <v>723</v>
      </c>
      <c r="F677" s="68" t="s">
        <v>723</v>
      </c>
      <c r="G677" s="68" t="s">
        <v>723</v>
      </c>
      <c r="H677" s="68" t="s">
        <v>723</v>
      </c>
      <c r="I677" s="25">
        <v>0.9</v>
      </c>
      <c r="J677" s="26">
        <v>0.89333333333333331</v>
      </c>
      <c r="K677" s="26">
        <v>0.85333333333333339</v>
      </c>
      <c r="L677" s="27">
        <v>0.86419753086419748</v>
      </c>
      <c r="M677" s="26">
        <v>0.8571428571428571</v>
      </c>
      <c r="N677" s="28">
        <v>0.9</v>
      </c>
      <c r="O677" s="26">
        <v>0.97611884166980067</v>
      </c>
      <c r="P677" s="26">
        <v>0.93533444506207153</v>
      </c>
      <c r="Q677" s="26">
        <v>0.82636015325670498</v>
      </c>
      <c r="R677" s="26">
        <v>0.86247757425413629</v>
      </c>
      <c r="S677" s="28">
        <v>0.9</v>
      </c>
      <c r="T677" s="26">
        <v>0.92102294095524628</v>
      </c>
      <c r="U677" s="26">
        <v>0.92051139521956638</v>
      </c>
      <c r="V677" s="26">
        <v>0.93578544061302682</v>
      </c>
      <c r="W677" s="26">
        <v>0.92759529557686771</v>
      </c>
      <c r="X677" s="28">
        <v>0.92</v>
      </c>
      <c r="Y677" s="28">
        <v>0.90615091946734305</v>
      </c>
      <c r="Z677" s="28">
        <v>0.90141676505312873</v>
      </c>
      <c r="AA677" s="28">
        <v>0.91187499999999999</v>
      </c>
      <c r="AB677" s="28">
        <v>0.90794573643410847</v>
      </c>
      <c r="AC677" s="28">
        <v>0.92</v>
      </c>
      <c r="AD677" s="26">
        <v>0.99868247694334655</v>
      </c>
      <c r="AE677" s="26">
        <v>0.99845440494590421</v>
      </c>
      <c r="AF677" s="26">
        <v>0.99360000000000004</v>
      </c>
      <c r="AG677" s="26">
        <v>0.99545196134167135</v>
      </c>
      <c r="AH677" s="28">
        <v>0.92</v>
      </c>
      <c r="AI677" s="26">
        <v>0.95754238516157075</v>
      </c>
      <c r="AJ677" s="26">
        <v>0.95870331219168425</v>
      </c>
      <c r="AK677" s="26">
        <v>0.96887303149606296</v>
      </c>
      <c r="AL677" s="26">
        <v>0.9616270931840295</v>
      </c>
      <c r="AM677" s="25">
        <v>0.99</v>
      </c>
      <c r="AN677" s="30">
        <v>1</v>
      </c>
      <c r="AO677" s="30">
        <v>1</v>
      </c>
      <c r="AP677" s="30">
        <v>1</v>
      </c>
      <c r="AQ677" s="30">
        <v>1</v>
      </c>
      <c r="AR677" s="50">
        <v>8.1059522893420499E-2</v>
      </c>
      <c r="AS677" s="34">
        <v>0.10526315789473684</v>
      </c>
      <c r="AT677" s="34">
        <v>0</v>
      </c>
      <c r="AU677" s="34">
        <v>4.5454545454545456E-2</v>
      </c>
      <c r="AV677" s="34">
        <v>7.9787234042553196E-2</v>
      </c>
      <c r="AW677" s="10"/>
      <c r="AX677" s="8"/>
    </row>
    <row r="678" spans="1:50">
      <c r="A678" s="7"/>
      <c r="B678" s="10"/>
      <c r="C678" s="45" t="s">
        <v>688</v>
      </c>
      <c r="D678" s="23" t="s">
        <v>21</v>
      </c>
      <c r="E678" s="68" t="s">
        <v>724</v>
      </c>
      <c r="F678" s="68" t="s">
        <v>724</v>
      </c>
      <c r="G678" s="68" t="s">
        <v>724</v>
      </c>
      <c r="H678" s="68" t="s">
        <v>724</v>
      </c>
      <c r="I678" s="25">
        <v>0.9</v>
      </c>
      <c r="J678" s="26">
        <v>0.66666666666666663</v>
      </c>
      <c r="K678" s="26">
        <v>0.75</v>
      </c>
      <c r="L678" s="27">
        <v>0.75</v>
      </c>
      <c r="M678" s="26">
        <v>0.80208333333333337</v>
      </c>
      <c r="N678" s="28">
        <v>0.9</v>
      </c>
      <c r="O678" s="26">
        <v>0.98698884758364314</v>
      </c>
      <c r="P678" s="26">
        <v>0.98899082568807339</v>
      </c>
      <c r="Q678" s="26">
        <v>0.98799699924981244</v>
      </c>
      <c r="R678" s="26">
        <v>0.98535964353914707</v>
      </c>
      <c r="S678" s="28">
        <v>0.9</v>
      </c>
      <c r="T678" s="26">
        <v>0.9302973977695167</v>
      </c>
      <c r="U678" s="26">
        <v>0.93027522935779816</v>
      </c>
      <c r="V678" s="26">
        <v>0.93548387096774188</v>
      </c>
      <c r="W678" s="26">
        <v>0.93857415658816046</v>
      </c>
      <c r="X678" s="28">
        <v>0.92</v>
      </c>
      <c r="Y678" s="28">
        <v>0.84242424242424241</v>
      </c>
      <c r="Z678" s="28">
        <v>0.88571428571428568</v>
      </c>
      <c r="AA678" s="28">
        <v>0.92604501607717038</v>
      </c>
      <c r="AB678" s="28">
        <v>0.87628865979381443</v>
      </c>
      <c r="AC678" s="28">
        <v>0.92</v>
      </c>
      <c r="AD678" s="26">
        <v>0.99065420560747663</v>
      </c>
      <c r="AE678" s="26">
        <v>0.9726027397260274</v>
      </c>
      <c r="AF678" s="26">
        <v>1</v>
      </c>
      <c r="AG678" s="26">
        <v>0.9872813990461049</v>
      </c>
      <c r="AH678" s="28">
        <v>0.92</v>
      </c>
      <c r="AI678" s="26">
        <v>0.94238975817923187</v>
      </c>
      <c r="AJ678" s="26">
        <v>0.95902777777777781</v>
      </c>
      <c r="AK678" s="26">
        <v>0.97384428223844277</v>
      </c>
      <c r="AL678" s="26">
        <v>0.95704676229840346</v>
      </c>
      <c r="AM678" s="25">
        <v>0.99</v>
      </c>
      <c r="AN678" s="30">
        <v>1</v>
      </c>
      <c r="AO678" s="30">
        <v>1</v>
      </c>
      <c r="AP678" s="30">
        <v>1</v>
      </c>
      <c r="AQ678" s="30">
        <v>1</v>
      </c>
      <c r="AR678" s="50">
        <v>8.1059522893420499E-2</v>
      </c>
      <c r="AS678" s="34">
        <v>0</v>
      </c>
      <c r="AT678" s="34">
        <v>0.14285714285714285</v>
      </c>
      <c r="AU678" s="34">
        <v>0</v>
      </c>
      <c r="AV678" s="34">
        <v>2.8571428571428571E-2</v>
      </c>
      <c r="AW678" s="10"/>
      <c r="AX678" s="8"/>
    </row>
    <row r="679" spans="1:50">
      <c r="A679" s="7"/>
      <c r="B679" s="10"/>
      <c r="C679" s="45" t="s">
        <v>688</v>
      </c>
      <c r="D679" s="23" t="s">
        <v>21</v>
      </c>
      <c r="E679" s="68" t="s">
        <v>725</v>
      </c>
      <c r="F679" s="68" t="s">
        <v>725</v>
      </c>
      <c r="G679" s="68" t="s">
        <v>725</v>
      </c>
      <c r="H679" s="68" t="s">
        <v>725</v>
      </c>
      <c r="I679" s="25">
        <v>0.9</v>
      </c>
      <c r="J679" s="26">
        <v>0.86363636363636365</v>
      </c>
      <c r="K679" s="26">
        <v>0.875</v>
      </c>
      <c r="L679" s="27">
        <v>0.81818181818181823</v>
      </c>
      <c r="M679" s="26">
        <v>0.83240223463687146</v>
      </c>
      <c r="N679" s="28">
        <v>0.9</v>
      </c>
      <c r="O679" s="26">
        <v>0.86609336609336607</v>
      </c>
      <c r="P679" s="26">
        <v>0.94023413431916203</v>
      </c>
      <c r="Q679" s="26">
        <v>0.92980561555075592</v>
      </c>
      <c r="R679" s="26">
        <v>0.89242549358156298</v>
      </c>
      <c r="S679" s="28">
        <v>0.9</v>
      </c>
      <c r="T679" s="26">
        <v>0.88943488943488946</v>
      </c>
      <c r="U679" s="26">
        <v>0.89279112754158962</v>
      </c>
      <c r="V679" s="26">
        <v>0.9044276457883369</v>
      </c>
      <c r="W679" s="26">
        <v>0.89843104872006607</v>
      </c>
      <c r="X679" s="28">
        <v>0.92</v>
      </c>
      <c r="Y679" s="28">
        <v>0.8984375</v>
      </c>
      <c r="Z679" s="28">
        <v>0.85862785862785862</v>
      </c>
      <c r="AA679" s="28">
        <v>0.89038461538461533</v>
      </c>
      <c r="AB679" s="28">
        <v>0.88268021286889209</v>
      </c>
      <c r="AC679" s="28">
        <v>0.92</v>
      </c>
      <c r="AD679" s="26">
        <v>1</v>
      </c>
      <c r="AE679" s="26">
        <v>1</v>
      </c>
      <c r="AF679" s="26">
        <v>0.97297297297297303</v>
      </c>
      <c r="AG679" s="26">
        <v>0.97752808988764039</v>
      </c>
      <c r="AH679" s="28">
        <v>0.92</v>
      </c>
      <c r="AI679" s="26">
        <v>0.93504672897196262</v>
      </c>
      <c r="AJ679" s="26">
        <v>0.93108365019011408</v>
      </c>
      <c r="AK679" s="26">
        <v>0.94266441821247893</v>
      </c>
      <c r="AL679" s="26">
        <v>0.93497937671860676</v>
      </c>
      <c r="AM679" s="25">
        <v>0.99</v>
      </c>
      <c r="AN679" s="30">
        <v>1</v>
      </c>
      <c r="AO679" s="30">
        <v>1</v>
      </c>
      <c r="AP679" s="30">
        <v>1</v>
      </c>
      <c r="AQ679" s="30">
        <v>1</v>
      </c>
      <c r="AR679" s="50">
        <v>8.1059522893420499E-2</v>
      </c>
      <c r="AS679" s="34">
        <v>0.33333333333333331</v>
      </c>
      <c r="AT679" s="34">
        <v>0.33333333333333331</v>
      </c>
      <c r="AU679" s="34">
        <v>0</v>
      </c>
      <c r="AV679" s="34">
        <v>0.10416666666666667</v>
      </c>
      <c r="AW679" s="10"/>
      <c r="AX679" s="8"/>
    </row>
    <row r="680" spans="1:50">
      <c r="A680" s="7"/>
      <c r="B680" s="10"/>
      <c r="C680" s="45" t="s">
        <v>688</v>
      </c>
      <c r="D680" s="23" t="s">
        <v>21</v>
      </c>
      <c r="E680" s="68" t="s">
        <v>726</v>
      </c>
      <c r="F680" s="68" t="s">
        <v>726</v>
      </c>
      <c r="G680" s="68" t="s">
        <v>726</v>
      </c>
      <c r="H680" s="68" t="s">
        <v>726</v>
      </c>
      <c r="I680" s="25">
        <v>0.9</v>
      </c>
      <c r="J680" s="26">
        <v>0.93939393939393945</v>
      </c>
      <c r="K680" s="26">
        <v>0.91176470588235292</v>
      </c>
      <c r="L680" s="27">
        <v>0.94117647058823528</v>
      </c>
      <c r="M680" s="26">
        <v>0.93233082706766912</v>
      </c>
      <c r="N680" s="28">
        <v>0.9</v>
      </c>
      <c r="O680" s="26">
        <v>0.94181999005469919</v>
      </c>
      <c r="P680" s="26">
        <v>0.97384688540180697</v>
      </c>
      <c r="Q680" s="26">
        <v>0.97072599531615922</v>
      </c>
      <c r="R680" s="26">
        <v>0.96994906621392185</v>
      </c>
      <c r="S680" s="28">
        <v>0.9</v>
      </c>
      <c r="T680" s="26">
        <v>0.90750870213823964</v>
      </c>
      <c r="U680" s="26">
        <v>0.93723252496433662</v>
      </c>
      <c r="V680" s="26">
        <v>0.94379391100702581</v>
      </c>
      <c r="W680" s="26">
        <v>0.93571024335031128</v>
      </c>
      <c r="X680" s="28">
        <v>0.92</v>
      </c>
      <c r="Y680" s="28">
        <v>0.92628650904033383</v>
      </c>
      <c r="Z680" s="28">
        <v>0.92281879194630867</v>
      </c>
      <c r="AA680" s="28">
        <v>0.91611842105263153</v>
      </c>
      <c r="AB680" s="28">
        <v>0.92984667086746486</v>
      </c>
      <c r="AC680" s="28">
        <v>0.92</v>
      </c>
      <c r="AD680" s="26">
        <v>1</v>
      </c>
      <c r="AE680" s="26">
        <v>1</v>
      </c>
      <c r="AF680" s="26">
        <v>1</v>
      </c>
      <c r="AG680" s="26">
        <v>0.99543118218161053</v>
      </c>
      <c r="AH680" s="28">
        <v>0.92</v>
      </c>
      <c r="AI680" s="26">
        <v>0.93885023800805567</v>
      </c>
      <c r="AJ680" s="26">
        <v>0.95294553538347537</v>
      </c>
      <c r="AK680" s="26">
        <v>0.96435331230283916</v>
      </c>
      <c r="AL680" s="26">
        <v>0.95764978601997142</v>
      </c>
      <c r="AM680" s="25">
        <v>0.99</v>
      </c>
      <c r="AN680" s="30">
        <v>1</v>
      </c>
      <c r="AO680" s="30">
        <v>1</v>
      </c>
      <c r="AP680" s="30">
        <v>1</v>
      </c>
      <c r="AQ680" s="30">
        <v>1</v>
      </c>
      <c r="AR680" s="50">
        <v>8.1059522893420499E-2</v>
      </c>
      <c r="AS680" s="34">
        <v>0.1111111111111111</v>
      </c>
      <c r="AT680" s="34">
        <v>0</v>
      </c>
      <c r="AU680" s="34">
        <v>0</v>
      </c>
      <c r="AV680" s="34">
        <v>8.98876404494382E-2</v>
      </c>
      <c r="AW680" s="10"/>
      <c r="AX680" s="8"/>
    </row>
    <row r="681" spans="1:50">
      <c r="A681" s="7"/>
      <c r="B681" s="10"/>
      <c r="C681" s="45" t="s">
        <v>688</v>
      </c>
      <c r="D681" s="23" t="s">
        <v>21</v>
      </c>
      <c r="E681" s="68" t="s">
        <v>727</v>
      </c>
      <c r="F681" s="68" t="s">
        <v>727</v>
      </c>
      <c r="G681" s="68" t="s">
        <v>727</v>
      </c>
      <c r="H681" s="68" t="s">
        <v>727</v>
      </c>
      <c r="I681" s="25">
        <v>0.9</v>
      </c>
      <c r="J681" s="26">
        <v>0.9</v>
      </c>
      <c r="K681" s="26">
        <v>0.80952380952380953</v>
      </c>
      <c r="L681" s="27">
        <v>0.8571428571428571</v>
      </c>
      <c r="M681" s="26">
        <v>0.85889570552147243</v>
      </c>
      <c r="N681" s="28">
        <v>0.9</v>
      </c>
      <c r="O681" s="26">
        <v>0.97071742313323572</v>
      </c>
      <c r="P681" s="26">
        <v>0.97526041666666663</v>
      </c>
      <c r="Q681" s="26">
        <v>0.97522123893805313</v>
      </c>
      <c r="R681" s="26">
        <v>0.97245317880238513</v>
      </c>
      <c r="S681" s="28">
        <v>0.9</v>
      </c>
      <c r="T681" s="26">
        <v>0.93191800878477304</v>
      </c>
      <c r="U681" s="26">
        <v>0.9296875</v>
      </c>
      <c r="V681" s="26">
        <v>0.92979351032448376</v>
      </c>
      <c r="W681" s="26">
        <v>0.93885949441505001</v>
      </c>
      <c r="X681" s="28">
        <v>0.92</v>
      </c>
      <c r="Y681" s="28">
        <v>0.94541484716157209</v>
      </c>
      <c r="Z681" s="28">
        <v>0.94418604651162785</v>
      </c>
      <c r="AA681" s="28">
        <v>0.9364303178484108</v>
      </c>
      <c r="AB681" s="28">
        <v>0.94146193509250831</v>
      </c>
      <c r="AC681" s="28">
        <v>0.92</v>
      </c>
      <c r="AD681" s="26">
        <v>1</v>
      </c>
      <c r="AE681" s="26">
        <v>0.996661101836394</v>
      </c>
      <c r="AF681" s="26">
        <v>0.99794661190965095</v>
      </c>
      <c r="AG681" s="26">
        <v>0.99825935596170579</v>
      </c>
      <c r="AH681" s="28">
        <v>0.92</v>
      </c>
      <c r="AI681" s="26">
        <v>0.95614035087719296</v>
      </c>
      <c r="AJ681" s="26">
        <v>0.95320447609359105</v>
      </c>
      <c r="AK681" s="26">
        <v>0.95865019011406849</v>
      </c>
      <c r="AL681" s="26">
        <v>0.96060506412364355</v>
      </c>
      <c r="AM681" s="25">
        <v>0.99</v>
      </c>
      <c r="AN681" s="30">
        <v>1</v>
      </c>
      <c r="AO681" s="30">
        <v>1</v>
      </c>
      <c r="AP681" s="30">
        <v>1</v>
      </c>
      <c r="AQ681" s="30">
        <v>1</v>
      </c>
      <c r="AR681" s="50">
        <v>8.1059522893420499E-2</v>
      </c>
      <c r="AS681" s="34">
        <v>0</v>
      </c>
      <c r="AT681" s="34">
        <v>0.1</v>
      </c>
      <c r="AU681" s="34">
        <v>8.3333333333333329E-2</v>
      </c>
      <c r="AV681" s="34">
        <v>5.1546391752577317E-2</v>
      </c>
      <c r="AW681" s="10"/>
      <c r="AX681" s="8"/>
    </row>
    <row r="682" spans="1:50">
      <c r="A682" s="7"/>
      <c r="B682" s="10"/>
      <c r="C682" s="45" t="s">
        <v>688</v>
      </c>
      <c r="D682" s="23" t="s">
        <v>21</v>
      </c>
      <c r="E682" s="68" t="s">
        <v>728</v>
      </c>
      <c r="F682" s="68" t="s">
        <v>728</v>
      </c>
      <c r="G682" s="68" t="s">
        <v>728</v>
      </c>
      <c r="H682" s="68" t="s">
        <v>728</v>
      </c>
      <c r="I682" s="25">
        <v>0.9</v>
      </c>
      <c r="J682" s="26">
        <v>0.96666666666666667</v>
      </c>
      <c r="K682" s="26">
        <v>0.90625</v>
      </c>
      <c r="L682" s="27">
        <v>0.90909090909090906</v>
      </c>
      <c r="M682" s="26">
        <v>0.92181069958847739</v>
      </c>
      <c r="N682" s="28">
        <v>0.9</v>
      </c>
      <c r="O682" s="26">
        <v>0.91681353542474442</v>
      </c>
      <c r="P682" s="26">
        <v>0.96425089372765682</v>
      </c>
      <c r="Q682" s="26">
        <v>0.95500532481363154</v>
      </c>
      <c r="R682" s="26">
        <v>0.94772718105916998</v>
      </c>
      <c r="S682" s="28">
        <v>0.9</v>
      </c>
      <c r="T682" s="26">
        <v>0.91046880507578432</v>
      </c>
      <c r="U682" s="26">
        <v>0.92232694182645436</v>
      </c>
      <c r="V682" s="26">
        <v>0.92385516506922261</v>
      </c>
      <c r="W682" s="26">
        <v>0.92505949259871734</v>
      </c>
      <c r="X682" s="28">
        <v>0.92</v>
      </c>
      <c r="Y682" s="28">
        <v>0.91727493917274938</v>
      </c>
      <c r="Z682" s="28">
        <v>0.92640186915887845</v>
      </c>
      <c r="AA682" s="28">
        <v>0.95208070617906682</v>
      </c>
      <c r="AB682" s="28">
        <v>0.93418860379873381</v>
      </c>
      <c r="AC682" s="28">
        <v>0.92</v>
      </c>
      <c r="AD682" s="26">
        <v>1</v>
      </c>
      <c r="AE682" s="26">
        <v>0.9971509971509972</v>
      </c>
      <c r="AF682" s="26">
        <v>0.99571734475374729</v>
      </c>
      <c r="AG682" s="26">
        <v>0.9937047529115518</v>
      </c>
      <c r="AH682" s="28">
        <v>0.92</v>
      </c>
      <c r="AI682" s="26">
        <v>0.94807324405575288</v>
      </c>
      <c r="AJ682" s="26">
        <v>0.94889397406559883</v>
      </c>
      <c r="AK682" s="26">
        <v>0.96065069245988133</v>
      </c>
      <c r="AL682" s="26">
        <v>0.95750000000000002</v>
      </c>
      <c r="AM682" s="25">
        <v>0.99</v>
      </c>
      <c r="AN682" s="30">
        <v>1</v>
      </c>
      <c r="AO682" s="30">
        <v>1</v>
      </c>
      <c r="AP682" s="30">
        <v>1</v>
      </c>
      <c r="AQ682" s="30">
        <v>1</v>
      </c>
      <c r="AR682" s="50">
        <v>8.1059522893420499E-2</v>
      </c>
      <c r="AS682" s="34">
        <v>-6.25E-2</v>
      </c>
      <c r="AT682" s="34">
        <v>0</v>
      </c>
      <c r="AU682" s="34">
        <v>7.1428571428571425E-2</v>
      </c>
      <c r="AV682" s="34">
        <v>2.6548672566371681E-2</v>
      </c>
      <c r="AW682" s="10"/>
      <c r="AX682" s="8"/>
    </row>
    <row r="683" spans="1:50">
      <c r="A683" s="7"/>
      <c r="B683" s="10"/>
      <c r="C683" s="45" t="s">
        <v>688</v>
      </c>
      <c r="D683" s="23" t="s">
        <v>21</v>
      </c>
      <c r="E683" s="68" t="s">
        <v>729</v>
      </c>
      <c r="F683" s="68" t="s">
        <v>729</v>
      </c>
      <c r="G683" s="68" t="s">
        <v>729</v>
      </c>
      <c r="H683" s="68" t="s">
        <v>729</v>
      </c>
      <c r="I683" s="25">
        <v>0.9</v>
      </c>
      <c r="J683" s="26">
        <v>0.91666666666666663</v>
      </c>
      <c r="K683" s="26">
        <v>0.92307692307692313</v>
      </c>
      <c r="L683" s="27">
        <v>1</v>
      </c>
      <c r="M683" s="26">
        <v>0.94791666666666663</v>
      </c>
      <c r="N683" s="28">
        <v>0.9</v>
      </c>
      <c r="O683" s="26">
        <v>0.93993430314406379</v>
      </c>
      <c r="P683" s="26">
        <v>0.94685767097966733</v>
      </c>
      <c r="Q683" s="26">
        <v>0.90360399478940512</v>
      </c>
      <c r="R683" s="26">
        <v>0.93645317106831438</v>
      </c>
      <c r="S683" s="28">
        <v>0.9</v>
      </c>
      <c r="T683" s="26">
        <v>0.88831534490849362</v>
      </c>
      <c r="U683" s="26">
        <v>0.93207024029574859</v>
      </c>
      <c r="V683" s="26">
        <v>0.93573599652627004</v>
      </c>
      <c r="W683" s="26">
        <v>0.91813562511762126</v>
      </c>
      <c r="X683" s="28">
        <v>0.92</v>
      </c>
      <c r="Y683" s="28">
        <v>0.91852825229960577</v>
      </c>
      <c r="Z683" s="28">
        <v>0.92971246006389774</v>
      </c>
      <c r="AA683" s="28">
        <v>0.93055555555555558</v>
      </c>
      <c r="AB683" s="28">
        <v>0.91629563668744429</v>
      </c>
      <c r="AC683" s="28">
        <v>0.92</v>
      </c>
      <c r="AD683" s="26">
        <v>0.99715909090909094</v>
      </c>
      <c r="AE683" s="26">
        <v>0.99103139013452912</v>
      </c>
      <c r="AF683" s="26">
        <v>1</v>
      </c>
      <c r="AG683" s="26">
        <v>0.99545040946314833</v>
      </c>
      <c r="AH683" s="28">
        <v>0.92</v>
      </c>
      <c r="AI683" s="26">
        <v>0.94571230982019361</v>
      </c>
      <c r="AJ683" s="26">
        <v>0.96309566463633112</v>
      </c>
      <c r="AK683" s="26">
        <v>0.96769711705453287</v>
      </c>
      <c r="AL683" s="26">
        <v>0.95434080454145054</v>
      </c>
      <c r="AM683" s="25">
        <v>0.99</v>
      </c>
      <c r="AN683" s="30">
        <v>1</v>
      </c>
      <c r="AO683" s="30">
        <v>1</v>
      </c>
      <c r="AP683" s="30">
        <v>1</v>
      </c>
      <c r="AQ683" s="30">
        <v>1</v>
      </c>
      <c r="AR683" s="50">
        <v>8.1059522893420499E-2</v>
      </c>
      <c r="AS683" s="34">
        <v>8.3333333333333329E-2</v>
      </c>
      <c r="AT683" s="34">
        <v>0</v>
      </c>
      <c r="AU683" s="34">
        <v>0.125</v>
      </c>
      <c r="AV683" s="34">
        <v>6.6666666666666666E-2</v>
      </c>
      <c r="AW683" s="10"/>
      <c r="AX683" s="8"/>
    </row>
    <row r="684" spans="1:50">
      <c r="A684" s="7"/>
      <c r="B684" s="10"/>
      <c r="C684" s="45" t="s">
        <v>688</v>
      </c>
      <c r="D684" s="23" t="s">
        <v>21</v>
      </c>
      <c r="E684" s="68" t="s">
        <v>730</v>
      </c>
      <c r="F684" s="68" t="s">
        <v>730</v>
      </c>
      <c r="G684" s="68" t="s">
        <v>730</v>
      </c>
      <c r="H684" s="68" t="s">
        <v>730</v>
      </c>
      <c r="I684" s="25">
        <v>0.9</v>
      </c>
      <c r="J684" s="26">
        <v>0.8928571428571429</v>
      </c>
      <c r="K684" s="26">
        <v>0.8666666666666667</v>
      </c>
      <c r="L684" s="27">
        <v>0.90625</v>
      </c>
      <c r="M684" s="26">
        <v>0.89270386266094426</v>
      </c>
      <c r="N684" s="28">
        <v>0.9</v>
      </c>
      <c r="O684" s="26">
        <v>0.8982701812191104</v>
      </c>
      <c r="P684" s="26">
        <v>0.92111750205423171</v>
      </c>
      <c r="Q684" s="26">
        <v>0.92473474801061006</v>
      </c>
      <c r="R684" s="26">
        <v>0.90964646464646459</v>
      </c>
      <c r="S684" s="28">
        <v>0.9</v>
      </c>
      <c r="T684" s="26">
        <v>0.93780889621087316</v>
      </c>
      <c r="U684" s="26">
        <v>0.93303204601479051</v>
      </c>
      <c r="V684" s="26">
        <v>0.93368700265251992</v>
      </c>
      <c r="W684" s="26">
        <v>0.93944444444444442</v>
      </c>
      <c r="X684" s="28">
        <v>0.92</v>
      </c>
      <c r="Y684" s="28">
        <v>0.93842364532019706</v>
      </c>
      <c r="Z684" s="28">
        <v>0.94444444444444442</v>
      </c>
      <c r="AA684" s="28">
        <v>0.94534711964549478</v>
      </c>
      <c r="AB684" s="28">
        <v>0.93880184331797234</v>
      </c>
      <c r="AC684" s="28">
        <v>0.92</v>
      </c>
      <c r="AD684" s="26">
        <v>0.99259259259259258</v>
      </c>
      <c r="AE684" s="26">
        <v>0.99457504520795659</v>
      </c>
      <c r="AF684" s="26">
        <v>0.99841521394611732</v>
      </c>
      <c r="AG684" s="26">
        <v>0.99660663012268336</v>
      </c>
      <c r="AH684" s="28">
        <v>0.92</v>
      </c>
      <c r="AI684" s="26">
        <v>0.96080246913580247</v>
      </c>
      <c r="AJ684" s="26">
        <v>0.96120551458800896</v>
      </c>
      <c r="AK684" s="26">
        <v>0.96181965881397236</v>
      </c>
      <c r="AL684" s="26">
        <v>0.96166805406905298</v>
      </c>
      <c r="AM684" s="25">
        <v>0.99</v>
      </c>
      <c r="AN684" s="30">
        <v>1</v>
      </c>
      <c r="AO684" s="30">
        <v>1</v>
      </c>
      <c r="AP684" s="30">
        <v>1</v>
      </c>
      <c r="AQ684" s="30">
        <v>1</v>
      </c>
      <c r="AR684" s="50">
        <v>8.1059522893420499E-2</v>
      </c>
      <c r="AS684" s="34">
        <v>0</v>
      </c>
      <c r="AT684" s="34">
        <v>0</v>
      </c>
      <c r="AU684" s="34">
        <v>0</v>
      </c>
      <c r="AV684" s="34">
        <v>3.3707865168539325E-2</v>
      </c>
      <c r="AW684" s="10"/>
      <c r="AX684" s="8"/>
    </row>
    <row r="685" spans="1:50">
      <c r="A685" s="7"/>
      <c r="B685" s="10"/>
      <c r="C685" s="45" t="s">
        <v>688</v>
      </c>
      <c r="D685" s="23" t="s">
        <v>21</v>
      </c>
      <c r="E685" s="68" t="s">
        <v>731</v>
      </c>
      <c r="F685" s="68" t="s">
        <v>731</v>
      </c>
      <c r="G685" s="68" t="s">
        <v>731</v>
      </c>
      <c r="H685" s="68" t="s">
        <v>731</v>
      </c>
      <c r="I685" s="25">
        <v>0.9</v>
      </c>
      <c r="J685" s="26">
        <v>1</v>
      </c>
      <c r="K685" s="26">
        <v>1</v>
      </c>
      <c r="L685" s="27">
        <v>1</v>
      </c>
      <c r="M685" s="26">
        <v>0.97468354430379744</v>
      </c>
      <c r="N685" s="28">
        <v>0.9</v>
      </c>
      <c r="O685" s="26">
        <v>0.98274717982747184</v>
      </c>
      <c r="P685" s="26">
        <v>0.98918918918918919</v>
      </c>
      <c r="Q685" s="26">
        <v>0.97441728254690163</v>
      </c>
      <c r="R685" s="26">
        <v>0.9787527370042981</v>
      </c>
      <c r="S685" s="28">
        <v>0.9</v>
      </c>
      <c r="T685" s="26">
        <v>0.95952222959522226</v>
      </c>
      <c r="U685" s="26">
        <v>0.96621621621621623</v>
      </c>
      <c r="V685" s="26">
        <v>0.96418419556566226</v>
      </c>
      <c r="W685" s="26">
        <v>0.95953288459978914</v>
      </c>
      <c r="X685" s="28">
        <v>0.92</v>
      </c>
      <c r="Y685" s="28">
        <v>0.89775051124744376</v>
      </c>
      <c r="Z685" s="28">
        <v>0.83453237410071945</v>
      </c>
      <c r="AA685" s="28">
        <v>0.87990762124711319</v>
      </c>
      <c r="AB685" s="28">
        <v>0.87421194836385474</v>
      </c>
      <c r="AC685" s="28">
        <v>0.92</v>
      </c>
      <c r="AD685" s="26">
        <v>1</v>
      </c>
      <c r="AE685" s="26">
        <v>0.99159663865546221</v>
      </c>
      <c r="AF685" s="26">
        <v>0.99193548387096775</v>
      </c>
      <c r="AG685" s="26">
        <v>0.99526066350710896</v>
      </c>
      <c r="AH685" s="28">
        <v>0.92</v>
      </c>
      <c r="AI685" s="26">
        <v>0.95190380761523041</v>
      </c>
      <c r="AJ685" s="26">
        <v>0.94573234984193888</v>
      </c>
      <c r="AK685" s="26">
        <v>0.96213503649635035</v>
      </c>
      <c r="AL685" s="26">
        <v>0.95454255251229014</v>
      </c>
      <c r="AM685" s="25">
        <v>0.99</v>
      </c>
      <c r="AN685" s="30">
        <v>1</v>
      </c>
      <c r="AO685" s="30">
        <v>1</v>
      </c>
      <c r="AP685" s="30">
        <v>1</v>
      </c>
      <c r="AQ685" s="30">
        <v>1</v>
      </c>
      <c r="AR685" s="50">
        <v>8.1059522893420499E-2</v>
      </c>
      <c r="AS685" s="34">
        <v>0</v>
      </c>
      <c r="AT685" s="34">
        <v>0.1</v>
      </c>
      <c r="AU685" s="34">
        <v>-7.1428571428571425E-2</v>
      </c>
      <c r="AV685" s="34">
        <v>3.4482758620689655E-2</v>
      </c>
      <c r="AW685" s="10"/>
      <c r="AX685" s="8"/>
    </row>
    <row r="686" spans="1:50">
      <c r="A686" s="7"/>
      <c r="B686" s="10"/>
      <c r="C686" s="45" t="s">
        <v>688</v>
      </c>
      <c r="D686" s="23" t="s">
        <v>21</v>
      </c>
      <c r="E686" s="68" t="s">
        <v>732</v>
      </c>
      <c r="F686" s="68" t="s">
        <v>732</v>
      </c>
      <c r="G686" s="68" t="s">
        <v>732</v>
      </c>
      <c r="H686" s="68" t="s">
        <v>732</v>
      </c>
      <c r="I686" s="25">
        <v>0.9</v>
      </c>
      <c r="J686" s="26">
        <v>0.90243902439024393</v>
      </c>
      <c r="K686" s="26">
        <v>0.88372093023255816</v>
      </c>
      <c r="L686" s="27">
        <v>0.9285714285714286</v>
      </c>
      <c r="M686" s="26">
        <v>0.89440993788819878</v>
      </c>
      <c r="N686" s="28">
        <v>0.9</v>
      </c>
      <c r="O686" s="26">
        <v>0.95672624647224835</v>
      </c>
      <c r="P686" s="26">
        <v>0.97795650878760798</v>
      </c>
      <c r="Q686" s="26">
        <v>0.97593649218556189</v>
      </c>
      <c r="R686" s="26">
        <v>0.95189028372396778</v>
      </c>
      <c r="S686" s="28">
        <v>0.9</v>
      </c>
      <c r="T686" s="26">
        <v>0.93414863593603015</v>
      </c>
      <c r="U686" s="26">
        <v>0.94906166219839139</v>
      </c>
      <c r="V686" s="26">
        <v>0.95708260977424953</v>
      </c>
      <c r="W686" s="26">
        <v>0.93683332123938756</v>
      </c>
      <c r="X686" s="28">
        <v>0.92</v>
      </c>
      <c r="Y686" s="28">
        <v>0.92785793562708108</v>
      </c>
      <c r="Z686" s="28">
        <v>0.94532199270959905</v>
      </c>
      <c r="AA686" s="28">
        <v>0.95146871008939971</v>
      </c>
      <c r="AB686" s="28">
        <v>0.93388301182327316</v>
      </c>
      <c r="AC686" s="28">
        <v>0.92</v>
      </c>
      <c r="AD686" s="26">
        <v>0.99489795918367352</v>
      </c>
      <c r="AE686" s="26">
        <v>0.99723629663749425</v>
      </c>
      <c r="AF686" s="26">
        <v>0.99477465708687129</v>
      </c>
      <c r="AG686" s="26">
        <v>0.99710866597060477</v>
      </c>
      <c r="AH686" s="28">
        <v>0.92</v>
      </c>
      <c r="AI686" s="26">
        <v>0.95111219750672205</v>
      </c>
      <c r="AJ686" s="26">
        <v>0.96364506099019376</v>
      </c>
      <c r="AK686" s="26">
        <v>0.97278770253427504</v>
      </c>
      <c r="AL686" s="26">
        <v>0.95740174158625557</v>
      </c>
      <c r="AM686" s="25">
        <v>0.99</v>
      </c>
      <c r="AN686" s="30">
        <v>1</v>
      </c>
      <c r="AO686" s="30">
        <v>1</v>
      </c>
      <c r="AP686" s="30">
        <v>1</v>
      </c>
      <c r="AQ686" s="30">
        <v>1</v>
      </c>
      <c r="AR686" s="50">
        <v>8.1059522893420499E-2</v>
      </c>
      <c r="AS686" s="34">
        <v>0.25</v>
      </c>
      <c r="AT686" s="34">
        <v>0</v>
      </c>
      <c r="AU686" s="34">
        <v>9.5238095238095233E-2</v>
      </c>
      <c r="AV686" s="34">
        <v>6.8181818181818177E-2</v>
      </c>
      <c r="AW686" s="10"/>
      <c r="AX686" s="8"/>
    </row>
    <row r="687" spans="1:50">
      <c r="A687" s="7"/>
      <c r="B687" s="10"/>
      <c r="C687" s="45" t="s">
        <v>688</v>
      </c>
      <c r="D687" s="23" t="s">
        <v>21</v>
      </c>
      <c r="E687" s="68" t="s">
        <v>733</v>
      </c>
      <c r="F687" s="68" t="s">
        <v>733</v>
      </c>
      <c r="G687" s="68" t="s">
        <v>733</v>
      </c>
      <c r="H687" s="68" t="s">
        <v>733</v>
      </c>
      <c r="I687" s="25">
        <v>0.9</v>
      </c>
      <c r="J687" s="26">
        <v>0.91304347826086951</v>
      </c>
      <c r="K687" s="26">
        <v>1</v>
      </c>
      <c r="L687" s="27">
        <v>1</v>
      </c>
      <c r="M687" s="26">
        <v>0.98994974874371855</v>
      </c>
      <c r="N687" s="28">
        <v>0.9</v>
      </c>
      <c r="O687" s="26">
        <v>0.97237354085603112</v>
      </c>
      <c r="P687" s="26">
        <v>0.95949820788530471</v>
      </c>
      <c r="Q687" s="26">
        <v>0.97035452322738391</v>
      </c>
      <c r="R687" s="26">
        <v>0.96838129191070366</v>
      </c>
      <c r="S687" s="28">
        <v>0.9</v>
      </c>
      <c r="T687" s="26">
        <v>0.92140077821011668</v>
      </c>
      <c r="U687" s="26">
        <v>0.93584229390681006</v>
      </c>
      <c r="V687" s="26">
        <v>0.94345965770171147</v>
      </c>
      <c r="W687" s="26">
        <v>0.94223750106103044</v>
      </c>
      <c r="X687" s="28">
        <v>0.92</v>
      </c>
      <c r="Y687" s="28">
        <v>0.95310519645120406</v>
      </c>
      <c r="Z687" s="28">
        <v>0.90948275862068961</v>
      </c>
      <c r="AA687" s="28">
        <v>0.95803183791606372</v>
      </c>
      <c r="AB687" s="28">
        <v>0.95153643546971023</v>
      </c>
      <c r="AC687" s="28">
        <v>0.92</v>
      </c>
      <c r="AD687" s="26">
        <v>0.9920948616600791</v>
      </c>
      <c r="AE687" s="26">
        <v>0.99619771863117867</v>
      </c>
      <c r="AF687" s="26">
        <v>1</v>
      </c>
      <c r="AG687" s="26">
        <v>0.99361022364217255</v>
      </c>
      <c r="AH687" s="28">
        <v>0.92</v>
      </c>
      <c r="AI687" s="26">
        <v>0.9598094671033045</v>
      </c>
      <c r="AJ687" s="26">
        <v>0.95381526104417669</v>
      </c>
      <c r="AK687" s="26">
        <v>0.97173858188241236</v>
      </c>
      <c r="AL687" s="26">
        <v>0.96838471529154424</v>
      </c>
      <c r="AM687" s="25">
        <v>0.99</v>
      </c>
      <c r="AN687" s="30">
        <v>1</v>
      </c>
      <c r="AO687" s="30">
        <v>1</v>
      </c>
      <c r="AP687" s="30">
        <v>1</v>
      </c>
      <c r="AQ687" s="30">
        <v>1</v>
      </c>
      <c r="AR687" s="50">
        <v>8.1059522893420499E-2</v>
      </c>
      <c r="AS687" s="34">
        <v>0</v>
      </c>
      <c r="AT687" s="34">
        <v>0</v>
      </c>
      <c r="AU687" s="34">
        <v>0</v>
      </c>
      <c r="AV687" s="34">
        <v>0</v>
      </c>
      <c r="AW687" s="10"/>
      <c r="AX687" s="8"/>
    </row>
    <row r="688" spans="1:50">
      <c r="A688" s="7"/>
      <c r="B688" s="10"/>
      <c r="C688" s="45" t="s">
        <v>688</v>
      </c>
      <c r="D688" s="23" t="s">
        <v>21</v>
      </c>
      <c r="E688" s="68" t="s">
        <v>734</v>
      </c>
      <c r="F688" s="68" t="s">
        <v>734</v>
      </c>
      <c r="G688" s="68" t="s">
        <v>734</v>
      </c>
      <c r="H688" s="68" t="s">
        <v>734</v>
      </c>
      <c r="I688" s="25">
        <v>0.9</v>
      </c>
      <c r="J688" s="26">
        <v>0.953125</v>
      </c>
      <c r="K688" s="26">
        <v>0.93939393939393945</v>
      </c>
      <c r="L688" s="27">
        <v>1</v>
      </c>
      <c r="M688" s="26">
        <v>0.95841584158415838</v>
      </c>
      <c r="N688" s="28">
        <v>0.9</v>
      </c>
      <c r="O688" s="26">
        <v>0.94124450613000232</v>
      </c>
      <c r="P688" s="26">
        <v>0.97315731573157316</v>
      </c>
      <c r="Q688" s="26">
        <v>0.95446685878962534</v>
      </c>
      <c r="R688" s="26">
        <v>0.96010347801092266</v>
      </c>
      <c r="S688" s="28">
        <v>0.9</v>
      </c>
      <c r="T688" s="26">
        <v>0.93129770992366412</v>
      </c>
      <c r="U688" s="26">
        <v>0.94279427942794281</v>
      </c>
      <c r="V688" s="26">
        <v>0.9467819404418828</v>
      </c>
      <c r="W688" s="26">
        <v>0.93644725495832137</v>
      </c>
      <c r="X688" s="28">
        <v>0.92</v>
      </c>
      <c r="Y688" s="28">
        <v>0.89427312775330392</v>
      </c>
      <c r="Z688" s="28">
        <v>0.92</v>
      </c>
      <c r="AA688" s="28">
        <v>0.90154109589041098</v>
      </c>
      <c r="AB688" s="28">
        <v>0.90292218452446094</v>
      </c>
      <c r="AC688" s="28">
        <v>0.92</v>
      </c>
      <c r="AD688" s="26">
        <v>0.99933087989294078</v>
      </c>
      <c r="AE688" s="26">
        <v>0.99650837988826813</v>
      </c>
      <c r="AF688" s="26">
        <v>0.99792531120331951</v>
      </c>
      <c r="AG688" s="26">
        <v>0.99694734164334775</v>
      </c>
      <c r="AH688" s="28">
        <v>0.92</v>
      </c>
      <c r="AI688" s="26">
        <v>0.94160070360598069</v>
      </c>
      <c r="AJ688" s="26">
        <v>0.95209478021978022</v>
      </c>
      <c r="AK688" s="26">
        <v>0.95716975211797928</v>
      </c>
      <c r="AL688" s="26">
        <v>0.95051194539249151</v>
      </c>
      <c r="AM688" s="25">
        <v>0.99</v>
      </c>
      <c r="AN688" s="30">
        <v>1</v>
      </c>
      <c r="AO688" s="30">
        <v>1</v>
      </c>
      <c r="AP688" s="30">
        <v>1</v>
      </c>
      <c r="AQ688" s="30">
        <v>1</v>
      </c>
      <c r="AR688" s="50">
        <v>8.1059522893420499E-2</v>
      </c>
      <c r="AS688" s="34">
        <v>4.6511627906976744E-2</v>
      </c>
      <c r="AT688" s="34">
        <v>1.9230769230769232E-2</v>
      </c>
      <c r="AU688" s="34">
        <v>1.8518518518518517E-2</v>
      </c>
      <c r="AV688" s="34">
        <v>3.430079155672823E-2</v>
      </c>
      <c r="AW688" s="10"/>
      <c r="AX688" s="8"/>
    </row>
    <row r="689" spans="1:50">
      <c r="A689" s="7"/>
      <c r="B689" s="10"/>
      <c r="C689" s="45" t="s">
        <v>688</v>
      </c>
      <c r="D689" s="23" t="s">
        <v>21</v>
      </c>
      <c r="E689" s="68" t="s">
        <v>735</v>
      </c>
      <c r="F689" s="68" t="s">
        <v>735</v>
      </c>
      <c r="G689" s="68" t="s">
        <v>735</v>
      </c>
      <c r="H689" s="68" t="s">
        <v>735</v>
      </c>
      <c r="I689" s="25">
        <v>0.9</v>
      </c>
      <c r="J689" s="26">
        <v>0.96296296296296291</v>
      </c>
      <c r="K689" s="26">
        <v>1</v>
      </c>
      <c r="L689" s="27">
        <v>0.9642857142857143</v>
      </c>
      <c r="M689" s="26">
        <v>0.97706422018348627</v>
      </c>
      <c r="N689" s="28">
        <v>0.9</v>
      </c>
      <c r="O689" s="26">
        <v>0.94100719424460433</v>
      </c>
      <c r="P689" s="26">
        <v>0.95964335992491789</v>
      </c>
      <c r="Q689" s="26">
        <v>0.92567018683996749</v>
      </c>
      <c r="R689" s="26">
        <v>0.96041861552853136</v>
      </c>
      <c r="S689" s="28">
        <v>0.9</v>
      </c>
      <c r="T689" s="26">
        <v>0.92086330935251803</v>
      </c>
      <c r="U689" s="26">
        <v>0.92304082590333181</v>
      </c>
      <c r="V689" s="26">
        <v>0.92810722989439476</v>
      </c>
      <c r="W689" s="26">
        <v>0.93030869971936392</v>
      </c>
      <c r="X689" s="28">
        <v>0.92</v>
      </c>
      <c r="Y689" s="28">
        <v>0.9285714285714286</v>
      </c>
      <c r="Z689" s="28">
        <v>0.91792294807370189</v>
      </c>
      <c r="AA689" s="28">
        <v>0.95398230088495573</v>
      </c>
      <c r="AB689" s="28">
        <v>0.92213209733487833</v>
      </c>
      <c r="AC689" s="28">
        <v>0.92</v>
      </c>
      <c r="AD689" s="26">
        <v>1</v>
      </c>
      <c r="AE689" s="26">
        <v>0.99586349534643226</v>
      </c>
      <c r="AF689" s="26">
        <v>0.99571428571428566</v>
      </c>
      <c r="AG689" s="26">
        <v>0.99664429530201337</v>
      </c>
      <c r="AH689" s="28">
        <v>0.92</v>
      </c>
      <c r="AI689" s="26">
        <v>0.94454782285076289</v>
      </c>
      <c r="AJ689" s="26">
        <v>0.95931085043988273</v>
      </c>
      <c r="AK689" s="26">
        <v>0.96663363065741659</v>
      </c>
      <c r="AL689" s="26">
        <v>0.95779842210914523</v>
      </c>
      <c r="AM689" s="25">
        <v>0.99</v>
      </c>
      <c r="AN689" s="30">
        <v>1</v>
      </c>
      <c r="AO689" s="30">
        <v>1</v>
      </c>
      <c r="AP689" s="30">
        <v>1</v>
      </c>
      <c r="AQ689" s="30">
        <v>1</v>
      </c>
      <c r="AR689" s="50">
        <v>8.1059522893420499E-2</v>
      </c>
      <c r="AS689" s="34">
        <v>5.8823529411764705E-2</v>
      </c>
      <c r="AT689" s="34">
        <v>5.2631578947368418E-2</v>
      </c>
      <c r="AU689" s="34">
        <v>0.17391304347826086</v>
      </c>
      <c r="AV689" s="34">
        <v>6.4516129032258063E-2</v>
      </c>
      <c r="AW689" s="10"/>
      <c r="AX689" s="8"/>
    </row>
    <row r="690" spans="1:50">
      <c r="A690" s="7"/>
      <c r="B690" s="10"/>
      <c r="C690" s="45" t="s">
        <v>688</v>
      </c>
      <c r="D690" s="23" t="s">
        <v>21</v>
      </c>
      <c r="E690" s="68" t="s">
        <v>736</v>
      </c>
      <c r="F690" s="68" t="s">
        <v>736</v>
      </c>
      <c r="G690" s="68" t="s">
        <v>736</v>
      </c>
      <c r="H690" s="68" t="s">
        <v>736</v>
      </c>
      <c r="I690" s="25">
        <v>0.9</v>
      </c>
      <c r="J690" s="26">
        <v>0.92500000000000004</v>
      </c>
      <c r="K690" s="26">
        <v>0.90243902439024393</v>
      </c>
      <c r="L690" s="27">
        <v>0.93333333333333335</v>
      </c>
      <c r="M690" s="26">
        <v>0.92523364485981308</v>
      </c>
      <c r="N690" s="28">
        <v>0.9</v>
      </c>
      <c r="O690" s="26">
        <v>0.95334079880552447</v>
      </c>
      <c r="P690" s="26">
        <v>0.94074881861141402</v>
      </c>
      <c r="Q690" s="26">
        <v>0.96009673518742444</v>
      </c>
      <c r="R690" s="26">
        <v>0.95206233217414271</v>
      </c>
      <c r="S690" s="28">
        <v>0.9</v>
      </c>
      <c r="T690" s="26">
        <v>0.90892123926838375</v>
      </c>
      <c r="U690" s="26">
        <v>0.92838967648127957</v>
      </c>
      <c r="V690" s="26">
        <v>0.89721886336154777</v>
      </c>
      <c r="W690" s="26">
        <v>0.91235638508605887</v>
      </c>
      <c r="X690" s="28">
        <v>0.92</v>
      </c>
      <c r="Y690" s="28">
        <v>0.89247311827956988</v>
      </c>
      <c r="Z690" s="28">
        <v>0.93133583021223476</v>
      </c>
      <c r="AA690" s="28">
        <v>0.90997229916897504</v>
      </c>
      <c r="AB690" s="28">
        <v>0.90431837425910244</v>
      </c>
      <c r="AC690" s="28">
        <v>0.92</v>
      </c>
      <c r="AD690" s="26">
        <v>1</v>
      </c>
      <c r="AE690" s="26">
        <v>0.99946666666666661</v>
      </c>
      <c r="AF690" s="26">
        <v>0.99890530925013687</v>
      </c>
      <c r="AG690" s="26">
        <v>0.99821644690744638</v>
      </c>
      <c r="AH690" s="28">
        <v>0.92</v>
      </c>
      <c r="AI690" s="26">
        <v>0.93571626489332227</v>
      </c>
      <c r="AJ690" s="26">
        <v>0.9572072072072072</v>
      </c>
      <c r="AK690" s="26">
        <v>0.9583126550868486</v>
      </c>
      <c r="AL690" s="26">
        <v>0.94976419213973795</v>
      </c>
      <c r="AM690" s="25">
        <v>0.99</v>
      </c>
      <c r="AN690" s="30">
        <v>1</v>
      </c>
      <c r="AO690" s="30">
        <v>1</v>
      </c>
      <c r="AP690" s="30">
        <v>1</v>
      </c>
      <c r="AQ690" s="30">
        <v>1</v>
      </c>
      <c r="AR690" s="50">
        <v>8.1059522893420499E-2</v>
      </c>
      <c r="AS690" s="34">
        <v>0.14285714285714285</v>
      </c>
      <c r="AT690" s="34">
        <v>5.5555555555555552E-2</v>
      </c>
      <c r="AU690" s="34">
        <v>0.18181818181818182</v>
      </c>
      <c r="AV690" s="34">
        <v>0.10309278350515463</v>
      </c>
      <c r="AW690" s="10"/>
      <c r="AX690" s="8"/>
    </row>
    <row r="691" spans="1:50">
      <c r="A691" s="7"/>
      <c r="B691" s="10"/>
      <c r="C691" s="45" t="s">
        <v>688</v>
      </c>
      <c r="D691" s="23" t="s">
        <v>21</v>
      </c>
      <c r="E691" s="68" t="s">
        <v>737</v>
      </c>
      <c r="F691" s="68" t="s">
        <v>737</v>
      </c>
      <c r="G691" s="68" t="s">
        <v>737</v>
      </c>
      <c r="H691" s="68" t="s">
        <v>737</v>
      </c>
      <c r="I691" s="25">
        <v>0.9</v>
      </c>
      <c r="J691" s="26">
        <v>0.84375</v>
      </c>
      <c r="K691" s="26">
        <v>0.77419354838709675</v>
      </c>
      <c r="L691" s="27">
        <v>0.875</v>
      </c>
      <c r="M691" s="26">
        <v>0.80645161290322576</v>
      </c>
      <c r="N691" s="28">
        <v>0.9</v>
      </c>
      <c r="O691" s="26">
        <v>0.93787202380952384</v>
      </c>
      <c r="P691" s="26">
        <v>0.96351510396233819</v>
      </c>
      <c r="Q691" s="26">
        <v>0.97253129346314326</v>
      </c>
      <c r="R691" s="26">
        <v>0.94089530760137741</v>
      </c>
      <c r="S691" s="28">
        <v>0.9</v>
      </c>
      <c r="T691" s="26">
        <v>0.9095982142857143</v>
      </c>
      <c r="U691" s="26">
        <v>0.92820714005492355</v>
      </c>
      <c r="V691" s="26">
        <v>0.93428372739916554</v>
      </c>
      <c r="W691" s="26">
        <v>0.92439738911445757</v>
      </c>
      <c r="X691" s="28">
        <v>0.92</v>
      </c>
      <c r="Y691" s="28">
        <v>0.89518072289156625</v>
      </c>
      <c r="Z691" s="28">
        <v>0.89493670886075949</v>
      </c>
      <c r="AA691" s="28">
        <v>0.87209302325581395</v>
      </c>
      <c r="AB691" s="28">
        <v>0.89420122887864828</v>
      </c>
      <c r="AC691" s="28">
        <v>0.92</v>
      </c>
      <c r="AD691" s="26">
        <v>0.99944524575613003</v>
      </c>
      <c r="AE691" s="26">
        <v>0.99861380648738562</v>
      </c>
      <c r="AF691" s="26">
        <v>0.99544906973631375</v>
      </c>
      <c r="AG691" s="26">
        <v>0.99691317697785331</v>
      </c>
      <c r="AH691" s="28">
        <v>0.92</v>
      </c>
      <c r="AI691" s="26">
        <v>0.93496165861971026</v>
      </c>
      <c r="AJ691" s="26">
        <v>0.94159928122192271</v>
      </c>
      <c r="AK691" s="26">
        <v>0.95036455412226584</v>
      </c>
      <c r="AL691" s="26">
        <v>0.94698228689554542</v>
      </c>
      <c r="AM691" s="25">
        <v>0.99</v>
      </c>
      <c r="AN691" s="30">
        <v>1</v>
      </c>
      <c r="AO691" s="30">
        <v>1</v>
      </c>
      <c r="AP691" s="30">
        <v>1</v>
      </c>
      <c r="AQ691" s="30">
        <v>1</v>
      </c>
      <c r="AR691" s="50">
        <v>8.1059522893420499E-2</v>
      </c>
      <c r="AS691" s="34">
        <v>9.5238095238095233E-2</v>
      </c>
      <c r="AT691" s="34">
        <v>2.8571428571428571E-2</v>
      </c>
      <c r="AU691" s="34">
        <v>0</v>
      </c>
      <c r="AV691" s="34">
        <v>9.0909090909090905E-3</v>
      </c>
      <c r="AW691" s="10"/>
      <c r="AX691" s="8"/>
    </row>
    <row r="692" spans="1:50">
      <c r="A692" s="7"/>
      <c r="B692" s="10"/>
      <c r="C692" s="45" t="s">
        <v>688</v>
      </c>
      <c r="D692" s="23" t="s">
        <v>21</v>
      </c>
      <c r="E692" s="68" t="s">
        <v>738</v>
      </c>
      <c r="F692" s="68" t="s">
        <v>738</v>
      </c>
      <c r="G692" s="68" t="s">
        <v>738</v>
      </c>
      <c r="H692" s="68" t="s">
        <v>738</v>
      </c>
      <c r="I692" s="25">
        <v>0.9</v>
      </c>
      <c r="J692" s="26">
        <v>0.96153846153846156</v>
      </c>
      <c r="K692" s="26">
        <v>0.9642857142857143</v>
      </c>
      <c r="L692" s="27">
        <v>0.96551724137931039</v>
      </c>
      <c r="M692" s="26">
        <v>0.96279069767441861</v>
      </c>
      <c r="N692" s="28">
        <v>0.9</v>
      </c>
      <c r="O692" s="26">
        <v>0.94102564102564101</v>
      </c>
      <c r="P692" s="26">
        <v>0.92667928098391672</v>
      </c>
      <c r="Q692" s="26">
        <v>0.97467845659163987</v>
      </c>
      <c r="R692" s="26">
        <v>0.94987616464205682</v>
      </c>
      <c r="S692" s="28">
        <v>0.9</v>
      </c>
      <c r="T692" s="26">
        <v>0.90307692307692311</v>
      </c>
      <c r="U692" s="26">
        <v>0.92005676442762541</v>
      </c>
      <c r="V692" s="26">
        <v>0.932475884244373</v>
      </c>
      <c r="W692" s="26">
        <v>0.91726618705035967</v>
      </c>
      <c r="X692" s="28">
        <v>0.92</v>
      </c>
      <c r="Y692" s="28">
        <v>0.86082474226804129</v>
      </c>
      <c r="Z692" s="28">
        <v>0.84629981024667933</v>
      </c>
      <c r="AA692" s="28">
        <v>0.88727272727272732</v>
      </c>
      <c r="AB692" s="28">
        <v>0.85209923664122134</v>
      </c>
      <c r="AC692" s="28">
        <v>0.92</v>
      </c>
      <c r="AD692" s="26">
        <v>1</v>
      </c>
      <c r="AE692" s="26">
        <v>1</v>
      </c>
      <c r="AF692" s="26">
        <v>1</v>
      </c>
      <c r="AG692" s="26">
        <v>0.99241603466955575</v>
      </c>
      <c r="AH692" s="28">
        <v>0.92</v>
      </c>
      <c r="AI692" s="26">
        <v>0.92851500789889418</v>
      </c>
      <c r="AJ692" s="26">
        <v>0.94246782740348223</v>
      </c>
      <c r="AK692" s="26">
        <v>0.95556287030941411</v>
      </c>
      <c r="AL692" s="26">
        <v>0.93816479931924546</v>
      </c>
      <c r="AM692" s="25">
        <v>0.99</v>
      </c>
      <c r="AN692" s="30">
        <v>1</v>
      </c>
      <c r="AO692" s="30">
        <v>1</v>
      </c>
      <c r="AP692" s="30">
        <v>1</v>
      </c>
      <c r="AQ692" s="30">
        <v>1</v>
      </c>
      <c r="AR692" s="50">
        <v>8.1059522893420499E-2</v>
      </c>
      <c r="AS692" s="34">
        <v>0.125</v>
      </c>
      <c r="AT692" s="34">
        <v>5.5555555555555552E-2</v>
      </c>
      <c r="AU692" s="34">
        <v>0.1</v>
      </c>
      <c r="AV692" s="34">
        <v>9.0090090090090086E-2</v>
      </c>
      <c r="AW692" s="10"/>
      <c r="AX692" s="8"/>
    </row>
    <row r="693" spans="1:50">
      <c r="A693" s="7"/>
      <c r="B693" s="10"/>
      <c r="C693" s="45" t="s">
        <v>688</v>
      </c>
      <c r="D693" s="23" t="s">
        <v>21</v>
      </c>
      <c r="E693" s="68" t="s">
        <v>739</v>
      </c>
      <c r="F693" s="68" t="s">
        <v>739</v>
      </c>
      <c r="G693" s="68" t="s">
        <v>739</v>
      </c>
      <c r="H693" s="68" t="s">
        <v>739</v>
      </c>
      <c r="I693" s="25">
        <v>0.9</v>
      </c>
      <c r="J693" s="26">
        <v>0.9285714285714286</v>
      </c>
      <c r="K693" s="26">
        <v>0.93103448275862066</v>
      </c>
      <c r="L693" s="27">
        <v>0.93103448275862066</v>
      </c>
      <c r="M693" s="26">
        <v>0.94570135746606332</v>
      </c>
      <c r="N693" s="28">
        <v>0.9</v>
      </c>
      <c r="O693" s="26">
        <v>0.98104035002430723</v>
      </c>
      <c r="P693" s="26">
        <v>0.98478364241559679</v>
      </c>
      <c r="Q693" s="26">
        <v>0.98317483540599848</v>
      </c>
      <c r="R693" s="26">
        <v>0.98223842851261545</v>
      </c>
      <c r="S693" s="28">
        <v>0.9</v>
      </c>
      <c r="T693" s="26">
        <v>0.89499270782693241</v>
      </c>
      <c r="U693" s="26">
        <v>0.9405611031859249</v>
      </c>
      <c r="V693" s="26">
        <v>0.93452816386247262</v>
      </c>
      <c r="W693" s="26">
        <v>0.93424689760630475</v>
      </c>
      <c r="X693" s="28">
        <v>0.92</v>
      </c>
      <c r="Y693" s="28">
        <v>0.86595174262734587</v>
      </c>
      <c r="Z693" s="28">
        <v>0.86251808972503619</v>
      </c>
      <c r="AA693" s="28">
        <v>0.88076923076923075</v>
      </c>
      <c r="AB693" s="28">
        <v>0.87539267015706801</v>
      </c>
      <c r="AC693" s="28">
        <v>0.92</v>
      </c>
      <c r="AD693" s="26">
        <v>1</v>
      </c>
      <c r="AE693" s="26">
        <v>0.99001248439450684</v>
      </c>
      <c r="AF693" s="26">
        <v>0.98791018998272884</v>
      </c>
      <c r="AG693" s="26">
        <v>0.99405215799908497</v>
      </c>
      <c r="AH693" s="28">
        <v>0.92</v>
      </c>
      <c r="AI693" s="26">
        <v>0.92222618622904029</v>
      </c>
      <c r="AJ693" s="26">
        <v>0.94810307802433791</v>
      </c>
      <c r="AK693" s="26">
        <v>0.9558907228229937</v>
      </c>
      <c r="AL693" s="26">
        <v>0.94901909034925658</v>
      </c>
      <c r="AM693" s="25">
        <v>0.99</v>
      </c>
      <c r="AN693" s="30">
        <v>1</v>
      </c>
      <c r="AO693" s="30">
        <v>1</v>
      </c>
      <c r="AP693" s="30">
        <v>1</v>
      </c>
      <c r="AQ693" s="30">
        <v>1</v>
      </c>
      <c r="AR693" s="50">
        <v>8.1059522893420499E-2</v>
      </c>
      <c r="AS693" s="34">
        <v>0</v>
      </c>
      <c r="AT693" s="34">
        <v>0</v>
      </c>
      <c r="AU693" s="34">
        <v>0</v>
      </c>
      <c r="AV693" s="34">
        <v>1.5625E-2</v>
      </c>
      <c r="AW693" s="10"/>
      <c r="AX693" s="8"/>
    </row>
    <row r="694" spans="1:50">
      <c r="A694" s="7"/>
      <c r="B694" s="10"/>
      <c r="C694" s="45" t="s">
        <v>688</v>
      </c>
      <c r="D694" s="23" t="s">
        <v>21</v>
      </c>
      <c r="E694" s="68" t="s">
        <v>740</v>
      </c>
      <c r="F694" s="68" t="s">
        <v>740</v>
      </c>
      <c r="G694" s="68" t="s">
        <v>740</v>
      </c>
      <c r="H694" s="68" t="s">
        <v>740</v>
      </c>
      <c r="I694" s="25">
        <v>0.9</v>
      </c>
      <c r="J694" s="26">
        <v>0.92307692307692313</v>
      </c>
      <c r="K694" s="26">
        <v>0.95238095238095233</v>
      </c>
      <c r="L694" s="27">
        <v>0.81395348837209303</v>
      </c>
      <c r="M694" s="26">
        <v>0.88749999999999996</v>
      </c>
      <c r="N694" s="28">
        <v>0.9</v>
      </c>
      <c r="O694" s="26">
        <v>0.96140238018655522</v>
      </c>
      <c r="P694" s="26">
        <v>0.96920777279521675</v>
      </c>
      <c r="Q694" s="26">
        <v>0.96207497820401044</v>
      </c>
      <c r="R694" s="26">
        <v>0.96472790095018712</v>
      </c>
      <c r="S694" s="28">
        <v>0.9</v>
      </c>
      <c r="T694" s="26">
        <v>0.92569958185911871</v>
      </c>
      <c r="U694" s="26">
        <v>0.94260089686098658</v>
      </c>
      <c r="V694" s="26">
        <v>0.93679163034001744</v>
      </c>
      <c r="W694" s="26">
        <v>0.93258710048949034</v>
      </c>
      <c r="X694" s="28">
        <v>0.92</v>
      </c>
      <c r="Y694" s="28">
        <v>0.83939873417721522</v>
      </c>
      <c r="Z694" s="28">
        <v>0.87601078167115898</v>
      </c>
      <c r="AA694" s="28">
        <v>0.90030911901081911</v>
      </c>
      <c r="AB694" s="28">
        <v>0.87721168194414834</v>
      </c>
      <c r="AC694" s="28">
        <v>0.92</v>
      </c>
      <c r="AD694" s="26">
        <v>0.99823477493380408</v>
      </c>
      <c r="AE694" s="26">
        <v>0.99519230769230771</v>
      </c>
      <c r="AF694" s="26">
        <v>0.99428789032749432</v>
      </c>
      <c r="AG694" s="26">
        <v>0.98869241507677985</v>
      </c>
      <c r="AH694" s="28">
        <v>0.92</v>
      </c>
      <c r="AI694" s="26">
        <v>0.9236222273039103</v>
      </c>
      <c r="AJ694" s="26">
        <v>0.94460641399416911</v>
      </c>
      <c r="AK694" s="26">
        <v>0.95529491755906848</v>
      </c>
      <c r="AL694" s="26">
        <v>0.94541884112551788</v>
      </c>
      <c r="AM694" s="25">
        <v>0.99</v>
      </c>
      <c r="AN694" s="30">
        <v>1</v>
      </c>
      <c r="AO694" s="30">
        <v>1</v>
      </c>
      <c r="AP694" s="30">
        <v>1</v>
      </c>
      <c r="AQ694" s="30">
        <v>1</v>
      </c>
      <c r="AR694" s="50">
        <v>8.1059522893420499E-2</v>
      </c>
      <c r="AS694" s="34">
        <v>0</v>
      </c>
      <c r="AT694" s="34">
        <v>4.3478260869565216E-2</v>
      </c>
      <c r="AU694" s="34">
        <v>0</v>
      </c>
      <c r="AV694" s="34">
        <v>3.5714285714285712E-2</v>
      </c>
      <c r="AW694" s="10"/>
      <c r="AX694" s="8"/>
    </row>
    <row r="695" spans="1:50">
      <c r="A695" s="7"/>
      <c r="B695" s="10"/>
      <c r="C695" s="45" t="s">
        <v>688</v>
      </c>
      <c r="D695" s="23" t="s">
        <v>21</v>
      </c>
      <c r="E695" s="68" t="s">
        <v>741</v>
      </c>
      <c r="F695" s="68" t="s">
        <v>741</v>
      </c>
      <c r="G695" s="68" t="s">
        <v>741</v>
      </c>
      <c r="H695" s="68" t="s">
        <v>741</v>
      </c>
      <c r="I695" s="25">
        <v>0.9</v>
      </c>
      <c r="J695" s="26">
        <v>0.82978723404255317</v>
      </c>
      <c r="K695" s="26">
        <v>0.95744680851063835</v>
      </c>
      <c r="L695" s="27">
        <v>0.72549019607843135</v>
      </c>
      <c r="M695" s="26">
        <v>0.81266490765171506</v>
      </c>
      <c r="N695" s="28">
        <v>0.9</v>
      </c>
      <c r="O695" s="26">
        <v>0.95379250217959899</v>
      </c>
      <c r="P695" s="26">
        <v>0.97597192224622031</v>
      </c>
      <c r="Q695" s="26">
        <v>0.96842105263157896</v>
      </c>
      <c r="R695" s="26">
        <v>0.96829808944090634</v>
      </c>
      <c r="S695" s="28">
        <v>0.9</v>
      </c>
      <c r="T695" s="26">
        <v>0.91455972101133387</v>
      </c>
      <c r="U695" s="26">
        <v>0.94627429805615548</v>
      </c>
      <c r="V695" s="26">
        <v>0.9459781529294935</v>
      </c>
      <c r="W695" s="26">
        <v>0.94113507617606695</v>
      </c>
      <c r="X695" s="28">
        <v>0.92</v>
      </c>
      <c r="Y695" s="28">
        <v>0.96368038740920092</v>
      </c>
      <c r="Z695" s="28">
        <v>0.94909688013136284</v>
      </c>
      <c r="AA695" s="28">
        <v>0.94989262705798139</v>
      </c>
      <c r="AB695" s="28">
        <v>0.95132149901380669</v>
      </c>
      <c r="AC695" s="28">
        <v>0.92</v>
      </c>
      <c r="AD695" s="26">
        <v>0.99934832192896705</v>
      </c>
      <c r="AE695" s="26">
        <v>0.99947159841479527</v>
      </c>
      <c r="AF695" s="26">
        <v>0.99943709541232761</v>
      </c>
      <c r="AG695" s="26">
        <v>0.99799446472263442</v>
      </c>
      <c r="AH695" s="28">
        <v>0.92</v>
      </c>
      <c r="AI695" s="26">
        <v>0.96264367816091956</v>
      </c>
      <c r="AJ695" s="26">
        <v>0.97156205565711962</v>
      </c>
      <c r="AK695" s="26">
        <v>0.97761542048810823</v>
      </c>
      <c r="AL695" s="26">
        <v>0.97008027243979567</v>
      </c>
      <c r="AM695" s="25">
        <v>0.99</v>
      </c>
      <c r="AN695" s="30">
        <v>1</v>
      </c>
      <c r="AO695" s="30">
        <v>1</v>
      </c>
      <c r="AP695" s="30">
        <v>1</v>
      </c>
      <c r="AQ695" s="30">
        <v>1</v>
      </c>
      <c r="AR695" s="50">
        <v>8.1059522893420499E-2</v>
      </c>
      <c r="AS695" s="34">
        <v>0.1111111111111111</v>
      </c>
      <c r="AT695" s="34">
        <v>0</v>
      </c>
      <c r="AU695" s="34">
        <v>8.8235294117647065E-2</v>
      </c>
      <c r="AV695" s="34">
        <v>7.9646017699115043E-2</v>
      </c>
      <c r="AW695" s="10"/>
      <c r="AX695" s="8"/>
    </row>
    <row r="696" spans="1:50">
      <c r="A696" s="7"/>
      <c r="B696" s="10"/>
      <c r="C696" s="45" t="s">
        <v>688</v>
      </c>
      <c r="D696" s="23" t="s">
        <v>21</v>
      </c>
      <c r="E696" s="68" t="s">
        <v>742</v>
      </c>
      <c r="F696" s="68" t="s">
        <v>742</v>
      </c>
      <c r="G696" s="68" t="s">
        <v>742</v>
      </c>
      <c r="H696" s="68" t="s">
        <v>742</v>
      </c>
      <c r="I696" s="25">
        <v>0.9</v>
      </c>
      <c r="J696" s="26">
        <v>1</v>
      </c>
      <c r="K696" s="26">
        <v>0.8571428571428571</v>
      </c>
      <c r="L696" s="27">
        <v>0.95238095238095233</v>
      </c>
      <c r="M696" s="26">
        <v>0.94545454545454544</v>
      </c>
      <c r="N696" s="28">
        <v>0.9</v>
      </c>
      <c r="O696" s="26">
        <v>0.99942329873125724</v>
      </c>
      <c r="P696" s="26">
        <v>0.99892876272094266</v>
      </c>
      <c r="Q696" s="26">
        <v>0.99922057677318787</v>
      </c>
      <c r="R696" s="26">
        <v>0.99890145395799679</v>
      </c>
      <c r="S696" s="28">
        <v>0.9</v>
      </c>
      <c r="T696" s="26">
        <v>0.96943483275663211</v>
      </c>
      <c r="U696" s="26">
        <v>0.96625602570969471</v>
      </c>
      <c r="V696" s="26">
        <v>0.9758378799688231</v>
      </c>
      <c r="W696" s="26">
        <v>0.97376413570274634</v>
      </c>
      <c r="X696" s="28">
        <v>0.92</v>
      </c>
      <c r="Y696" s="28">
        <v>0.9600591715976331</v>
      </c>
      <c r="Z696" s="28">
        <v>0.95744680851063835</v>
      </c>
      <c r="AA696" s="28">
        <v>0.96693121693121697</v>
      </c>
      <c r="AB696" s="28">
        <v>0.96463022508038587</v>
      </c>
      <c r="AC696" s="28">
        <v>0.92</v>
      </c>
      <c r="AD696" s="26">
        <v>0.9963302752293578</v>
      </c>
      <c r="AE696" s="26">
        <v>0.9979123173277662</v>
      </c>
      <c r="AF696" s="26">
        <v>0.99534883720930234</v>
      </c>
      <c r="AG696" s="26">
        <v>0.9953669836625213</v>
      </c>
      <c r="AH696" s="28">
        <v>0.92</v>
      </c>
      <c r="AI696" s="26">
        <v>0.9763485477178423</v>
      </c>
      <c r="AJ696" s="26">
        <v>0.9753833736884584</v>
      </c>
      <c r="AK696" s="26">
        <v>0.98795906080674289</v>
      </c>
      <c r="AL696" s="26">
        <v>0.98280512474713422</v>
      </c>
      <c r="AM696" s="25">
        <v>0.99</v>
      </c>
      <c r="AN696" s="30">
        <v>1</v>
      </c>
      <c r="AO696" s="30">
        <v>1</v>
      </c>
      <c r="AP696" s="30">
        <v>1</v>
      </c>
      <c r="AQ696" s="30">
        <v>1</v>
      </c>
      <c r="AR696" s="50">
        <v>8.1059522893420499E-2</v>
      </c>
      <c r="AS696" s="34">
        <v>0</v>
      </c>
      <c r="AT696" s="34">
        <v>0.33333333333333331</v>
      </c>
      <c r="AU696" s="34">
        <v>0</v>
      </c>
      <c r="AV696" s="34">
        <v>4.7619047619047616E-2</v>
      </c>
      <c r="AW696" s="10"/>
      <c r="AX696" s="8"/>
    </row>
    <row r="697" spans="1:50">
      <c r="A697" s="7"/>
      <c r="B697" s="10"/>
      <c r="C697" s="45" t="s">
        <v>688</v>
      </c>
      <c r="D697" s="23" t="s">
        <v>21</v>
      </c>
      <c r="E697" s="68" t="s">
        <v>743</v>
      </c>
      <c r="F697" s="68" t="s">
        <v>743</v>
      </c>
      <c r="G697" s="68" t="s">
        <v>743</v>
      </c>
      <c r="H697" s="68" t="s">
        <v>743</v>
      </c>
      <c r="I697" s="25">
        <v>0.9</v>
      </c>
      <c r="J697" s="26">
        <v>1</v>
      </c>
      <c r="K697" s="26">
        <v>0.97499999999999998</v>
      </c>
      <c r="L697" s="27">
        <v>1</v>
      </c>
      <c r="M697" s="26">
        <v>0.99671052631578949</v>
      </c>
      <c r="N697" s="28">
        <v>0.9</v>
      </c>
      <c r="O697" s="26">
        <v>0.99886061526775538</v>
      </c>
      <c r="P697" s="26">
        <v>0.99926443545421106</v>
      </c>
      <c r="Q697" s="26">
        <v>0.99972899728997289</v>
      </c>
      <c r="R697" s="26">
        <v>0.99464841865157694</v>
      </c>
      <c r="S697" s="28">
        <v>0.9</v>
      </c>
      <c r="T697" s="26">
        <v>0.94341055829851883</v>
      </c>
      <c r="U697" s="26">
        <v>0.95549834497977193</v>
      </c>
      <c r="V697" s="26">
        <v>0.9346883468834688</v>
      </c>
      <c r="W697" s="26">
        <v>0.94065008553757068</v>
      </c>
      <c r="X697" s="28">
        <v>0.92</v>
      </c>
      <c r="Y697" s="28">
        <v>0.95219512195121947</v>
      </c>
      <c r="Z697" s="28">
        <v>0.94438386041439482</v>
      </c>
      <c r="AA697" s="28">
        <v>0.94974874371859297</v>
      </c>
      <c r="AB697" s="28">
        <v>0.93708992666923963</v>
      </c>
      <c r="AC697" s="28">
        <v>0.92</v>
      </c>
      <c r="AD697" s="26">
        <v>1</v>
      </c>
      <c r="AE697" s="26">
        <v>1</v>
      </c>
      <c r="AF697" s="26">
        <v>1</v>
      </c>
      <c r="AG697" s="26">
        <v>0.99706005879882398</v>
      </c>
      <c r="AH697" s="28">
        <v>0.92</v>
      </c>
      <c r="AI697" s="26">
        <v>0.96910880262438492</v>
      </c>
      <c r="AJ697" s="26">
        <v>0.97332233223322329</v>
      </c>
      <c r="AK697" s="26">
        <v>0.97737459978655283</v>
      </c>
      <c r="AL697" s="26">
        <v>0.96925391685474116</v>
      </c>
      <c r="AM697" s="25">
        <v>0.99</v>
      </c>
      <c r="AN697" s="30">
        <v>1</v>
      </c>
      <c r="AO697" s="30">
        <v>1</v>
      </c>
      <c r="AP697" s="30">
        <v>1</v>
      </c>
      <c r="AQ697" s="30">
        <v>1</v>
      </c>
      <c r="AR697" s="50">
        <v>8.1059522893420499E-2</v>
      </c>
      <c r="AS697" s="34">
        <v>0</v>
      </c>
      <c r="AT697" s="34">
        <v>0</v>
      </c>
      <c r="AU697" s="34">
        <v>0</v>
      </c>
      <c r="AV697" s="34">
        <v>5.4054054054054057E-2</v>
      </c>
      <c r="AW697" s="10"/>
      <c r="AX697" s="8"/>
    </row>
    <row r="698" spans="1:50">
      <c r="A698" s="7"/>
      <c r="B698" s="10"/>
      <c r="C698" s="45" t="s">
        <v>688</v>
      </c>
      <c r="D698" s="23" t="s">
        <v>21</v>
      </c>
      <c r="E698" s="68" t="s">
        <v>744</v>
      </c>
      <c r="F698" s="68" t="s">
        <v>744</v>
      </c>
      <c r="G698" s="68" t="s">
        <v>744</v>
      </c>
      <c r="H698" s="68" t="s">
        <v>744</v>
      </c>
      <c r="I698" s="25">
        <v>0.9</v>
      </c>
      <c r="J698" s="26">
        <v>0.875</v>
      </c>
      <c r="K698" s="26">
        <v>0.91304347826086951</v>
      </c>
      <c r="L698" s="27">
        <v>0.66666666666666663</v>
      </c>
      <c r="M698" s="26">
        <v>0.83243243243243248</v>
      </c>
      <c r="N698" s="28">
        <v>0.9</v>
      </c>
      <c r="O698" s="26">
        <v>0.95808736717827625</v>
      </c>
      <c r="P698" s="26">
        <v>0.96672212978369387</v>
      </c>
      <c r="Q698" s="26">
        <v>0.95073891625615758</v>
      </c>
      <c r="R698" s="26">
        <v>0.94094067343666488</v>
      </c>
      <c r="S698" s="28">
        <v>0.9</v>
      </c>
      <c r="T698" s="26">
        <v>0.94391971664698937</v>
      </c>
      <c r="U698" s="26">
        <v>0.94897393233499727</v>
      </c>
      <c r="V698" s="26">
        <v>0.9474548440065681</v>
      </c>
      <c r="W698" s="26">
        <v>0.9467530732228755</v>
      </c>
      <c r="X698" s="28">
        <v>0.92</v>
      </c>
      <c r="Y698" s="28">
        <v>0.92500000000000004</v>
      </c>
      <c r="Z698" s="28">
        <v>0.93865905848787445</v>
      </c>
      <c r="AA698" s="28">
        <v>0.93704245973645683</v>
      </c>
      <c r="AB698" s="28">
        <v>0.93427784336875241</v>
      </c>
      <c r="AC698" s="28">
        <v>0.92</v>
      </c>
      <c r="AD698" s="26">
        <v>0.99405940594059405</v>
      </c>
      <c r="AE698" s="26">
        <v>0.97207678883071558</v>
      </c>
      <c r="AF698" s="26">
        <v>0.99363057324840764</v>
      </c>
      <c r="AG698" s="26">
        <v>0.98746295874173695</v>
      </c>
      <c r="AH698" s="28">
        <v>0.92</v>
      </c>
      <c r="AI698" s="26">
        <v>0.95544130248500425</v>
      </c>
      <c r="AJ698" s="26">
        <v>0.96246006389776362</v>
      </c>
      <c r="AK698" s="26">
        <v>0.96825905739018914</v>
      </c>
      <c r="AL698" s="26">
        <v>0.96403990024937658</v>
      </c>
      <c r="AM698" s="25">
        <v>0.99</v>
      </c>
      <c r="AN698" s="30">
        <v>1</v>
      </c>
      <c r="AO698" s="30">
        <v>1</v>
      </c>
      <c r="AP698" s="30">
        <v>1</v>
      </c>
      <c r="AQ698" s="30">
        <v>1</v>
      </c>
      <c r="AR698" s="50">
        <v>8.1059522893420499E-2</v>
      </c>
      <c r="AS698" s="34">
        <v>0</v>
      </c>
      <c r="AT698" s="34">
        <v>0.18181818181818182</v>
      </c>
      <c r="AU698" s="34">
        <v>8.3333333333333329E-2</v>
      </c>
      <c r="AV698" s="34">
        <v>9.0909090909090912E-2</v>
      </c>
      <c r="AW698" s="10"/>
      <c r="AX698" s="8"/>
    </row>
    <row r="699" spans="1:50">
      <c r="A699" s="7"/>
      <c r="B699" s="10"/>
      <c r="C699" s="45" t="s">
        <v>688</v>
      </c>
      <c r="D699" s="23" t="s">
        <v>21</v>
      </c>
      <c r="E699" s="68" t="s">
        <v>745</v>
      </c>
      <c r="F699" s="68" t="s">
        <v>745</v>
      </c>
      <c r="G699" s="68" t="s">
        <v>745</v>
      </c>
      <c r="H699" s="68" t="s">
        <v>745</v>
      </c>
      <c r="I699" s="25">
        <v>0.9</v>
      </c>
      <c r="J699" s="26">
        <v>0.83333333333333337</v>
      </c>
      <c r="K699" s="26">
        <v>0.84313725490196079</v>
      </c>
      <c r="L699" s="27">
        <v>0.87037037037037035</v>
      </c>
      <c r="M699" s="26">
        <v>0.82989690721649489</v>
      </c>
      <c r="N699" s="28">
        <v>0.9</v>
      </c>
      <c r="O699" s="26">
        <v>0.9705056179775281</v>
      </c>
      <c r="P699" s="26">
        <v>0.97554630593132152</v>
      </c>
      <c r="Q699" s="26">
        <v>0.97732901505048586</v>
      </c>
      <c r="R699" s="26">
        <v>0.9756390787142496</v>
      </c>
      <c r="S699" s="28">
        <v>0.9</v>
      </c>
      <c r="T699" s="26">
        <v>0.94269662921348318</v>
      </c>
      <c r="U699" s="26">
        <v>0.93990634755463054</v>
      </c>
      <c r="V699" s="26">
        <v>0.95180034292246141</v>
      </c>
      <c r="W699" s="26">
        <v>0.94514047076689445</v>
      </c>
      <c r="X699" s="28">
        <v>0.92</v>
      </c>
      <c r="Y699" s="28">
        <v>0.94387405886379194</v>
      </c>
      <c r="Z699" s="28">
        <v>0.93800322061191621</v>
      </c>
      <c r="AA699" s="28">
        <v>0.95749440715883671</v>
      </c>
      <c r="AB699" s="28">
        <v>0.9445587135377711</v>
      </c>
      <c r="AC699" s="28">
        <v>0.92</v>
      </c>
      <c r="AD699" s="26">
        <v>0.99825479930191974</v>
      </c>
      <c r="AE699" s="26">
        <v>0.98533724340175954</v>
      </c>
      <c r="AF699" s="26">
        <v>0.97774480712166167</v>
      </c>
      <c r="AG699" s="26">
        <v>0.98408656906429026</v>
      </c>
      <c r="AH699" s="28">
        <v>0.92</v>
      </c>
      <c r="AI699" s="26">
        <v>0.96853216490738891</v>
      </c>
      <c r="AJ699" s="26">
        <v>0.97267007471490363</v>
      </c>
      <c r="AK699" s="26">
        <v>0.97890743550834602</v>
      </c>
      <c r="AL699" s="26">
        <v>0.97305219364599094</v>
      </c>
      <c r="AM699" s="25">
        <v>0.99</v>
      </c>
      <c r="AN699" s="30">
        <v>1</v>
      </c>
      <c r="AO699" s="30">
        <v>1</v>
      </c>
      <c r="AP699" s="30">
        <v>1</v>
      </c>
      <c r="AQ699" s="30">
        <v>1</v>
      </c>
      <c r="AR699" s="50">
        <v>8.1059522893420499E-2</v>
      </c>
      <c r="AS699" s="34">
        <v>0</v>
      </c>
      <c r="AT699" s="34">
        <v>3.4482758620689655E-2</v>
      </c>
      <c r="AU699" s="34">
        <v>0.04</v>
      </c>
      <c r="AV699" s="34">
        <v>4.4198895027624308E-2</v>
      </c>
      <c r="AW699" s="10"/>
      <c r="AX699" s="8"/>
    </row>
    <row r="700" spans="1:50">
      <c r="A700" s="7"/>
      <c r="B700" s="10"/>
      <c r="C700" s="45" t="s">
        <v>688</v>
      </c>
      <c r="D700" s="23" t="s">
        <v>21</v>
      </c>
      <c r="E700" s="68" t="s">
        <v>746</v>
      </c>
      <c r="F700" s="68" t="s">
        <v>746</v>
      </c>
      <c r="G700" s="68" t="s">
        <v>746</v>
      </c>
      <c r="H700" s="68" t="s">
        <v>746</v>
      </c>
      <c r="I700" s="25">
        <v>0.9</v>
      </c>
      <c r="J700" s="26">
        <v>1</v>
      </c>
      <c r="K700" s="26">
        <v>0.9555555555555556</v>
      </c>
      <c r="L700" s="27">
        <v>0.95744680851063835</v>
      </c>
      <c r="M700" s="26">
        <v>0.96107784431137722</v>
      </c>
      <c r="N700" s="28">
        <v>0.9</v>
      </c>
      <c r="O700" s="26">
        <v>0.98964113947465782</v>
      </c>
      <c r="P700" s="26">
        <v>0.99201161946259986</v>
      </c>
      <c r="Q700" s="26">
        <v>0.99257629914764911</v>
      </c>
      <c r="R700" s="26">
        <v>0.9919643251357676</v>
      </c>
      <c r="S700" s="28">
        <v>0.9</v>
      </c>
      <c r="T700" s="26">
        <v>0.93488716241213465</v>
      </c>
      <c r="U700" s="26">
        <v>0.95533769063180829</v>
      </c>
      <c r="V700" s="26">
        <v>0.95765740995325821</v>
      </c>
      <c r="W700" s="26">
        <v>0.95222747141154129</v>
      </c>
      <c r="X700" s="28">
        <v>0.92</v>
      </c>
      <c r="Y700" s="28">
        <v>0.93320790216368765</v>
      </c>
      <c r="Z700" s="28">
        <v>0.94333683105981114</v>
      </c>
      <c r="AA700" s="28">
        <v>0.94589371980676329</v>
      </c>
      <c r="AB700" s="28">
        <v>0.9382194934765925</v>
      </c>
      <c r="AC700" s="28">
        <v>0.92</v>
      </c>
      <c r="AD700" s="26">
        <v>0.99902056807051909</v>
      </c>
      <c r="AE700" s="26">
        <v>0.99810606060606055</v>
      </c>
      <c r="AF700" s="26">
        <v>0.99958779884583682</v>
      </c>
      <c r="AG700" s="26">
        <v>0.99784432260180889</v>
      </c>
      <c r="AH700" s="28">
        <v>0.92</v>
      </c>
      <c r="AI700" s="26">
        <v>0.95379713223579399</v>
      </c>
      <c r="AJ700" s="26">
        <v>0.96951712975451843</v>
      </c>
      <c r="AK700" s="26">
        <v>0.98009417808219179</v>
      </c>
      <c r="AL700" s="26">
        <v>0.96987299399428961</v>
      </c>
      <c r="AM700" s="25">
        <v>0.99</v>
      </c>
      <c r="AN700" s="30">
        <v>1</v>
      </c>
      <c r="AO700" s="30">
        <v>1</v>
      </c>
      <c r="AP700" s="30">
        <v>1</v>
      </c>
      <c r="AQ700" s="30">
        <v>1</v>
      </c>
      <c r="AR700" s="50">
        <v>8.1059522893420499E-2</v>
      </c>
      <c r="AS700" s="34">
        <v>7.6923076923076927E-2</v>
      </c>
      <c r="AT700" s="34">
        <v>0</v>
      </c>
      <c r="AU700" s="34">
        <v>6.6666666666666666E-2</v>
      </c>
      <c r="AV700" s="34">
        <v>4.4117647058823532E-2</v>
      </c>
      <c r="AW700" s="10"/>
      <c r="AX700" s="8"/>
    </row>
    <row r="701" spans="1:50">
      <c r="A701" s="7"/>
      <c r="B701" s="10"/>
      <c r="C701" s="45" t="s">
        <v>688</v>
      </c>
      <c r="D701" s="23" t="s">
        <v>21</v>
      </c>
      <c r="E701" s="68" t="s">
        <v>747</v>
      </c>
      <c r="F701" s="68" t="s">
        <v>747</v>
      </c>
      <c r="G701" s="68" t="s">
        <v>747</v>
      </c>
      <c r="H701" s="68" t="s">
        <v>747</v>
      </c>
      <c r="I701" s="25">
        <v>0.9</v>
      </c>
      <c r="J701" s="26">
        <v>0.91836734693877553</v>
      </c>
      <c r="K701" s="26">
        <v>0.98039215686274506</v>
      </c>
      <c r="L701" s="27">
        <v>0.83018867924528306</v>
      </c>
      <c r="M701" s="26">
        <v>0.92987012987012985</v>
      </c>
      <c r="N701" s="28">
        <v>0.9</v>
      </c>
      <c r="O701" s="26">
        <v>0.97845873786407767</v>
      </c>
      <c r="P701" s="26">
        <v>0.98637286169904315</v>
      </c>
      <c r="Q701" s="26">
        <v>0.96205403175912563</v>
      </c>
      <c r="R701" s="26">
        <v>0.98090319897411016</v>
      </c>
      <c r="S701" s="28">
        <v>0.9</v>
      </c>
      <c r="T701" s="26">
        <v>0.95084951456310685</v>
      </c>
      <c r="U701" s="26">
        <v>0.95100028993911279</v>
      </c>
      <c r="V701" s="26">
        <v>0.9445246442565477</v>
      </c>
      <c r="W701" s="26">
        <v>0.95445880844279629</v>
      </c>
      <c r="X701" s="28">
        <v>0.92</v>
      </c>
      <c r="Y701" s="28">
        <v>0.94777265745007677</v>
      </c>
      <c r="Z701" s="28">
        <v>0.96241258741258739</v>
      </c>
      <c r="AA701" s="28">
        <v>0.95963442498095963</v>
      </c>
      <c r="AB701" s="28">
        <v>0.95317759869427732</v>
      </c>
      <c r="AC701" s="28">
        <v>0.92</v>
      </c>
      <c r="AD701" s="26">
        <v>0.99926686217008798</v>
      </c>
      <c r="AE701" s="26">
        <v>0.99706457925636005</v>
      </c>
      <c r="AF701" s="26">
        <v>0.99530043638804966</v>
      </c>
      <c r="AG701" s="26">
        <v>0.99620278462460865</v>
      </c>
      <c r="AH701" s="28">
        <v>0.92</v>
      </c>
      <c r="AI701" s="26">
        <v>0.96998695084819486</v>
      </c>
      <c r="AJ701" s="26">
        <v>0.97757456999782277</v>
      </c>
      <c r="AK701" s="26">
        <v>0.98214865303472898</v>
      </c>
      <c r="AL701" s="26">
        <v>0.97871074551192505</v>
      </c>
      <c r="AM701" s="25">
        <v>0.99</v>
      </c>
      <c r="AN701" s="30">
        <v>1</v>
      </c>
      <c r="AO701" s="30">
        <v>1</v>
      </c>
      <c r="AP701" s="30">
        <v>1</v>
      </c>
      <c r="AQ701" s="30">
        <v>1</v>
      </c>
      <c r="AR701" s="50">
        <v>8.1059522893420499E-2</v>
      </c>
      <c r="AS701" s="34">
        <v>0.10526315789473684</v>
      </c>
      <c r="AT701" s="34">
        <v>0</v>
      </c>
      <c r="AU701" s="34">
        <v>0</v>
      </c>
      <c r="AV701" s="34">
        <v>1.8518518518518517E-2</v>
      </c>
      <c r="AW701" s="10"/>
      <c r="AX701" s="8"/>
    </row>
    <row r="702" spans="1:50">
      <c r="A702" s="7"/>
      <c r="B702" s="10"/>
      <c r="C702" s="45" t="s">
        <v>688</v>
      </c>
      <c r="D702" s="23" t="s">
        <v>21</v>
      </c>
      <c r="E702" s="68" t="s">
        <v>748</v>
      </c>
      <c r="F702" s="68" t="s">
        <v>748</v>
      </c>
      <c r="G702" s="68" t="s">
        <v>748</v>
      </c>
      <c r="H702" s="68" t="s">
        <v>748</v>
      </c>
      <c r="I702" s="25">
        <v>0.9</v>
      </c>
      <c r="J702" s="26">
        <v>0.70588235294117652</v>
      </c>
      <c r="K702" s="26">
        <v>0.83333333333333337</v>
      </c>
      <c r="L702" s="27">
        <v>1</v>
      </c>
      <c r="M702" s="26">
        <v>0.82517482517482521</v>
      </c>
      <c r="N702" s="28">
        <v>0.9</v>
      </c>
      <c r="O702" s="26">
        <v>0.99525101763907731</v>
      </c>
      <c r="P702" s="26">
        <v>0.98965307364576993</v>
      </c>
      <c r="Q702" s="26">
        <v>0.99305233904585455</v>
      </c>
      <c r="R702" s="26">
        <v>0.99163929531203343</v>
      </c>
      <c r="S702" s="28">
        <v>0.9</v>
      </c>
      <c r="T702" s="26">
        <v>0.96879240162822255</v>
      </c>
      <c r="U702" s="26">
        <v>0.96652465003043209</v>
      </c>
      <c r="V702" s="26">
        <v>0.97267253358036132</v>
      </c>
      <c r="W702" s="26">
        <v>0.96812481337712752</v>
      </c>
      <c r="X702" s="28">
        <v>0.92</v>
      </c>
      <c r="Y702" s="28">
        <v>0.97098976109215018</v>
      </c>
      <c r="Z702" s="28">
        <v>0.97499999999999998</v>
      </c>
      <c r="AA702" s="28">
        <v>0.97511664074650073</v>
      </c>
      <c r="AB702" s="28">
        <v>0.97250167672702881</v>
      </c>
      <c r="AC702" s="28">
        <v>0.92</v>
      </c>
      <c r="AD702" s="26">
        <v>1</v>
      </c>
      <c r="AE702" s="26">
        <v>0.99273607748184023</v>
      </c>
      <c r="AF702" s="26">
        <v>1</v>
      </c>
      <c r="AG702" s="26">
        <v>0.99685633448601074</v>
      </c>
      <c r="AH702" s="28">
        <v>0.92</v>
      </c>
      <c r="AI702" s="26">
        <v>0.98495875788452203</v>
      </c>
      <c r="AJ702" s="26">
        <v>0.9835216572504708</v>
      </c>
      <c r="AK702" s="26">
        <v>0.9907209136331192</v>
      </c>
      <c r="AL702" s="26">
        <v>0.98617872530916006</v>
      </c>
      <c r="AM702" s="25">
        <v>0.99</v>
      </c>
      <c r="AN702" s="30">
        <v>1</v>
      </c>
      <c r="AO702" s="30">
        <v>1</v>
      </c>
      <c r="AP702" s="30">
        <v>1</v>
      </c>
      <c r="AQ702" s="30">
        <v>1</v>
      </c>
      <c r="AR702" s="50">
        <v>8.1059522893420499E-2</v>
      </c>
      <c r="AS702" s="34">
        <v>0</v>
      </c>
      <c r="AT702" s="34">
        <v>0</v>
      </c>
      <c r="AU702" s="34">
        <v>0</v>
      </c>
      <c r="AV702" s="34">
        <v>2.7777777777777776E-2</v>
      </c>
      <c r="AW702" s="10"/>
      <c r="AX702" s="8"/>
    </row>
    <row r="703" spans="1:50">
      <c r="A703" s="7"/>
      <c r="B703" s="10"/>
      <c r="C703" s="45" t="s">
        <v>688</v>
      </c>
      <c r="D703" s="23" t="s">
        <v>21</v>
      </c>
      <c r="E703" s="68" t="s">
        <v>749</v>
      </c>
      <c r="F703" s="68" t="s">
        <v>749</v>
      </c>
      <c r="G703" s="68" t="s">
        <v>749</v>
      </c>
      <c r="H703" s="68" t="s">
        <v>749</v>
      </c>
      <c r="I703" s="25">
        <v>0.9</v>
      </c>
      <c r="J703" s="26">
        <v>0.96825396825396826</v>
      </c>
      <c r="K703" s="26">
        <v>0.94029850746268662</v>
      </c>
      <c r="L703" s="27">
        <v>0.97014925373134331</v>
      </c>
      <c r="M703" s="26">
        <v>0.96504854368932036</v>
      </c>
      <c r="N703" s="28">
        <v>0.9</v>
      </c>
      <c r="O703" s="26">
        <v>0.92728353477313252</v>
      </c>
      <c r="P703" s="26">
        <v>0.94054054054054059</v>
      </c>
      <c r="Q703" s="26">
        <v>0.94052461775845142</v>
      </c>
      <c r="R703" s="26">
        <v>0.93433702994950774</v>
      </c>
      <c r="S703" s="28">
        <v>0.9</v>
      </c>
      <c r="T703" s="26">
        <v>0.91915989696849609</v>
      </c>
      <c r="U703" s="26">
        <v>0.92720720720720717</v>
      </c>
      <c r="V703" s="26">
        <v>0.90728012343947262</v>
      </c>
      <c r="W703" s="26">
        <v>0.91711433380213492</v>
      </c>
      <c r="X703" s="28">
        <v>0.92</v>
      </c>
      <c r="Y703" s="28">
        <v>0.88161838161838157</v>
      </c>
      <c r="Z703" s="28">
        <v>0.91271676300578031</v>
      </c>
      <c r="AA703" s="28">
        <v>0.91895947973986991</v>
      </c>
      <c r="AB703" s="28">
        <v>0.89470387640058457</v>
      </c>
      <c r="AC703" s="28">
        <v>0.92</v>
      </c>
      <c r="AD703" s="26">
        <v>0.99965047186298495</v>
      </c>
      <c r="AE703" s="26">
        <v>0.9879605983217804</v>
      </c>
      <c r="AF703" s="26">
        <v>0.97440585009140768</v>
      </c>
      <c r="AG703" s="26">
        <v>0.99196141479099675</v>
      </c>
      <c r="AH703" s="28">
        <v>0.92</v>
      </c>
      <c r="AI703" s="26">
        <v>0.94099290780141842</v>
      </c>
      <c r="AJ703" s="26">
        <v>0.95494505494505499</v>
      </c>
      <c r="AK703" s="26">
        <v>0.9630806310254163</v>
      </c>
      <c r="AL703" s="26">
        <v>0.94816867261234739</v>
      </c>
      <c r="AM703" s="25">
        <v>0.99</v>
      </c>
      <c r="AN703" s="30">
        <v>1</v>
      </c>
      <c r="AO703" s="30">
        <v>1</v>
      </c>
      <c r="AP703" s="30">
        <v>1</v>
      </c>
      <c r="AQ703" s="30">
        <v>1</v>
      </c>
      <c r="AR703" s="50">
        <v>8.1059522893420499E-2</v>
      </c>
      <c r="AS703" s="34">
        <v>0</v>
      </c>
      <c r="AT703" s="34">
        <v>4.7619047619047616E-2</v>
      </c>
      <c r="AU703" s="34">
        <v>0</v>
      </c>
      <c r="AV703" s="34">
        <v>3.125E-2</v>
      </c>
      <c r="AW703" s="10"/>
      <c r="AX703" s="8"/>
    </row>
    <row r="704" spans="1:50">
      <c r="A704" s="7"/>
      <c r="B704" s="10"/>
      <c r="C704" s="45" t="s">
        <v>688</v>
      </c>
      <c r="D704" s="23" t="s">
        <v>21</v>
      </c>
      <c r="E704" s="68" t="s">
        <v>750</v>
      </c>
      <c r="F704" s="68" t="s">
        <v>750</v>
      </c>
      <c r="G704" s="68" t="s">
        <v>750</v>
      </c>
      <c r="H704" s="68" t="s">
        <v>750</v>
      </c>
      <c r="I704" s="25">
        <v>0.9</v>
      </c>
      <c r="J704" s="26">
        <v>1</v>
      </c>
      <c r="K704" s="26">
        <v>1</v>
      </c>
      <c r="L704" s="27">
        <v>0.97142857142857142</v>
      </c>
      <c r="M704" s="26">
        <v>0.98892988929889303</v>
      </c>
      <c r="N704" s="28">
        <v>0.9</v>
      </c>
      <c r="O704" s="26">
        <v>0.98250460405156537</v>
      </c>
      <c r="P704" s="26">
        <v>0.98684807256235829</v>
      </c>
      <c r="Q704" s="26">
        <v>0.97306069457968192</v>
      </c>
      <c r="R704" s="26">
        <v>0.9845790124120144</v>
      </c>
      <c r="S704" s="28">
        <v>0.9</v>
      </c>
      <c r="T704" s="26">
        <v>0.92173112338858199</v>
      </c>
      <c r="U704" s="26">
        <v>0.93015873015873018</v>
      </c>
      <c r="V704" s="26">
        <v>0.9276209023044466</v>
      </c>
      <c r="W704" s="26">
        <v>0.93272795658481544</v>
      </c>
      <c r="X704" s="28">
        <v>0.92</v>
      </c>
      <c r="Y704" s="28">
        <v>0.89268292682926831</v>
      </c>
      <c r="Z704" s="28">
        <v>0.91497975708502022</v>
      </c>
      <c r="AA704" s="28">
        <v>0.92900856793145659</v>
      </c>
      <c r="AB704" s="28">
        <v>0.90778857236950439</v>
      </c>
      <c r="AC704" s="28">
        <v>0.92</v>
      </c>
      <c r="AD704" s="26">
        <v>1</v>
      </c>
      <c r="AE704" s="26">
        <v>0.99712973593570609</v>
      </c>
      <c r="AF704" s="26">
        <v>0.99252801992528017</v>
      </c>
      <c r="AG704" s="26">
        <v>0.99595609474292313</v>
      </c>
      <c r="AH704" s="28">
        <v>0.92</v>
      </c>
      <c r="AI704" s="26">
        <v>0.946524064171123</v>
      </c>
      <c r="AJ704" s="26">
        <v>0.96029860875466577</v>
      </c>
      <c r="AK704" s="26">
        <v>0.974089276552078</v>
      </c>
      <c r="AL704" s="26">
        <v>0.96249189889825015</v>
      </c>
      <c r="AM704" s="25">
        <v>0.99</v>
      </c>
      <c r="AN704" s="30">
        <v>1</v>
      </c>
      <c r="AO704" s="30">
        <v>1</v>
      </c>
      <c r="AP704" s="30">
        <v>1</v>
      </c>
      <c r="AQ704" s="30">
        <v>1</v>
      </c>
      <c r="AR704" s="50">
        <v>8.1059522893420499E-2</v>
      </c>
      <c r="AS704" s="34">
        <v>0</v>
      </c>
      <c r="AT704" s="34">
        <v>0.18181818181818182</v>
      </c>
      <c r="AU704" s="34">
        <v>0</v>
      </c>
      <c r="AV704" s="34">
        <v>4.3956043956043959E-2</v>
      </c>
      <c r="AW704" s="10"/>
      <c r="AX704" s="8"/>
    </row>
    <row r="705" spans="1:50">
      <c r="A705" s="7"/>
      <c r="B705" s="10"/>
      <c r="C705" s="45" t="s">
        <v>688</v>
      </c>
      <c r="D705" s="23" t="s">
        <v>21</v>
      </c>
      <c r="E705" s="68" t="s">
        <v>751</v>
      </c>
      <c r="F705" s="68" t="s">
        <v>751</v>
      </c>
      <c r="G705" s="68" t="s">
        <v>751</v>
      </c>
      <c r="H705" s="68" t="s">
        <v>751</v>
      </c>
      <c r="I705" s="25">
        <v>0.9</v>
      </c>
      <c r="J705" s="26">
        <v>0.80952380952380953</v>
      </c>
      <c r="K705" s="26">
        <v>0.80952380952380953</v>
      </c>
      <c r="L705" s="27">
        <v>0.8571428571428571</v>
      </c>
      <c r="M705" s="26">
        <v>0.81927710843373491</v>
      </c>
      <c r="N705" s="28">
        <v>0.9</v>
      </c>
      <c r="O705" s="26">
        <v>0.96193771626297575</v>
      </c>
      <c r="P705" s="26">
        <v>0.97005347593582891</v>
      </c>
      <c r="Q705" s="26">
        <v>0.96834966088922381</v>
      </c>
      <c r="R705" s="26">
        <v>0.96672338816411418</v>
      </c>
      <c r="S705" s="28">
        <v>0.9</v>
      </c>
      <c r="T705" s="26">
        <v>0.93944636678200688</v>
      </c>
      <c r="U705" s="26">
        <v>0.94491978609625671</v>
      </c>
      <c r="V705" s="26">
        <v>0.92878673700075354</v>
      </c>
      <c r="W705" s="26">
        <v>0.93685006617508038</v>
      </c>
      <c r="X705" s="28">
        <v>0.92</v>
      </c>
      <c r="Y705" s="28">
        <v>0.94635488308115545</v>
      </c>
      <c r="Z705" s="28">
        <v>0.95393759286775637</v>
      </c>
      <c r="AA705" s="28">
        <v>0.95100864553314124</v>
      </c>
      <c r="AB705" s="28">
        <v>0.94813705298633211</v>
      </c>
      <c r="AC705" s="28">
        <v>0.92</v>
      </c>
      <c r="AD705" s="26">
        <v>0.9974619289340102</v>
      </c>
      <c r="AE705" s="26">
        <v>0.97950819672131151</v>
      </c>
      <c r="AF705" s="26">
        <v>0.98245614035087714</v>
      </c>
      <c r="AG705" s="26">
        <v>0.98237704918032787</v>
      </c>
      <c r="AH705" s="28">
        <v>0.92</v>
      </c>
      <c r="AI705" s="26">
        <v>0.96830556684274682</v>
      </c>
      <c r="AJ705" s="26">
        <v>0.97679905623279595</v>
      </c>
      <c r="AK705" s="26">
        <v>0.98028673835125446</v>
      </c>
      <c r="AL705" s="26">
        <v>0.97402046301098588</v>
      </c>
      <c r="AM705" s="25">
        <v>0.99</v>
      </c>
      <c r="AN705" s="30">
        <v>1</v>
      </c>
      <c r="AO705" s="30">
        <v>1</v>
      </c>
      <c r="AP705" s="30">
        <v>1</v>
      </c>
      <c r="AQ705" s="30">
        <v>1</v>
      </c>
      <c r="AR705" s="50">
        <v>8.1059522893420499E-2</v>
      </c>
      <c r="AS705" s="34">
        <v>0.1111111111111111</v>
      </c>
      <c r="AT705" s="34">
        <v>0</v>
      </c>
      <c r="AU705" s="34">
        <v>0</v>
      </c>
      <c r="AV705" s="34">
        <v>0</v>
      </c>
      <c r="AW705" s="10"/>
      <c r="AX705" s="8"/>
    </row>
    <row r="706" spans="1:50">
      <c r="A706" s="7"/>
      <c r="B706" s="10"/>
      <c r="C706" s="45" t="s">
        <v>688</v>
      </c>
      <c r="D706" s="23" t="s">
        <v>21</v>
      </c>
      <c r="E706" s="68" t="s">
        <v>752</v>
      </c>
      <c r="F706" s="68" t="s">
        <v>752</v>
      </c>
      <c r="G706" s="68" t="s">
        <v>752</v>
      </c>
      <c r="H706" s="68" t="s">
        <v>752</v>
      </c>
      <c r="I706" s="25">
        <v>0.9</v>
      </c>
      <c r="J706" s="26">
        <v>0.8666666666666667</v>
      </c>
      <c r="K706" s="26">
        <v>0.8666666666666667</v>
      </c>
      <c r="L706" s="27">
        <v>0.8</v>
      </c>
      <c r="M706" s="26">
        <v>0.83898305084745761</v>
      </c>
      <c r="N706" s="28">
        <v>0.9</v>
      </c>
      <c r="O706" s="26">
        <v>0.99918500407497968</v>
      </c>
      <c r="P706" s="26">
        <v>0.99684044233807267</v>
      </c>
      <c r="Q706" s="26">
        <v>0.99265951439864486</v>
      </c>
      <c r="R706" s="26">
        <v>0.99749975959226844</v>
      </c>
      <c r="S706" s="28">
        <v>0.9</v>
      </c>
      <c r="T706" s="26">
        <v>0.97881010594947027</v>
      </c>
      <c r="U706" s="26">
        <v>0.96840442338072674</v>
      </c>
      <c r="V706" s="26">
        <v>0.96273291925465843</v>
      </c>
      <c r="W706" s="26">
        <v>0.97557457447831519</v>
      </c>
      <c r="X706" s="28">
        <v>0.92</v>
      </c>
      <c r="Y706" s="28">
        <v>0.97912317327766174</v>
      </c>
      <c r="Z706" s="28">
        <v>0.98152424942263283</v>
      </c>
      <c r="AA706" s="28">
        <v>0.97811816192560175</v>
      </c>
      <c r="AB706" s="28">
        <v>0.97629009762900976</v>
      </c>
      <c r="AC706" s="28">
        <v>0.92</v>
      </c>
      <c r="AD706" s="26">
        <v>0.99875621890547261</v>
      </c>
      <c r="AE706" s="26">
        <v>0.99880525686977295</v>
      </c>
      <c r="AF706" s="26">
        <v>0.99772727272727268</v>
      </c>
      <c r="AG706" s="26">
        <v>0.99792899408284019</v>
      </c>
      <c r="AH706" s="28">
        <v>0.92</v>
      </c>
      <c r="AI706" s="26">
        <v>0.98944900351699883</v>
      </c>
      <c r="AJ706" s="26">
        <v>0.98763978811065334</v>
      </c>
      <c r="AK706" s="26">
        <v>0.9905745062836625</v>
      </c>
      <c r="AL706" s="26">
        <v>0.98984626385412944</v>
      </c>
      <c r="AM706" s="25">
        <v>0.99</v>
      </c>
      <c r="AN706" s="30">
        <v>1</v>
      </c>
      <c r="AO706" s="30">
        <v>1</v>
      </c>
      <c r="AP706" s="30">
        <v>1</v>
      </c>
      <c r="AQ706" s="30">
        <v>1</v>
      </c>
      <c r="AR706" s="50">
        <v>8.1059522893420499E-2</v>
      </c>
      <c r="AS706" s="34">
        <v>0</v>
      </c>
      <c r="AT706" s="34">
        <v>0</v>
      </c>
      <c r="AU706" s="34">
        <v>0</v>
      </c>
      <c r="AV706" s="34">
        <v>3.7037037037037035E-2</v>
      </c>
      <c r="AW706" s="10"/>
      <c r="AX706" s="8"/>
    </row>
    <row r="707" spans="1:50">
      <c r="A707" s="7"/>
      <c r="B707" s="10"/>
      <c r="C707" s="45" t="s">
        <v>688</v>
      </c>
      <c r="D707" s="23" t="s">
        <v>21</v>
      </c>
      <c r="E707" s="68" t="s">
        <v>753</v>
      </c>
      <c r="F707" s="68" t="s">
        <v>753</v>
      </c>
      <c r="G707" s="68" t="s">
        <v>753</v>
      </c>
      <c r="H707" s="68" t="s">
        <v>753</v>
      </c>
      <c r="I707" s="25">
        <v>0.9</v>
      </c>
      <c r="J707" s="26">
        <v>0.875</v>
      </c>
      <c r="K707" s="26">
        <v>0.9375</v>
      </c>
      <c r="L707" s="27">
        <v>1</v>
      </c>
      <c r="M707" s="26">
        <v>0.88095238095238093</v>
      </c>
      <c r="N707" s="28">
        <v>0.9</v>
      </c>
      <c r="O707" s="26">
        <v>0.95381882770870341</v>
      </c>
      <c r="P707" s="26">
        <v>0.97298534798534797</v>
      </c>
      <c r="Q707" s="26">
        <v>0.96072072072072068</v>
      </c>
      <c r="R707" s="26">
        <v>0.9556174957118353</v>
      </c>
      <c r="S707" s="28">
        <v>0.9</v>
      </c>
      <c r="T707" s="26">
        <v>0.92451154529307278</v>
      </c>
      <c r="U707" s="26">
        <v>0.94826007326007322</v>
      </c>
      <c r="V707" s="26">
        <v>0.9336936936936937</v>
      </c>
      <c r="W707" s="26">
        <v>0.93192538593481988</v>
      </c>
      <c r="X707" s="28">
        <v>0.92</v>
      </c>
      <c r="Y707" s="28">
        <v>0.93968253968253967</v>
      </c>
      <c r="Z707" s="28">
        <v>0.83434650455927051</v>
      </c>
      <c r="AA707" s="28">
        <v>0.93939393939393945</v>
      </c>
      <c r="AB707" s="28">
        <v>0.93554575100709769</v>
      </c>
      <c r="AC707" s="28">
        <v>0.92</v>
      </c>
      <c r="AD707" s="26">
        <v>1</v>
      </c>
      <c r="AE707" s="26">
        <v>0.95852534562211977</v>
      </c>
      <c r="AF707" s="26">
        <v>0.98557692307692313</v>
      </c>
      <c r="AG707" s="26">
        <v>0.97662665824384076</v>
      </c>
      <c r="AH707" s="28">
        <v>0.92</v>
      </c>
      <c r="AI707" s="26">
        <v>0.95385149201943098</v>
      </c>
      <c r="AJ707" s="26">
        <v>0.94358794674141555</v>
      </c>
      <c r="AK707" s="26">
        <v>0.9775967413441955</v>
      </c>
      <c r="AL707" s="26">
        <v>0.96927198894796329</v>
      </c>
      <c r="AM707" s="25">
        <v>0.99</v>
      </c>
      <c r="AN707" s="30">
        <v>1</v>
      </c>
      <c r="AO707" s="30">
        <v>1</v>
      </c>
      <c r="AP707" s="30">
        <v>1</v>
      </c>
      <c r="AQ707" s="30">
        <v>1</v>
      </c>
      <c r="AR707" s="50">
        <v>8.1059522893420499E-2</v>
      </c>
      <c r="AS707" s="34">
        <v>0.14285714285714285</v>
      </c>
      <c r="AT707" s="34">
        <v>0</v>
      </c>
      <c r="AU707" s="34">
        <v>0</v>
      </c>
      <c r="AV707" s="34">
        <v>3.8461538461538464E-2</v>
      </c>
      <c r="AW707" s="10"/>
      <c r="AX707" s="8"/>
    </row>
    <row r="708" spans="1:50">
      <c r="A708" s="7"/>
      <c r="B708" s="10"/>
      <c r="C708" s="45" t="s">
        <v>688</v>
      </c>
      <c r="D708" s="23" t="s">
        <v>21</v>
      </c>
      <c r="E708" s="68" t="s">
        <v>754</v>
      </c>
      <c r="F708" s="68" t="s">
        <v>754</v>
      </c>
      <c r="G708" s="68" t="s">
        <v>754</v>
      </c>
      <c r="H708" s="68" t="s">
        <v>754</v>
      </c>
      <c r="I708" s="25">
        <v>0.9</v>
      </c>
      <c r="J708" s="26">
        <v>0.95</v>
      </c>
      <c r="K708" s="26">
        <v>0.90163934426229508</v>
      </c>
      <c r="L708" s="27">
        <v>0.87301587301587302</v>
      </c>
      <c r="M708" s="26">
        <v>0.87759336099585061</v>
      </c>
      <c r="N708" s="28">
        <v>0.9</v>
      </c>
      <c r="O708" s="26">
        <v>0.97594189741261916</v>
      </c>
      <c r="P708" s="26">
        <v>0.97782705099778267</v>
      </c>
      <c r="Q708" s="26">
        <v>0.98264984227129337</v>
      </c>
      <c r="R708" s="26">
        <v>0.9664937426462723</v>
      </c>
      <c r="S708" s="28">
        <v>0.9</v>
      </c>
      <c r="T708" s="26">
        <v>0.94098955969133002</v>
      </c>
      <c r="U708" s="26">
        <v>0.95565410199556544</v>
      </c>
      <c r="V708" s="26">
        <v>0.94321766561514198</v>
      </c>
      <c r="W708" s="26">
        <v>0.93306770777623271</v>
      </c>
      <c r="X708" s="28">
        <v>0.92</v>
      </c>
      <c r="Y708" s="28">
        <v>0.94708994708994709</v>
      </c>
      <c r="Z708" s="28">
        <v>0.95062695924764895</v>
      </c>
      <c r="AA708" s="28">
        <v>0.85336538461538458</v>
      </c>
      <c r="AB708" s="28">
        <v>0.92780774889651785</v>
      </c>
      <c r="AC708" s="28">
        <v>0.92</v>
      </c>
      <c r="AD708" s="26">
        <v>0.99487704918032782</v>
      </c>
      <c r="AE708" s="26">
        <v>0.99591002044989774</v>
      </c>
      <c r="AF708" s="26">
        <v>0.96149068322981368</v>
      </c>
      <c r="AG708" s="26">
        <v>0.96682979880369768</v>
      </c>
      <c r="AH708" s="28">
        <v>0.92</v>
      </c>
      <c r="AI708" s="26">
        <v>0.95759653554673407</v>
      </c>
      <c r="AJ708" s="26">
        <v>0.96805387670523224</v>
      </c>
      <c r="AK708" s="26">
        <v>0.95327774583093727</v>
      </c>
      <c r="AL708" s="26">
        <v>0.95831233198924726</v>
      </c>
      <c r="AM708" s="25">
        <v>0.99</v>
      </c>
      <c r="AN708" s="30">
        <v>1</v>
      </c>
      <c r="AO708" s="30">
        <v>1</v>
      </c>
      <c r="AP708" s="30">
        <v>1</v>
      </c>
      <c r="AQ708" s="30">
        <v>1</v>
      </c>
      <c r="AR708" s="50">
        <v>8.1059522893420499E-2</v>
      </c>
      <c r="AS708" s="34">
        <v>0</v>
      </c>
      <c r="AT708" s="34">
        <v>0</v>
      </c>
      <c r="AU708" s="34">
        <v>0</v>
      </c>
      <c r="AV708" s="34">
        <v>2.6455026455026454E-2</v>
      </c>
      <c r="AW708" s="10"/>
      <c r="AX708" s="8"/>
    </row>
    <row r="709" spans="1:50">
      <c r="A709" s="7"/>
      <c r="B709" s="10"/>
      <c r="C709" s="45" t="s">
        <v>688</v>
      </c>
      <c r="D709" s="23" t="s">
        <v>21</v>
      </c>
      <c r="E709" s="68" t="s">
        <v>755</v>
      </c>
      <c r="F709" s="68" t="s">
        <v>755</v>
      </c>
      <c r="G709" s="68" t="s">
        <v>755</v>
      </c>
      <c r="H709" s="68" t="s">
        <v>755</v>
      </c>
      <c r="I709" s="25">
        <v>0.9</v>
      </c>
      <c r="J709" s="26">
        <v>0.85365853658536583</v>
      </c>
      <c r="K709" s="26">
        <v>0.95121951219512191</v>
      </c>
      <c r="L709" s="27">
        <v>0.92682926829268297</v>
      </c>
      <c r="M709" s="26">
        <v>0.87267080745341619</v>
      </c>
      <c r="N709" s="28">
        <v>0.9</v>
      </c>
      <c r="O709" s="26">
        <v>0.91050808314087761</v>
      </c>
      <c r="P709" s="26">
        <v>0.93062465450525156</v>
      </c>
      <c r="Q709" s="26">
        <v>0.95395348837209304</v>
      </c>
      <c r="R709" s="26">
        <v>0.91355429988974646</v>
      </c>
      <c r="S709" s="28">
        <v>0.9</v>
      </c>
      <c r="T709" s="26">
        <v>0.9278290993071594</v>
      </c>
      <c r="U709" s="26">
        <v>0.94831398562741842</v>
      </c>
      <c r="V709" s="26">
        <v>0.947906976744186</v>
      </c>
      <c r="W709" s="26">
        <v>0.92871416758544656</v>
      </c>
      <c r="X709" s="28">
        <v>0.92</v>
      </c>
      <c r="Y709" s="28">
        <v>0.9392378990731205</v>
      </c>
      <c r="Z709" s="28">
        <v>0.95319961795606489</v>
      </c>
      <c r="AA709" s="28">
        <v>0.95668202764976962</v>
      </c>
      <c r="AB709" s="28">
        <v>0.94757304429783218</v>
      </c>
      <c r="AC709" s="28">
        <v>0.92</v>
      </c>
      <c r="AD709" s="26">
        <v>0.99792099792099798</v>
      </c>
      <c r="AE709" s="26">
        <v>0.95726495726495731</v>
      </c>
      <c r="AF709" s="26">
        <v>0.97844827586206895</v>
      </c>
      <c r="AG709" s="26">
        <v>0.96498159288856966</v>
      </c>
      <c r="AH709" s="28">
        <v>0.92</v>
      </c>
      <c r="AI709" s="26">
        <v>0.94885083370887791</v>
      </c>
      <c r="AJ709" s="26">
        <v>0.9627169487893722</v>
      </c>
      <c r="AK709" s="26">
        <v>0.97345953971789156</v>
      </c>
      <c r="AL709" s="26">
        <v>0.96285638156141751</v>
      </c>
      <c r="AM709" s="25">
        <v>0.99</v>
      </c>
      <c r="AN709" s="30">
        <v>1</v>
      </c>
      <c r="AO709" s="30">
        <v>1</v>
      </c>
      <c r="AP709" s="30">
        <v>1</v>
      </c>
      <c r="AQ709" s="30">
        <v>1</v>
      </c>
      <c r="AR709" s="50">
        <v>8.1059522893420499E-2</v>
      </c>
      <c r="AS709" s="34">
        <v>0.2</v>
      </c>
      <c r="AT709" s="34">
        <v>0.11764705882352941</v>
      </c>
      <c r="AU709" s="34">
        <v>0.125</v>
      </c>
      <c r="AV709" s="34">
        <v>8.9820359281437126E-2</v>
      </c>
      <c r="AW709" s="10"/>
      <c r="AX709" s="8"/>
    </row>
    <row r="710" spans="1:50">
      <c r="A710" s="7"/>
      <c r="B710" s="10"/>
      <c r="C710" s="45" t="s">
        <v>688</v>
      </c>
      <c r="D710" s="23" t="s">
        <v>21</v>
      </c>
      <c r="E710" s="68" t="s">
        <v>756</v>
      </c>
      <c r="F710" s="68" t="s">
        <v>756</v>
      </c>
      <c r="G710" s="68" t="s">
        <v>756</v>
      </c>
      <c r="H710" s="68" t="s">
        <v>756</v>
      </c>
      <c r="I710" s="25">
        <v>0.9</v>
      </c>
      <c r="J710" s="26">
        <v>0.93617021276595747</v>
      </c>
      <c r="K710" s="26">
        <v>0.93478260869565222</v>
      </c>
      <c r="L710" s="27">
        <v>0.8666666666666667</v>
      </c>
      <c r="M710" s="26">
        <v>0.89722222222222225</v>
      </c>
      <c r="N710" s="28">
        <v>0.9</v>
      </c>
      <c r="O710" s="26">
        <v>0.9570837642192348</v>
      </c>
      <c r="P710" s="26">
        <v>0.97020530796194293</v>
      </c>
      <c r="Q710" s="26">
        <v>0.94442157266364757</v>
      </c>
      <c r="R710" s="26">
        <v>0.93194017248658101</v>
      </c>
      <c r="S710" s="28">
        <v>0.9</v>
      </c>
      <c r="T710" s="26">
        <v>0.95863495346432259</v>
      </c>
      <c r="U710" s="26">
        <v>0.95518277416124187</v>
      </c>
      <c r="V710" s="26">
        <v>0.95697818032111981</v>
      </c>
      <c r="W710" s="26">
        <v>0.9467462758579096</v>
      </c>
      <c r="X710" s="28">
        <v>0.92</v>
      </c>
      <c r="Y710" s="28">
        <v>0.96641791044776115</v>
      </c>
      <c r="Z710" s="28">
        <v>0.9788401253918495</v>
      </c>
      <c r="AA710" s="28">
        <v>0.9680436477007015</v>
      </c>
      <c r="AB710" s="28">
        <v>0.97299980146912846</v>
      </c>
      <c r="AC710" s="28">
        <v>0.92</v>
      </c>
      <c r="AD710" s="26">
        <v>0.99961479198767333</v>
      </c>
      <c r="AE710" s="26">
        <v>0.95202516712544238</v>
      </c>
      <c r="AF710" s="26">
        <v>0.99823477493380408</v>
      </c>
      <c r="AG710" s="26">
        <v>0.98732899187238121</v>
      </c>
      <c r="AH710" s="28">
        <v>0.92</v>
      </c>
      <c r="AI710" s="26">
        <v>0.97976527721570217</v>
      </c>
      <c r="AJ710" s="26">
        <v>0.9812215477996965</v>
      </c>
      <c r="AK710" s="26">
        <v>0.98322748737990551</v>
      </c>
      <c r="AL710" s="26">
        <v>0.98238150289017345</v>
      </c>
      <c r="AM710" s="25">
        <v>0.99</v>
      </c>
      <c r="AN710" s="30">
        <v>1</v>
      </c>
      <c r="AO710" s="30">
        <v>1</v>
      </c>
      <c r="AP710" s="30">
        <v>1</v>
      </c>
      <c r="AQ710" s="30">
        <v>1</v>
      </c>
      <c r="AR710" s="50">
        <v>8.1059522893420499E-2</v>
      </c>
      <c r="AS710" s="34">
        <v>6.25E-2</v>
      </c>
      <c r="AT710" s="34">
        <v>0</v>
      </c>
      <c r="AU710" s="34">
        <v>7.1428571428571425E-2</v>
      </c>
      <c r="AV710" s="34">
        <v>3.3057851239669422E-2</v>
      </c>
      <c r="AW710" s="10"/>
      <c r="AX710" s="8"/>
    </row>
    <row r="711" spans="1:50">
      <c r="A711" s="7"/>
      <c r="B711" s="10"/>
      <c r="C711" s="45" t="s">
        <v>688</v>
      </c>
      <c r="D711" s="23" t="s">
        <v>21</v>
      </c>
      <c r="E711" s="68" t="s">
        <v>757</v>
      </c>
      <c r="F711" s="68" t="s">
        <v>757</v>
      </c>
      <c r="G711" s="68" t="s">
        <v>757</v>
      </c>
      <c r="H711" s="68" t="s">
        <v>757</v>
      </c>
      <c r="I711" s="25">
        <v>0.9</v>
      </c>
      <c r="J711" s="26">
        <v>0.93333333333333335</v>
      </c>
      <c r="K711" s="26">
        <v>0.96666666666666667</v>
      </c>
      <c r="L711" s="27">
        <v>1</v>
      </c>
      <c r="M711" s="26">
        <v>0.94827586206896552</v>
      </c>
      <c r="N711" s="28">
        <v>0.9</v>
      </c>
      <c r="O711" s="26">
        <v>0.95095257397648969</v>
      </c>
      <c r="P711" s="26">
        <v>0.95528141865844252</v>
      </c>
      <c r="Q711" s="26">
        <v>0.93064118372379778</v>
      </c>
      <c r="R711" s="26">
        <v>0.92337164750957856</v>
      </c>
      <c r="S711" s="28">
        <v>0.9</v>
      </c>
      <c r="T711" s="26">
        <v>0.92136197811106613</v>
      </c>
      <c r="U711" s="26">
        <v>0.93215111796453354</v>
      </c>
      <c r="V711" s="26">
        <v>0.904747225647349</v>
      </c>
      <c r="W711" s="26">
        <v>0.90509873268493957</v>
      </c>
      <c r="X711" s="28">
        <v>0.92</v>
      </c>
      <c r="Y711" s="28">
        <v>0.9240687679083095</v>
      </c>
      <c r="Z711" s="28">
        <v>0.95410292072322667</v>
      </c>
      <c r="AA711" s="28">
        <v>0.95038167938931295</v>
      </c>
      <c r="AB711" s="28">
        <v>0.94687870072745728</v>
      </c>
      <c r="AC711" s="28">
        <v>0.92</v>
      </c>
      <c r="AD711" s="26">
        <v>1</v>
      </c>
      <c r="AE711" s="26">
        <v>0.99645390070921991</v>
      </c>
      <c r="AF711" s="26">
        <v>0.98691588785046724</v>
      </c>
      <c r="AG711" s="26">
        <v>0.98397756859603447</v>
      </c>
      <c r="AH711" s="28">
        <v>0.92</v>
      </c>
      <c r="AI711" s="26">
        <v>0.95387045813586102</v>
      </c>
      <c r="AJ711" s="26">
        <v>0.9689103531542409</v>
      </c>
      <c r="AK711" s="26">
        <v>0.97419354838709682</v>
      </c>
      <c r="AL711" s="26">
        <v>0.96547392462885417</v>
      </c>
      <c r="AM711" s="25">
        <v>0.99</v>
      </c>
      <c r="AN711" s="30">
        <v>1</v>
      </c>
      <c r="AO711" s="30">
        <v>1</v>
      </c>
      <c r="AP711" s="30">
        <v>1</v>
      </c>
      <c r="AQ711" s="30">
        <v>1</v>
      </c>
      <c r="AR711" s="50">
        <v>8.1059522893420499E-2</v>
      </c>
      <c r="AS711" s="34">
        <v>0</v>
      </c>
      <c r="AT711" s="34">
        <v>6.25E-2</v>
      </c>
      <c r="AU711" s="34">
        <v>0</v>
      </c>
      <c r="AV711" s="34">
        <v>4.1237113402061855E-2</v>
      </c>
      <c r="AW711" s="10"/>
      <c r="AX711" s="8"/>
    </row>
    <row r="712" spans="1:50">
      <c r="A712" s="7"/>
      <c r="B712" s="10"/>
      <c r="C712" s="45" t="s">
        <v>688</v>
      </c>
      <c r="D712" s="23" t="s">
        <v>21</v>
      </c>
      <c r="E712" s="68" t="s">
        <v>758</v>
      </c>
      <c r="F712" s="68" t="s">
        <v>758</v>
      </c>
      <c r="G712" s="68" t="s">
        <v>758</v>
      </c>
      <c r="H712" s="68" t="s">
        <v>758</v>
      </c>
      <c r="I712" s="25">
        <v>0.9</v>
      </c>
      <c r="J712" s="26">
        <v>0.7142857142857143</v>
      </c>
      <c r="K712" s="26">
        <v>0.65306122448979587</v>
      </c>
      <c r="L712" s="27">
        <v>0.80392156862745101</v>
      </c>
      <c r="M712" s="26">
        <v>0.71614583333333337</v>
      </c>
      <c r="N712" s="28">
        <v>0.9</v>
      </c>
      <c r="O712" s="26">
        <v>0.95553422904670504</v>
      </c>
      <c r="P712" s="26">
        <v>0.97241165530068197</v>
      </c>
      <c r="Q712" s="26">
        <v>0.97113752122241082</v>
      </c>
      <c r="R712" s="26">
        <v>0.94806305301509408</v>
      </c>
      <c r="S712" s="28">
        <v>0.9</v>
      </c>
      <c r="T712" s="26">
        <v>0.92162507997440823</v>
      </c>
      <c r="U712" s="26">
        <v>0.92529448233106015</v>
      </c>
      <c r="V712" s="26">
        <v>0.92772253213679357</v>
      </c>
      <c r="W712" s="26">
        <v>0.91006766302327313</v>
      </c>
      <c r="X712" s="28">
        <v>0.92</v>
      </c>
      <c r="Y712" s="28">
        <v>0.95726495726495731</v>
      </c>
      <c r="Z712" s="28">
        <v>0.96527777777777779</v>
      </c>
      <c r="AA712" s="28">
        <v>0.96500920810313073</v>
      </c>
      <c r="AB712" s="28">
        <v>0.96517900931829326</v>
      </c>
      <c r="AC712" s="28">
        <v>0.92</v>
      </c>
      <c r="AD712" s="26">
        <v>0.99708029197080295</v>
      </c>
      <c r="AE712" s="26">
        <v>0.99057591623036645</v>
      </c>
      <c r="AF712" s="26">
        <v>0.99134419551934827</v>
      </c>
      <c r="AG712" s="26">
        <v>0.99389387555718389</v>
      </c>
      <c r="AH712" s="28">
        <v>0.92</v>
      </c>
      <c r="AI712" s="26">
        <v>0.97121771217712172</v>
      </c>
      <c r="AJ712" s="26">
        <v>0.97945690672963404</v>
      </c>
      <c r="AK712" s="26">
        <v>0.98119001919385795</v>
      </c>
      <c r="AL712" s="26">
        <v>0.97829682865617162</v>
      </c>
      <c r="AM712" s="25">
        <v>0.99</v>
      </c>
      <c r="AN712" s="30">
        <v>1</v>
      </c>
      <c r="AO712" s="30">
        <v>1</v>
      </c>
      <c r="AP712" s="30">
        <v>1</v>
      </c>
      <c r="AQ712" s="30">
        <v>1</v>
      </c>
      <c r="AR712" s="50">
        <v>8.1059522893420499E-2</v>
      </c>
      <c r="AS712" s="34">
        <v>6.25E-2</v>
      </c>
      <c r="AT712" s="34">
        <v>0</v>
      </c>
      <c r="AU712" s="34">
        <v>0</v>
      </c>
      <c r="AV712" s="34">
        <v>2.7272727272727271E-2</v>
      </c>
      <c r="AW712" s="10"/>
      <c r="AX712" s="8"/>
    </row>
    <row r="713" spans="1:50">
      <c r="A713" s="7"/>
      <c r="B713" s="10"/>
      <c r="C713" s="45" t="s">
        <v>688</v>
      </c>
      <c r="D713" s="23" t="s">
        <v>21</v>
      </c>
      <c r="E713" s="68" t="s">
        <v>759</v>
      </c>
      <c r="F713" s="68" t="s">
        <v>759</v>
      </c>
      <c r="G713" s="68" t="s">
        <v>759</v>
      </c>
      <c r="H713" s="68" t="s">
        <v>759</v>
      </c>
      <c r="I713" s="25">
        <v>0.9</v>
      </c>
      <c r="J713" s="26">
        <v>0.89189189189189189</v>
      </c>
      <c r="K713" s="26">
        <v>0.8</v>
      </c>
      <c r="L713" s="27">
        <v>1</v>
      </c>
      <c r="M713" s="26">
        <v>0.90391459074733094</v>
      </c>
      <c r="N713" s="28">
        <v>0.9</v>
      </c>
      <c r="O713" s="26">
        <v>0.94275192500836957</v>
      </c>
      <c r="P713" s="26">
        <v>0.97543632837750482</v>
      </c>
      <c r="Q713" s="26">
        <v>0.96769230769230774</v>
      </c>
      <c r="R713" s="26">
        <v>0.9508190372923363</v>
      </c>
      <c r="S713" s="28">
        <v>0.9</v>
      </c>
      <c r="T713" s="26">
        <v>0.91797790425175763</v>
      </c>
      <c r="U713" s="26">
        <v>0.93600517129928895</v>
      </c>
      <c r="V713" s="26">
        <v>0.93358974358974356</v>
      </c>
      <c r="W713" s="26">
        <v>0.92270456569724668</v>
      </c>
      <c r="X713" s="28">
        <v>0.92</v>
      </c>
      <c r="Y713" s="28">
        <v>0.94712103407755577</v>
      </c>
      <c r="Z713" s="28">
        <v>0.97552447552447552</v>
      </c>
      <c r="AA713" s="28">
        <v>0.96935648621041881</v>
      </c>
      <c r="AB713" s="28">
        <v>0.96612052207720078</v>
      </c>
      <c r="AC713" s="28">
        <v>0.92</v>
      </c>
      <c r="AD713" s="26">
        <v>0.99769585253456217</v>
      </c>
      <c r="AE713" s="26">
        <v>0.98938992042440321</v>
      </c>
      <c r="AF713" s="26">
        <v>1</v>
      </c>
      <c r="AG713" s="26">
        <v>0.99323330391291553</v>
      </c>
      <c r="AH713" s="28">
        <v>0.92</v>
      </c>
      <c r="AI713" s="26">
        <v>0.9609171443460135</v>
      </c>
      <c r="AJ713" s="26">
        <v>0.97824437136352138</v>
      </c>
      <c r="AK713" s="26">
        <v>0.97520491803278686</v>
      </c>
      <c r="AL713" s="26">
        <v>0.9725492569837475</v>
      </c>
      <c r="AM713" s="25">
        <v>0.99</v>
      </c>
      <c r="AN713" s="30">
        <v>1</v>
      </c>
      <c r="AO713" s="30">
        <v>1</v>
      </c>
      <c r="AP713" s="30">
        <v>1</v>
      </c>
      <c r="AQ713" s="30">
        <v>1</v>
      </c>
      <c r="AR713" s="50">
        <v>8.1059522893420499E-2</v>
      </c>
      <c r="AS713" s="34">
        <v>0</v>
      </c>
      <c r="AT713" s="34">
        <v>5.8823529411764705E-2</v>
      </c>
      <c r="AU713" s="34">
        <v>0</v>
      </c>
      <c r="AV713" s="34">
        <v>2.1052631578947368E-2</v>
      </c>
      <c r="AW713" s="10"/>
      <c r="AX713" s="8"/>
    </row>
    <row r="714" spans="1:50">
      <c r="A714" s="7"/>
      <c r="B714" s="10"/>
      <c r="C714" s="45" t="s">
        <v>688</v>
      </c>
      <c r="D714" s="23" t="s">
        <v>21</v>
      </c>
      <c r="E714" s="68" t="s">
        <v>760</v>
      </c>
      <c r="F714" s="68" t="s">
        <v>760</v>
      </c>
      <c r="G714" s="68" t="s">
        <v>760</v>
      </c>
      <c r="H714" s="68" t="s">
        <v>760</v>
      </c>
      <c r="I714" s="25">
        <v>0.9</v>
      </c>
      <c r="J714" s="26">
        <v>0.70833333333333337</v>
      </c>
      <c r="K714" s="26">
        <v>0.60869565217391308</v>
      </c>
      <c r="L714" s="27">
        <v>0.63636363636363635</v>
      </c>
      <c r="M714" s="26">
        <v>0.68333333333333335</v>
      </c>
      <c r="N714" s="28">
        <v>0.9</v>
      </c>
      <c r="O714" s="26">
        <v>0.94541600423953365</v>
      </c>
      <c r="P714" s="26">
        <v>0.9623655913978495</v>
      </c>
      <c r="Q714" s="26">
        <v>0.94375251104861391</v>
      </c>
      <c r="R714" s="26">
        <v>0.93274910743265171</v>
      </c>
      <c r="S714" s="28">
        <v>0.9</v>
      </c>
      <c r="T714" s="26">
        <v>0.89984101748807632</v>
      </c>
      <c r="U714" s="26">
        <v>0.91251221896383183</v>
      </c>
      <c r="V714" s="26">
        <v>0.90478103656086784</v>
      </c>
      <c r="W714" s="26">
        <v>0.89198312236286925</v>
      </c>
      <c r="X714" s="28">
        <v>0.92</v>
      </c>
      <c r="Y714" s="28">
        <v>0.92842942345924451</v>
      </c>
      <c r="Z714" s="28">
        <v>0.86727272727272731</v>
      </c>
      <c r="AA714" s="28">
        <v>0.74779541446208109</v>
      </c>
      <c r="AB714" s="28">
        <v>0.89854738298362924</v>
      </c>
      <c r="AC714" s="28">
        <v>0.92</v>
      </c>
      <c r="AD714" s="26">
        <v>1</v>
      </c>
      <c r="AE714" s="26">
        <v>0.99375000000000002</v>
      </c>
      <c r="AF714" s="26">
        <v>1</v>
      </c>
      <c r="AG714" s="26">
        <v>0.99053356282271943</v>
      </c>
      <c r="AH714" s="28">
        <v>0.92</v>
      </c>
      <c r="AI714" s="26">
        <v>0.95230125523012554</v>
      </c>
      <c r="AJ714" s="26">
        <v>0.94842186297151654</v>
      </c>
      <c r="AK714" s="26">
        <v>0.92214589466797514</v>
      </c>
      <c r="AL714" s="26">
        <v>0.94728313161492883</v>
      </c>
      <c r="AM714" s="25">
        <v>0.99</v>
      </c>
      <c r="AN714" s="30">
        <v>1</v>
      </c>
      <c r="AO714" s="30">
        <v>1</v>
      </c>
      <c r="AP714" s="30">
        <v>1</v>
      </c>
      <c r="AQ714" s="30">
        <v>1</v>
      </c>
      <c r="AR714" s="50">
        <v>8.1059522893420499E-2</v>
      </c>
      <c r="AS714" s="34">
        <v>0</v>
      </c>
      <c r="AT714" s="34">
        <v>0</v>
      </c>
      <c r="AU714" s="34">
        <v>0</v>
      </c>
      <c r="AV714" s="34">
        <v>0</v>
      </c>
      <c r="AW714" s="10"/>
      <c r="AX714" s="8"/>
    </row>
    <row r="715" spans="1:50">
      <c r="A715" s="7"/>
      <c r="B715" s="10"/>
      <c r="C715" s="45" t="s">
        <v>688</v>
      </c>
      <c r="D715" s="23" t="s">
        <v>21</v>
      </c>
      <c r="E715" s="68" t="s">
        <v>761</v>
      </c>
      <c r="F715" s="68" t="s">
        <v>761</v>
      </c>
      <c r="G715" s="68" t="s">
        <v>761</v>
      </c>
      <c r="H715" s="68" t="s">
        <v>761</v>
      </c>
      <c r="I715" s="25">
        <v>0.9</v>
      </c>
      <c r="J715" s="26">
        <v>0.83333333333333337</v>
      </c>
      <c r="K715" s="26">
        <v>0.7931034482758621</v>
      </c>
      <c r="L715" s="27">
        <v>0.9</v>
      </c>
      <c r="M715" s="26">
        <v>0.86206896551724133</v>
      </c>
      <c r="N715" s="28">
        <v>0.9</v>
      </c>
      <c r="O715" s="26">
        <v>0.96494409187065577</v>
      </c>
      <c r="P715" s="26">
        <v>0.97341808725801793</v>
      </c>
      <c r="Q715" s="26">
        <v>0.96938775510204078</v>
      </c>
      <c r="R715" s="26">
        <v>0.95948878707499397</v>
      </c>
      <c r="S715" s="28">
        <v>0.9</v>
      </c>
      <c r="T715" s="26">
        <v>0.93714113025083101</v>
      </c>
      <c r="U715" s="26">
        <v>0.94192429933545219</v>
      </c>
      <c r="V715" s="26">
        <v>0.94735621521335811</v>
      </c>
      <c r="W715" s="26">
        <v>0.93344586448034728</v>
      </c>
      <c r="X715" s="28">
        <v>0.92</v>
      </c>
      <c r="Y715" s="28">
        <v>0.95415778251599148</v>
      </c>
      <c r="Z715" s="28">
        <v>0.97017707362534944</v>
      </c>
      <c r="AA715" s="28">
        <v>0.97247706422018354</v>
      </c>
      <c r="AB715" s="28">
        <v>0.9665591783112385</v>
      </c>
      <c r="AC715" s="28">
        <v>0.92</v>
      </c>
      <c r="AD715" s="26">
        <v>1</v>
      </c>
      <c r="AE715" s="26">
        <v>0.99894403379091867</v>
      </c>
      <c r="AF715" s="26">
        <v>0.99739243807040412</v>
      </c>
      <c r="AG715" s="26">
        <v>0.9988075719183187</v>
      </c>
      <c r="AH715" s="28">
        <v>0.92</v>
      </c>
      <c r="AI715" s="26">
        <v>0.96656463385919478</v>
      </c>
      <c r="AJ715" s="26">
        <v>0.97198941332157041</v>
      </c>
      <c r="AK715" s="26">
        <v>0.97959569242395617</v>
      </c>
      <c r="AL715" s="26">
        <v>0.97505947766580237</v>
      </c>
      <c r="AM715" s="25">
        <v>0.99</v>
      </c>
      <c r="AN715" s="30">
        <v>1</v>
      </c>
      <c r="AO715" s="30">
        <v>1</v>
      </c>
      <c r="AP715" s="30">
        <v>1</v>
      </c>
      <c r="AQ715" s="30">
        <v>1</v>
      </c>
      <c r="AR715" s="50">
        <v>8.1059522893420499E-2</v>
      </c>
      <c r="AS715" s="34">
        <v>0</v>
      </c>
      <c r="AT715" s="34">
        <v>0</v>
      </c>
      <c r="AU715" s="34">
        <v>5.8823529411764705E-2</v>
      </c>
      <c r="AV715" s="34">
        <v>0.05</v>
      </c>
      <c r="AW715" s="10"/>
      <c r="AX715" s="8"/>
    </row>
    <row r="716" spans="1:50">
      <c r="A716" s="7"/>
      <c r="B716" s="10"/>
      <c r="C716" s="45" t="s">
        <v>688</v>
      </c>
      <c r="D716" s="23" t="s">
        <v>21</v>
      </c>
      <c r="E716" s="68" t="s">
        <v>762</v>
      </c>
      <c r="F716" s="68" t="s">
        <v>762</v>
      </c>
      <c r="G716" s="68" t="s">
        <v>762</v>
      </c>
      <c r="H716" s="68" t="s">
        <v>762</v>
      </c>
      <c r="I716" s="25">
        <v>0.9</v>
      </c>
      <c r="J716" s="26">
        <v>0.73684210526315785</v>
      </c>
      <c r="K716" s="26">
        <v>0.8</v>
      </c>
      <c r="L716" s="27">
        <v>0.9</v>
      </c>
      <c r="M716" s="26">
        <v>0.81045751633986929</v>
      </c>
      <c r="N716" s="28">
        <v>0.9</v>
      </c>
      <c r="O716" s="26">
        <v>0.92866242038216562</v>
      </c>
      <c r="P716" s="26">
        <v>0.95599022004889977</v>
      </c>
      <c r="Q716" s="26">
        <v>0.95600414078674945</v>
      </c>
      <c r="R716" s="26">
        <v>0.92376781472684089</v>
      </c>
      <c r="S716" s="28">
        <v>0.9</v>
      </c>
      <c r="T716" s="26">
        <v>0.90764331210191085</v>
      </c>
      <c r="U716" s="26">
        <v>0.92359413202933982</v>
      </c>
      <c r="V716" s="26">
        <v>0.92132505175983437</v>
      </c>
      <c r="W716" s="26">
        <v>0.90602731591448926</v>
      </c>
      <c r="X716" s="28">
        <v>0.92</v>
      </c>
      <c r="Y716" s="28">
        <v>0.88262910798122063</v>
      </c>
      <c r="Z716" s="28">
        <v>0.89777777777777779</v>
      </c>
      <c r="AA716" s="28">
        <v>0.91220556745182013</v>
      </c>
      <c r="AB716" s="28">
        <v>0.89638368812516034</v>
      </c>
      <c r="AC716" s="28">
        <v>0.92</v>
      </c>
      <c r="AD716" s="26">
        <v>0.99682539682539684</v>
      </c>
      <c r="AE716" s="26">
        <v>0.95327102803738317</v>
      </c>
      <c r="AF716" s="26">
        <v>0.9771986970684039</v>
      </c>
      <c r="AG716" s="26">
        <v>0.97938961553705906</v>
      </c>
      <c r="AH716" s="28">
        <v>0.92</v>
      </c>
      <c r="AI716" s="26">
        <v>0.93336673346693388</v>
      </c>
      <c r="AJ716" s="26">
        <v>0.94396551724137934</v>
      </c>
      <c r="AK716" s="26">
        <v>0.95289704043351398</v>
      </c>
      <c r="AL716" s="26">
        <v>0.94533003395292625</v>
      </c>
      <c r="AM716" s="25">
        <v>0.99</v>
      </c>
      <c r="AN716" s="30">
        <v>1</v>
      </c>
      <c r="AO716" s="30">
        <v>1</v>
      </c>
      <c r="AP716" s="30">
        <v>1</v>
      </c>
      <c r="AQ716" s="30">
        <v>1</v>
      </c>
      <c r="AR716" s="50">
        <v>8.1059522893420499E-2</v>
      </c>
      <c r="AS716" s="34">
        <v>0</v>
      </c>
      <c r="AT716" s="34">
        <v>0.22222222222222221</v>
      </c>
      <c r="AU716" s="34">
        <v>0</v>
      </c>
      <c r="AV716" s="34">
        <v>5.8823529411764705E-2</v>
      </c>
      <c r="AW716" s="10"/>
      <c r="AX716" s="8"/>
    </row>
    <row r="717" spans="1:50">
      <c r="A717" s="7"/>
      <c r="B717" s="10"/>
      <c r="C717" s="45" t="s">
        <v>688</v>
      </c>
      <c r="D717" s="23" t="s">
        <v>21</v>
      </c>
      <c r="E717" s="68" t="s">
        <v>763</v>
      </c>
      <c r="F717" s="68" t="s">
        <v>763</v>
      </c>
      <c r="G717" s="68" t="s">
        <v>763</v>
      </c>
      <c r="H717" s="68" t="s">
        <v>763</v>
      </c>
      <c r="I717" s="25">
        <v>0.9</v>
      </c>
      <c r="J717" s="26">
        <v>0.7142857142857143</v>
      </c>
      <c r="K717" s="26">
        <v>0.6</v>
      </c>
      <c r="L717" s="27">
        <v>0.70588235294117652</v>
      </c>
      <c r="M717" s="26">
        <v>0.63358778625954193</v>
      </c>
      <c r="N717" s="28">
        <v>0.9</v>
      </c>
      <c r="O717" s="26">
        <v>0.92293407613741874</v>
      </c>
      <c r="P717" s="26">
        <v>0.6517321016166282</v>
      </c>
      <c r="Q717" s="26">
        <v>0.94370263442800428</v>
      </c>
      <c r="R717" s="26">
        <v>0.79990915285032937</v>
      </c>
      <c r="S717" s="28">
        <v>0.9</v>
      </c>
      <c r="T717" s="26">
        <v>0.87372330547818011</v>
      </c>
      <c r="U717" s="26">
        <v>0.88036951501154737</v>
      </c>
      <c r="V717" s="26">
        <v>0.86214363045831832</v>
      </c>
      <c r="W717" s="26">
        <v>0.79871678401090163</v>
      </c>
      <c r="X717" s="28">
        <v>0.92</v>
      </c>
      <c r="Y717" s="28">
        <v>0.91850594227504245</v>
      </c>
      <c r="Z717" s="28">
        <v>0.91379310344827591</v>
      </c>
      <c r="AA717" s="28">
        <v>0.93313521545319467</v>
      </c>
      <c r="AB717" s="28">
        <v>0.8876953125</v>
      </c>
      <c r="AC717" s="28">
        <v>0.92</v>
      </c>
      <c r="AD717" s="26">
        <v>0.98726114649681529</v>
      </c>
      <c r="AE717" s="26">
        <v>0.9652173913043478</v>
      </c>
      <c r="AF717" s="26">
        <v>0.98333333333333328</v>
      </c>
      <c r="AG717" s="26">
        <v>0.97115384615384615</v>
      </c>
      <c r="AH717" s="28">
        <v>0.92</v>
      </c>
      <c r="AI717" s="26">
        <v>0.92016040831206714</v>
      </c>
      <c r="AJ717" s="26">
        <v>0.93957387355920363</v>
      </c>
      <c r="AK717" s="26">
        <v>0.95181422351233669</v>
      </c>
      <c r="AL717" s="26">
        <v>0.92211961301671064</v>
      </c>
      <c r="AM717" s="25">
        <v>0.99</v>
      </c>
      <c r="AN717" s="30">
        <v>1</v>
      </c>
      <c r="AO717" s="30">
        <v>1</v>
      </c>
      <c r="AP717" s="30">
        <v>0</v>
      </c>
      <c r="AQ717" s="30">
        <v>1</v>
      </c>
      <c r="AR717" s="50">
        <v>8.1059522893420499E-2</v>
      </c>
      <c r="AS717" s="34">
        <v>0</v>
      </c>
      <c r="AT717" s="34">
        <v>0.16666666666666666</v>
      </c>
      <c r="AU717" s="34">
        <v>0.125</v>
      </c>
      <c r="AV717" s="34">
        <v>8.0645161290322578E-2</v>
      </c>
      <c r="AW717" s="10"/>
      <c r="AX717" s="8"/>
    </row>
    <row r="718" spans="1:50">
      <c r="A718" s="7"/>
      <c r="B718" s="10"/>
      <c r="C718" s="45" t="s">
        <v>688</v>
      </c>
      <c r="D718" s="23" t="s">
        <v>21</v>
      </c>
      <c r="E718" s="68" t="s">
        <v>764</v>
      </c>
      <c r="F718" s="68" t="s">
        <v>764</v>
      </c>
      <c r="G718" s="68" t="s">
        <v>764</v>
      </c>
      <c r="H718" s="68" t="s">
        <v>764</v>
      </c>
      <c r="I718" s="25">
        <v>0.9</v>
      </c>
      <c r="J718" s="26">
        <v>0.92</v>
      </c>
      <c r="K718" s="26">
        <v>0.94230769230769229</v>
      </c>
      <c r="L718" s="27">
        <v>0.98113207547169812</v>
      </c>
      <c r="M718" s="26">
        <v>0.95533498759305213</v>
      </c>
      <c r="N718" s="28">
        <v>0.9</v>
      </c>
      <c r="O718" s="26">
        <v>0.97805719921104539</v>
      </c>
      <c r="P718" s="26">
        <v>0.9782661192948563</v>
      </c>
      <c r="Q718" s="26">
        <v>0.95639481846378394</v>
      </c>
      <c r="R718" s="26">
        <v>0.96326842955530989</v>
      </c>
      <c r="S718" s="28">
        <v>0.9</v>
      </c>
      <c r="T718" s="26">
        <v>0.9600591715976331</v>
      </c>
      <c r="U718" s="26">
        <v>0.95894711422361745</v>
      </c>
      <c r="V718" s="26">
        <v>0.96442255062944715</v>
      </c>
      <c r="W718" s="26">
        <v>0.95275345067029449</v>
      </c>
      <c r="X718" s="28">
        <v>0.92</v>
      </c>
      <c r="Y718" s="28">
        <v>0.94792586054721972</v>
      </c>
      <c r="Z718" s="28">
        <v>0.97729257641921397</v>
      </c>
      <c r="AA718" s="28">
        <v>0.96451104100946372</v>
      </c>
      <c r="AB718" s="28">
        <v>0.96103631170950632</v>
      </c>
      <c r="AC718" s="28">
        <v>0.92</v>
      </c>
      <c r="AD718" s="26">
        <v>0.99820466786355477</v>
      </c>
      <c r="AE718" s="26">
        <v>0.99684542586750791</v>
      </c>
      <c r="AF718" s="26">
        <v>0.97406639004149376</v>
      </c>
      <c r="AG718" s="26">
        <v>0.98489319013336485</v>
      </c>
      <c r="AH718" s="28">
        <v>0.92</v>
      </c>
      <c r="AI718" s="26">
        <v>0.966852958180767</v>
      </c>
      <c r="AJ718" s="26">
        <v>0.97578509269769198</v>
      </c>
      <c r="AK718" s="26">
        <v>0.97556279620853081</v>
      </c>
      <c r="AL718" s="26">
        <v>0.97451819653589411</v>
      </c>
      <c r="AM718" s="25">
        <v>0.99</v>
      </c>
      <c r="AN718" s="30">
        <v>1</v>
      </c>
      <c r="AO718" s="30">
        <v>1</v>
      </c>
      <c r="AP718" s="30">
        <v>1</v>
      </c>
      <c r="AQ718" s="30">
        <v>1</v>
      </c>
      <c r="AR718" s="50">
        <v>8.1059522893420499E-2</v>
      </c>
      <c r="AS718" s="34">
        <v>6.6666666666666666E-2</v>
      </c>
      <c r="AT718" s="34">
        <v>0</v>
      </c>
      <c r="AU718" s="34">
        <v>5.5555555555555552E-2</v>
      </c>
      <c r="AV718" s="34">
        <v>3.2520325203252036E-2</v>
      </c>
      <c r="AW718" s="10"/>
      <c r="AX718" s="8"/>
    </row>
    <row r="719" spans="1:50">
      <c r="A719" s="7"/>
      <c r="B719" s="10"/>
      <c r="C719" s="45" t="s">
        <v>688</v>
      </c>
      <c r="D719" s="23" t="s">
        <v>21</v>
      </c>
      <c r="E719" s="68" t="s">
        <v>765</v>
      </c>
      <c r="F719" s="68" t="s">
        <v>765</v>
      </c>
      <c r="G719" s="68" t="s">
        <v>765</v>
      </c>
      <c r="H719" s="68" t="s">
        <v>765</v>
      </c>
      <c r="I719" s="25">
        <v>0.9</v>
      </c>
      <c r="J719" s="26">
        <v>0.97777777777777775</v>
      </c>
      <c r="K719" s="26">
        <v>0.95348837209302328</v>
      </c>
      <c r="L719" s="27">
        <v>0.97872340425531912</v>
      </c>
      <c r="M719" s="26">
        <v>0.97101449275362317</v>
      </c>
      <c r="N719" s="28">
        <v>0.9</v>
      </c>
      <c r="O719" s="26">
        <v>0.98292349726775952</v>
      </c>
      <c r="P719" s="26">
        <v>0.98070230939576086</v>
      </c>
      <c r="Q719" s="26">
        <v>0.98108552631578949</v>
      </c>
      <c r="R719" s="26">
        <v>0.97190490892250692</v>
      </c>
      <c r="S719" s="28">
        <v>0.9</v>
      </c>
      <c r="T719" s="26">
        <v>0.94193989071038253</v>
      </c>
      <c r="U719" s="26">
        <v>0.94969946219550772</v>
      </c>
      <c r="V719" s="26">
        <v>0.9525767543859649</v>
      </c>
      <c r="W719" s="26">
        <v>0.92906761346094469</v>
      </c>
      <c r="X719" s="28">
        <v>0.92</v>
      </c>
      <c r="Y719" s="28">
        <v>0.91894977168949776</v>
      </c>
      <c r="Z719" s="28">
        <v>0.92368421052631577</v>
      </c>
      <c r="AA719" s="28">
        <v>0.94080604534005041</v>
      </c>
      <c r="AB719" s="28">
        <v>0.92380332139368282</v>
      </c>
      <c r="AC719" s="28">
        <v>0.92</v>
      </c>
      <c r="AD719" s="26">
        <v>0.99917355371900829</v>
      </c>
      <c r="AE719" s="26">
        <v>0.99821428571428572</v>
      </c>
      <c r="AF719" s="26">
        <v>0.99404761904761907</v>
      </c>
      <c r="AG719" s="26">
        <v>0.99778786820351617</v>
      </c>
      <c r="AH719" s="28">
        <v>0.92</v>
      </c>
      <c r="AI719" s="26">
        <v>0.95742444152431017</v>
      </c>
      <c r="AJ719" s="26">
        <v>0.96582504463147156</v>
      </c>
      <c r="AK719" s="26">
        <v>0.97591175146330478</v>
      </c>
      <c r="AL719" s="26">
        <v>0.9603518732258165</v>
      </c>
      <c r="AM719" s="25">
        <v>0.99</v>
      </c>
      <c r="AN719" s="30">
        <v>1</v>
      </c>
      <c r="AO719" s="30">
        <v>1</v>
      </c>
      <c r="AP719" s="30">
        <v>1</v>
      </c>
      <c r="AQ719" s="30">
        <v>1</v>
      </c>
      <c r="AR719" s="50">
        <v>8.1059522893420499E-2</v>
      </c>
      <c r="AS719" s="34">
        <v>0.04</v>
      </c>
      <c r="AT719" s="34">
        <v>0</v>
      </c>
      <c r="AU719" s="34">
        <v>3.7037037037037035E-2</v>
      </c>
      <c r="AV719" s="34">
        <v>2.6315789473684209E-2</v>
      </c>
      <c r="AW719" s="10"/>
      <c r="AX719" s="8"/>
    </row>
    <row r="720" spans="1:50">
      <c r="A720" s="7"/>
      <c r="B720" s="10"/>
      <c r="C720" s="45" t="s">
        <v>688</v>
      </c>
      <c r="D720" s="23" t="s">
        <v>21</v>
      </c>
      <c r="E720" s="68" t="s">
        <v>766</v>
      </c>
      <c r="F720" s="68" t="s">
        <v>766</v>
      </c>
      <c r="G720" s="68" t="s">
        <v>766</v>
      </c>
      <c r="H720" s="68" t="s">
        <v>766</v>
      </c>
      <c r="I720" s="25">
        <v>0.9</v>
      </c>
      <c r="J720" s="26">
        <v>0.98684210526315785</v>
      </c>
      <c r="K720" s="26">
        <v>0.98684210526315785</v>
      </c>
      <c r="L720" s="27">
        <v>0.97368421052631582</v>
      </c>
      <c r="M720" s="26">
        <v>0.98450946643717729</v>
      </c>
      <c r="N720" s="28">
        <v>0.9</v>
      </c>
      <c r="O720" s="26">
        <v>0.99218342886920274</v>
      </c>
      <c r="P720" s="26">
        <v>0.99227335164835162</v>
      </c>
      <c r="Q720" s="26">
        <v>0.99089068825910931</v>
      </c>
      <c r="R720" s="26">
        <v>0.9821428571428571</v>
      </c>
      <c r="S720" s="28">
        <v>0.9</v>
      </c>
      <c r="T720" s="26">
        <v>0.93520931040472466</v>
      </c>
      <c r="U720" s="26">
        <v>0.95157967032967028</v>
      </c>
      <c r="V720" s="26">
        <v>0.92987275882012721</v>
      </c>
      <c r="W720" s="26">
        <v>0.92502488800398208</v>
      </c>
      <c r="X720" s="28">
        <v>0.92</v>
      </c>
      <c r="Y720" s="28">
        <v>0.94163192376414528</v>
      </c>
      <c r="Z720" s="28">
        <v>0.92725030826140564</v>
      </c>
      <c r="AA720" s="28">
        <v>0.94355909694555118</v>
      </c>
      <c r="AB720" s="28">
        <v>0.94644197881037795</v>
      </c>
      <c r="AC720" s="28">
        <v>0.92</v>
      </c>
      <c r="AD720" s="26">
        <v>0.98843930635838151</v>
      </c>
      <c r="AE720" s="26">
        <v>0.98809523809523814</v>
      </c>
      <c r="AF720" s="26">
        <v>0.96721311475409832</v>
      </c>
      <c r="AG720" s="26">
        <v>0.98017699115044243</v>
      </c>
      <c r="AH720" s="28">
        <v>0.92</v>
      </c>
      <c r="AI720" s="26">
        <v>0.96262436138746976</v>
      </c>
      <c r="AJ720" s="26">
        <v>0.97193123824872418</v>
      </c>
      <c r="AK720" s="26">
        <v>0.9717440341920931</v>
      </c>
      <c r="AL720" s="26">
        <v>0.96948961118769617</v>
      </c>
      <c r="AM720" s="25">
        <v>0.99</v>
      </c>
      <c r="AN720" s="30">
        <v>1</v>
      </c>
      <c r="AO720" s="30">
        <v>1</v>
      </c>
      <c r="AP720" s="30">
        <v>1</v>
      </c>
      <c r="AQ720" s="30">
        <v>1</v>
      </c>
      <c r="AR720" s="50">
        <v>8.1059522893420499E-2</v>
      </c>
      <c r="AS720" s="34">
        <v>6.25E-2</v>
      </c>
      <c r="AT720" s="34">
        <v>4.7619047619047616E-2</v>
      </c>
      <c r="AU720" s="34">
        <v>8.8888888888888892E-2</v>
      </c>
      <c r="AV720" s="34">
        <v>4.9844236760124609E-2</v>
      </c>
      <c r="AW720" s="10"/>
      <c r="AX720" s="8"/>
    </row>
    <row r="721" spans="1:50">
      <c r="A721" s="7"/>
      <c r="B721" s="10"/>
      <c r="C721" s="45" t="s">
        <v>688</v>
      </c>
      <c r="D721" s="23" t="s">
        <v>21</v>
      </c>
      <c r="E721" s="68" t="s">
        <v>767</v>
      </c>
      <c r="F721" s="68" t="s">
        <v>767</v>
      </c>
      <c r="G721" s="68" t="s">
        <v>767</v>
      </c>
      <c r="H721" s="68" t="s">
        <v>767</v>
      </c>
      <c r="I721" s="25">
        <v>0.9</v>
      </c>
      <c r="J721" s="26">
        <v>0.97916666666666663</v>
      </c>
      <c r="K721" s="26">
        <v>0.93478260869565222</v>
      </c>
      <c r="L721" s="27">
        <v>0.9375</v>
      </c>
      <c r="M721" s="26">
        <v>0.93296089385474856</v>
      </c>
      <c r="N721" s="28">
        <v>0.9</v>
      </c>
      <c r="O721" s="26">
        <v>0.77976190476190477</v>
      </c>
      <c r="P721" s="26">
        <v>0.91651090342679131</v>
      </c>
      <c r="Q721" s="26">
        <v>0.93760173629951171</v>
      </c>
      <c r="R721" s="26">
        <v>0.8917896037692129</v>
      </c>
      <c r="S721" s="28">
        <v>0.9</v>
      </c>
      <c r="T721" s="26">
        <v>0.76120448179271705</v>
      </c>
      <c r="U721" s="26">
        <v>0.81931464174454827</v>
      </c>
      <c r="V721" s="26">
        <v>0.81443298969072164</v>
      </c>
      <c r="W721" s="26">
        <v>0.78925619834710747</v>
      </c>
      <c r="X721" s="28">
        <v>0.92</v>
      </c>
      <c r="Y721" s="28">
        <v>0.91845979614949036</v>
      </c>
      <c r="Z721" s="28">
        <v>0.92173913043478262</v>
      </c>
      <c r="AA721" s="28">
        <v>0.94274300932090549</v>
      </c>
      <c r="AB721" s="28">
        <v>0.91506489239362576</v>
      </c>
      <c r="AC721" s="28">
        <v>0.92</v>
      </c>
      <c r="AD721" s="26">
        <v>0.99756493506493504</v>
      </c>
      <c r="AE721" s="26">
        <v>0.99630996309963105</v>
      </c>
      <c r="AF721" s="26">
        <v>0.98457350272232302</v>
      </c>
      <c r="AG721" s="26">
        <v>0.99347542409743361</v>
      </c>
      <c r="AH721" s="28">
        <v>0.92</v>
      </c>
      <c r="AI721" s="26">
        <v>0.94840951617214653</v>
      </c>
      <c r="AJ721" s="26">
        <v>0.95267745952677463</v>
      </c>
      <c r="AK721" s="26">
        <v>0.97160243407707914</v>
      </c>
      <c r="AL721" s="26">
        <v>0.95066437392527747</v>
      </c>
      <c r="AM721" s="25">
        <v>0.99</v>
      </c>
      <c r="AN721" s="30">
        <v>1</v>
      </c>
      <c r="AO721" s="30">
        <v>1</v>
      </c>
      <c r="AP721" s="30">
        <v>1</v>
      </c>
      <c r="AQ721" s="30">
        <v>1</v>
      </c>
      <c r="AR721" s="50">
        <v>8.1059522893420499E-2</v>
      </c>
      <c r="AS721" s="34">
        <v>0</v>
      </c>
      <c r="AT721" s="34">
        <v>0</v>
      </c>
      <c r="AU721" s="34">
        <v>0</v>
      </c>
      <c r="AV721" s="34">
        <v>1.3793103448275862E-2</v>
      </c>
      <c r="AW721" s="10"/>
      <c r="AX721" s="8"/>
    </row>
    <row r="722" spans="1:50">
      <c r="A722" s="7"/>
      <c r="B722" s="10"/>
      <c r="C722" s="45" t="s">
        <v>688</v>
      </c>
      <c r="D722" s="23" t="s">
        <v>21</v>
      </c>
      <c r="E722" s="68" t="s">
        <v>768</v>
      </c>
      <c r="F722" s="68" t="s">
        <v>768</v>
      </c>
      <c r="G722" s="68" t="s">
        <v>768</v>
      </c>
      <c r="H722" s="68" t="s">
        <v>768</v>
      </c>
      <c r="I722" s="25">
        <v>0.9</v>
      </c>
      <c r="J722" s="26">
        <v>0.97058823529411764</v>
      </c>
      <c r="K722" s="26">
        <v>0.97435897435897434</v>
      </c>
      <c r="L722" s="27">
        <v>0.97297297297297303</v>
      </c>
      <c r="M722" s="26">
        <v>0.96864111498257843</v>
      </c>
      <c r="N722" s="28">
        <v>0.9</v>
      </c>
      <c r="O722" s="26">
        <v>0.96576695194206719</v>
      </c>
      <c r="P722" s="26">
        <v>0.97632954196126653</v>
      </c>
      <c r="Q722" s="26">
        <v>0.94391067255258376</v>
      </c>
      <c r="R722" s="26">
        <v>0.96350071316241814</v>
      </c>
      <c r="S722" s="28">
        <v>0.9</v>
      </c>
      <c r="T722" s="26">
        <v>0.92593811718235686</v>
      </c>
      <c r="U722" s="26">
        <v>0.94097755917614512</v>
      </c>
      <c r="V722" s="26">
        <v>0.94287198130355754</v>
      </c>
      <c r="W722" s="26">
        <v>0.9275500128003511</v>
      </c>
      <c r="X722" s="28">
        <v>0.92</v>
      </c>
      <c r="Y722" s="28">
        <v>0.93059936908517349</v>
      </c>
      <c r="Z722" s="28">
        <v>0.95429208472686733</v>
      </c>
      <c r="AA722" s="28">
        <v>0.96379525593008741</v>
      </c>
      <c r="AB722" s="28">
        <v>0.95567184854548248</v>
      </c>
      <c r="AC722" s="28">
        <v>0.92</v>
      </c>
      <c r="AD722" s="26">
        <v>0.99645390070921991</v>
      </c>
      <c r="AE722" s="26">
        <v>0.98574821852731587</v>
      </c>
      <c r="AF722" s="26">
        <v>0.97777777777777775</v>
      </c>
      <c r="AG722" s="26">
        <v>0.98878373641780581</v>
      </c>
      <c r="AH722" s="28">
        <v>0.92</v>
      </c>
      <c r="AI722" s="26">
        <v>0.95713211331160697</v>
      </c>
      <c r="AJ722" s="26">
        <v>0.96891566265060236</v>
      </c>
      <c r="AK722" s="26">
        <v>0.97441960447119513</v>
      </c>
      <c r="AL722" s="26">
        <v>0.96849974882538936</v>
      </c>
      <c r="AM722" s="25">
        <v>0.99</v>
      </c>
      <c r="AN722" s="30">
        <v>1</v>
      </c>
      <c r="AO722" s="30">
        <v>1</v>
      </c>
      <c r="AP722" s="30">
        <v>1</v>
      </c>
      <c r="AQ722" s="30">
        <v>1</v>
      </c>
      <c r="AR722" s="50">
        <v>8.1059522893420499E-2</v>
      </c>
      <c r="AS722" s="34">
        <v>0</v>
      </c>
      <c r="AT722" s="34">
        <v>0.125</v>
      </c>
      <c r="AU722" s="34">
        <v>0</v>
      </c>
      <c r="AV722" s="34">
        <v>1.6E-2</v>
      </c>
      <c r="AW722" s="10"/>
      <c r="AX722" s="8"/>
    </row>
    <row r="723" spans="1:50">
      <c r="A723" s="7"/>
      <c r="B723" s="10"/>
      <c r="C723" s="45" t="s">
        <v>688</v>
      </c>
      <c r="D723" s="23" t="s">
        <v>21</v>
      </c>
      <c r="E723" s="68" t="s">
        <v>769</v>
      </c>
      <c r="F723" s="68" t="s">
        <v>769</v>
      </c>
      <c r="G723" s="68" t="s">
        <v>769</v>
      </c>
      <c r="H723" s="68" t="s">
        <v>769</v>
      </c>
      <c r="I723" s="25">
        <v>0.9</v>
      </c>
      <c r="J723" s="26">
        <v>1</v>
      </c>
      <c r="K723" s="26">
        <v>1</v>
      </c>
      <c r="L723" s="27">
        <v>1</v>
      </c>
      <c r="M723" s="26">
        <v>1</v>
      </c>
      <c r="N723" s="28">
        <v>0.9</v>
      </c>
      <c r="O723" s="26">
        <v>0.98007662835249043</v>
      </c>
      <c r="P723" s="26">
        <v>0.9509180790960452</v>
      </c>
      <c r="Q723" s="26">
        <v>0.97751443330294741</v>
      </c>
      <c r="R723" s="26">
        <v>0.9582529380810384</v>
      </c>
      <c r="S723" s="28">
        <v>0.9</v>
      </c>
      <c r="T723" s="26">
        <v>0.9149425287356322</v>
      </c>
      <c r="U723" s="26">
        <v>0.92690677966101698</v>
      </c>
      <c r="V723" s="26">
        <v>0.94408994226678822</v>
      </c>
      <c r="W723" s="26">
        <v>0.93093316961936501</v>
      </c>
      <c r="X723" s="28">
        <v>0.92</v>
      </c>
      <c r="Y723" s="28">
        <v>0.8635235732009926</v>
      </c>
      <c r="Z723" s="28">
        <v>0.90765171503957787</v>
      </c>
      <c r="AA723" s="28">
        <v>0.91044776119402981</v>
      </c>
      <c r="AB723" s="28">
        <v>0.88935281837160751</v>
      </c>
      <c r="AC723" s="28">
        <v>0.92</v>
      </c>
      <c r="AD723" s="26">
        <v>0.99855491329479773</v>
      </c>
      <c r="AE723" s="26">
        <v>0.9955817378497791</v>
      </c>
      <c r="AF723" s="26">
        <v>1</v>
      </c>
      <c r="AG723" s="26">
        <v>0.99835616438356167</v>
      </c>
      <c r="AH723" s="28">
        <v>0.92</v>
      </c>
      <c r="AI723" s="26">
        <v>0.94035087719298249</v>
      </c>
      <c r="AJ723" s="26">
        <v>0.95800889877641826</v>
      </c>
      <c r="AK723" s="26">
        <v>0.96847853065276746</v>
      </c>
      <c r="AL723" s="26">
        <v>0.95507033382322071</v>
      </c>
      <c r="AM723" s="25">
        <v>0.99</v>
      </c>
      <c r="AN723" s="30">
        <v>1</v>
      </c>
      <c r="AO723" s="30">
        <v>1</v>
      </c>
      <c r="AP723" s="30">
        <v>1</v>
      </c>
      <c r="AQ723" s="30">
        <v>1</v>
      </c>
      <c r="AR723" s="50">
        <v>8.1059522893420499E-2</v>
      </c>
      <c r="AS723" s="34">
        <v>0</v>
      </c>
      <c r="AT723" s="34">
        <v>0</v>
      </c>
      <c r="AU723" s="34">
        <v>3.7037037037037035E-2</v>
      </c>
      <c r="AV723" s="34">
        <v>5.5118110236220472E-2</v>
      </c>
      <c r="AW723" s="10"/>
      <c r="AX723" s="8"/>
    </row>
    <row r="724" spans="1:50">
      <c r="A724" s="7"/>
      <c r="B724" s="10"/>
      <c r="C724" s="45" t="s">
        <v>688</v>
      </c>
      <c r="D724" s="23" t="s">
        <v>21</v>
      </c>
      <c r="E724" s="68" t="s">
        <v>770</v>
      </c>
      <c r="F724" s="68" t="s">
        <v>770</v>
      </c>
      <c r="G724" s="68" t="s">
        <v>770</v>
      </c>
      <c r="H724" s="68" t="s">
        <v>770</v>
      </c>
      <c r="I724" s="25">
        <v>0.9</v>
      </c>
      <c r="J724" s="26">
        <v>0.95744680851063835</v>
      </c>
      <c r="K724" s="26">
        <v>0.92307692307692313</v>
      </c>
      <c r="L724" s="27">
        <v>0.98181818181818181</v>
      </c>
      <c r="M724" s="26">
        <v>0.96782178217821779</v>
      </c>
      <c r="N724" s="28">
        <v>0.9</v>
      </c>
      <c r="O724" s="26">
        <v>0.94983277591973247</v>
      </c>
      <c r="P724" s="26">
        <v>0.9775681341719078</v>
      </c>
      <c r="Q724" s="26">
        <v>0.94226415094339622</v>
      </c>
      <c r="R724" s="26">
        <v>0.94057557687321758</v>
      </c>
      <c r="S724" s="28">
        <v>0.9</v>
      </c>
      <c r="T724" s="26">
        <v>0.73511705685618733</v>
      </c>
      <c r="U724" s="26">
        <v>0.78197064989517817</v>
      </c>
      <c r="V724" s="26">
        <v>0.80698113207547173</v>
      </c>
      <c r="W724" s="26">
        <v>0.74215711693025666</v>
      </c>
      <c r="X724" s="28">
        <v>0.92</v>
      </c>
      <c r="Y724" s="28">
        <v>0.84967845659163987</v>
      </c>
      <c r="Z724" s="28">
        <v>0.89071487263763349</v>
      </c>
      <c r="AA724" s="28">
        <v>0.9027522935779817</v>
      </c>
      <c r="AB724" s="28">
        <v>0.87736571491084125</v>
      </c>
      <c r="AC724" s="28">
        <v>0.92</v>
      </c>
      <c r="AD724" s="26">
        <v>0.99914339557992116</v>
      </c>
      <c r="AE724" s="26">
        <v>0.99765458422174835</v>
      </c>
      <c r="AF724" s="26">
        <v>0.99810115656827203</v>
      </c>
      <c r="AG724" s="26">
        <v>0.99824446482379148</v>
      </c>
      <c r="AH724" s="28">
        <v>0.92</v>
      </c>
      <c r="AI724" s="26">
        <v>0.91656484552277884</v>
      </c>
      <c r="AJ724" s="26">
        <v>0.94504760314013692</v>
      </c>
      <c r="AK724" s="26">
        <v>0.95884194053208138</v>
      </c>
      <c r="AL724" s="26">
        <v>0.93683063316077375</v>
      </c>
      <c r="AM724" s="25">
        <v>0.99</v>
      </c>
      <c r="AN724" s="30">
        <v>1</v>
      </c>
      <c r="AO724" s="30">
        <v>1</v>
      </c>
      <c r="AP724" s="30">
        <v>1</v>
      </c>
      <c r="AQ724" s="30">
        <v>1</v>
      </c>
      <c r="AR724" s="50">
        <v>8.1059522893420499E-2</v>
      </c>
      <c r="AS724" s="34">
        <v>0</v>
      </c>
      <c r="AT724" s="34">
        <v>3.7037037037037035E-2</v>
      </c>
      <c r="AU724" s="34">
        <v>3.7037037037037035E-2</v>
      </c>
      <c r="AV724" s="34">
        <v>3.6866359447004608E-2</v>
      </c>
      <c r="AW724" s="10"/>
      <c r="AX724" s="8"/>
    </row>
    <row r="725" spans="1:50">
      <c r="A725" s="7"/>
      <c r="B725" s="10"/>
      <c r="C725" s="45" t="s">
        <v>688</v>
      </c>
      <c r="D725" s="23" t="s">
        <v>21</v>
      </c>
      <c r="E725" s="68" t="s">
        <v>771</v>
      </c>
      <c r="F725" s="68" t="s">
        <v>771</v>
      </c>
      <c r="G725" s="68" t="s">
        <v>771</v>
      </c>
      <c r="H725" s="68" t="s">
        <v>771</v>
      </c>
      <c r="I725" s="25">
        <v>0.9</v>
      </c>
      <c r="J725" s="26">
        <v>0.93333333333333335</v>
      </c>
      <c r="K725" s="26">
        <v>0.93333333333333335</v>
      </c>
      <c r="L725" s="27">
        <v>0.93103448275862066</v>
      </c>
      <c r="M725" s="26">
        <v>0.94827586206896552</v>
      </c>
      <c r="N725" s="28">
        <v>0.9</v>
      </c>
      <c r="O725" s="26">
        <v>0.96241610738255035</v>
      </c>
      <c r="P725" s="26">
        <v>0.95177123346137427</v>
      </c>
      <c r="Q725" s="26">
        <v>0.93877551020408168</v>
      </c>
      <c r="R725" s="26">
        <v>0.9512169256058115</v>
      </c>
      <c r="S725" s="28">
        <v>0.9</v>
      </c>
      <c r="T725" s="26">
        <v>0.89306487695749437</v>
      </c>
      <c r="U725" s="26">
        <v>0.88817755014938116</v>
      </c>
      <c r="V725" s="26">
        <v>0.89064304967269925</v>
      </c>
      <c r="W725" s="26">
        <v>0.91378121851635818</v>
      </c>
      <c r="X725" s="28">
        <v>0.92</v>
      </c>
      <c r="Y725" s="28">
        <v>0.91763005780346818</v>
      </c>
      <c r="Z725" s="28">
        <v>0.90166666666666662</v>
      </c>
      <c r="AA725" s="28">
        <v>0.92700729927007297</v>
      </c>
      <c r="AB725" s="28">
        <v>0.92133620689655171</v>
      </c>
      <c r="AC725" s="28">
        <v>0.92</v>
      </c>
      <c r="AD725" s="26">
        <v>0.99425287356321834</v>
      </c>
      <c r="AE725" s="26">
        <v>0.98089171974522293</v>
      </c>
      <c r="AF725" s="26">
        <v>0.98</v>
      </c>
      <c r="AG725" s="26">
        <v>0.97930463576158944</v>
      </c>
      <c r="AH725" s="28">
        <v>0.92</v>
      </c>
      <c r="AI725" s="26">
        <v>0.94533652203621454</v>
      </c>
      <c r="AJ725" s="26">
        <v>0.95039075773020731</v>
      </c>
      <c r="AK725" s="26">
        <v>0.9637404580152672</v>
      </c>
      <c r="AL725" s="26">
        <v>0.95642182313388369</v>
      </c>
      <c r="AM725" s="25">
        <v>0.99</v>
      </c>
      <c r="AN725" s="30">
        <v>1</v>
      </c>
      <c r="AO725" s="30">
        <v>1</v>
      </c>
      <c r="AP725" s="30">
        <v>1</v>
      </c>
      <c r="AQ725" s="30">
        <v>1</v>
      </c>
      <c r="AR725" s="50">
        <v>8.1059522893420499E-2</v>
      </c>
      <c r="AS725" s="34">
        <v>0.18181818181818182</v>
      </c>
      <c r="AT725" s="34">
        <v>0</v>
      </c>
      <c r="AU725" s="34">
        <v>9.0909090909090912E-2</v>
      </c>
      <c r="AV725" s="34">
        <v>6.3829787234042548E-2</v>
      </c>
      <c r="AW725" s="10"/>
      <c r="AX725" s="8"/>
    </row>
    <row r="726" spans="1:50">
      <c r="A726" s="7"/>
      <c r="B726" s="10"/>
      <c r="C726" s="45" t="s">
        <v>688</v>
      </c>
      <c r="D726" s="23" t="s">
        <v>21</v>
      </c>
      <c r="E726" s="68" t="s">
        <v>772</v>
      </c>
      <c r="F726" s="68" t="s">
        <v>772</v>
      </c>
      <c r="G726" s="68" t="s">
        <v>772</v>
      </c>
      <c r="H726" s="68" t="s">
        <v>772</v>
      </c>
      <c r="I726" s="25">
        <v>0.9</v>
      </c>
      <c r="J726" s="26">
        <v>0.97058823529411764</v>
      </c>
      <c r="K726" s="26">
        <v>1</v>
      </c>
      <c r="L726" s="27">
        <v>1</v>
      </c>
      <c r="M726" s="26">
        <v>0.98098859315589348</v>
      </c>
      <c r="N726" s="28">
        <v>0.9</v>
      </c>
      <c r="O726" s="26">
        <v>0.9649298597194389</v>
      </c>
      <c r="P726" s="26">
        <v>0.93387589013224825</v>
      </c>
      <c r="Q726" s="26">
        <v>0.93435754189944131</v>
      </c>
      <c r="R726" s="26">
        <v>0.95041157196515624</v>
      </c>
      <c r="S726" s="28">
        <v>0.9</v>
      </c>
      <c r="T726" s="26">
        <v>0.83800935203740812</v>
      </c>
      <c r="U726" s="26">
        <v>0.88741946422516105</v>
      </c>
      <c r="V726" s="26">
        <v>0.85782122905027935</v>
      </c>
      <c r="W726" s="26">
        <v>0.85291297051066894</v>
      </c>
      <c r="X726" s="28">
        <v>0.92</v>
      </c>
      <c r="Y726" s="28">
        <v>0.92272202998846597</v>
      </c>
      <c r="Z726" s="28">
        <v>0.89740420271940669</v>
      </c>
      <c r="AA726" s="28">
        <v>0.92247043363994741</v>
      </c>
      <c r="AB726" s="28">
        <v>0.90393674293405113</v>
      </c>
      <c r="AC726" s="28">
        <v>0.92</v>
      </c>
      <c r="AD726" s="26">
        <v>0.96644295302013428</v>
      </c>
      <c r="AE726" s="26">
        <v>0.98907103825136611</v>
      </c>
      <c r="AF726" s="26">
        <v>0.95705521472392641</v>
      </c>
      <c r="AG726" s="26">
        <v>0.97448979591836737</v>
      </c>
      <c r="AH726" s="28">
        <v>0.92</v>
      </c>
      <c r="AI726" s="26">
        <v>0.94353794353794351</v>
      </c>
      <c r="AJ726" s="26">
        <v>0.94544970729111233</v>
      </c>
      <c r="AK726" s="26">
        <v>0.95899562312831144</v>
      </c>
      <c r="AL726" s="26">
        <v>0.94656118824669033</v>
      </c>
      <c r="AM726" s="25">
        <v>0.99</v>
      </c>
      <c r="AN726" s="30">
        <v>1</v>
      </c>
      <c r="AO726" s="30">
        <v>1</v>
      </c>
      <c r="AP726" s="30">
        <v>1</v>
      </c>
      <c r="AQ726" s="30">
        <v>1</v>
      </c>
      <c r="AR726" s="50">
        <v>8.1059522893420499E-2</v>
      </c>
      <c r="AS726" s="34">
        <v>0</v>
      </c>
      <c r="AT726" s="34">
        <v>0</v>
      </c>
      <c r="AU726" s="34">
        <v>6.25E-2</v>
      </c>
      <c r="AV726" s="34">
        <v>3.669724770642202E-2</v>
      </c>
      <c r="AW726" s="10"/>
      <c r="AX726" s="8"/>
    </row>
    <row r="727" spans="1:50">
      <c r="A727" s="7"/>
      <c r="B727" s="10"/>
      <c r="C727" s="45" t="s">
        <v>688</v>
      </c>
      <c r="D727" s="23" t="s">
        <v>21</v>
      </c>
      <c r="E727" s="68" t="s">
        <v>773</v>
      </c>
      <c r="F727" s="68" t="s">
        <v>773</v>
      </c>
      <c r="G727" s="68" t="s">
        <v>773</v>
      </c>
      <c r="H727" s="68" t="s">
        <v>773</v>
      </c>
      <c r="I727" s="25">
        <v>0.9</v>
      </c>
      <c r="J727" s="26">
        <v>1</v>
      </c>
      <c r="K727" s="26">
        <v>1</v>
      </c>
      <c r="L727" s="27">
        <v>1</v>
      </c>
      <c r="M727" s="26">
        <v>0.85593220338983056</v>
      </c>
      <c r="N727" s="28">
        <v>0.9</v>
      </c>
      <c r="O727" s="26">
        <v>0.97284122562674091</v>
      </c>
      <c r="P727" s="26">
        <v>0.98685939553219448</v>
      </c>
      <c r="Q727" s="26">
        <v>0.97847147470398277</v>
      </c>
      <c r="R727" s="26">
        <v>0.97797805642633229</v>
      </c>
      <c r="S727" s="28">
        <v>0.9</v>
      </c>
      <c r="T727" s="26">
        <v>0.94220055710306405</v>
      </c>
      <c r="U727" s="26">
        <v>0.95400788436268069</v>
      </c>
      <c r="V727" s="26">
        <v>0.95694294940796554</v>
      </c>
      <c r="W727" s="26">
        <v>0.94655172413793098</v>
      </c>
      <c r="X727" s="28">
        <v>0.92</v>
      </c>
      <c r="Y727" s="28">
        <v>0.8301075268817204</v>
      </c>
      <c r="Z727" s="28">
        <v>0.90441176470588236</v>
      </c>
      <c r="AA727" s="28">
        <v>0.90860215053763438</v>
      </c>
      <c r="AB727" s="28">
        <v>0.88644688644688641</v>
      </c>
      <c r="AC727" s="28">
        <v>0.92</v>
      </c>
      <c r="AD727" s="26">
        <v>1</v>
      </c>
      <c r="AE727" s="26">
        <v>0.99206349206349209</v>
      </c>
      <c r="AF727" s="26">
        <v>0.99242424242424243</v>
      </c>
      <c r="AG727" s="26">
        <v>0.99184043517679055</v>
      </c>
      <c r="AH727" s="28">
        <v>0.92</v>
      </c>
      <c r="AI727" s="26">
        <v>0.93897948448185165</v>
      </c>
      <c r="AJ727" s="26">
        <v>0.96580310880829012</v>
      </c>
      <c r="AK727" s="26">
        <v>0.97354260089686095</v>
      </c>
      <c r="AL727" s="26">
        <v>0.96263875673961308</v>
      </c>
      <c r="AM727" s="25">
        <v>0.99</v>
      </c>
      <c r="AN727" s="30">
        <v>1</v>
      </c>
      <c r="AO727" s="30">
        <v>1</v>
      </c>
      <c r="AP727" s="30">
        <v>1</v>
      </c>
      <c r="AQ727" s="30">
        <v>1</v>
      </c>
      <c r="AR727" s="50">
        <v>8.1059522893420499E-2</v>
      </c>
      <c r="AS727" s="34">
        <v>0</v>
      </c>
      <c r="AT727" s="34">
        <v>0.16666666666666666</v>
      </c>
      <c r="AU727" s="34">
        <v>0</v>
      </c>
      <c r="AV727" s="34">
        <v>7.407407407407407E-2</v>
      </c>
      <c r="AW727" s="10"/>
      <c r="AX727" s="8"/>
    </row>
    <row r="728" spans="1:50">
      <c r="A728" s="7"/>
      <c r="B728" s="10"/>
      <c r="C728" s="45" t="s">
        <v>688</v>
      </c>
      <c r="D728" s="23" t="s">
        <v>21</v>
      </c>
      <c r="E728" s="68" t="s">
        <v>774</v>
      </c>
      <c r="F728" s="68" t="s">
        <v>774</v>
      </c>
      <c r="G728" s="68" t="s">
        <v>774</v>
      </c>
      <c r="H728" s="68" t="s">
        <v>774</v>
      </c>
      <c r="I728" s="25">
        <v>0.9</v>
      </c>
      <c r="J728" s="26">
        <v>0.9642857142857143</v>
      </c>
      <c r="K728" s="26">
        <v>0.8571428571428571</v>
      </c>
      <c r="L728" s="27">
        <v>0.91666666666666663</v>
      </c>
      <c r="M728" s="26">
        <v>0.94285714285714284</v>
      </c>
      <c r="N728" s="28">
        <v>0.9</v>
      </c>
      <c r="O728" s="26">
        <v>0.95971978984238182</v>
      </c>
      <c r="P728" s="26">
        <v>0.97986577181208057</v>
      </c>
      <c r="Q728" s="26">
        <v>0.98080689385037212</v>
      </c>
      <c r="R728" s="26">
        <v>0.97719516819240559</v>
      </c>
      <c r="S728" s="28">
        <v>0.9</v>
      </c>
      <c r="T728" s="26">
        <v>0.97504378283712789</v>
      </c>
      <c r="U728" s="26">
        <v>0.97692953020134232</v>
      </c>
      <c r="V728" s="26">
        <v>0.97767332549941244</v>
      </c>
      <c r="W728" s="26">
        <v>0.96950327717891771</v>
      </c>
      <c r="X728" s="28">
        <v>0.92</v>
      </c>
      <c r="Y728" s="28">
        <v>0.94783715012722647</v>
      </c>
      <c r="Z728" s="28">
        <v>0.96852300242130751</v>
      </c>
      <c r="AA728" s="28">
        <v>0.96966292134831455</v>
      </c>
      <c r="AB728" s="28">
        <v>0.95958762886597937</v>
      </c>
      <c r="AC728" s="28">
        <v>0.92</v>
      </c>
      <c r="AD728" s="26">
        <v>1</v>
      </c>
      <c r="AE728" s="26">
        <v>0.99968895800933122</v>
      </c>
      <c r="AF728" s="26">
        <v>0.99930531434525882</v>
      </c>
      <c r="AG728" s="26">
        <v>0.99858899415440439</v>
      </c>
      <c r="AH728" s="28">
        <v>0.92</v>
      </c>
      <c r="AI728" s="26">
        <v>0.97850162866449508</v>
      </c>
      <c r="AJ728" s="26">
        <v>0.98411709747742138</v>
      </c>
      <c r="AK728" s="26">
        <v>0.98663955852454255</v>
      </c>
      <c r="AL728" s="26">
        <v>0.98006838138161478</v>
      </c>
      <c r="AM728" s="25">
        <v>0.99</v>
      </c>
      <c r="AN728" s="30">
        <v>1</v>
      </c>
      <c r="AO728" s="30">
        <v>1</v>
      </c>
      <c r="AP728" s="30">
        <v>1</v>
      </c>
      <c r="AQ728" s="30">
        <v>1</v>
      </c>
      <c r="AR728" s="50">
        <v>8.1059522893420499E-2</v>
      </c>
      <c r="AS728" s="34">
        <v>7.6923076923076927E-2</v>
      </c>
      <c r="AT728" s="34">
        <v>0</v>
      </c>
      <c r="AU728" s="34">
        <v>0.25</v>
      </c>
      <c r="AV728" s="34">
        <v>0.05</v>
      </c>
      <c r="AW728" s="10"/>
      <c r="AX728" s="8"/>
    </row>
    <row r="729" spans="1:50">
      <c r="A729" s="7"/>
      <c r="B729" s="10"/>
      <c r="C729" s="45" t="s">
        <v>688</v>
      </c>
      <c r="D729" s="23" t="s">
        <v>21</v>
      </c>
      <c r="E729" s="68" t="s">
        <v>775</v>
      </c>
      <c r="F729" s="68" t="s">
        <v>775</v>
      </c>
      <c r="G729" s="68" t="s">
        <v>775</v>
      </c>
      <c r="H729" s="68" t="s">
        <v>775</v>
      </c>
      <c r="I729" s="25">
        <v>0.9</v>
      </c>
      <c r="J729" s="26">
        <v>1</v>
      </c>
      <c r="K729" s="26">
        <v>0.9859154929577465</v>
      </c>
      <c r="L729" s="27">
        <v>0.96052631578947367</v>
      </c>
      <c r="M729" s="26">
        <v>0.96729776247848542</v>
      </c>
      <c r="N729" s="28">
        <v>0.9</v>
      </c>
      <c r="O729" s="26">
        <v>0.9946731234866828</v>
      </c>
      <c r="P729" s="26">
        <v>0.99237974281632002</v>
      </c>
      <c r="Q729" s="26">
        <v>0.99306342015855043</v>
      </c>
      <c r="R729" s="26">
        <v>0.99273288269086335</v>
      </c>
      <c r="S729" s="28">
        <v>0.9</v>
      </c>
      <c r="T729" s="26">
        <v>0.95657788539144473</v>
      </c>
      <c r="U729" s="26">
        <v>0.94792824257818697</v>
      </c>
      <c r="V729" s="26">
        <v>0.94889580973952437</v>
      </c>
      <c r="W729" s="26">
        <v>0.94947526541217542</v>
      </c>
      <c r="X729" s="28">
        <v>0.92</v>
      </c>
      <c r="Y729" s="28">
        <v>0.94758909853249473</v>
      </c>
      <c r="Z729" s="28">
        <v>0.96179560649474694</v>
      </c>
      <c r="AA729" s="28">
        <v>0.96566321730950144</v>
      </c>
      <c r="AB729" s="28">
        <v>0.95670758439281012</v>
      </c>
      <c r="AC729" s="28">
        <v>0.92</v>
      </c>
      <c r="AD729" s="26">
        <v>0.99986823033337724</v>
      </c>
      <c r="AE729" s="26">
        <v>0.99863481228668938</v>
      </c>
      <c r="AF729" s="26">
        <v>0.99934734368881351</v>
      </c>
      <c r="AG729" s="26">
        <v>0.99886557937656184</v>
      </c>
      <c r="AH729" s="28">
        <v>0.92</v>
      </c>
      <c r="AI729" s="26">
        <v>0.96854958066107544</v>
      </c>
      <c r="AJ729" s="26">
        <v>0.97618196975110161</v>
      </c>
      <c r="AK729" s="26">
        <v>0.98216421968461121</v>
      </c>
      <c r="AL729" s="26">
        <v>0.97400367146325573</v>
      </c>
      <c r="AM729" s="25">
        <v>0.99</v>
      </c>
      <c r="AN729" s="30">
        <v>1</v>
      </c>
      <c r="AO729" s="30">
        <v>1</v>
      </c>
      <c r="AP729" s="30">
        <v>1</v>
      </c>
      <c r="AQ729" s="30">
        <v>1</v>
      </c>
      <c r="AR729" s="50">
        <v>8.1059522893420499E-2</v>
      </c>
      <c r="AS729" s="34">
        <v>0</v>
      </c>
      <c r="AT729" s="34">
        <v>0</v>
      </c>
      <c r="AU729" s="34">
        <v>2.5000000000000001E-2</v>
      </c>
      <c r="AV729" s="34">
        <v>1.0526315789473684E-2</v>
      </c>
      <c r="AW729" s="10"/>
      <c r="AX729" s="8"/>
    </row>
    <row r="730" spans="1:50">
      <c r="A730" s="7"/>
      <c r="B730" s="10"/>
      <c r="C730" s="45" t="s">
        <v>688</v>
      </c>
      <c r="D730" s="23" t="s">
        <v>21</v>
      </c>
      <c r="E730" s="68" t="s">
        <v>776</v>
      </c>
      <c r="F730" s="68" t="s">
        <v>776</v>
      </c>
      <c r="G730" s="68" t="s">
        <v>776</v>
      </c>
      <c r="H730" s="68" t="s">
        <v>776</v>
      </c>
      <c r="I730" s="25">
        <v>0.9</v>
      </c>
      <c r="J730" s="26">
        <v>0.97435897435897434</v>
      </c>
      <c r="K730" s="26">
        <v>0.97619047619047616</v>
      </c>
      <c r="L730" s="27">
        <v>0.95918367346938771</v>
      </c>
      <c r="M730" s="26">
        <v>0.96978851963746227</v>
      </c>
      <c r="N730" s="28">
        <v>0.9</v>
      </c>
      <c r="O730" s="26">
        <v>0.97553787208959619</v>
      </c>
      <c r="P730" s="26">
        <v>0.98427102238354502</v>
      </c>
      <c r="Q730" s="26">
        <v>0.99009900990099009</v>
      </c>
      <c r="R730" s="26">
        <v>0.98480776409107873</v>
      </c>
      <c r="S730" s="28">
        <v>0.9</v>
      </c>
      <c r="T730" s="26">
        <v>0.9534335396404362</v>
      </c>
      <c r="U730" s="26">
        <v>0.95735027223230496</v>
      </c>
      <c r="V730" s="26">
        <v>0.94997394476289732</v>
      </c>
      <c r="W730" s="26">
        <v>0.95875326614408363</v>
      </c>
      <c r="X730" s="28">
        <v>0.92</v>
      </c>
      <c r="Y730" s="28">
        <v>0.96131687242798358</v>
      </c>
      <c r="Z730" s="28">
        <v>0.96604938271604934</v>
      </c>
      <c r="AA730" s="28">
        <v>0.96313017306245297</v>
      </c>
      <c r="AB730" s="28">
        <v>0.96539886168578914</v>
      </c>
      <c r="AC730" s="28">
        <v>0.92</v>
      </c>
      <c r="AD730" s="26">
        <v>1</v>
      </c>
      <c r="AE730" s="26">
        <v>0.99832729300250911</v>
      </c>
      <c r="AF730" s="26">
        <v>0.99876847290640391</v>
      </c>
      <c r="AG730" s="26">
        <v>0.99877216424108917</v>
      </c>
      <c r="AH730" s="28">
        <v>0.92</v>
      </c>
      <c r="AI730" s="26">
        <v>0.9791711868084183</v>
      </c>
      <c r="AJ730" s="26">
        <v>0.98326814428509346</v>
      </c>
      <c r="AK730" s="26">
        <v>0.98258176891813431</v>
      </c>
      <c r="AL730" s="26">
        <v>0.98275406718783009</v>
      </c>
      <c r="AM730" s="25">
        <v>0.99</v>
      </c>
      <c r="AN730" s="30">
        <v>1</v>
      </c>
      <c r="AO730" s="30">
        <v>1</v>
      </c>
      <c r="AP730" s="30">
        <v>1</v>
      </c>
      <c r="AQ730" s="30">
        <v>1</v>
      </c>
      <c r="AR730" s="50">
        <v>8.1059522893420499E-2</v>
      </c>
      <c r="AS730" s="34">
        <v>5.8823529411764705E-2</v>
      </c>
      <c r="AT730" s="34">
        <v>0.1111111111111111</v>
      </c>
      <c r="AU730" s="34">
        <v>0</v>
      </c>
      <c r="AV730" s="34">
        <v>2.2222222222222223E-2</v>
      </c>
      <c r="AW730" s="10"/>
      <c r="AX730" s="8"/>
    </row>
    <row r="731" spans="1:50">
      <c r="A731" s="7"/>
      <c r="B731" s="10"/>
      <c r="C731" s="45" t="s">
        <v>688</v>
      </c>
      <c r="D731" s="23" t="s">
        <v>21</v>
      </c>
      <c r="E731" s="68" t="s">
        <v>777</v>
      </c>
      <c r="F731" s="68" t="s">
        <v>777</v>
      </c>
      <c r="G731" s="68" t="s">
        <v>777</v>
      </c>
      <c r="H731" s="68" t="s">
        <v>777</v>
      </c>
      <c r="I731" s="25">
        <v>0.9</v>
      </c>
      <c r="J731" s="26">
        <v>0.93877551020408168</v>
      </c>
      <c r="K731" s="26">
        <v>0.88</v>
      </c>
      <c r="L731" s="27">
        <v>0.92156862745098034</v>
      </c>
      <c r="M731" s="26">
        <v>0.93540051679586567</v>
      </c>
      <c r="N731" s="28">
        <v>0.9</v>
      </c>
      <c r="O731" s="26">
        <v>0.97482893450635388</v>
      </c>
      <c r="P731" s="26">
        <v>0.95339578454332552</v>
      </c>
      <c r="Q731" s="26">
        <v>0.97050147492625372</v>
      </c>
      <c r="R731" s="26">
        <v>0.97125870156254668</v>
      </c>
      <c r="S731" s="28">
        <v>0.9</v>
      </c>
      <c r="T731" s="26">
        <v>0.92521994134897356</v>
      </c>
      <c r="U731" s="26">
        <v>0.9091334894613583</v>
      </c>
      <c r="V731" s="26">
        <v>0.93447113358617784</v>
      </c>
      <c r="W731" s="26">
        <v>0.92680230647426132</v>
      </c>
      <c r="X731" s="28">
        <v>0.92</v>
      </c>
      <c r="Y731" s="28">
        <v>0.93775649794801641</v>
      </c>
      <c r="Z731" s="28">
        <v>0.92173305380852555</v>
      </c>
      <c r="AA731" s="28">
        <v>0.95643431635388743</v>
      </c>
      <c r="AB731" s="28">
        <v>0.93933165867397428</v>
      </c>
      <c r="AC731" s="28">
        <v>0.92</v>
      </c>
      <c r="AD731" s="26">
        <v>0.99578597880219644</v>
      </c>
      <c r="AE731" s="26">
        <v>0.99380591878871305</v>
      </c>
      <c r="AF731" s="26">
        <v>0.99583875162548763</v>
      </c>
      <c r="AG731" s="26">
        <v>0.98341044282881696</v>
      </c>
      <c r="AH731" s="28">
        <v>0.92</v>
      </c>
      <c r="AI731" s="26">
        <v>0.95463546354635465</v>
      </c>
      <c r="AJ731" s="26">
        <v>0.95038569424964936</v>
      </c>
      <c r="AK731" s="26">
        <v>0.97660256410256407</v>
      </c>
      <c r="AL731" s="26">
        <v>0.96171253297870063</v>
      </c>
      <c r="AM731" s="25">
        <v>0.99</v>
      </c>
      <c r="AN731" s="30">
        <v>1</v>
      </c>
      <c r="AO731" s="30">
        <v>1</v>
      </c>
      <c r="AP731" s="30">
        <v>1</v>
      </c>
      <c r="AQ731" s="30">
        <v>1</v>
      </c>
      <c r="AR731" s="50">
        <v>8.1059522893420499E-2</v>
      </c>
      <c r="AS731" s="34">
        <v>-6.6666666666666666E-2</v>
      </c>
      <c r="AT731" s="34">
        <v>0</v>
      </c>
      <c r="AU731" s="34">
        <v>0.23076923076923078</v>
      </c>
      <c r="AV731" s="34">
        <v>6.0402684563758392E-2</v>
      </c>
      <c r="AW731" s="10"/>
      <c r="AX731" s="8"/>
    </row>
    <row r="732" spans="1:50">
      <c r="A732" s="7"/>
      <c r="B732" s="10"/>
      <c r="C732" s="45" t="s">
        <v>688</v>
      </c>
      <c r="D732" s="23" t="s">
        <v>21</v>
      </c>
      <c r="E732" s="68" t="s">
        <v>778</v>
      </c>
      <c r="F732" s="68" t="s">
        <v>778</v>
      </c>
      <c r="G732" s="68" t="s">
        <v>778</v>
      </c>
      <c r="H732" s="68" t="s">
        <v>778</v>
      </c>
      <c r="I732" s="25">
        <v>0.9</v>
      </c>
      <c r="J732" s="26">
        <v>0.94117647058823528</v>
      </c>
      <c r="K732" s="26">
        <v>0.84210526315789469</v>
      </c>
      <c r="L732" s="27">
        <v>0.95</v>
      </c>
      <c r="M732" s="26">
        <v>0.91724137931034477</v>
      </c>
      <c r="N732" s="28">
        <v>0.9</v>
      </c>
      <c r="O732" s="26">
        <v>0.91049229239184482</v>
      </c>
      <c r="P732" s="26">
        <v>0.95446584938704027</v>
      </c>
      <c r="Q732" s="26">
        <v>0.9453389830508474</v>
      </c>
      <c r="R732" s="26">
        <v>0.9395041125283109</v>
      </c>
      <c r="S732" s="28">
        <v>0.9</v>
      </c>
      <c r="T732" s="26">
        <v>0.90502237692690202</v>
      </c>
      <c r="U732" s="26">
        <v>0.93126094570928197</v>
      </c>
      <c r="V732" s="26">
        <v>0.92288135593220344</v>
      </c>
      <c r="W732" s="26">
        <v>0.92573608296578858</v>
      </c>
      <c r="X732" s="28">
        <v>0.92</v>
      </c>
      <c r="Y732" s="28">
        <v>0.94700460829493083</v>
      </c>
      <c r="Z732" s="28">
        <v>0.94318181818181823</v>
      </c>
      <c r="AA732" s="28">
        <v>0.94467213114754101</v>
      </c>
      <c r="AB732" s="28">
        <v>0.94244509129399312</v>
      </c>
      <c r="AC732" s="28">
        <v>0.92</v>
      </c>
      <c r="AD732" s="26">
        <v>0.99673333333333336</v>
      </c>
      <c r="AE732" s="26">
        <v>0.95611207537813048</v>
      </c>
      <c r="AF732" s="26">
        <v>0.8781450710034765</v>
      </c>
      <c r="AG732" s="26">
        <v>0.92827749487964828</v>
      </c>
      <c r="AH732" s="28">
        <v>0.92</v>
      </c>
      <c r="AI732" s="26">
        <v>0.95416666666666672</v>
      </c>
      <c r="AJ732" s="26">
        <v>0.96903633491311214</v>
      </c>
      <c r="AK732" s="26">
        <v>0.97302966736589747</v>
      </c>
      <c r="AL732" s="26">
        <v>0.96405094494658994</v>
      </c>
      <c r="AM732" s="25">
        <v>0.99</v>
      </c>
      <c r="AN732" s="30">
        <v>1</v>
      </c>
      <c r="AO732" s="30">
        <v>1</v>
      </c>
      <c r="AP732" s="30">
        <v>1</v>
      </c>
      <c r="AQ732" s="30">
        <v>1</v>
      </c>
      <c r="AR732" s="50">
        <v>8.1059522893420499E-2</v>
      </c>
      <c r="AS732" s="34">
        <v>0</v>
      </c>
      <c r="AT732" s="34">
        <v>0</v>
      </c>
      <c r="AU732" s="34">
        <v>0</v>
      </c>
      <c r="AV732" s="34">
        <v>3.3333333333333333E-2</v>
      </c>
      <c r="AW732" s="10"/>
      <c r="AX732" s="8"/>
    </row>
    <row r="733" spans="1:50">
      <c r="A733" s="7"/>
      <c r="B733" s="10"/>
      <c r="C733" s="45" t="s">
        <v>688</v>
      </c>
      <c r="D733" s="23" t="s">
        <v>21</v>
      </c>
      <c r="E733" s="68" t="s">
        <v>779</v>
      </c>
      <c r="F733" s="68" t="s">
        <v>779</v>
      </c>
      <c r="G733" s="68" t="s">
        <v>779</v>
      </c>
      <c r="H733" s="68" t="s">
        <v>779</v>
      </c>
      <c r="I733" s="25">
        <v>0.9</v>
      </c>
      <c r="J733" s="26">
        <v>1</v>
      </c>
      <c r="K733" s="26">
        <v>1</v>
      </c>
      <c r="L733" s="27">
        <v>0.96551724137931039</v>
      </c>
      <c r="M733" s="26">
        <v>0.98245614035087714</v>
      </c>
      <c r="N733" s="28">
        <v>0.9</v>
      </c>
      <c r="O733" s="26">
        <v>0.99031690140845074</v>
      </c>
      <c r="P733" s="26">
        <v>0.98912015137180698</v>
      </c>
      <c r="Q733" s="26">
        <v>0.98826202196137825</v>
      </c>
      <c r="R733" s="26">
        <v>0.98942117956588471</v>
      </c>
      <c r="S733" s="28">
        <v>0.9</v>
      </c>
      <c r="T733" s="26">
        <v>0.95598591549295775</v>
      </c>
      <c r="U733" s="26">
        <v>0.93945127719962152</v>
      </c>
      <c r="V733" s="26">
        <v>0.95607724346838319</v>
      </c>
      <c r="W733" s="26">
        <v>0.95181977636483228</v>
      </c>
      <c r="X733" s="28">
        <v>0.92</v>
      </c>
      <c r="Y733" s="28">
        <v>0.96560509554140128</v>
      </c>
      <c r="Z733" s="28">
        <v>0.96912751677852349</v>
      </c>
      <c r="AA733" s="28">
        <v>0.97836538461538458</v>
      </c>
      <c r="AB733" s="28">
        <v>0.96583368629111954</v>
      </c>
      <c r="AC733" s="28">
        <v>0.92</v>
      </c>
      <c r="AD733" s="26">
        <v>1</v>
      </c>
      <c r="AE733" s="26">
        <v>0.9981412639405205</v>
      </c>
      <c r="AF733" s="26">
        <v>0.99548872180451131</v>
      </c>
      <c r="AG733" s="26">
        <v>0.99786780383795304</v>
      </c>
      <c r="AH733" s="28">
        <v>0.92</v>
      </c>
      <c r="AI733" s="26">
        <v>0.98266274124959108</v>
      </c>
      <c r="AJ733" s="26">
        <v>0.98251136761105284</v>
      </c>
      <c r="AK733" s="26">
        <v>0.98992515831894068</v>
      </c>
      <c r="AL733" s="26">
        <v>0.98136670482807631</v>
      </c>
      <c r="AM733" s="25">
        <v>0.99</v>
      </c>
      <c r="AN733" s="30">
        <v>1</v>
      </c>
      <c r="AO733" s="30">
        <v>1</v>
      </c>
      <c r="AP733" s="30">
        <v>1</v>
      </c>
      <c r="AQ733" s="30">
        <v>1</v>
      </c>
      <c r="AR733" s="50">
        <v>8.1059522893420499E-2</v>
      </c>
      <c r="AS733" s="34">
        <v>0</v>
      </c>
      <c r="AT733" s="34">
        <v>0.14285714285714285</v>
      </c>
      <c r="AU733" s="34">
        <v>0</v>
      </c>
      <c r="AV733" s="34">
        <v>4.7058823529411764E-2</v>
      </c>
      <c r="AW733" s="10"/>
      <c r="AX733" s="8"/>
    </row>
    <row r="734" spans="1:50">
      <c r="A734" s="7"/>
      <c r="B734" s="10"/>
      <c r="C734" s="45" t="s">
        <v>688</v>
      </c>
      <c r="D734" s="23" t="s">
        <v>21</v>
      </c>
      <c r="E734" s="68" t="s">
        <v>780</v>
      </c>
      <c r="F734" s="68" t="s">
        <v>780</v>
      </c>
      <c r="G734" s="68" t="s">
        <v>780</v>
      </c>
      <c r="H734" s="68" t="s">
        <v>780</v>
      </c>
      <c r="I734" s="25">
        <v>0.9</v>
      </c>
      <c r="J734" s="26">
        <v>0.89473684210526316</v>
      </c>
      <c r="K734" s="26">
        <v>0.97560975609756095</v>
      </c>
      <c r="L734" s="27">
        <v>0.97560975609756095</v>
      </c>
      <c r="M734" s="26">
        <v>0.95899053627760256</v>
      </c>
      <c r="N734" s="28">
        <v>0.9</v>
      </c>
      <c r="O734" s="26">
        <v>0.97801176834933412</v>
      </c>
      <c r="P734" s="26">
        <v>0.9801304863582444</v>
      </c>
      <c r="Q734" s="26">
        <v>0.98045946659625038</v>
      </c>
      <c r="R734" s="26">
        <v>0.97349843331194086</v>
      </c>
      <c r="S734" s="28">
        <v>0.9</v>
      </c>
      <c r="T734" s="26">
        <v>0.92938990399504495</v>
      </c>
      <c r="U734" s="26">
        <v>0.93327402135231319</v>
      </c>
      <c r="V734" s="26">
        <v>0.93688935833113285</v>
      </c>
      <c r="W734" s="26">
        <v>0.93385933783834796</v>
      </c>
      <c r="X734" s="28">
        <v>0.92</v>
      </c>
      <c r="Y734" s="28">
        <v>0.95093666369313112</v>
      </c>
      <c r="Z734" s="28">
        <v>0.96415441176470584</v>
      </c>
      <c r="AA734" s="28">
        <v>0.95543393275996868</v>
      </c>
      <c r="AB734" s="28">
        <v>0.95476075398743354</v>
      </c>
      <c r="AC734" s="28">
        <v>0.92</v>
      </c>
      <c r="AD734" s="26">
        <v>1</v>
      </c>
      <c r="AE734" s="26">
        <v>0.99885877318116978</v>
      </c>
      <c r="AF734" s="26">
        <v>0.9987823439878234</v>
      </c>
      <c r="AG734" s="26">
        <v>0.99919170620277631</v>
      </c>
      <c r="AH734" s="28">
        <v>0.92</v>
      </c>
      <c r="AI734" s="26">
        <v>0.96508155295198716</v>
      </c>
      <c r="AJ734" s="26">
        <v>0.97377857463021067</v>
      </c>
      <c r="AK734" s="26">
        <v>0.97079715864246252</v>
      </c>
      <c r="AL734" s="26">
        <v>0.97105341689048041</v>
      </c>
      <c r="AM734" s="25">
        <v>0.99</v>
      </c>
      <c r="AN734" s="30">
        <v>1</v>
      </c>
      <c r="AO734" s="30">
        <v>1</v>
      </c>
      <c r="AP734" s="30">
        <v>1</v>
      </c>
      <c r="AQ734" s="30">
        <v>1</v>
      </c>
      <c r="AR734" s="50">
        <v>8.1059522893420499E-2</v>
      </c>
      <c r="AS734" s="34">
        <v>9.5238095238095233E-2</v>
      </c>
      <c r="AT734" s="34">
        <v>7.6923076923076927E-2</v>
      </c>
      <c r="AU734" s="34">
        <v>0</v>
      </c>
      <c r="AV734" s="34">
        <v>3.864734299516908E-2</v>
      </c>
      <c r="AW734" s="10"/>
      <c r="AX734" s="8"/>
    </row>
    <row r="735" spans="1:50">
      <c r="A735" s="7"/>
      <c r="B735" s="10"/>
      <c r="C735" s="45" t="s">
        <v>688</v>
      </c>
      <c r="D735" s="23" t="s">
        <v>21</v>
      </c>
      <c r="E735" s="68" t="s">
        <v>781</v>
      </c>
      <c r="F735" s="68" t="s">
        <v>781</v>
      </c>
      <c r="G735" s="68" t="s">
        <v>781</v>
      </c>
      <c r="H735" s="68" t="s">
        <v>781</v>
      </c>
      <c r="I735" s="25">
        <v>0.9</v>
      </c>
      <c r="J735" s="26">
        <v>0.94594594594594594</v>
      </c>
      <c r="K735" s="26">
        <v>0.89743589743589747</v>
      </c>
      <c r="L735" s="27">
        <v>0.86486486486486491</v>
      </c>
      <c r="M735" s="26">
        <v>0.88927335640138405</v>
      </c>
      <c r="N735" s="28">
        <v>0.9</v>
      </c>
      <c r="O735" s="26">
        <v>0.98287549054584378</v>
      </c>
      <c r="P735" s="26">
        <v>0.96951435661113083</v>
      </c>
      <c r="Q735" s="26">
        <v>0.98322580645161295</v>
      </c>
      <c r="R735" s="26">
        <v>0.97604547300040601</v>
      </c>
      <c r="S735" s="28">
        <v>0.9</v>
      </c>
      <c r="T735" s="26">
        <v>0.94684266856938992</v>
      </c>
      <c r="U735" s="26">
        <v>0.96738745125841896</v>
      </c>
      <c r="V735" s="26">
        <v>0.94806451612903231</v>
      </c>
      <c r="W735" s="26">
        <v>0.95191049758650248</v>
      </c>
      <c r="X735" s="28">
        <v>0.92</v>
      </c>
      <c r="Y735" s="28">
        <v>0.96981499513145086</v>
      </c>
      <c r="Z735" s="28">
        <v>0.97079556898288011</v>
      </c>
      <c r="AA735" s="28">
        <v>0.96613190730837795</v>
      </c>
      <c r="AB735" s="28">
        <v>0.95309568480300189</v>
      </c>
      <c r="AC735" s="28">
        <v>0.92</v>
      </c>
      <c r="AD735" s="26">
        <v>1</v>
      </c>
      <c r="AE735" s="26">
        <v>0.99964788732394361</v>
      </c>
      <c r="AF735" s="26">
        <v>0.99833089922804086</v>
      </c>
      <c r="AG735" s="26">
        <v>0.99921080951811547</v>
      </c>
      <c r="AH735" s="28">
        <v>0.92</v>
      </c>
      <c r="AI735" s="26">
        <v>0.97859007832898171</v>
      </c>
      <c r="AJ735" s="26">
        <v>0.98453473132372216</v>
      </c>
      <c r="AK735" s="26">
        <v>0.9820075757575758</v>
      </c>
      <c r="AL735" s="26">
        <v>0.97637341529004995</v>
      </c>
      <c r="AM735" s="25">
        <v>0.99</v>
      </c>
      <c r="AN735" s="30">
        <v>1</v>
      </c>
      <c r="AO735" s="30">
        <v>1</v>
      </c>
      <c r="AP735" s="30">
        <v>1</v>
      </c>
      <c r="AQ735" s="30">
        <v>1</v>
      </c>
      <c r="AR735" s="50">
        <v>8.1059522893420499E-2</v>
      </c>
      <c r="AS735" s="34">
        <v>0.15384615384615385</v>
      </c>
      <c r="AT735" s="34">
        <v>0</v>
      </c>
      <c r="AU735" s="34">
        <v>0.16666666666666666</v>
      </c>
      <c r="AV735" s="34">
        <v>5.5172413793103448E-2</v>
      </c>
      <c r="AW735" s="10"/>
      <c r="AX735" s="8"/>
    </row>
    <row r="736" spans="1:50">
      <c r="A736" s="7"/>
      <c r="B736" s="10"/>
      <c r="C736" s="45" t="s">
        <v>688</v>
      </c>
      <c r="D736" s="23" t="s">
        <v>21</v>
      </c>
      <c r="E736" s="68" t="s">
        <v>782</v>
      </c>
      <c r="F736" s="68" t="s">
        <v>782</v>
      </c>
      <c r="G736" s="68" t="s">
        <v>782</v>
      </c>
      <c r="H736" s="68" t="s">
        <v>782</v>
      </c>
      <c r="I736" s="25">
        <v>0.9</v>
      </c>
      <c r="J736" s="26">
        <v>0.94736842105263153</v>
      </c>
      <c r="K736" s="26">
        <v>0.90476190476190477</v>
      </c>
      <c r="L736" s="27">
        <v>0.89473684210526316</v>
      </c>
      <c r="M736" s="26">
        <v>0.92763157894736847</v>
      </c>
      <c r="N736" s="28">
        <v>0.9</v>
      </c>
      <c r="O736" s="26">
        <v>0.91138377641445123</v>
      </c>
      <c r="P736" s="26">
        <v>0.95804633688165308</v>
      </c>
      <c r="Q736" s="26">
        <v>0.95654659805603204</v>
      </c>
      <c r="R736" s="26">
        <v>0.9481618832634634</v>
      </c>
      <c r="S736" s="28">
        <v>0.9</v>
      </c>
      <c r="T736" s="26">
        <v>0.8936605316973415</v>
      </c>
      <c r="U736" s="26">
        <v>0.92360676268002506</v>
      </c>
      <c r="V736" s="26">
        <v>0.91538021726700969</v>
      </c>
      <c r="W736" s="26">
        <v>0.91180264430828761</v>
      </c>
      <c r="X736" s="28">
        <v>0.92</v>
      </c>
      <c r="Y736" s="28">
        <v>0.93333333333333335</v>
      </c>
      <c r="Z736" s="28">
        <v>0.94680851063829785</v>
      </c>
      <c r="AA736" s="28">
        <v>0.93706293706293708</v>
      </c>
      <c r="AB736" s="28">
        <v>0.94389103476316327</v>
      </c>
      <c r="AC736" s="28">
        <v>0.92</v>
      </c>
      <c r="AD736" s="26">
        <v>0.99951550387596899</v>
      </c>
      <c r="AE736" s="26">
        <v>0.99673469387755098</v>
      </c>
      <c r="AF736" s="26">
        <v>1</v>
      </c>
      <c r="AG736" s="26">
        <v>0.99902275582856348</v>
      </c>
      <c r="AH736" s="28">
        <v>0.92</v>
      </c>
      <c r="AI736" s="26">
        <v>0.95230923694779113</v>
      </c>
      <c r="AJ736" s="26">
        <v>0.97223507635354001</v>
      </c>
      <c r="AK736" s="26">
        <v>0.97371822490305904</v>
      </c>
      <c r="AL736" s="26">
        <v>0.96883116883116882</v>
      </c>
      <c r="AM736" s="25">
        <v>0.99</v>
      </c>
      <c r="AN736" s="30">
        <v>1</v>
      </c>
      <c r="AO736" s="30">
        <v>1</v>
      </c>
      <c r="AP736" s="30">
        <v>1</v>
      </c>
      <c r="AQ736" s="30">
        <v>1</v>
      </c>
      <c r="AR736" s="50">
        <v>8.1059522893420499E-2</v>
      </c>
      <c r="AS736" s="34">
        <v>0</v>
      </c>
      <c r="AT736" s="34">
        <v>0</v>
      </c>
      <c r="AU736" s="34">
        <v>0</v>
      </c>
      <c r="AV736" s="34">
        <v>8.5106382978723402E-2</v>
      </c>
      <c r="AW736" s="10"/>
      <c r="AX736" s="8"/>
    </row>
    <row r="737" spans="1:50">
      <c r="A737" s="7"/>
      <c r="B737" s="10"/>
      <c r="C737" s="45" t="s">
        <v>688</v>
      </c>
      <c r="D737" s="23" t="s">
        <v>21</v>
      </c>
      <c r="E737" s="68" t="s">
        <v>783</v>
      </c>
      <c r="F737" s="68" t="s">
        <v>783</v>
      </c>
      <c r="G737" s="68" t="s">
        <v>783</v>
      </c>
      <c r="H737" s="68" t="s">
        <v>783</v>
      </c>
      <c r="I737" s="25">
        <v>0.9</v>
      </c>
      <c r="J737" s="26">
        <v>0.95</v>
      </c>
      <c r="K737" s="26">
        <v>1</v>
      </c>
      <c r="L737" s="27">
        <v>1</v>
      </c>
      <c r="M737" s="26">
        <v>0.94968553459119498</v>
      </c>
      <c r="N737" s="28">
        <v>0.9</v>
      </c>
      <c r="O737" s="26">
        <v>0.97820823244552058</v>
      </c>
      <c r="P737" s="26">
        <v>0.98419452887537995</v>
      </c>
      <c r="Q737" s="26">
        <v>0.98857142857142855</v>
      </c>
      <c r="R737" s="26">
        <v>0.98412698412698407</v>
      </c>
      <c r="S737" s="28">
        <v>0.9</v>
      </c>
      <c r="T737" s="26">
        <v>0.95036319612590803</v>
      </c>
      <c r="U737" s="26">
        <v>0.95683890577507602</v>
      </c>
      <c r="V737" s="26">
        <v>0.95688311688311689</v>
      </c>
      <c r="W737" s="26">
        <v>0.95343413826826151</v>
      </c>
      <c r="X737" s="28">
        <v>0.92</v>
      </c>
      <c r="Y737" s="28">
        <v>0.95228628230616297</v>
      </c>
      <c r="Z737" s="28">
        <v>0.95348837209302328</v>
      </c>
      <c r="AA737" s="28">
        <v>0.96314496314496312</v>
      </c>
      <c r="AB737" s="28">
        <v>0.94704242799628369</v>
      </c>
      <c r="AC737" s="28">
        <v>0.92</v>
      </c>
      <c r="AD737" s="26">
        <v>0.99812030075187974</v>
      </c>
      <c r="AE737" s="26">
        <v>0.99371069182389937</v>
      </c>
      <c r="AF737" s="26">
        <v>0.99328859060402686</v>
      </c>
      <c r="AG737" s="26">
        <v>0.98236119462818206</v>
      </c>
      <c r="AH737" s="28">
        <v>0.92</v>
      </c>
      <c r="AI737" s="26">
        <v>0.97030162412993037</v>
      </c>
      <c r="AJ737" s="26">
        <v>0.97445783132530117</v>
      </c>
      <c r="AK737" s="26">
        <v>0.97898799313893659</v>
      </c>
      <c r="AL737" s="26">
        <v>0.97113115051746046</v>
      </c>
      <c r="AM737" s="25">
        <v>0.99</v>
      </c>
      <c r="AN737" s="30">
        <v>1</v>
      </c>
      <c r="AO737" s="30">
        <v>1</v>
      </c>
      <c r="AP737" s="30">
        <v>1</v>
      </c>
      <c r="AQ737" s="30">
        <v>1</v>
      </c>
      <c r="AR737" s="50">
        <v>8.1059522893420499E-2</v>
      </c>
      <c r="AS737" s="34">
        <v>0</v>
      </c>
      <c r="AT737" s="34">
        <v>0</v>
      </c>
      <c r="AU737" s="34">
        <v>0</v>
      </c>
      <c r="AV737" s="34">
        <v>2.5000000000000001E-2</v>
      </c>
      <c r="AW737" s="10"/>
      <c r="AX737" s="8"/>
    </row>
    <row r="738" spans="1:50">
      <c r="A738" s="7"/>
      <c r="B738" s="10"/>
      <c r="C738" s="45" t="s">
        <v>688</v>
      </c>
      <c r="D738" s="23" t="s">
        <v>21</v>
      </c>
      <c r="E738" s="68" t="s">
        <v>784</v>
      </c>
      <c r="F738" s="68" t="s">
        <v>784</v>
      </c>
      <c r="G738" s="68" t="s">
        <v>784</v>
      </c>
      <c r="H738" s="68" t="s">
        <v>784</v>
      </c>
      <c r="I738" s="25">
        <v>0.9</v>
      </c>
      <c r="J738" s="26">
        <v>0.88888888888888884</v>
      </c>
      <c r="K738" s="26">
        <v>1</v>
      </c>
      <c r="L738" s="27">
        <v>0.97297297297297303</v>
      </c>
      <c r="M738" s="26">
        <v>0.96466431095406358</v>
      </c>
      <c r="N738" s="28">
        <v>0.9</v>
      </c>
      <c r="O738" s="26">
        <v>0.95487677889621658</v>
      </c>
      <c r="P738" s="26">
        <v>0.96476345840130506</v>
      </c>
      <c r="Q738" s="26">
        <v>0.94224924012158051</v>
      </c>
      <c r="R738" s="26">
        <v>0.93860545554594765</v>
      </c>
      <c r="S738" s="28">
        <v>0.9</v>
      </c>
      <c r="T738" s="26">
        <v>0.9291912530371399</v>
      </c>
      <c r="U738" s="26">
        <v>0.93800978792822187</v>
      </c>
      <c r="V738" s="26">
        <v>0.92953854655982315</v>
      </c>
      <c r="W738" s="26">
        <v>0.9161229463092524</v>
      </c>
      <c r="X738" s="28">
        <v>0.92</v>
      </c>
      <c r="Y738" s="28">
        <v>0.90450054884742037</v>
      </c>
      <c r="Z738" s="28">
        <v>0.91267605633802817</v>
      </c>
      <c r="AA738" s="28">
        <v>0.95073235685752333</v>
      </c>
      <c r="AB738" s="28">
        <v>0.906916276651066</v>
      </c>
      <c r="AC738" s="28">
        <v>0.92</v>
      </c>
      <c r="AD738" s="26">
        <v>0.99156118143459915</v>
      </c>
      <c r="AE738" s="26">
        <v>0.99593495934959353</v>
      </c>
      <c r="AF738" s="26">
        <v>0.9921875</v>
      </c>
      <c r="AG738" s="26">
        <v>0.97890507282772476</v>
      </c>
      <c r="AH738" s="28">
        <v>0.92</v>
      </c>
      <c r="AI738" s="26">
        <v>0.95042194092827004</v>
      </c>
      <c r="AJ738" s="26">
        <v>0.95443708609271527</v>
      </c>
      <c r="AK738" s="26">
        <v>0.96887871853546914</v>
      </c>
      <c r="AL738" s="26">
        <v>0.94999519492584172</v>
      </c>
      <c r="AM738" s="25">
        <v>0.99</v>
      </c>
      <c r="AN738" s="30">
        <v>1</v>
      </c>
      <c r="AO738" s="30">
        <v>1</v>
      </c>
      <c r="AP738" s="30">
        <v>1</v>
      </c>
      <c r="AQ738" s="30">
        <v>1</v>
      </c>
      <c r="AR738" s="50">
        <v>8.1059522893420499E-2</v>
      </c>
      <c r="AS738" s="34">
        <v>0</v>
      </c>
      <c r="AT738" s="34">
        <v>0.125</v>
      </c>
      <c r="AU738" s="34">
        <v>0</v>
      </c>
      <c r="AV738" s="34">
        <v>4.4247787610619468E-2</v>
      </c>
      <c r="AW738" s="10"/>
      <c r="AX738" s="8"/>
    </row>
    <row r="739" spans="1:50">
      <c r="A739" s="7"/>
      <c r="B739" s="10"/>
      <c r="C739" s="45" t="s">
        <v>688</v>
      </c>
      <c r="D739" s="23" t="s">
        <v>21</v>
      </c>
      <c r="E739" s="68" t="s">
        <v>785</v>
      </c>
      <c r="F739" s="68" t="s">
        <v>785</v>
      </c>
      <c r="G739" s="68" t="s">
        <v>785</v>
      </c>
      <c r="H739" s="68" t="s">
        <v>785</v>
      </c>
      <c r="I739" s="25">
        <v>0.9</v>
      </c>
      <c r="J739" s="26">
        <v>0.91803278688524592</v>
      </c>
      <c r="K739" s="26">
        <v>0.98360655737704916</v>
      </c>
      <c r="L739" s="27">
        <v>0.96825396825396826</v>
      </c>
      <c r="M739" s="26">
        <v>0.94661190965092401</v>
      </c>
      <c r="N739" s="28">
        <v>0.9</v>
      </c>
      <c r="O739" s="26">
        <v>0.96687808315715296</v>
      </c>
      <c r="P739" s="26">
        <v>0.95901814300960508</v>
      </c>
      <c r="Q739" s="26">
        <v>0.96397721007167803</v>
      </c>
      <c r="R739" s="26">
        <v>0.96443000871425177</v>
      </c>
      <c r="S739" s="28">
        <v>0.9</v>
      </c>
      <c r="T739" s="26">
        <v>0.93680996006577399</v>
      </c>
      <c r="U739" s="26">
        <v>0.92678762006403415</v>
      </c>
      <c r="V739" s="26">
        <v>0.92115419959566258</v>
      </c>
      <c r="W739" s="26">
        <v>0.92635136919379968</v>
      </c>
      <c r="X739" s="28">
        <v>0.92</v>
      </c>
      <c r="Y739" s="28">
        <v>0.91843137254901963</v>
      </c>
      <c r="Z739" s="28">
        <v>0.90697674418604646</v>
      </c>
      <c r="AA739" s="28">
        <v>0.93832599118942728</v>
      </c>
      <c r="AB739" s="28">
        <v>0.91954545454545455</v>
      </c>
      <c r="AC739" s="28">
        <v>0.92</v>
      </c>
      <c r="AD739" s="26">
        <v>1</v>
      </c>
      <c r="AE739" s="26">
        <v>0.99806576402321079</v>
      </c>
      <c r="AF739" s="26">
        <v>0.99783549783549785</v>
      </c>
      <c r="AG739" s="26">
        <v>0.99376498800959234</v>
      </c>
      <c r="AH739" s="28">
        <v>0.92</v>
      </c>
      <c r="AI739" s="26">
        <v>0.96222664015904569</v>
      </c>
      <c r="AJ739" s="26">
        <v>0.95816698489845509</v>
      </c>
      <c r="AK739" s="26">
        <v>0.96897810218978098</v>
      </c>
      <c r="AL739" s="26">
        <v>0.96385722855428912</v>
      </c>
      <c r="AM739" s="25">
        <v>0.99</v>
      </c>
      <c r="AN739" s="30">
        <v>1</v>
      </c>
      <c r="AO739" s="30">
        <v>1</v>
      </c>
      <c r="AP739" s="30">
        <v>1</v>
      </c>
      <c r="AQ739" s="30">
        <v>1</v>
      </c>
      <c r="AR739" s="50">
        <v>8.1059522893420499E-2</v>
      </c>
      <c r="AS739" s="34">
        <v>0.125</v>
      </c>
      <c r="AT739" s="34">
        <v>0.1</v>
      </c>
      <c r="AU739" s="34">
        <v>6.25E-2</v>
      </c>
      <c r="AV739" s="34">
        <v>0.125</v>
      </c>
      <c r="AW739" s="10"/>
      <c r="AX739" s="8"/>
    </row>
    <row r="740" spans="1:50">
      <c r="A740" s="7"/>
      <c r="B740" s="10"/>
      <c r="C740" s="45" t="s">
        <v>688</v>
      </c>
      <c r="D740" s="23" t="s">
        <v>21</v>
      </c>
      <c r="E740" s="68" t="s">
        <v>786</v>
      </c>
      <c r="F740" s="68" t="s">
        <v>786</v>
      </c>
      <c r="G740" s="68" t="s">
        <v>786</v>
      </c>
      <c r="H740" s="68" t="s">
        <v>786</v>
      </c>
      <c r="I740" s="25">
        <v>0.9</v>
      </c>
      <c r="J740" s="26">
        <v>1</v>
      </c>
      <c r="K740" s="26">
        <v>0.967741935483871</v>
      </c>
      <c r="L740" s="27">
        <v>1</v>
      </c>
      <c r="M740" s="26">
        <v>0.99572649572649574</v>
      </c>
      <c r="N740" s="28">
        <v>0.9</v>
      </c>
      <c r="O740" s="26">
        <v>0.96453638714444034</v>
      </c>
      <c r="P740" s="26">
        <v>0.98104956268221577</v>
      </c>
      <c r="Q740" s="26">
        <v>0.97721268163804487</v>
      </c>
      <c r="R740" s="26">
        <v>0.97416267942583734</v>
      </c>
      <c r="S740" s="28">
        <v>0.9</v>
      </c>
      <c r="T740" s="26">
        <v>0.9371998522349464</v>
      </c>
      <c r="U740" s="26">
        <v>0.94825072886297379</v>
      </c>
      <c r="V740" s="26">
        <v>0.95145310435931307</v>
      </c>
      <c r="W740" s="26">
        <v>0.94430622009569376</v>
      </c>
      <c r="X740" s="28">
        <v>0.92</v>
      </c>
      <c r="Y740" s="28">
        <v>0.95304568527918787</v>
      </c>
      <c r="Z740" s="28">
        <v>0.95821727019498604</v>
      </c>
      <c r="AA740" s="28">
        <v>0.95672333848531688</v>
      </c>
      <c r="AB740" s="28">
        <v>0.95055599682287528</v>
      </c>
      <c r="AC740" s="28">
        <v>0.92</v>
      </c>
      <c r="AD740" s="26">
        <v>0.99314888010540181</v>
      </c>
      <c r="AE740" s="26">
        <v>0.99190166305133765</v>
      </c>
      <c r="AF740" s="26">
        <v>0.99300237655135992</v>
      </c>
      <c r="AG740" s="26">
        <v>0.99337931483228681</v>
      </c>
      <c r="AH740" s="28">
        <v>0.92</v>
      </c>
      <c r="AI740" s="26">
        <v>0.96652360515021463</v>
      </c>
      <c r="AJ740" s="26">
        <v>0.97978631244585623</v>
      </c>
      <c r="AK740" s="26">
        <v>0.98205058471580098</v>
      </c>
      <c r="AL740" s="26">
        <v>0.97490362374710871</v>
      </c>
      <c r="AM740" s="25">
        <v>0.99</v>
      </c>
      <c r="AN740" s="30">
        <v>1</v>
      </c>
      <c r="AO740" s="30">
        <v>1</v>
      </c>
      <c r="AP740" s="30">
        <v>1</v>
      </c>
      <c r="AQ740" s="30">
        <v>1</v>
      </c>
      <c r="AR740" s="50">
        <v>8.1059522893420499E-2</v>
      </c>
      <c r="AS740" s="34">
        <v>8.3333333333333329E-2</v>
      </c>
      <c r="AT740" s="34">
        <v>0</v>
      </c>
      <c r="AU740" s="34">
        <v>8.3333333333333329E-2</v>
      </c>
      <c r="AV740" s="34">
        <v>8.1395348837209308E-2</v>
      </c>
      <c r="AW740" s="10"/>
      <c r="AX740" s="8"/>
    </row>
    <row r="741" spans="1:50">
      <c r="A741" s="7"/>
      <c r="B741" s="10"/>
      <c r="C741" s="45" t="s">
        <v>688</v>
      </c>
      <c r="D741" s="23" t="s">
        <v>21</v>
      </c>
      <c r="E741" s="68" t="s">
        <v>787</v>
      </c>
      <c r="F741" s="68" t="s">
        <v>787</v>
      </c>
      <c r="G741" s="68" t="s">
        <v>787</v>
      </c>
      <c r="H741" s="68" t="s">
        <v>787</v>
      </c>
      <c r="I741" s="25">
        <v>0.9</v>
      </c>
      <c r="J741" s="26">
        <v>0.98275862068965514</v>
      </c>
      <c r="K741" s="26">
        <v>0.98412698412698407</v>
      </c>
      <c r="L741" s="27">
        <v>0.984375</v>
      </c>
      <c r="M741" s="26">
        <v>0.9651639344262295</v>
      </c>
      <c r="N741" s="28">
        <v>0.9</v>
      </c>
      <c r="O741" s="26">
        <v>0.97366477971941912</v>
      </c>
      <c r="P741" s="26">
        <v>0.96926770708283316</v>
      </c>
      <c r="Q741" s="26">
        <v>0.96991551617556149</v>
      </c>
      <c r="R741" s="26">
        <v>0.97384311676246882</v>
      </c>
      <c r="S741" s="28">
        <v>0.9</v>
      </c>
      <c r="T741" s="26">
        <v>0.93059315776519813</v>
      </c>
      <c r="U741" s="26">
        <v>0.96902761104441781</v>
      </c>
      <c r="V741" s="26">
        <v>0.96558829589944362</v>
      </c>
      <c r="W741" s="26">
        <v>0.95790512686523832</v>
      </c>
      <c r="X741" s="28">
        <v>0.92</v>
      </c>
      <c r="Y741" s="28">
        <v>0.88756388415672915</v>
      </c>
      <c r="Z741" s="28">
        <v>0.94411764705882351</v>
      </c>
      <c r="AA741" s="28">
        <v>0.93467819404418828</v>
      </c>
      <c r="AB741" s="28">
        <v>0.92473928885538381</v>
      </c>
      <c r="AC741" s="28">
        <v>0.92</v>
      </c>
      <c r="AD741" s="26">
        <v>0.95751633986928109</v>
      </c>
      <c r="AE741" s="26">
        <v>0.96132596685082872</v>
      </c>
      <c r="AF741" s="26">
        <v>0.94080996884735202</v>
      </c>
      <c r="AG741" s="26">
        <v>0.96569200779727093</v>
      </c>
      <c r="AH741" s="28">
        <v>0.92</v>
      </c>
      <c r="AI741" s="26">
        <v>0.94597174494081715</v>
      </c>
      <c r="AJ741" s="26">
        <v>0.9724257616660239</v>
      </c>
      <c r="AK741" s="26">
        <v>0.97217509331523588</v>
      </c>
      <c r="AL741" s="26">
        <v>0.96324586840182003</v>
      </c>
      <c r="AM741" s="25">
        <v>0.99</v>
      </c>
      <c r="AN741" s="30">
        <v>1</v>
      </c>
      <c r="AO741" s="30">
        <v>1</v>
      </c>
      <c r="AP741" s="30">
        <v>1</v>
      </c>
      <c r="AQ741" s="30">
        <v>1</v>
      </c>
      <c r="AR741" s="50">
        <v>8.1059522893420499E-2</v>
      </c>
      <c r="AS741" s="34">
        <v>4.7619047619047616E-2</v>
      </c>
      <c r="AT741" s="34">
        <v>0.1111111111111111</v>
      </c>
      <c r="AU741" s="34">
        <v>0</v>
      </c>
      <c r="AV741" s="34">
        <v>5.921052631578947E-2</v>
      </c>
      <c r="AW741" s="10"/>
      <c r="AX741" s="8"/>
    </row>
    <row r="742" spans="1:50">
      <c r="A742" s="7"/>
      <c r="B742" s="10"/>
      <c r="C742" s="45" t="s">
        <v>688</v>
      </c>
      <c r="D742" s="23" t="s">
        <v>21</v>
      </c>
      <c r="E742" s="68" t="s">
        <v>788</v>
      </c>
      <c r="F742" s="68" t="s">
        <v>788</v>
      </c>
      <c r="G742" s="68" t="s">
        <v>788</v>
      </c>
      <c r="H742" s="68" t="s">
        <v>788</v>
      </c>
      <c r="I742" s="25">
        <v>0.9</v>
      </c>
      <c r="J742" s="26">
        <v>0.94871794871794868</v>
      </c>
      <c r="K742" s="26">
        <v>0.95</v>
      </c>
      <c r="L742" s="27">
        <v>0.97499999999999998</v>
      </c>
      <c r="M742" s="26">
        <v>0.95424836601307195</v>
      </c>
      <c r="N742" s="28">
        <v>0.9</v>
      </c>
      <c r="O742" s="26">
        <v>0.98382313291992451</v>
      </c>
      <c r="P742" s="26">
        <v>0.98843612334801767</v>
      </c>
      <c r="Q742" s="26">
        <v>0.98821419420958234</v>
      </c>
      <c r="R742" s="26">
        <v>0.98907324969647914</v>
      </c>
      <c r="S742" s="28">
        <v>0.9</v>
      </c>
      <c r="T742" s="26">
        <v>0.94499865192774335</v>
      </c>
      <c r="U742" s="26">
        <v>0.95016519823788548</v>
      </c>
      <c r="V742" s="26">
        <v>0.95465026902382788</v>
      </c>
      <c r="W742" s="26">
        <v>0.94897170817850707</v>
      </c>
      <c r="X742" s="28">
        <v>0.92</v>
      </c>
      <c r="Y742" s="28">
        <v>0.87558031569173633</v>
      </c>
      <c r="Z742" s="28">
        <v>0.94802694898941287</v>
      </c>
      <c r="AA742" s="28">
        <v>0.95170142700329308</v>
      </c>
      <c r="AB742" s="28">
        <v>0.93169675090252713</v>
      </c>
      <c r="AC742" s="28">
        <v>0.92</v>
      </c>
      <c r="AD742" s="26">
        <v>0.99923702950152593</v>
      </c>
      <c r="AE742" s="26">
        <v>0.98552597570431633</v>
      </c>
      <c r="AF742" s="26">
        <v>0.9984205776173285</v>
      </c>
      <c r="AG742" s="26">
        <v>0.99610409848839021</v>
      </c>
      <c r="AH742" s="28">
        <v>0.92</v>
      </c>
      <c r="AI742" s="26">
        <v>0.95821145006268282</v>
      </c>
      <c r="AJ742" s="26">
        <v>0.97218656397090286</v>
      </c>
      <c r="AK742" s="26">
        <v>0.97882059800664456</v>
      </c>
      <c r="AL742" s="26">
        <v>0.96963301676632663</v>
      </c>
      <c r="AM742" s="25">
        <v>0.99</v>
      </c>
      <c r="AN742" s="30">
        <v>1</v>
      </c>
      <c r="AO742" s="30">
        <v>1</v>
      </c>
      <c r="AP742" s="30">
        <v>1</v>
      </c>
      <c r="AQ742" s="30">
        <v>1</v>
      </c>
      <c r="AR742" s="50">
        <v>8.1059522893420499E-2</v>
      </c>
      <c r="AS742" s="34">
        <v>0.25</v>
      </c>
      <c r="AT742" s="34">
        <v>5.2631578947368418E-2</v>
      </c>
      <c r="AU742" s="34">
        <v>0</v>
      </c>
      <c r="AV742" s="34">
        <v>8.3333333333333329E-2</v>
      </c>
      <c r="AW742" s="10"/>
      <c r="AX742" s="8"/>
    </row>
    <row r="743" spans="1:50">
      <c r="A743" s="7"/>
      <c r="B743" s="10"/>
      <c r="C743" s="45" t="s">
        <v>688</v>
      </c>
      <c r="D743" s="23" t="s">
        <v>21</v>
      </c>
      <c r="E743" s="68" t="s">
        <v>789</v>
      </c>
      <c r="F743" s="68" t="s">
        <v>789</v>
      </c>
      <c r="G743" s="68" t="s">
        <v>789</v>
      </c>
      <c r="H743" s="68" t="s">
        <v>789</v>
      </c>
      <c r="I743" s="25">
        <v>0.9</v>
      </c>
      <c r="J743" s="26">
        <v>0.91666666666666663</v>
      </c>
      <c r="K743" s="26">
        <v>0.8529411764705882</v>
      </c>
      <c r="L743" s="27">
        <v>0.91666666666666663</v>
      </c>
      <c r="M743" s="26">
        <v>0.90909090909090906</v>
      </c>
      <c r="N743" s="28">
        <v>0.9</v>
      </c>
      <c r="O743" s="26">
        <v>0.98038516405135523</v>
      </c>
      <c r="P743" s="26">
        <v>0.9770704996577686</v>
      </c>
      <c r="Q743" s="26">
        <v>0.96572459410703548</v>
      </c>
      <c r="R743" s="26">
        <v>0.97298129812981293</v>
      </c>
      <c r="S743" s="28">
        <v>0.9</v>
      </c>
      <c r="T743" s="26">
        <v>0.91975748930099854</v>
      </c>
      <c r="U743" s="26">
        <v>0.92094455852156054</v>
      </c>
      <c r="V743" s="26">
        <v>0.92573662056524353</v>
      </c>
      <c r="W743" s="26">
        <v>0.92123212321232129</v>
      </c>
      <c r="X743" s="28">
        <v>0.92</v>
      </c>
      <c r="Y743" s="28">
        <v>0.94335260115606934</v>
      </c>
      <c r="Z743" s="28">
        <v>0.9211563731931669</v>
      </c>
      <c r="AA743" s="28">
        <v>0.95388669301712781</v>
      </c>
      <c r="AB743" s="28">
        <v>0.93514301329932592</v>
      </c>
      <c r="AC743" s="28">
        <v>0.92</v>
      </c>
      <c r="AD743" s="26">
        <v>0.99887187751813056</v>
      </c>
      <c r="AE743" s="26">
        <v>0.99712997129971304</v>
      </c>
      <c r="AF743" s="26">
        <v>0.996977634495265</v>
      </c>
      <c r="AG743" s="26">
        <v>0.99690308608554412</v>
      </c>
      <c r="AH743" s="28">
        <v>0.92</v>
      </c>
      <c r="AI743" s="26">
        <v>0.96238757154538024</v>
      </c>
      <c r="AJ743" s="26">
        <v>0.96556399132321036</v>
      </c>
      <c r="AK743" s="26">
        <v>0.97259603621238067</v>
      </c>
      <c r="AL743" s="26">
        <v>0.96308368171189684</v>
      </c>
      <c r="AM743" s="25">
        <v>0.99</v>
      </c>
      <c r="AN743" s="30">
        <v>1</v>
      </c>
      <c r="AO743" s="30">
        <v>1</v>
      </c>
      <c r="AP743" s="30">
        <v>1</v>
      </c>
      <c r="AQ743" s="30">
        <v>1</v>
      </c>
      <c r="AR743" s="50">
        <v>8.1059522893420499E-2</v>
      </c>
      <c r="AS743" s="34">
        <v>0</v>
      </c>
      <c r="AT743" s="34">
        <v>0.1</v>
      </c>
      <c r="AU743" s="34">
        <v>9.0909090909090912E-2</v>
      </c>
      <c r="AV743" s="34">
        <v>7.2916666666666671E-2</v>
      </c>
      <c r="AW743" s="10"/>
      <c r="AX743" s="8"/>
    </row>
    <row r="744" spans="1:50">
      <c r="A744" s="7"/>
      <c r="B744" s="10"/>
      <c r="C744" s="45" t="s">
        <v>688</v>
      </c>
      <c r="D744" s="23" t="s">
        <v>21</v>
      </c>
      <c r="E744" s="68" t="s">
        <v>790</v>
      </c>
      <c r="F744" s="68" t="s">
        <v>790</v>
      </c>
      <c r="G744" s="68" t="s">
        <v>790</v>
      </c>
      <c r="H744" s="68" t="s">
        <v>790</v>
      </c>
      <c r="I744" s="25">
        <v>0.9</v>
      </c>
      <c r="J744" s="26">
        <v>0.95</v>
      </c>
      <c r="K744" s="26">
        <v>0.88095238095238093</v>
      </c>
      <c r="L744" s="27">
        <v>0.95121951219512191</v>
      </c>
      <c r="M744" s="26">
        <v>0.91950464396284826</v>
      </c>
      <c r="N744" s="28">
        <v>0.9</v>
      </c>
      <c r="O744" s="26">
        <v>0.95689092096668849</v>
      </c>
      <c r="P744" s="26">
        <v>0.96277239709443097</v>
      </c>
      <c r="Q744" s="26">
        <v>0.94927909371781671</v>
      </c>
      <c r="R744" s="26">
        <v>0.95188751784995052</v>
      </c>
      <c r="S744" s="28">
        <v>0.9</v>
      </c>
      <c r="T744" s="26">
        <v>0.92390594382756364</v>
      </c>
      <c r="U744" s="26">
        <v>0.94733656174334135</v>
      </c>
      <c r="V744" s="26">
        <v>0.92224510813594229</v>
      </c>
      <c r="W744" s="26">
        <v>0.92490205411738857</v>
      </c>
      <c r="X744" s="28">
        <v>0.92</v>
      </c>
      <c r="Y744" s="28">
        <v>0.86969397828232975</v>
      </c>
      <c r="Z744" s="28">
        <v>0.87323943661971826</v>
      </c>
      <c r="AA744" s="28">
        <v>0.85054945054945053</v>
      </c>
      <c r="AB744" s="28">
        <v>0.82951059167275387</v>
      </c>
      <c r="AC744" s="28">
        <v>0.92</v>
      </c>
      <c r="AD744" s="26">
        <v>0.98770491803278693</v>
      </c>
      <c r="AE744" s="26">
        <v>0.9928057553956835</v>
      </c>
      <c r="AF744" s="26">
        <v>0.99439252336448603</v>
      </c>
      <c r="AG744" s="26">
        <v>0.98536981847737737</v>
      </c>
      <c r="AH744" s="28">
        <v>0.92</v>
      </c>
      <c r="AI744" s="26">
        <v>0.93938650306748461</v>
      </c>
      <c r="AJ744" s="26">
        <v>0.95572666025024067</v>
      </c>
      <c r="AK744" s="26">
        <v>0.94409678765123073</v>
      </c>
      <c r="AL744" s="26">
        <v>0.93972305980854243</v>
      </c>
      <c r="AM744" s="25">
        <v>0.99</v>
      </c>
      <c r="AN744" s="30">
        <v>1</v>
      </c>
      <c r="AO744" s="30">
        <v>1</v>
      </c>
      <c r="AP744" s="30">
        <v>1</v>
      </c>
      <c r="AQ744" s="30">
        <v>1</v>
      </c>
      <c r="AR744" s="50">
        <v>8.1059522893420499E-2</v>
      </c>
      <c r="AS744" s="34">
        <v>0</v>
      </c>
      <c r="AT744" s="34">
        <v>0</v>
      </c>
      <c r="AU744" s="34">
        <v>0</v>
      </c>
      <c r="AV744" s="34">
        <v>1.9801980198019802E-2</v>
      </c>
      <c r="AW744" s="10"/>
      <c r="AX744" s="8"/>
    </row>
    <row r="745" spans="1:50">
      <c r="A745" s="7"/>
      <c r="B745" s="10"/>
      <c r="C745" s="45" t="s">
        <v>688</v>
      </c>
      <c r="D745" s="23" t="s">
        <v>21</v>
      </c>
      <c r="E745" s="68" t="s">
        <v>791</v>
      </c>
      <c r="F745" s="68" t="s">
        <v>791</v>
      </c>
      <c r="G745" s="68" t="s">
        <v>791</v>
      </c>
      <c r="H745" s="68" t="s">
        <v>791</v>
      </c>
      <c r="I745" s="25">
        <v>0.9</v>
      </c>
      <c r="J745" s="26">
        <v>0.96875</v>
      </c>
      <c r="K745" s="26">
        <v>0.96666666666666667</v>
      </c>
      <c r="L745" s="27">
        <v>1</v>
      </c>
      <c r="M745" s="26">
        <v>0.97165991902834004</v>
      </c>
      <c r="N745" s="28">
        <v>0.9</v>
      </c>
      <c r="O745" s="26">
        <v>0.96593359206554552</v>
      </c>
      <c r="P745" s="26">
        <v>0.97421658072193573</v>
      </c>
      <c r="Q745" s="26">
        <v>0.97257700976709238</v>
      </c>
      <c r="R745" s="26">
        <v>0.96688529835226367</v>
      </c>
      <c r="S745" s="28">
        <v>0.9</v>
      </c>
      <c r="T745" s="26">
        <v>0.93186718413109104</v>
      </c>
      <c r="U745" s="26">
        <v>0.9329631098770329</v>
      </c>
      <c r="V745" s="26">
        <v>0.92148760330578516</v>
      </c>
      <c r="W745" s="26">
        <v>0.93110435663627156</v>
      </c>
      <c r="X745" s="28">
        <v>0.92</v>
      </c>
      <c r="Y745" s="28">
        <v>0.93315143246930421</v>
      </c>
      <c r="Z745" s="28">
        <v>0.94362416107382552</v>
      </c>
      <c r="AA745" s="28">
        <v>0.93368237347294936</v>
      </c>
      <c r="AB745" s="28">
        <v>0.9328651105143565</v>
      </c>
      <c r="AC745" s="28">
        <v>0.92</v>
      </c>
      <c r="AD745" s="26">
        <v>0.99800044434570101</v>
      </c>
      <c r="AE745" s="26">
        <v>0.81349613197874915</v>
      </c>
      <c r="AF745" s="26">
        <v>0.98154429369513163</v>
      </c>
      <c r="AG745" s="26">
        <v>0.90765338790473438</v>
      </c>
      <c r="AH745" s="28">
        <v>0.92</v>
      </c>
      <c r="AI745" s="26">
        <v>0.95707732634338138</v>
      </c>
      <c r="AJ745" s="26">
        <v>0.9635974304068522</v>
      </c>
      <c r="AK745" s="26">
        <v>0.96877897990726425</v>
      </c>
      <c r="AL745" s="26">
        <v>0.96280133881286278</v>
      </c>
      <c r="AM745" s="25">
        <v>0.99</v>
      </c>
      <c r="AN745" s="30">
        <v>1</v>
      </c>
      <c r="AO745" s="30">
        <v>1</v>
      </c>
      <c r="AP745" s="30">
        <v>1</v>
      </c>
      <c r="AQ745" s="30">
        <v>1</v>
      </c>
      <c r="AR745" s="50">
        <v>8.1059522893420499E-2</v>
      </c>
      <c r="AS745" s="34">
        <v>0</v>
      </c>
      <c r="AT745" s="34">
        <v>0.33333333333333331</v>
      </c>
      <c r="AU745" s="34">
        <v>0.125</v>
      </c>
      <c r="AV745" s="34">
        <v>9.8360655737704916E-2</v>
      </c>
      <c r="AW745" s="10"/>
      <c r="AX745" s="8"/>
    </row>
    <row r="746" spans="1:50">
      <c r="A746" s="7"/>
      <c r="B746" s="10"/>
      <c r="C746" s="45" t="s">
        <v>688</v>
      </c>
      <c r="D746" s="23" t="s">
        <v>21</v>
      </c>
      <c r="E746" s="68" t="s">
        <v>792</v>
      </c>
      <c r="F746" s="68" t="s">
        <v>792</v>
      </c>
      <c r="G746" s="68" t="s">
        <v>792</v>
      </c>
      <c r="H746" s="68" t="s">
        <v>792</v>
      </c>
      <c r="I746" s="25">
        <v>0.9</v>
      </c>
      <c r="J746" s="26">
        <v>0.9375</v>
      </c>
      <c r="K746" s="26">
        <v>1</v>
      </c>
      <c r="L746" s="27">
        <v>1</v>
      </c>
      <c r="M746" s="26">
        <v>0.98723404255319147</v>
      </c>
      <c r="N746" s="28">
        <v>0.9</v>
      </c>
      <c r="O746" s="26">
        <v>0.98191027496382055</v>
      </c>
      <c r="P746" s="26">
        <v>0.97779572062979414</v>
      </c>
      <c r="Q746" s="26">
        <v>0.98108015135878912</v>
      </c>
      <c r="R746" s="26">
        <v>0.97633397030721736</v>
      </c>
      <c r="S746" s="28">
        <v>0.9</v>
      </c>
      <c r="T746" s="26">
        <v>0.93921852387843707</v>
      </c>
      <c r="U746" s="26">
        <v>0.9378280177634235</v>
      </c>
      <c r="V746" s="26">
        <v>0.94668042655658757</v>
      </c>
      <c r="W746" s="26">
        <v>0.94438728012151507</v>
      </c>
      <c r="X746" s="28">
        <v>0.92</v>
      </c>
      <c r="Y746" s="28">
        <v>0.96158463385354143</v>
      </c>
      <c r="Z746" s="28">
        <v>0.97101449275362317</v>
      </c>
      <c r="AA746" s="28">
        <v>0.96563011456628478</v>
      </c>
      <c r="AB746" s="28">
        <v>0.95974329054842478</v>
      </c>
      <c r="AC746" s="28">
        <v>0.92</v>
      </c>
      <c r="AD746" s="26">
        <v>0.95853622546849637</v>
      </c>
      <c r="AE746" s="26">
        <v>0.95320924261874196</v>
      </c>
      <c r="AF746" s="26">
        <v>0.995114802149487</v>
      </c>
      <c r="AG746" s="26">
        <v>0.94549022012385797</v>
      </c>
      <c r="AH746" s="28">
        <v>0.92</v>
      </c>
      <c r="AI746" s="26">
        <v>0.96942745969983324</v>
      </c>
      <c r="AJ746" s="26">
        <v>0.97344039530574433</v>
      </c>
      <c r="AK746" s="26">
        <v>0.98039215686274506</v>
      </c>
      <c r="AL746" s="26">
        <v>0.97226568612110775</v>
      </c>
      <c r="AM746" s="25">
        <v>0.99</v>
      </c>
      <c r="AN746" s="30">
        <v>1</v>
      </c>
      <c r="AO746" s="30">
        <v>1</v>
      </c>
      <c r="AP746" s="30">
        <v>1</v>
      </c>
      <c r="AQ746" s="30">
        <v>1</v>
      </c>
      <c r="AR746" s="50">
        <v>8.1059522893420499E-2</v>
      </c>
      <c r="AS746" s="34">
        <v>0</v>
      </c>
      <c r="AT746" s="34">
        <v>0.15384615384615385</v>
      </c>
      <c r="AU746" s="34">
        <v>0</v>
      </c>
      <c r="AV746" s="34">
        <v>7.407407407407407E-2</v>
      </c>
      <c r="AW746" s="10"/>
      <c r="AX746" s="8"/>
    </row>
    <row r="747" spans="1:50">
      <c r="A747" s="7"/>
      <c r="B747" s="10"/>
      <c r="C747" s="45" t="s">
        <v>688</v>
      </c>
      <c r="D747" s="23" t="s">
        <v>21</v>
      </c>
      <c r="E747" s="68" t="s">
        <v>793</v>
      </c>
      <c r="F747" s="68" t="s">
        <v>793</v>
      </c>
      <c r="G747" s="68" t="s">
        <v>793</v>
      </c>
      <c r="H747" s="68" t="s">
        <v>793</v>
      </c>
      <c r="I747" s="25">
        <v>0.9</v>
      </c>
      <c r="J747" s="26">
        <v>1</v>
      </c>
      <c r="K747" s="26">
        <v>0.9285714285714286</v>
      </c>
      <c r="L747" s="27">
        <v>0.95348837209302328</v>
      </c>
      <c r="M747" s="26">
        <v>0.9561128526645768</v>
      </c>
      <c r="N747" s="28">
        <v>0.9</v>
      </c>
      <c r="O747" s="26">
        <v>0.984009360374415</v>
      </c>
      <c r="P747" s="26">
        <v>0.99090909090909096</v>
      </c>
      <c r="Q747" s="26">
        <v>0.98585526315789473</v>
      </c>
      <c r="R747" s="26">
        <v>0.98488594486168779</v>
      </c>
      <c r="S747" s="28">
        <v>0.9</v>
      </c>
      <c r="T747" s="26">
        <v>0.96060842433697347</v>
      </c>
      <c r="U747" s="26">
        <v>0.96742424242424241</v>
      </c>
      <c r="V747" s="26">
        <v>0.97269736842105259</v>
      </c>
      <c r="W747" s="26">
        <v>0.96426738816065682</v>
      </c>
      <c r="X747" s="28">
        <v>0.92</v>
      </c>
      <c r="Y747" s="28">
        <v>0.99276236429433051</v>
      </c>
      <c r="Z747" s="28">
        <v>0.99685534591194969</v>
      </c>
      <c r="AA747" s="28">
        <v>0.99349593495934962</v>
      </c>
      <c r="AB747" s="28">
        <v>0.99480623252097478</v>
      </c>
      <c r="AC747" s="28">
        <v>0.92</v>
      </c>
      <c r="AD747" s="26">
        <v>0.99605188945290468</v>
      </c>
      <c r="AE747" s="26">
        <v>0.99605522682445757</v>
      </c>
      <c r="AF747" s="26">
        <v>0.99795918367346936</v>
      </c>
      <c r="AG747" s="26">
        <v>0.99493165412379048</v>
      </c>
      <c r="AH747" s="28">
        <v>0.92</v>
      </c>
      <c r="AI747" s="26">
        <v>0.9908635425876805</v>
      </c>
      <c r="AJ747" s="26">
        <v>0.99481232834909983</v>
      </c>
      <c r="AK747" s="26">
        <v>0.99534883720930234</v>
      </c>
      <c r="AL747" s="26">
        <v>0.99429068360556561</v>
      </c>
      <c r="AM747" s="25">
        <v>0.99</v>
      </c>
      <c r="AN747" s="30">
        <v>1</v>
      </c>
      <c r="AO747" s="30">
        <v>1</v>
      </c>
      <c r="AP747" s="30">
        <v>1</v>
      </c>
      <c r="AQ747" s="30">
        <v>1</v>
      </c>
      <c r="AR747" s="50">
        <v>8.1059522893420499E-2</v>
      </c>
      <c r="AS747" s="34">
        <v>6.25E-2</v>
      </c>
      <c r="AT747" s="34">
        <v>0</v>
      </c>
      <c r="AU747" s="34">
        <v>0</v>
      </c>
      <c r="AV747" s="34">
        <v>-9.433962264150943E-3</v>
      </c>
      <c r="AW747" s="10"/>
      <c r="AX747" s="8"/>
    </row>
    <row r="748" spans="1:50">
      <c r="A748" s="7"/>
      <c r="B748" s="10"/>
      <c r="C748" s="45" t="s">
        <v>688</v>
      </c>
      <c r="D748" s="23" t="s">
        <v>21</v>
      </c>
      <c r="E748" s="68" t="s">
        <v>794</v>
      </c>
      <c r="F748" s="68" t="s">
        <v>794</v>
      </c>
      <c r="G748" s="68" t="s">
        <v>794</v>
      </c>
      <c r="H748" s="68" t="s">
        <v>794</v>
      </c>
      <c r="I748" s="25">
        <v>0.9</v>
      </c>
      <c r="J748" s="26">
        <v>0.88461538461538458</v>
      </c>
      <c r="K748" s="26">
        <v>1</v>
      </c>
      <c r="L748" s="27">
        <v>1</v>
      </c>
      <c r="M748" s="26">
        <v>0.98104265402843605</v>
      </c>
      <c r="N748" s="28">
        <v>0.9</v>
      </c>
      <c r="O748" s="26">
        <v>0.98399999999999999</v>
      </c>
      <c r="P748" s="26">
        <v>0.97951752389622215</v>
      </c>
      <c r="Q748" s="26">
        <v>0.98037505451373741</v>
      </c>
      <c r="R748" s="26">
        <v>0.98060492672279387</v>
      </c>
      <c r="S748" s="28">
        <v>0.9</v>
      </c>
      <c r="T748" s="26">
        <v>0.95306666666666662</v>
      </c>
      <c r="U748" s="26">
        <v>0.95357305416477012</v>
      </c>
      <c r="V748" s="26">
        <v>0.95202791103358042</v>
      </c>
      <c r="W748" s="26">
        <v>0.95341440598690363</v>
      </c>
      <c r="X748" s="28">
        <v>0.92</v>
      </c>
      <c r="Y748" s="28">
        <v>0.93968253968253967</v>
      </c>
      <c r="Z748" s="28">
        <v>0.87661141804788212</v>
      </c>
      <c r="AA748" s="28">
        <v>0.91650485436893203</v>
      </c>
      <c r="AB748" s="28">
        <v>0.89086419753086421</v>
      </c>
      <c r="AC748" s="28">
        <v>0.92</v>
      </c>
      <c r="AD748" s="26">
        <v>0.9947615108905431</v>
      </c>
      <c r="AE748" s="26">
        <v>0.98848710880492952</v>
      </c>
      <c r="AF748" s="26">
        <v>0.99816513761467895</v>
      </c>
      <c r="AG748" s="26">
        <v>0.99142995637421227</v>
      </c>
      <c r="AH748" s="28">
        <v>0.92</v>
      </c>
      <c r="AI748" s="26">
        <v>0.9708699122106943</v>
      </c>
      <c r="AJ748" s="26">
        <v>0.9638686131386861</v>
      </c>
      <c r="AK748" s="26">
        <v>0.97116411534353864</v>
      </c>
      <c r="AL748" s="26">
        <v>0.96560477849676452</v>
      </c>
      <c r="AM748" s="25">
        <v>0.99</v>
      </c>
      <c r="AN748" s="30">
        <v>1</v>
      </c>
      <c r="AO748" s="30">
        <v>1</v>
      </c>
      <c r="AP748" s="30">
        <v>1</v>
      </c>
      <c r="AQ748" s="30">
        <v>1</v>
      </c>
      <c r="AR748" s="50">
        <v>8.1059522893420499E-2</v>
      </c>
      <c r="AS748" s="34">
        <v>0</v>
      </c>
      <c r="AT748" s="34">
        <v>0</v>
      </c>
      <c r="AU748" s="34">
        <v>0</v>
      </c>
      <c r="AV748" s="34">
        <v>3.7037037037037035E-2</v>
      </c>
      <c r="AW748" s="10"/>
      <c r="AX748" s="8"/>
    </row>
    <row r="749" spans="1:50">
      <c r="A749" s="7"/>
      <c r="B749" s="10"/>
      <c r="C749" s="45" t="s">
        <v>688</v>
      </c>
      <c r="D749" s="23" t="s">
        <v>21</v>
      </c>
      <c r="E749" s="68" t="s">
        <v>795</v>
      </c>
      <c r="F749" s="68" t="s">
        <v>795</v>
      </c>
      <c r="G749" s="68" t="s">
        <v>795</v>
      </c>
      <c r="H749" s="68" t="s">
        <v>795</v>
      </c>
      <c r="I749" s="25">
        <v>0.9</v>
      </c>
      <c r="J749" s="26">
        <v>0.97499999999999998</v>
      </c>
      <c r="K749" s="26">
        <v>1</v>
      </c>
      <c r="L749" s="27">
        <v>1</v>
      </c>
      <c r="M749" s="26">
        <v>0.9876160990712074</v>
      </c>
      <c r="N749" s="28">
        <v>0.9</v>
      </c>
      <c r="O749" s="26">
        <v>0.9634931997136722</v>
      </c>
      <c r="P749" s="26">
        <v>0.97394023627519111</v>
      </c>
      <c r="Q749" s="26">
        <v>0.97994186046511633</v>
      </c>
      <c r="R749" s="26">
        <v>0.9638528867194075</v>
      </c>
      <c r="S749" s="28">
        <v>0.9</v>
      </c>
      <c r="T749" s="26">
        <v>0.95025053686471006</v>
      </c>
      <c r="U749" s="26">
        <v>0.94058373870743572</v>
      </c>
      <c r="V749" s="26">
        <v>0.95232558139534884</v>
      </c>
      <c r="W749" s="26">
        <v>0.94748358862144422</v>
      </c>
      <c r="X749" s="28">
        <v>0.92</v>
      </c>
      <c r="Y749" s="28">
        <v>0.91612903225806452</v>
      </c>
      <c r="Z749" s="28">
        <v>0.93006993006993011</v>
      </c>
      <c r="AA749" s="28">
        <v>0.94187779433681074</v>
      </c>
      <c r="AB749" s="28">
        <v>0.92898868200073015</v>
      </c>
      <c r="AC749" s="28">
        <v>0.92</v>
      </c>
      <c r="AD749" s="26">
        <v>0.99348534201954397</v>
      </c>
      <c r="AE749" s="26">
        <v>0.98809523809523814</v>
      </c>
      <c r="AF749" s="26">
        <v>0.99003322259136217</v>
      </c>
      <c r="AG749" s="26">
        <v>0.99259547934528447</v>
      </c>
      <c r="AH749" s="28">
        <v>0.92</v>
      </c>
      <c r="AI749" s="26">
        <v>0.96357523115718691</v>
      </c>
      <c r="AJ749" s="26">
        <v>0.97355969941553022</v>
      </c>
      <c r="AK749" s="26">
        <v>0.98005351495986381</v>
      </c>
      <c r="AL749" s="26">
        <v>0.97336114625722392</v>
      </c>
      <c r="AM749" s="25">
        <v>0.99</v>
      </c>
      <c r="AN749" s="30">
        <v>1</v>
      </c>
      <c r="AO749" s="30">
        <v>1</v>
      </c>
      <c r="AP749" s="30">
        <v>1</v>
      </c>
      <c r="AQ749" s="30">
        <v>1</v>
      </c>
      <c r="AR749" s="50">
        <v>8.1059522893420499E-2</v>
      </c>
      <c r="AS749" s="34">
        <v>0</v>
      </c>
      <c r="AT749" s="34">
        <v>0.18181818181818182</v>
      </c>
      <c r="AU749" s="34">
        <v>0</v>
      </c>
      <c r="AV749" s="34">
        <v>4.2553191489361701E-2</v>
      </c>
      <c r="AW749" s="10"/>
      <c r="AX749" s="8"/>
    </row>
    <row r="750" spans="1:50">
      <c r="A750" s="7"/>
      <c r="B750" s="10"/>
      <c r="C750" s="45" t="s">
        <v>688</v>
      </c>
      <c r="D750" s="23" t="s">
        <v>21</v>
      </c>
      <c r="E750" s="68" t="s">
        <v>796</v>
      </c>
      <c r="F750" s="68" t="s">
        <v>796</v>
      </c>
      <c r="G750" s="68" t="s">
        <v>796</v>
      </c>
      <c r="H750" s="68" t="s">
        <v>796</v>
      </c>
      <c r="I750" s="25">
        <v>0.9</v>
      </c>
      <c r="J750" s="26">
        <v>0.97222222222222221</v>
      </c>
      <c r="K750" s="26">
        <v>1</v>
      </c>
      <c r="L750" s="27">
        <v>1</v>
      </c>
      <c r="M750" s="26">
        <v>0.99288256227758009</v>
      </c>
      <c r="N750" s="28">
        <v>0.9</v>
      </c>
      <c r="O750" s="26">
        <v>0.96984924623115576</v>
      </c>
      <c r="P750" s="26">
        <v>0.97037307973664955</v>
      </c>
      <c r="Q750" s="26">
        <v>0.98062015503875966</v>
      </c>
      <c r="R750" s="26">
        <v>0.97596286423384504</v>
      </c>
      <c r="S750" s="28">
        <v>0.9</v>
      </c>
      <c r="T750" s="26">
        <v>0.95786625434866646</v>
      </c>
      <c r="U750" s="26">
        <v>0.96561814191660567</v>
      </c>
      <c r="V750" s="26">
        <v>0.97060723514211888</v>
      </c>
      <c r="W750" s="26">
        <v>0.96088794926004228</v>
      </c>
      <c r="X750" s="28">
        <v>0.92</v>
      </c>
      <c r="Y750" s="28">
        <v>0.88888888888888884</v>
      </c>
      <c r="Z750" s="28">
        <v>0.89037433155080214</v>
      </c>
      <c r="AA750" s="28">
        <v>0.9486803519061584</v>
      </c>
      <c r="AB750" s="28">
        <v>0.90406868234415827</v>
      </c>
      <c r="AC750" s="28">
        <v>0.92</v>
      </c>
      <c r="AD750" s="26">
        <v>0.99963523618457051</v>
      </c>
      <c r="AE750" s="26">
        <v>0.999368553988634</v>
      </c>
      <c r="AF750" s="26">
        <v>0.99934800325998374</v>
      </c>
      <c r="AG750" s="26">
        <v>0.99938389923329685</v>
      </c>
      <c r="AH750" s="28">
        <v>0.92</v>
      </c>
      <c r="AI750" s="26">
        <v>0.95779220779220775</v>
      </c>
      <c r="AJ750" s="26">
        <v>0.96812176909821945</v>
      </c>
      <c r="AK750" s="26">
        <v>0.98253043938591844</v>
      </c>
      <c r="AL750" s="26">
        <v>0.97127157397846287</v>
      </c>
      <c r="AM750" s="25">
        <v>0.99</v>
      </c>
      <c r="AN750" s="30">
        <v>1</v>
      </c>
      <c r="AO750" s="30">
        <v>1</v>
      </c>
      <c r="AP750" s="30">
        <v>1</v>
      </c>
      <c r="AQ750" s="30">
        <v>1</v>
      </c>
      <c r="AR750" s="50">
        <v>8.1059522893420499E-2</v>
      </c>
      <c r="AS750" s="34">
        <v>8.3333333333333329E-2</v>
      </c>
      <c r="AT750" s="34">
        <v>0.16666666666666666</v>
      </c>
      <c r="AU750" s="34">
        <v>-0.14285714285714285</v>
      </c>
      <c r="AV750" s="34">
        <v>9.5238095238095233E-2</v>
      </c>
      <c r="AW750" s="10"/>
      <c r="AX750" s="8"/>
    </row>
    <row r="751" spans="1:50">
      <c r="A751" s="7"/>
      <c r="B751" s="10"/>
      <c r="C751" s="45" t="s">
        <v>688</v>
      </c>
      <c r="D751" s="23" t="s">
        <v>21</v>
      </c>
      <c r="E751" s="68" t="s">
        <v>797</v>
      </c>
      <c r="F751" s="68" t="s">
        <v>797</v>
      </c>
      <c r="G751" s="68" t="s">
        <v>797</v>
      </c>
      <c r="H751" s="68" t="s">
        <v>797</v>
      </c>
      <c r="I751" s="25">
        <v>0.9</v>
      </c>
      <c r="J751" s="26">
        <v>1</v>
      </c>
      <c r="K751" s="26">
        <v>1</v>
      </c>
      <c r="L751" s="27">
        <v>1</v>
      </c>
      <c r="M751" s="26">
        <v>0.99141630901287559</v>
      </c>
      <c r="N751" s="28">
        <v>0.9</v>
      </c>
      <c r="O751" s="26">
        <v>0.96567601506906653</v>
      </c>
      <c r="P751" s="26">
        <v>0.9634340222575517</v>
      </c>
      <c r="Q751" s="26">
        <v>0.97049949715051964</v>
      </c>
      <c r="R751" s="26">
        <v>0.96235465116279073</v>
      </c>
      <c r="S751" s="28">
        <v>0.9</v>
      </c>
      <c r="T751" s="26">
        <v>0.95144411887819169</v>
      </c>
      <c r="U751" s="26">
        <v>0.95508744038155802</v>
      </c>
      <c r="V751" s="26">
        <v>0.9560844787127053</v>
      </c>
      <c r="W751" s="26">
        <v>0.95426356589147288</v>
      </c>
      <c r="X751" s="28">
        <v>0.92</v>
      </c>
      <c r="Y751" s="28">
        <v>0.95225464190981435</v>
      </c>
      <c r="Z751" s="28">
        <v>0.85867895545314898</v>
      </c>
      <c r="AA751" s="28">
        <v>0.95317725752508364</v>
      </c>
      <c r="AB751" s="28">
        <v>0.94091350826044706</v>
      </c>
      <c r="AC751" s="28">
        <v>0.92</v>
      </c>
      <c r="AD751" s="26">
        <v>0.99539170506912444</v>
      </c>
      <c r="AE751" s="26">
        <v>0.99277978339350181</v>
      </c>
      <c r="AF751" s="26">
        <v>0.98996655518394649</v>
      </c>
      <c r="AG751" s="26">
        <v>0.99383983572895274</v>
      </c>
      <c r="AH751" s="28">
        <v>0.92</v>
      </c>
      <c r="AI751" s="26">
        <v>0.97836461979000955</v>
      </c>
      <c r="AJ751" s="26">
        <v>0.96021471424060623</v>
      </c>
      <c r="AK751" s="26">
        <v>0.98464544946957011</v>
      </c>
      <c r="AL751" s="26">
        <v>0.9783595113438045</v>
      </c>
      <c r="AM751" s="25">
        <v>0.99</v>
      </c>
      <c r="AN751" s="30">
        <v>1</v>
      </c>
      <c r="AO751" s="30">
        <v>1</v>
      </c>
      <c r="AP751" s="30">
        <v>1</v>
      </c>
      <c r="AQ751" s="30">
        <v>1</v>
      </c>
      <c r="AR751" s="50">
        <v>8.1059522893420499E-2</v>
      </c>
      <c r="AS751" s="34">
        <v>0.125</v>
      </c>
      <c r="AT751" s="34">
        <v>0</v>
      </c>
      <c r="AU751" s="34">
        <v>0</v>
      </c>
      <c r="AV751" s="34">
        <v>8.8607594936708861E-2</v>
      </c>
      <c r="AW751" s="10"/>
      <c r="AX751" s="8"/>
    </row>
    <row r="752" spans="1:50">
      <c r="A752" s="7"/>
      <c r="B752" s="10"/>
      <c r="C752" s="45" t="s">
        <v>688</v>
      </c>
      <c r="D752" s="23" t="s">
        <v>21</v>
      </c>
      <c r="E752" s="68" t="s">
        <v>798</v>
      </c>
      <c r="F752" s="68" t="s">
        <v>798</v>
      </c>
      <c r="G752" s="68" t="s">
        <v>798</v>
      </c>
      <c r="H752" s="68" t="s">
        <v>798</v>
      </c>
      <c r="I752" s="25">
        <v>0.9</v>
      </c>
      <c r="J752" s="26">
        <v>1</v>
      </c>
      <c r="K752" s="26">
        <v>0.96296296296296291</v>
      </c>
      <c r="L752" s="27">
        <v>0.96551724137931039</v>
      </c>
      <c r="M752" s="26">
        <v>0.95897435897435901</v>
      </c>
      <c r="N752" s="28">
        <v>0.9</v>
      </c>
      <c r="O752" s="26">
        <v>0.94609745579991378</v>
      </c>
      <c r="P752" s="26">
        <v>0.92836072482090182</v>
      </c>
      <c r="Q752" s="26">
        <v>0.96605272661610686</v>
      </c>
      <c r="R752" s="26">
        <v>0.95056851545401166</v>
      </c>
      <c r="S752" s="28">
        <v>0.9</v>
      </c>
      <c r="T752" s="26">
        <v>0.9141871496334627</v>
      </c>
      <c r="U752" s="26">
        <v>0.89591234723978086</v>
      </c>
      <c r="V752" s="26">
        <v>0.96316359696641385</v>
      </c>
      <c r="W752" s="26">
        <v>0.93087065606149577</v>
      </c>
      <c r="X752" s="28">
        <v>0.92</v>
      </c>
      <c r="Y752" s="28">
        <v>0.93517017828200977</v>
      </c>
      <c r="Z752" s="28">
        <v>0.94545454545454544</v>
      </c>
      <c r="AA752" s="28">
        <v>0.92127303182579567</v>
      </c>
      <c r="AB752" s="28">
        <v>0.94514210178453406</v>
      </c>
      <c r="AC752" s="28">
        <v>0.92</v>
      </c>
      <c r="AD752" s="26">
        <v>0.99586776859504134</v>
      </c>
      <c r="AE752" s="26">
        <v>0.99679487179487181</v>
      </c>
      <c r="AF752" s="26">
        <v>0.99770642201834858</v>
      </c>
      <c r="AG752" s="26">
        <v>0.99078487448363517</v>
      </c>
      <c r="AH752" s="28">
        <v>0.92</v>
      </c>
      <c r="AI752" s="26">
        <v>0.9598092643051771</v>
      </c>
      <c r="AJ752" s="26">
        <v>0.95401141322591476</v>
      </c>
      <c r="AK752" s="26">
        <v>0.97890671420083186</v>
      </c>
      <c r="AL752" s="26">
        <v>0.97224251278305329</v>
      </c>
      <c r="AM752" s="25">
        <v>0.99</v>
      </c>
      <c r="AN752" s="30">
        <v>1</v>
      </c>
      <c r="AO752" s="30">
        <v>1</v>
      </c>
      <c r="AP752" s="30">
        <v>1</v>
      </c>
      <c r="AQ752" s="30">
        <v>1</v>
      </c>
      <c r="AR752" s="50">
        <v>8.1059522893420499E-2</v>
      </c>
      <c r="AS752" s="34">
        <v>7.6923076923076927E-2</v>
      </c>
      <c r="AT752" s="34">
        <v>9.0909090909090912E-2</v>
      </c>
      <c r="AU752" s="34">
        <v>0.2857142857142857</v>
      </c>
      <c r="AV752" s="34">
        <v>8.2191780821917804E-2</v>
      </c>
      <c r="AW752" s="10"/>
      <c r="AX752" s="8"/>
    </row>
    <row r="753" spans="1:50">
      <c r="A753" s="7"/>
      <c r="B753" s="10"/>
      <c r="C753" s="45" t="s">
        <v>688</v>
      </c>
      <c r="D753" s="23" t="s">
        <v>21</v>
      </c>
      <c r="E753" s="68" t="s">
        <v>799</v>
      </c>
      <c r="F753" s="68" t="s">
        <v>799</v>
      </c>
      <c r="G753" s="68" t="s">
        <v>799</v>
      </c>
      <c r="H753" s="68" t="s">
        <v>799</v>
      </c>
      <c r="I753" s="25">
        <v>0.9</v>
      </c>
      <c r="J753" s="26">
        <v>0.93333333333333335</v>
      </c>
      <c r="K753" s="26">
        <v>1</v>
      </c>
      <c r="L753" s="27">
        <v>1</v>
      </c>
      <c r="M753" s="26">
        <v>0.98712446351931327</v>
      </c>
      <c r="N753" s="28">
        <v>0.9</v>
      </c>
      <c r="O753" s="26">
        <v>0.95782862270076263</v>
      </c>
      <c r="P753" s="26">
        <v>0.9643171806167401</v>
      </c>
      <c r="Q753" s="26">
        <v>0.96577946768060841</v>
      </c>
      <c r="R753" s="26">
        <v>0.95859649122807022</v>
      </c>
      <c r="S753" s="28">
        <v>0.9</v>
      </c>
      <c r="T753" s="26">
        <v>0.91341408703454463</v>
      </c>
      <c r="U753" s="26">
        <v>0.92466960352422911</v>
      </c>
      <c r="V753" s="26">
        <v>0.92547528517110267</v>
      </c>
      <c r="W753" s="26">
        <v>0.9156815114709852</v>
      </c>
      <c r="X753" s="28">
        <v>0.92</v>
      </c>
      <c r="Y753" s="28">
        <v>0.90895295902883155</v>
      </c>
      <c r="Z753" s="28">
        <v>0.92063492063492058</v>
      </c>
      <c r="AA753" s="28">
        <v>0.94234234234234238</v>
      </c>
      <c r="AB753" s="28">
        <v>0.91815181518151812</v>
      </c>
      <c r="AC753" s="28">
        <v>0.92</v>
      </c>
      <c r="AD753" s="26">
        <v>0.99979720137903061</v>
      </c>
      <c r="AE753" s="26">
        <v>0.99944526627218933</v>
      </c>
      <c r="AF753" s="26">
        <v>0.99958000839983197</v>
      </c>
      <c r="AG753" s="26">
        <v>0.99915460484180862</v>
      </c>
      <c r="AH753" s="28">
        <v>0.92</v>
      </c>
      <c r="AI753" s="26">
        <v>0.94909972299168976</v>
      </c>
      <c r="AJ753" s="26">
        <v>0.96118798515018566</v>
      </c>
      <c r="AK753" s="26">
        <v>0.96985871271585555</v>
      </c>
      <c r="AL753" s="26">
        <v>0.96220199393151273</v>
      </c>
      <c r="AM753" s="25">
        <v>0.99</v>
      </c>
      <c r="AN753" s="30">
        <v>1</v>
      </c>
      <c r="AO753" s="30">
        <v>1</v>
      </c>
      <c r="AP753" s="30">
        <v>1</v>
      </c>
      <c r="AQ753" s="30">
        <v>1</v>
      </c>
      <c r="AR753" s="50">
        <v>8.1059522893420499E-2</v>
      </c>
      <c r="AS753" s="34">
        <v>0.1111111111111111</v>
      </c>
      <c r="AT753" s="34">
        <v>6.6666666666666666E-2</v>
      </c>
      <c r="AU753" s="34">
        <v>0.1111111111111111</v>
      </c>
      <c r="AV753" s="34">
        <v>4.1095890410958902E-2</v>
      </c>
      <c r="AW753" s="10"/>
      <c r="AX753" s="8"/>
    </row>
    <row r="754" spans="1:50">
      <c r="A754" s="7"/>
      <c r="B754" s="10"/>
      <c r="C754" s="45" t="s">
        <v>688</v>
      </c>
      <c r="D754" s="23" t="s">
        <v>21</v>
      </c>
      <c r="E754" s="68" t="s">
        <v>800</v>
      </c>
      <c r="F754" s="68" t="s">
        <v>800</v>
      </c>
      <c r="G754" s="68" t="s">
        <v>800</v>
      </c>
      <c r="H754" s="68" t="s">
        <v>800</v>
      </c>
      <c r="I754" s="25">
        <v>0.9</v>
      </c>
      <c r="J754" s="26">
        <v>0.93548387096774188</v>
      </c>
      <c r="K754" s="26">
        <v>1</v>
      </c>
      <c r="L754" s="27">
        <v>0.97058823529411764</v>
      </c>
      <c r="M754" s="26">
        <v>0.95402298850574707</v>
      </c>
      <c r="N754" s="28">
        <v>0.9</v>
      </c>
      <c r="O754" s="26">
        <v>0.96159638554216864</v>
      </c>
      <c r="P754" s="26">
        <v>0.96319421623397961</v>
      </c>
      <c r="Q754" s="26">
        <v>0.96932698034544373</v>
      </c>
      <c r="R754" s="26">
        <v>0.96524867724867724</v>
      </c>
      <c r="S754" s="28">
        <v>0.9</v>
      </c>
      <c r="T754" s="26">
        <v>0.91265060240963858</v>
      </c>
      <c r="U754" s="26">
        <v>0.92507394019060141</v>
      </c>
      <c r="V754" s="26">
        <v>0.9234663490172722</v>
      </c>
      <c r="W754" s="26">
        <v>0.91788359788359786</v>
      </c>
      <c r="X754" s="28">
        <v>0.92</v>
      </c>
      <c r="Y754" s="28">
        <v>0.93324937027707811</v>
      </c>
      <c r="Z754" s="28">
        <v>0.94306049822064053</v>
      </c>
      <c r="AA754" s="28">
        <v>0.92714285714285716</v>
      </c>
      <c r="AB754" s="28">
        <v>0.93484515146386871</v>
      </c>
      <c r="AC754" s="28">
        <v>0.92</v>
      </c>
      <c r="AD754" s="26">
        <v>0.99770460661706506</v>
      </c>
      <c r="AE754" s="26">
        <v>0.99969421298065897</v>
      </c>
      <c r="AF754" s="26">
        <v>0.99987290289781394</v>
      </c>
      <c r="AG754" s="26">
        <v>0.99582168454226605</v>
      </c>
      <c r="AH754" s="28">
        <v>0.92</v>
      </c>
      <c r="AI754" s="26">
        <v>0.95275362318840584</v>
      </c>
      <c r="AJ754" s="26">
        <v>0.96706971957808074</v>
      </c>
      <c r="AK754" s="26">
        <v>0.97264662395268608</v>
      </c>
      <c r="AL754" s="26">
        <v>0.9654005010494956</v>
      </c>
      <c r="AM754" s="25">
        <v>0.99</v>
      </c>
      <c r="AN754" s="30">
        <v>1</v>
      </c>
      <c r="AO754" s="30">
        <v>1</v>
      </c>
      <c r="AP754" s="30">
        <v>1</v>
      </c>
      <c r="AQ754" s="30">
        <v>1</v>
      </c>
      <c r="AR754" s="50">
        <v>8.1059522893420499E-2</v>
      </c>
      <c r="AS754" s="34">
        <v>0.15789473684210525</v>
      </c>
      <c r="AT754" s="34">
        <v>7.1428571428571425E-2</v>
      </c>
      <c r="AU754" s="34">
        <v>0.08</v>
      </c>
      <c r="AV754" s="34">
        <v>8.6206896551724144E-2</v>
      </c>
      <c r="AW754" s="10"/>
      <c r="AX754" s="8"/>
    </row>
    <row r="755" spans="1:50">
      <c r="A755" s="7"/>
      <c r="B755" s="10"/>
      <c r="C755" s="45" t="s">
        <v>688</v>
      </c>
      <c r="D755" s="23" t="s">
        <v>21</v>
      </c>
      <c r="E755" s="68" t="s">
        <v>801</v>
      </c>
      <c r="F755" s="68" t="s">
        <v>801</v>
      </c>
      <c r="G755" s="68" t="s">
        <v>801</v>
      </c>
      <c r="H755" s="68" t="s">
        <v>801</v>
      </c>
      <c r="I755" s="25">
        <v>0.9</v>
      </c>
      <c r="J755" s="26">
        <v>1</v>
      </c>
      <c r="K755" s="26">
        <v>1</v>
      </c>
      <c r="L755" s="27">
        <v>0.96875</v>
      </c>
      <c r="M755" s="26">
        <v>0.96850393700787396</v>
      </c>
      <c r="N755" s="28">
        <v>0.9</v>
      </c>
      <c r="O755" s="26">
        <v>0.96462585034013604</v>
      </c>
      <c r="P755" s="26">
        <v>0.97579270371633142</v>
      </c>
      <c r="Q755" s="26">
        <v>0.97802197802197799</v>
      </c>
      <c r="R755" s="26">
        <v>0.97523143386134536</v>
      </c>
      <c r="S755" s="28">
        <v>0.9</v>
      </c>
      <c r="T755" s="26">
        <v>0.94387755102040816</v>
      </c>
      <c r="U755" s="26">
        <v>0.9604500511421753</v>
      </c>
      <c r="V755" s="26">
        <v>0.94794679005205318</v>
      </c>
      <c r="W755" s="26">
        <v>0.94762394569018715</v>
      </c>
      <c r="X755" s="28">
        <v>0.92</v>
      </c>
      <c r="Y755" s="28">
        <v>0.92849162011173181</v>
      </c>
      <c r="Z755" s="28">
        <v>0.92073976221928666</v>
      </c>
      <c r="AA755" s="28">
        <v>0.92708333333333337</v>
      </c>
      <c r="AB755" s="28">
        <v>0.93406408094435078</v>
      </c>
      <c r="AC755" s="28">
        <v>0.92</v>
      </c>
      <c r="AD755" s="26">
        <v>1</v>
      </c>
      <c r="AE755" s="26">
        <v>1</v>
      </c>
      <c r="AF755" s="26">
        <v>0.99938042131350679</v>
      </c>
      <c r="AG755" s="26">
        <v>0.99924089068825916</v>
      </c>
      <c r="AH755" s="28">
        <v>0.92</v>
      </c>
      <c r="AI755" s="26">
        <v>0.96375488917861796</v>
      </c>
      <c r="AJ755" s="26">
        <v>0.97371273712737128</v>
      </c>
      <c r="AK755" s="26">
        <v>0.97941802696948188</v>
      </c>
      <c r="AL755" s="26">
        <v>0.97503059165922545</v>
      </c>
      <c r="AM755" s="25">
        <v>0.99</v>
      </c>
      <c r="AN755" s="30">
        <v>1</v>
      </c>
      <c r="AO755" s="30">
        <v>1</v>
      </c>
      <c r="AP755" s="30">
        <v>1</v>
      </c>
      <c r="AQ755" s="30">
        <v>1</v>
      </c>
      <c r="AR755" s="50">
        <v>8.1059522893420499E-2</v>
      </c>
      <c r="AS755" s="34">
        <v>0</v>
      </c>
      <c r="AT755" s="34">
        <v>0</v>
      </c>
      <c r="AU755" s="34">
        <v>0.18181818181818182</v>
      </c>
      <c r="AV755" s="34">
        <v>8.1300813008130079E-2</v>
      </c>
      <c r="AW755" s="10"/>
      <c r="AX755" s="8"/>
    </row>
    <row r="756" spans="1:50">
      <c r="A756" s="7"/>
      <c r="B756" s="10"/>
      <c r="C756" s="45" t="s">
        <v>688</v>
      </c>
      <c r="D756" s="23" t="s">
        <v>21</v>
      </c>
      <c r="E756" s="68" t="s">
        <v>802</v>
      </c>
      <c r="F756" s="68" t="s">
        <v>802</v>
      </c>
      <c r="G756" s="68" t="s">
        <v>802</v>
      </c>
      <c r="H756" s="68" t="s">
        <v>802</v>
      </c>
      <c r="I756" s="25">
        <v>0.9</v>
      </c>
      <c r="J756" s="26">
        <v>0.97222222222222221</v>
      </c>
      <c r="K756" s="26">
        <v>0.97222222222222221</v>
      </c>
      <c r="L756" s="27">
        <v>0.97222222222222221</v>
      </c>
      <c r="M756" s="26">
        <v>0.95736434108527135</v>
      </c>
      <c r="N756" s="28">
        <v>0.9</v>
      </c>
      <c r="O756" s="26">
        <v>0.94231445655997181</v>
      </c>
      <c r="P756" s="26">
        <v>0.96148782093482554</v>
      </c>
      <c r="Q756" s="26">
        <v>0.95630787037037035</v>
      </c>
      <c r="R756" s="26">
        <v>0.94999190152251378</v>
      </c>
      <c r="S756" s="28">
        <v>0.9</v>
      </c>
      <c r="T756" s="26">
        <v>0.93527963418923676</v>
      </c>
      <c r="U756" s="26">
        <v>0.96115865701119152</v>
      </c>
      <c r="V756" s="26">
        <v>0.94820601851851849</v>
      </c>
      <c r="W756" s="26">
        <v>0.93610301263362483</v>
      </c>
      <c r="X756" s="28">
        <v>0.92</v>
      </c>
      <c r="Y756" s="28">
        <v>0.83100233100233101</v>
      </c>
      <c r="Z756" s="28">
        <v>0.88020176544766704</v>
      </c>
      <c r="AA756" s="28">
        <v>0.88431876606683801</v>
      </c>
      <c r="AB756" s="28">
        <v>0.87103274559193955</v>
      </c>
      <c r="AC756" s="28">
        <v>0.92</v>
      </c>
      <c r="AD756" s="26">
        <v>1</v>
      </c>
      <c r="AE756" s="26">
        <v>1</v>
      </c>
      <c r="AF756" s="26">
        <v>0.9962630792227205</v>
      </c>
      <c r="AG756" s="26">
        <v>0.99767203650246761</v>
      </c>
      <c r="AH756" s="28">
        <v>0.92</v>
      </c>
      <c r="AI756" s="26">
        <v>0.94352877600648477</v>
      </c>
      <c r="AJ756" s="26">
        <v>0.96763247193944135</v>
      </c>
      <c r="AK756" s="26">
        <v>0.96315540859707127</v>
      </c>
      <c r="AL756" s="26">
        <v>0.95951456627410037</v>
      </c>
      <c r="AM756" s="25">
        <v>0.99</v>
      </c>
      <c r="AN756" s="30">
        <v>1</v>
      </c>
      <c r="AO756" s="30">
        <v>1</v>
      </c>
      <c r="AP756" s="30">
        <v>1</v>
      </c>
      <c r="AQ756" s="30">
        <v>1</v>
      </c>
      <c r="AR756" s="50">
        <v>8.1059522893420499E-2</v>
      </c>
      <c r="AS756" s="34">
        <v>0</v>
      </c>
      <c r="AT756" s="34">
        <v>0</v>
      </c>
      <c r="AU756" s="34">
        <v>0</v>
      </c>
      <c r="AV756" s="34">
        <v>2.7522935779816515E-2</v>
      </c>
      <c r="AW756" s="10"/>
      <c r="AX756" s="8"/>
    </row>
    <row r="757" spans="1:50">
      <c r="A757" s="7"/>
      <c r="B757" s="10"/>
      <c r="C757" s="45" t="s">
        <v>688</v>
      </c>
      <c r="D757" s="23" t="s">
        <v>21</v>
      </c>
      <c r="E757" s="68" t="s">
        <v>803</v>
      </c>
      <c r="F757" s="68" t="s">
        <v>803</v>
      </c>
      <c r="G757" s="68" t="s">
        <v>803</v>
      </c>
      <c r="H757" s="68" t="s">
        <v>803</v>
      </c>
      <c r="I757" s="25">
        <v>0.9</v>
      </c>
      <c r="J757" s="26">
        <v>0.94444444444444442</v>
      </c>
      <c r="K757" s="26">
        <v>1</v>
      </c>
      <c r="L757" s="27">
        <v>1</v>
      </c>
      <c r="M757" s="26">
        <v>0.99328859060402686</v>
      </c>
      <c r="N757" s="28">
        <v>0.9</v>
      </c>
      <c r="O757" s="26">
        <v>0.95759312320916901</v>
      </c>
      <c r="P757" s="26">
        <v>0.96987951807228912</v>
      </c>
      <c r="Q757" s="26">
        <v>0.97157745144481289</v>
      </c>
      <c r="R757" s="26">
        <v>0.95445491966538309</v>
      </c>
      <c r="S757" s="28">
        <v>0.9</v>
      </c>
      <c r="T757" s="26">
        <v>0.93982808022922637</v>
      </c>
      <c r="U757" s="26">
        <v>0.95125958378970432</v>
      </c>
      <c r="V757" s="26">
        <v>0.95168166745618188</v>
      </c>
      <c r="W757" s="26">
        <v>0.94283627672287873</v>
      </c>
      <c r="X757" s="28">
        <v>0.92</v>
      </c>
      <c r="Y757" s="28">
        <v>0.90729783037475342</v>
      </c>
      <c r="Z757" s="28">
        <v>0.91416309012875541</v>
      </c>
      <c r="AA757" s="28">
        <v>0.96016771488469599</v>
      </c>
      <c r="AB757" s="28">
        <v>0.92200943658062728</v>
      </c>
      <c r="AC757" s="28">
        <v>0.92</v>
      </c>
      <c r="AD757" s="26">
        <v>0.99684542586750791</v>
      </c>
      <c r="AE757" s="26">
        <v>1</v>
      </c>
      <c r="AF757" s="26">
        <v>0.9939393939393939</v>
      </c>
      <c r="AG757" s="26">
        <v>0.99604601006470161</v>
      </c>
      <c r="AH757" s="28">
        <v>0.92</v>
      </c>
      <c r="AI757" s="26">
        <v>0.95825932504440492</v>
      </c>
      <c r="AJ757" s="26">
        <v>0.96509598603839442</v>
      </c>
      <c r="AK757" s="26">
        <v>0.98299845440494593</v>
      </c>
      <c r="AL757" s="26">
        <v>0.97107194514383677</v>
      </c>
      <c r="AM757" s="25">
        <v>0.99</v>
      </c>
      <c r="AN757" s="30">
        <v>1</v>
      </c>
      <c r="AO757" s="30">
        <v>1</v>
      </c>
      <c r="AP757" s="30">
        <v>1</v>
      </c>
      <c r="AQ757" s="30">
        <v>1</v>
      </c>
      <c r="AR757" s="50">
        <v>8.1059522893420499E-2</v>
      </c>
      <c r="AS757" s="34">
        <v>0</v>
      </c>
      <c r="AT757" s="34">
        <v>0.125</v>
      </c>
      <c r="AU757" s="34">
        <v>0</v>
      </c>
      <c r="AV757" s="34">
        <v>0.10344827586206896</v>
      </c>
      <c r="AW757" s="10"/>
      <c r="AX757" s="8"/>
    </row>
    <row r="758" spans="1:50">
      <c r="A758" s="7"/>
      <c r="B758" s="10"/>
      <c r="C758" s="45" t="s">
        <v>688</v>
      </c>
      <c r="D758" s="23" t="s">
        <v>21</v>
      </c>
      <c r="E758" s="68" t="s">
        <v>804</v>
      </c>
      <c r="F758" s="68" t="s">
        <v>804</v>
      </c>
      <c r="G758" s="68" t="s">
        <v>804</v>
      </c>
      <c r="H758" s="68" t="s">
        <v>804</v>
      </c>
      <c r="I758" s="25">
        <v>0.9</v>
      </c>
      <c r="J758" s="26">
        <v>0.91666666666666663</v>
      </c>
      <c r="K758" s="26">
        <v>0.83333333333333337</v>
      </c>
      <c r="L758" s="27">
        <v>0.83333333333333337</v>
      </c>
      <c r="M758" s="26">
        <v>0.85057471264367812</v>
      </c>
      <c r="N758" s="28">
        <v>0.9</v>
      </c>
      <c r="O758" s="26">
        <v>0.95252525252525255</v>
      </c>
      <c r="P758" s="26">
        <v>0.96313799621928164</v>
      </c>
      <c r="Q758" s="26">
        <v>0.96753760886777518</v>
      </c>
      <c r="R758" s="26">
        <v>0.95478443743427965</v>
      </c>
      <c r="S758" s="28">
        <v>0.9</v>
      </c>
      <c r="T758" s="26">
        <v>0.96565656565656566</v>
      </c>
      <c r="U758" s="26">
        <v>0.96691871455576561</v>
      </c>
      <c r="V758" s="26">
        <v>0.96912114014251782</v>
      </c>
      <c r="W758" s="26">
        <v>0.94321766561514198</v>
      </c>
      <c r="X758" s="28">
        <v>0.92</v>
      </c>
      <c r="Y758" s="28">
        <v>0.9490909090909091</v>
      </c>
      <c r="Z758" s="28">
        <v>0.97637795275590555</v>
      </c>
      <c r="AA758" s="28">
        <v>0.83272727272727276</v>
      </c>
      <c r="AB758" s="28">
        <v>0.90600000000000003</v>
      </c>
      <c r="AC758" s="28">
        <v>0.92</v>
      </c>
      <c r="AD758" s="26">
        <v>1</v>
      </c>
      <c r="AE758" s="26">
        <v>0.98907103825136611</v>
      </c>
      <c r="AF758" s="26">
        <v>1</v>
      </c>
      <c r="AG758" s="26">
        <v>0.98156389065479976</v>
      </c>
      <c r="AH758" s="28">
        <v>0.92</v>
      </c>
      <c r="AI758" s="26">
        <v>0.974703557312253</v>
      </c>
      <c r="AJ758" s="26">
        <v>0.98932926829268297</v>
      </c>
      <c r="AK758" s="26">
        <v>0.96098829648894668</v>
      </c>
      <c r="AL758" s="26">
        <v>0.97206174827161662</v>
      </c>
      <c r="AM758" s="25">
        <v>0.99</v>
      </c>
      <c r="AN758" s="30">
        <v>1</v>
      </c>
      <c r="AO758" s="30">
        <v>1</v>
      </c>
      <c r="AP758" s="30">
        <v>1</v>
      </c>
      <c r="AQ758" s="30">
        <v>1</v>
      </c>
      <c r="AR758" s="50">
        <v>8.1059522893420499E-2</v>
      </c>
      <c r="AS758" s="34">
        <v>0</v>
      </c>
      <c r="AT758" s="34">
        <v>0.25</v>
      </c>
      <c r="AU758" s="34">
        <v>0.14285714285714285</v>
      </c>
      <c r="AV758" s="34">
        <v>3.7735849056603772E-2</v>
      </c>
      <c r="AW758" s="10"/>
      <c r="AX758" s="8"/>
    </row>
    <row r="759" spans="1:50">
      <c r="A759" s="7"/>
      <c r="B759" s="10"/>
      <c r="C759" s="45" t="s">
        <v>688</v>
      </c>
      <c r="D759" s="23" t="s">
        <v>21</v>
      </c>
      <c r="E759" s="68" t="s">
        <v>805</v>
      </c>
      <c r="F759" s="68" t="s">
        <v>805</v>
      </c>
      <c r="G759" s="68" t="s">
        <v>805</v>
      </c>
      <c r="H759" s="68" t="s">
        <v>805</v>
      </c>
      <c r="I759" s="25">
        <v>0.9</v>
      </c>
      <c r="J759" s="26">
        <v>1</v>
      </c>
      <c r="K759" s="26">
        <v>1</v>
      </c>
      <c r="L759" s="27">
        <v>1</v>
      </c>
      <c r="M759" s="26">
        <v>1</v>
      </c>
      <c r="N759" s="28">
        <v>0.9</v>
      </c>
      <c r="O759" s="26">
        <v>0.99216027874564461</v>
      </c>
      <c r="P759" s="26">
        <v>0.9943273905996759</v>
      </c>
      <c r="Q759" s="26">
        <v>0.99177877428998507</v>
      </c>
      <c r="R759" s="26">
        <v>0.99277794730953106</v>
      </c>
      <c r="S759" s="28">
        <v>0.9</v>
      </c>
      <c r="T759" s="26">
        <v>0.95557491289198604</v>
      </c>
      <c r="U759" s="26">
        <v>0.96272285251215561</v>
      </c>
      <c r="V759" s="26">
        <v>0.95590433482810166</v>
      </c>
      <c r="W759" s="26">
        <v>0.96124504119621601</v>
      </c>
      <c r="X759" s="28">
        <v>0.92</v>
      </c>
      <c r="Y759" s="28">
        <v>0.94584837545126355</v>
      </c>
      <c r="Z759" s="28">
        <v>0.96119402985074631</v>
      </c>
      <c r="AA759" s="28">
        <v>0.96308724832214765</v>
      </c>
      <c r="AB759" s="28">
        <v>0.95163398692810452</v>
      </c>
      <c r="AC759" s="28">
        <v>0.92</v>
      </c>
      <c r="AD759" s="26">
        <v>1</v>
      </c>
      <c r="AE759" s="26">
        <v>0.99555555555555553</v>
      </c>
      <c r="AF759" s="26">
        <v>0.99786780383795304</v>
      </c>
      <c r="AG759" s="26">
        <v>0.99929245283018864</v>
      </c>
      <c r="AH759" s="28">
        <v>0.92</v>
      </c>
      <c r="AI759" s="26">
        <v>0.97405329593267886</v>
      </c>
      <c r="AJ759" s="26">
        <v>0.982791586998088</v>
      </c>
      <c r="AK759" s="26">
        <v>0.98471882640586794</v>
      </c>
      <c r="AL759" s="26">
        <v>0.98103405623814632</v>
      </c>
      <c r="AM759" s="25">
        <v>0.99</v>
      </c>
      <c r="AN759" s="30">
        <v>1</v>
      </c>
      <c r="AO759" s="30">
        <v>1</v>
      </c>
      <c r="AP759" s="30">
        <v>1</v>
      </c>
      <c r="AQ759" s="30">
        <v>1</v>
      </c>
      <c r="AR759" s="50">
        <v>8.1059522893420499E-2</v>
      </c>
      <c r="AS759" s="34">
        <v>0</v>
      </c>
      <c r="AT759" s="34">
        <v>0</v>
      </c>
      <c r="AU759" s="34">
        <v>0</v>
      </c>
      <c r="AV759" s="34">
        <v>0</v>
      </c>
      <c r="AW759" s="10"/>
      <c r="AX759" s="8"/>
    </row>
    <row r="760" spans="1:50">
      <c r="A760" s="7"/>
      <c r="B760" s="10"/>
      <c r="C760" s="45" t="s">
        <v>688</v>
      </c>
      <c r="D760" s="23" t="s">
        <v>21</v>
      </c>
      <c r="E760" s="68" t="s">
        <v>806</v>
      </c>
      <c r="F760" s="68" t="s">
        <v>806</v>
      </c>
      <c r="G760" s="68" t="s">
        <v>806</v>
      </c>
      <c r="H760" s="68" t="s">
        <v>806</v>
      </c>
      <c r="I760" s="25">
        <v>0.9</v>
      </c>
      <c r="J760" s="26">
        <v>0.76315789473684215</v>
      </c>
      <c r="K760" s="26">
        <v>0.73529411764705888</v>
      </c>
      <c r="L760" s="27">
        <v>0.86486486486486491</v>
      </c>
      <c r="M760" s="26">
        <v>0.82310469314079426</v>
      </c>
      <c r="N760" s="28">
        <v>0.9</v>
      </c>
      <c r="O760" s="26">
        <v>0.95867371456030759</v>
      </c>
      <c r="P760" s="26">
        <v>0.92592592592592593</v>
      </c>
      <c r="Q760" s="26">
        <v>0.94942965779467681</v>
      </c>
      <c r="R760" s="26">
        <v>0.89496242988676056</v>
      </c>
      <c r="S760" s="28">
        <v>0.9</v>
      </c>
      <c r="T760" s="26">
        <v>0.91782796732340222</v>
      </c>
      <c r="U760" s="26">
        <v>0.9229112833763996</v>
      </c>
      <c r="V760" s="26">
        <v>0.9140684410646388</v>
      </c>
      <c r="W760" s="26">
        <v>0.90152397079055979</v>
      </c>
      <c r="X760" s="28">
        <v>0.92</v>
      </c>
      <c r="Y760" s="28">
        <v>0.91254125412541254</v>
      </c>
      <c r="Z760" s="28">
        <v>0.93333333333333335</v>
      </c>
      <c r="AA760" s="28">
        <v>0.9307958477508651</v>
      </c>
      <c r="AB760" s="28">
        <v>0.91480820695807319</v>
      </c>
      <c r="AC760" s="28">
        <v>0.92</v>
      </c>
      <c r="AD760" s="26">
        <v>0.99533464920150727</v>
      </c>
      <c r="AE760" s="26">
        <v>0.98642567318332719</v>
      </c>
      <c r="AF760" s="26">
        <v>0.98417184850197847</v>
      </c>
      <c r="AG760" s="26">
        <v>0.98410395092671987</v>
      </c>
      <c r="AH760" s="28">
        <v>0.92</v>
      </c>
      <c r="AI760" s="26">
        <v>0.95386904761904767</v>
      </c>
      <c r="AJ760" s="26">
        <v>0.95376884422110553</v>
      </c>
      <c r="AK760" s="26">
        <v>0.96508728179551118</v>
      </c>
      <c r="AL760" s="26">
        <v>0.94879685429755956</v>
      </c>
      <c r="AM760" s="25">
        <v>0.99</v>
      </c>
      <c r="AN760" s="30">
        <v>1</v>
      </c>
      <c r="AO760" s="30">
        <v>1</v>
      </c>
      <c r="AP760" s="30">
        <v>1</v>
      </c>
      <c r="AQ760" s="30">
        <v>1</v>
      </c>
      <c r="AR760" s="50">
        <v>8.1059522893420499E-2</v>
      </c>
      <c r="AS760" s="34">
        <v>0</v>
      </c>
      <c r="AT760" s="34">
        <v>0.04</v>
      </c>
      <c r="AU760" s="34">
        <v>0</v>
      </c>
      <c r="AV760" s="34">
        <v>2.5157232704402517E-2</v>
      </c>
      <c r="AW760" s="10"/>
      <c r="AX760" s="8"/>
    </row>
    <row r="761" spans="1:50">
      <c r="A761" s="7"/>
      <c r="B761" s="10"/>
      <c r="C761" s="45" t="s">
        <v>688</v>
      </c>
      <c r="D761" s="23" t="s">
        <v>21</v>
      </c>
      <c r="E761" s="68" t="s">
        <v>807</v>
      </c>
      <c r="F761" s="68" t="s">
        <v>807</v>
      </c>
      <c r="G761" s="68" t="s">
        <v>807</v>
      </c>
      <c r="H761" s="68" t="s">
        <v>807</v>
      </c>
      <c r="I761" s="25">
        <v>0.9</v>
      </c>
      <c r="J761" s="26">
        <v>0.93333333333333335</v>
      </c>
      <c r="K761" s="26">
        <v>0.93548387096774188</v>
      </c>
      <c r="L761" s="27">
        <v>0.93103448275862066</v>
      </c>
      <c r="M761" s="26">
        <v>0.95217391304347831</v>
      </c>
      <c r="N761" s="28">
        <v>0.9</v>
      </c>
      <c r="O761" s="26">
        <v>0.98447671507260892</v>
      </c>
      <c r="P761" s="26">
        <v>0.96208314298766562</v>
      </c>
      <c r="Q761" s="26">
        <v>0.95668316831683164</v>
      </c>
      <c r="R761" s="26">
        <v>0.96590976462915756</v>
      </c>
      <c r="S761" s="28">
        <v>0.9</v>
      </c>
      <c r="T761" s="26">
        <v>0.93440160240360537</v>
      </c>
      <c r="U761" s="26">
        <v>0.94243947007766105</v>
      </c>
      <c r="V761" s="26">
        <v>0.90346534653465349</v>
      </c>
      <c r="W761" s="26">
        <v>0.9217999644275805</v>
      </c>
      <c r="X761" s="28">
        <v>0.92</v>
      </c>
      <c r="Y761" s="28">
        <v>0.94389438943894388</v>
      </c>
      <c r="Z761" s="28">
        <v>0.96500920810313073</v>
      </c>
      <c r="AA761" s="28">
        <v>0.93992248062015504</v>
      </c>
      <c r="AB761" s="28">
        <v>0.94179628700451579</v>
      </c>
      <c r="AC761" s="28">
        <v>0.92</v>
      </c>
      <c r="AD761" s="26">
        <v>0.99939716668341205</v>
      </c>
      <c r="AE761" s="26">
        <v>0.9976626098170388</v>
      </c>
      <c r="AF761" s="26">
        <v>0.99746695163460775</v>
      </c>
      <c r="AG761" s="26">
        <v>0.99622739555186035</v>
      </c>
      <c r="AH761" s="28">
        <v>0.92</v>
      </c>
      <c r="AI761" s="26">
        <v>0.97043010752688175</v>
      </c>
      <c r="AJ761" s="26">
        <v>0.97510980966325034</v>
      </c>
      <c r="AK761" s="26">
        <v>0.9741672331747111</v>
      </c>
      <c r="AL761" s="26">
        <v>0.97070949185043143</v>
      </c>
      <c r="AM761" s="25">
        <v>0.99</v>
      </c>
      <c r="AN761" s="30">
        <v>1</v>
      </c>
      <c r="AO761" s="30">
        <v>1</v>
      </c>
      <c r="AP761" s="30">
        <v>1</v>
      </c>
      <c r="AQ761" s="30">
        <v>1</v>
      </c>
      <c r="AR761" s="50">
        <v>8.1059522893420499E-2</v>
      </c>
      <c r="AS761" s="34">
        <v>0</v>
      </c>
      <c r="AT761" s="34">
        <v>0</v>
      </c>
      <c r="AU761" s="34">
        <v>0</v>
      </c>
      <c r="AV761" s="34">
        <v>1.6393442622950821E-2</v>
      </c>
      <c r="AW761" s="10"/>
      <c r="AX761" s="8"/>
    </row>
    <row r="762" spans="1:50">
      <c r="A762" s="7"/>
      <c r="B762" s="10"/>
      <c r="C762" s="45" t="s">
        <v>688</v>
      </c>
      <c r="D762" s="23" t="s">
        <v>21</v>
      </c>
      <c r="E762" s="68" t="s">
        <v>808</v>
      </c>
      <c r="F762" s="68" t="s">
        <v>808</v>
      </c>
      <c r="G762" s="68" t="s">
        <v>808</v>
      </c>
      <c r="H762" s="68" t="s">
        <v>808</v>
      </c>
      <c r="I762" s="25">
        <v>0.9</v>
      </c>
      <c r="J762" s="26">
        <v>0.9285714285714286</v>
      </c>
      <c r="K762" s="26">
        <v>1</v>
      </c>
      <c r="L762" s="27">
        <v>0.95652173913043481</v>
      </c>
      <c r="M762" s="26">
        <v>0.97222222222222221</v>
      </c>
      <c r="N762" s="28">
        <v>0.9</v>
      </c>
      <c r="O762" s="26">
        <v>0.95515695067264572</v>
      </c>
      <c r="P762" s="26">
        <v>0.94039735099337751</v>
      </c>
      <c r="Q762" s="26">
        <v>0.95874661857529309</v>
      </c>
      <c r="R762" s="26">
        <v>0.95016828721017199</v>
      </c>
      <c r="S762" s="28">
        <v>0.9</v>
      </c>
      <c r="T762" s="26">
        <v>0.97234678624813153</v>
      </c>
      <c r="U762" s="26">
        <v>0.9668874172185431</v>
      </c>
      <c r="V762" s="26">
        <v>0.9781334535617674</v>
      </c>
      <c r="W762" s="26">
        <v>0.97051857392171526</v>
      </c>
      <c r="X762" s="28">
        <v>0.92</v>
      </c>
      <c r="Y762" s="28">
        <v>0.98133116883116878</v>
      </c>
      <c r="Z762" s="28">
        <v>0.9853723404255319</v>
      </c>
      <c r="AA762" s="28">
        <v>0.98542274052478129</v>
      </c>
      <c r="AB762" s="28">
        <v>0.97923121055651174</v>
      </c>
      <c r="AC762" s="28">
        <v>0.92</v>
      </c>
      <c r="AD762" s="26">
        <v>0.98340784044016505</v>
      </c>
      <c r="AE762" s="26">
        <v>0.96386393063130227</v>
      </c>
      <c r="AF762" s="26">
        <v>0.97827395611010781</v>
      </c>
      <c r="AG762" s="26">
        <v>0.9717763223606295</v>
      </c>
      <c r="AH762" s="28">
        <v>0.92</v>
      </c>
      <c r="AI762" s="26">
        <v>0.98570611778158945</v>
      </c>
      <c r="AJ762" s="26">
        <v>0.98763662426088517</v>
      </c>
      <c r="AK762" s="26">
        <v>0.99103549213318698</v>
      </c>
      <c r="AL762" s="26">
        <v>0.98630472597202146</v>
      </c>
      <c r="AM762" s="25">
        <v>0.99</v>
      </c>
      <c r="AN762" s="30">
        <v>1</v>
      </c>
      <c r="AO762" s="30">
        <v>1</v>
      </c>
      <c r="AP762" s="30">
        <v>1</v>
      </c>
      <c r="AQ762" s="30">
        <v>1</v>
      </c>
      <c r="AR762" s="50">
        <v>8.1059522893420499E-2</v>
      </c>
      <c r="AS762" s="34">
        <v>0.1</v>
      </c>
      <c r="AT762" s="34">
        <v>0</v>
      </c>
      <c r="AU762" s="34">
        <v>7.6923076923076927E-2</v>
      </c>
      <c r="AV762" s="34">
        <v>2.3529411764705882E-2</v>
      </c>
      <c r="AW762" s="10"/>
      <c r="AX762" s="8"/>
    </row>
    <row r="763" spans="1:50">
      <c r="A763" s="7"/>
      <c r="B763" s="10"/>
      <c r="C763" s="45" t="s">
        <v>688</v>
      </c>
      <c r="D763" s="23" t="s">
        <v>21</v>
      </c>
      <c r="E763" s="68" t="s">
        <v>809</v>
      </c>
      <c r="F763" s="68" t="s">
        <v>809</v>
      </c>
      <c r="G763" s="68" t="s">
        <v>809</v>
      </c>
      <c r="H763" s="68" t="s">
        <v>809</v>
      </c>
      <c r="I763" s="25">
        <v>0.9</v>
      </c>
      <c r="J763" s="26">
        <v>0.93333333333333335</v>
      </c>
      <c r="K763" s="26">
        <v>0.94444444444444442</v>
      </c>
      <c r="L763" s="27">
        <v>0.94117647058823528</v>
      </c>
      <c r="M763" s="26">
        <v>0.96124031007751942</v>
      </c>
      <c r="N763" s="28">
        <v>0.9</v>
      </c>
      <c r="O763" s="26">
        <v>0.96310679611650485</v>
      </c>
      <c r="P763" s="26">
        <v>0.98066783831282955</v>
      </c>
      <c r="Q763" s="26">
        <v>0.96368563685636854</v>
      </c>
      <c r="R763" s="26">
        <v>0.97084391107008228</v>
      </c>
      <c r="S763" s="28">
        <v>0.9</v>
      </c>
      <c r="T763" s="26">
        <v>0.95987055016181233</v>
      </c>
      <c r="U763" s="26">
        <v>0.96602226127709434</v>
      </c>
      <c r="V763" s="26">
        <v>0.96693766937669379</v>
      </c>
      <c r="W763" s="26">
        <v>0.96553581044695747</v>
      </c>
      <c r="X763" s="28">
        <v>0.92</v>
      </c>
      <c r="Y763" s="28">
        <v>0.9806034482758621</v>
      </c>
      <c r="Z763" s="28">
        <v>0.97932330827067671</v>
      </c>
      <c r="AA763" s="28">
        <v>0.98160919540229885</v>
      </c>
      <c r="AB763" s="28">
        <v>0.97581104154809339</v>
      </c>
      <c r="AC763" s="28">
        <v>0.92</v>
      </c>
      <c r="AD763" s="26">
        <v>0.99930823203873897</v>
      </c>
      <c r="AE763" s="26">
        <v>0.99758440845457041</v>
      </c>
      <c r="AF763" s="26">
        <v>0.99858269948504752</v>
      </c>
      <c r="AG763" s="26">
        <v>0.99731294182644614</v>
      </c>
      <c r="AH763" s="28">
        <v>0.92</v>
      </c>
      <c r="AI763" s="26">
        <v>0.98508946322067592</v>
      </c>
      <c r="AJ763" s="26">
        <v>0.98527443105756363</v>
      </c>
      <c r="AK763" s="26">
        <v>0.9886114761279019</v>
      </c>
      <c r="AL763" s="26">
        <v>0.98626240619704675</v>
      </c>
      <c r="AM763" s="25">
        <v>0.99</v>
      </c>
      <c r="AN763" s="30">
        <v>1</v>
      </c>
      <c r="AO763" s="30">
        <v>1</v>
      </c>
      <c r="AP763" s="30">
        <v>1</v>
      </c>
      <c r="AQ763" s="30">
        <v>1</v>
      </c>
      <c r="AR763" s="50">
        <v>8.1059522893420499E-2</v>
      </c>
      <c r="AS763" s="34">
        <v>0</v>
      </c>
      <c r="AT763" s="34">
        <v>0</v>
      </c>
      <c r="AU763" s="34">
        <v>0</v>
      </c>
      <c r="AV763" s="34">
        <v>4.7619047619047616E-2</v>
      </c>
      <c r="AW763" s="10"/>
      <c r="AX763" s="8"/>
    </row>
    <row r="764" spans="1:50">
      <c r="A764" s="7"/>
      <c r="B764" s="10"/>
      <c r="C764" s="45" t="s">
        <v>688</v>
      </c>
      <c r="D764" s="23" t="s">
        <v>21</v>
      </c>
      <c r="E764" s="68" t="s">
        <v>810</v>
      </c>
      <c r="F764" s="68" t="s">
        <v>810</v>
      </c>
      <c r="G764" s="68" t="s">
        <v>810</v>
      </c>
      <c r="H764" s="68" t="s">
        <v>810</v>
      </c>
      <c r="I764" s="25">
        <v>0.9</v>
      </c>
      <c r="J764" s="26">
        <v>1</v>
      </c>
      <c r="K764" s="26">
        <v>1</v>
      </c>
      <c r="L764" s="27">
        <v>1</v>
      </c>
      <c r="M764" s="26">
        <v>0.98281786941580751</v>
      </c>
      <c r="N764" s="28">
        <v>0.9</v>
      </c>
      <c r="O764" s="26">
        <v>0.98408367439745337</v>
      </c>
      <c r="P764" s="26">
        <v>0.98585947856827216</v>
      </c>
      <c r="Q764" s="26">
        <v>0.97855227882037532</v>
      </c>
      <c r="R764" s="26">
        <v>0.9750777146532319</v>
      </c>
      <c r="S764" s="28">
        <v>0.9</v>
      </c>
      <c r="T764" s="26">
        <v>0.93815370623010463</v>
      </c>
      <c r="U764" s="26">
        <v>0.94122845779938136</v>
      </c>
      <c r="V764" s="26">
        <v>0.93335886633473764</v>
      </c>
      <c r="W764" s="26">
        <v>0.93557723228641865</v>
      </c>
      <c r="X764" s="28">
        <v>0.92</v>
      </c>
      <c r="Y764" s="28">
        <v>0.94387755102040816</v>
      </c>
      <c r="Z764" s="28">
        <v>0.94202898550724634</v>
      </c>
      <c r="AA764" s="28">
        <v>0.93950850661625707</v>
      </c>
      <c r="AB764" s="28">
        <v>0.9463276836158192</v>
      </c>
      <c r="AC764" s="28">
        <v>0.92</v>
      </c>
      <c r="AD764" s="26">
        <v>0.99716606839221611</v>
      </c>
      <c r="AE764" s="26">
        <v>0.99949891431434779</v>
      </c>
      <c r="AF764" s="26">
        <v>0.99885909868796352</v>
      </c>
      <c r="AG764" s="26">
        <v>0.99729456981512898</v>
      </c>
      <c r="AH764" s="28">
        <v>0.92</v>
      </c>
      <c r="AI764" s="26">
        <v>0.9741657696447793</v>
      </c>
      <c r="AJ764" s="26">
        <v>0.97488168911539863</v>
      </c>
      <c r="AK764" s="26">
        <v>0.97612985359643534</v>
      </c>
      <c r="AL764" s="26">
        <v>0.97598050077553733</v>
      </c>
      <c r="AM764" s="25">
        <v>0.99</v>
      </c>
      <c r="AN764" s="30">
        <v>1</v>
      </c>
      <c r="AO764" s="30">
        <v>1</v>
      </c>
      <c r="AP764" s="30">
        <v>1</v>
      </c>
      <c r="AQ764" s="30">
        <v>1</v>
      </c>
      <c r="AR764" s="50">
        <v>8.1059522893420499E-2</v>
      </c>
      <c r="AS764" s="34">
        <v>0.21428571428571427</v>
      </c>
      <c r="AT764" s="34">
        <v>0</v>
      </c>
      <c r="AU764" s="34">
        <v>0</v>
      </c>
      <c r="AV764" s="34">
        <v>6.0240963855421686E-2</v>
      </c>
      <c r="AW764" s="10"/>
      <c r="AX764" s="8"/>
    </row>
    <row r="765" spans="1:50">
      <c r="A765" s="7"/>
      <c r="B765" s="10"/>
      <c r="C765" s="45" t="s">
        <v>688</v>
      </c>
      <c r="D765" s="23" t="s">
        <v>21</v>
      </c>
      <c r="E765" s="68" t="s">
        <v>811</v>
      </c>
      <c r="F765" s="68" t="s">
        <v>811</v>
      </c>
      <c r="G765" s="68" t="s">
        <v>811</v>
      </c>
      <c r="H765" s="68" t="s">
        <v>811</v>
      </c>
      <c r="I765" s="25">
        <v>0.9</v>
      </c>
      <c r="J765" s="26">
        <v>0.9285714285714286</v>
      </c>
      <c r="K765" s="26">
        <v>0.8928571428571429</v>
      </c>
      <c r="L765" s="27">
        <v>0.96666666666666667</v>
      </c>
      <c r="M765" s="26">
        <v>0.9419642857142857</v>
      </c>
      <c r="N765" s="28">
        <v>0.9</v>
      </c>
      <c r="O765" s="26">
        <v>0.92557883131201768</v>
      </c>
      <c r="P765" s="26">
        <v>0.92307692307692313</v>
      </c>
      <c r="Q765" s="26">
        <v>0.90921409214092141</v>
      </c>
      <c r="R765" s="26">
        <v>0.90959675307672161</v>
      </c>
      <c r="S765" s="28">
        <v>0.9</v>
      </c>
      <c r="T765" s="26">
        <v>0.91289966923925026</v>
      </c>
      <c r="U765" s="26">
        <v>0.92144026186579375</v>
      </c>
      <c r="V765" s="26">
        <v>0.9205058717253839</v>
      </c>
      <c r="W765" s="26">
        <v>0.90841843414506418</v>
      </c>
      <c r="X765" s="28">
        <v>0.92</v>
      </c>
      <c r="Y765" s="28">
        <v>0.9296875</v>
      </c>
      <c r="Z765" s="28">
        <v>0.91666666666666663</v>
      </c>
      <c r="AA765" s="28">
        <v>0.94823529411764707</v>
      </c>
      <c r="AB765" s="28">
        <v>0.92521180251241597</v>
      </c>
      <c r="AC765" s="28">
        <v>0.92</v>
      </c>
      <c r="AD765" s="26">
        <v>0.99625748502994016</v>
      </c>
      <c r="AE765" s="26">
        <v>0.99924023704604159</v>
      </c>
      <c r="AF765" s="26">
        <v>0.99934296977660975</v>
      </c>
      <c r="AG765" s="26">
        <v>0.99880571636775839</v>
      </c>
      <c r="AH765" s="28">
        <v>0.92</v>
      </c>
      <c r="AI765" s="26">
        <v>0.96044711951848671</v>
      </c>
      <c r="AJ765" s="26">
        <v>0.95456531236347753</v>
      </c>
      <c r="AK765" s="26">
        <v>0.97309586964759376</v>
      </c>
      <c r="AL765" s="26">
        <v>0.96005561199935829</v>
      </c>
      <c r="AM765" s="25">
        <v>0.99</v>
      </c>
      <c r="AN765" s="30">
        <v>1</v>
      </c>
      <c r="AO765" s="30">
        <v>1</v>
      </c>
      <c r="AP765" s="30">
        <v>1</v>
      </c>
      <c r="AQ765" s="30">
        <v>1</v>
      </c>
      <c r="AR765" s="50">
        <v>8.1059522893420499E-2</v>
      </c>
      <c r="AS765" s="34">
        <v>7.6923076923076927E-2</v>
      </c>
      <c r="AT765" s="34">
        <v>0</v>
      </c>
      <c r="AU765" s="34">
        <v>0.125</v>
      </c>
      <c r="AV765" s="34">
        <v>0.12</v>
      </c>
      <c r="AW765" s="10"/>
      <c r="AX765" s="8"/>
    </row>
    <row r="766" spans="1:50">
      <c r="A766" s="7"/>
      <c r="B766" s="10"/>
      <c r="C766" s="45" t="s">
        <v>688</v>
      </c>
      <c r="D766" s="23" t="s">
        <v>21</v>
      </c>
      <c r="E766" s="68" t="s">
        <v>812</v>
      </c>
      <c r="F766" s="68" t="s">
        <v>812</v>
      </c>
      <c r="G766" s="68" t="s">
        <v>812</v>
      </c>
      <c r="H766" s="68" t="s">
        <v>812</v>
      </c>
      <c r="I766" s="25">
        <v>0.9</v>
      </c>
      <c r="J766" s="26">
        <v>1</v>
      </c>
      <c r="K766" s="26">
        <v>1</v>
      </c>
      <c r="L766" s="27">
        <v>0.97368421052631582</v>
      </c>
      <c r="M766" s="26">
        <v>0.98979591836734693</v>
      </c>
      <c r="N766" s="28">
        <v>0.9</v>
      </c>
      <c r="O766" s="26">
        <v>0.97748123436196832</v>
      </c>
      <c r="P766" s="26">
        <v>0.95915354330708658</v>
      </c>
      <c r="Q766" s="26">
        <v>0.97590084920817077</v>
      </c>
      <c r="R766" s="26">
        <v>0.97122233223673704</v>
      </c>
      <c r="S766" s="28">
        <v>0.9</v>
      </c>
      <c r="T766" s="26">
        <v>0.95218237420072283</v>
      </c>
      <c r="U766" s="26">
        <v>0.96481299212598426</v>
      </c>
      <c r="V766" s="26">
        <v>0.94170300665595597</v>
      </c>
      <c r="W766" s="26">
        <v>0.95371937781468585</v>
      </c>
      <c r="X766" s="28">
        <v>0.92</v>
      </c>
      <c r="Y766" s="28">
        <v>0.96858638743455494</v>
      </c>
      <c r="Z766" s="28">
        <v>0.98516320474777452</v>
      </c>
      <c r="AA766" s="28">
        <v>0.97376387487386473</v>
      </c>
      <c r="AB766" s="28">
        <v>0.97737345463027758</v>
      </c>
      <c r="AC766" s="28">
        <v>0.92</v>
      </c>
      <c r="AD766" s="26">
        <v>0.99604376804362549</v>
      </c>
      <c r="AE766" s="26">
        <v>0.99608002662623418</v>
      </c>
      <c r="AF766" s="26">
        <v>0.99716119111689383</v>
      </c>
      <c r="AG766" s="26">
        <v>0.99475683890577504</v>
      </c>
      <c r="AH766" s="28">
        <v>0.92</v>
      </c>
      <c r="AI766" s="26">
        <v>0.97722960151802651</v>
      </c>
      <c r="AJ766" s="26">
        <v>0.9841123221873268</v>
      </c>
      <c r="AK766" s="26">
        <v>0.98149186763881102</v>
      </c>
      <c r="AL766" s="26">
        <v>0.98127491038528059</v>
      </c>
      <c r="AM766" s="25">
        <v>0.99</v>
      </c>
      <c r="AN766" s="30">
        <v>1</v>
      </c>
      <c r="AO766" s="30">
        <v>1</v>
      </c>
      <c r="AP766" s="30">
        <v>1</v>
      </c>
      <c r="AQ766" s="30">
        <v>1</v>
      </c>
      <c r="AR766" s="50">
        <v>8.1059522893420499E-2</v>
      </c>
      <c r="AS766" s="34">
        <v>0.05</v>
      </c>
      <c r="AT766" s="34">
        <v>0.16666666666666666</v>
      </c>
      <c r="AU766" s="34">
        <v>0</v>
      </c>
      <c r="AV766" s="34">
        <v>5.5045871559633031E-2</v>
      </c>
      <c r="AW766" s="10"/>
      <c r="AX766" s="8"/>
    </row>
    <row r="767" spans="1:50">
      <c r="A767" s="7"/>
      <c r="B767" s="10"/>
      <c r="C767" s="45" t="s">
        <v>688</v>
      </c>
      <c r="D767" s="23" t="s">
        <v>21</v>
      </c>
      <c r="E767" s="68" t="s">
        <v>813</v>
      </c>
      <c r="F767" s="68" t="s">
        <v>813</v>
      </c>
      <c r="G767" s="68" t="s">
        <v>813</v>
      </c>
      <c r="H767" s="68" t="s">
        <v>813</v>
      </c>
      <c r="I767" s="25">
        <v>0.9</v>
      </c>
      <c r="J767" s="26">
        <v>0</v>
      </c>
      <c r="K767" s="26">
        <v>0</v>
      </c>
      <c r="L767" s="27">
        <v>0</v>
      </c>
      <c r="M767" s="26">
        <v>0</v>
      </c>
      <c r="N767" s="28">
        <v>0.9</v>
      </c>
      <c r="O767" s="26">
        <v>0</v>
      </c>
      <c r="P767" s="26">
        <v>0</v>
      </c>
      <c r="Q767" s="26">
        <v>0</v>
      </c>
      <c r="R767" s="26">
        <v>0</v>
      </c>
      <c r="S767" s="28">
        <v>0.9</v>
      </c>
      <c r="T767" s="26">
        <v>0</v>
      </c>
      <c r="U767" s="26">
        <v>0</v>
      </c>
      <c r="V767" s="26">
        <v>0</v>
      </c>
      <c r="W767" s="26">
        <v>0</v>
      </c>
      <c r="X767" s="28">
        <v>0.92</v>
      </c>
      <c r="Y767" s="28">
        <v>0</v>
      </c>
      <c r="Z767" s="28">
        <v>0</v>
      </c>
      <c r="AA767" s="28">
        <v>0</v>
      </c>
      <c r="AB767" s="28">
        <v>0</v>
      </c>
      <c r="AC767" s="28">
        <v>0.92</v>
      </c>
      <c r="AD767" s="26">
        <v>0</v>
      </c>
      <c r="AE767" s="26">
        <v>0</v>
      </c>
      <c r="AF767" s="26">
        <v>0</v>
      </c>
      <c r="AG767" s="26">
        <v>0</v>
      </c>
      <c r="AH767" s="28">
        <v>0.92</v>
      </c>
      <c r="AI767" s="26">
        <v>0</v>
      </c>
      <c r="AJ767" s="26">
        <v>0</v>
      </c>
      <c r="AK767" s="26">
        <v>0</v>
      </c>
      <c r="AL767" s="26">
        <v>0</v>
      </c>
      <c r="AM767" s="25">
        <v>0.99</v>
      </c>
      <c r="AN767" s="30">
        <v>0</v>
      </c>
      <c r="AO767" s="30">
        <v>0</v>
      </c>
      <c r="AP767" s="30">
        <v>0</v>
      </c>
      <c r="AQ767" s="30">
        <v>0</v>
      </c>
      <c r="AR767" s="50">
        <v>8.1059522893420499E-2</v>
      </c>
      <c r="AS767" s="34">
        <v>0</v>
      </c>
      <c r="AT767" s="34">
        <v>0</v>
      </c>
      <c r="AU767" s="34">
        <v>0</v>
      </c>
      <c r="AV767" s="34">
        <v>0</v>
      </c>
      <c r="AW767" s="10"/>
      <c r="AX767" s="8"/>
    </row>
    <row r="768" spans="1:50">
      <c r="A768" s="7"/>
      <c r="B768" s="10"/>
      <c r="C768" s="45" t="s">
        <v>688</v>
      </c>
      <c r="D768" s="23" t="s">
        <v>21</v>
      </c>
      <c r="E768" s="68" t="s">
        <v>814</v>
      </c>
      <c r="F768" s="68" t="s">
        <v>814</v>
      </c>
      <c r="G768" s="68" t="s">
        <v>814</v>
      </c>
      <c r="H768" s="68" t="s">
        <v>814</v>
      </c>
      <c r="I768" s="25">
        <v>0.9</v>
      </c>
      <c r="J768" s="26">
        <v>0.95</v>
      </c>
      <c r="K768" s="26">
        <v>0.88888888888888884</v>
      </c>
      <c r="L768" s="27">
        <v>1</v>
      </c>
      <c r="M768" s="26">
        <v>0.93377483443708609</v>
      </c>
      <c r="N768" s="28">
        <v>0.9</v>
      </c>
      <c r="O768" s="26">
        <v>0.97426796805678795</v>
      </c>
      <c r="P768" s="26">
        <v>0.97142857142857142</v>
      </c>
      <c r="Q768" s="26">
        <v>0.9651081646894627</v>
      </c>
      <c r="R768" s="26">
        <v>0.97051955633391707</v>
      </c>
      <c r="S768" s="28">
        <v>0.9</v>
      </c>
      <c r="T768" s="26">
        <v>0.95918367346938771</v>
      </c>
      <c r="U768" s="26">
        <v>0.94957983193277307</v>
      </c>
      <c r="V768" s="26">
        <v>0.9539427773900907</v>
      </c>
      <c r="W768" s="26">
        <v>0.95446584938704027</v>
      </c>
      <c r="X768" s="28">
        <v>0.92</v>
      </c>
      <c r="Y768" s="28">
        <v>0.94880546075085326</v>
      </c>
      <c r="Z768" s="28">
        <v>0.96604938271604934</v>
      </c>
      <c r="AA768" s="28">
        <v>0.97014925373134331</v>
      </c>
      <c r="AB768" s="28">
        <v>0.96539485359361132</v>
      </c>
      <c r="AC768" s="28">
        <v>0.92</v>
      </c>
      <c r="AD768" s="26">
        <v>0.99726708074534165</v>
      </c>
      <c r="AE768" s="26">
        <v>0.99572751008782345</v>
      </c>
      <c r="AF768" s="26">
        <v>0.99929922915206726</v>
      </c>
      <c r="AG768" s="26">
        <v>0.99875286406218278</v>
      </c>
      <c r="AH768" s="28">
        <v>0.92</v>
      </c>
      <c r="AI768" s="26">
        <v>0.9774647887323944</v>
      </c>
      <c r="AJ768" s="26">
        <v>0.98612945838837518</v>
      </c>
      <c r="AK768" s="26">
        <v>0.98943041691133293</v>
      </c>
      <c r="AL768" s="26">
        <v>0.98374890464430809</v>
      </c>
      <c r="AM768" s="25">
        <v>0.99</v>
      </c>
      <c r="AN768" s="30">
        <v>1</v>
      </c>
      <c r="AO768" s="30">
        <v>1</v>
      </c>
      <c r="AP768" s="30">
        <v>1</v>
      </c>
      <c r="AQ768" s="30">
        <v>1</v>
      </c>
      <c r="AR768" s="50">
        <v>8.1059522893420499E-2</v>
      </c>
      <c r="AS768" s="34">
        <v>-0.125</v>
      </c>
      <c r="AT768" s="34">
        <v>0</v>
      </c>
      <c r="AU768" s="34">
        <v>0</v>
      </c>
      <c r="AV768" s="34">
        <v>-3.125E-2</v>
      </c>
      <c r="AW768" s="10"/>
      <c r="AX768" s="8"/>
    </row>
    <row r="769" spans="1:50">
      <c r="A769" s="7"/>
      <c r="B769" s="10"/>
      <c r="C769" s="45" t="s">
        <v>688</v>
      </c>
      <c r="D769" s="23" t="s">
        <v>21</v>
      </c>
      <c r="E769" s="68" t="s">
        <v>815</v>
      </c>
      <c r="F769" s="68" t="s">
        <v>815</v>
      </c>
      <c r="G769" s="68" t="s">
        <v>815</v>
      </c>
      <c r="H769" s="68" t="s">
        <v>815</v>
      </c>
      <c r="I769" s="25">
        <v>0.9</v>
      </c>
      <c r="J769" s="26">
        <v>0.3888888888888889</v>
      </c>
      <c r="K769" s="26">
        <v>0.57894736842105265</v>
      </c>
      <c r="L769" s="27">
        <v>0.63157894736842102</v>
      </c>
      <c r="M769" s="26">
        <v>0.46575342465753422</v>
      </c>
      <c r="N769" s="28">
        <v>0.9</v>
      </c>
      <c r="O769" s="26">
        <v>0.9543568464730291</v>
      </c>
      <c r="P769" s="26">
        <v>0.96368876080691646</v>
      </c>
      <c r="Q769" s="26">
        <v>0.94522019334049412</v>
      </c>
      <c r="R769" s="26">
        <v>0.95519415864586787</v>
      </c>
      <c r="S769" s="28">
        <v>0.9</v>
      </c>
      <c r="T769" s="26">
        <v>0.91286307053941906</v>
      </c>
      <c r="U769" s="26">
        <v>0.92622478386167151</v>
      </c>
      <c r="V769" s="26">
        <v>0.90816326530612246</v>
      </c>
      <c r="W769" s="26">
        <v>0.91254563557915702</v>
      </c>
      <c r="X769" s="28">
        <v>0.92</v>
      </c>
      <c r="Y769" s="28">
        <v>0.90140845070422537</v>
      </c>
      <c r="Z769" s="28">
        <v>0.89572192513368987</v>
      </c>
      <c r="AA769" s="28">
        <v>0.93521126760563378</v>
      </c>
      <c r="AB769" s="28">
        <v>0.89902280130293155</v>
      </c>
      <c r="AC769" s="28">
        <v>0.92</v>
      </c>
      <c r="AD769" s="26">
        <v>1</v>
      </c>
      <c r="AE769" s="26">
        <v>0.99750312109862671</v>
      </c>
      <c r="AF769" s="26">
        <v>0.99876390605686027</v>
      </c>
      <c r="AG769" s="26">
        <v>0.99534534534534536</v>
      </c>
      <c r="AH769" s="28">
        <v>0.92</v>
      </c>
      <c r="AI769" s="26">
        <v>0.93005872931126532</v>
      </c>
      <c r="AJ769" s="26">
        <v>0.94078635717669346</v>
      </c>
      <c r="AK769" s="26">
        <v>0.95534506089309879</v>
      </c>
      <c r="AL769" s="26">
        <v>0.94104428288169195</v>
      </c>
      <c r="AM769" s="25">
        <v>0.99</v>
      </c>
      <c r="AN769" s="30">
        <v>1</v>
      </c>
      <c r="AO769" s="30">
        <v>1</v>
      </c>
      <c r="AP769" s="30">
        <v>1</v>
      </c>
      <c r="AQ769" s="30">
        <v>1</v>
      </c>
      <c r="AR769" s="50">
        <v>8.1059522893420499E-2</v>
      </c>
      <c r="AS769" s="34">
        <v>0</v>
      </c>
      <c r="AT769" s="34">
        <v>0.2</v>
      </c>
      <c r="AU769" s="34">
        <v>0</v>
      </c>
      <c r="AV769" s="34">
        <v>3.9473684210526314E-2</v>
      </c>
      <c r="AW769" s="10"/>
      <c r="AX769" s="8"/>
    </row>
    <row r="770" spans="1:50">
      <c r="A770" s="7"/>
      <c r="B770" s="10"/>
      <c r="C770" s="45" t="s">
        <v>688</v>
      </c>
      <c r="D770" s="23" t="s">
        <v>21</v>
      </c>
      <c r="E770" s="68" t="s">
        <v>816</v>
      </c>
      <c r="F770" s="68" t="s">
        <v>816</v>
      </c>
      <c r="G770" s="68" t="s">
        <v>816</v>
      </c>
      <c r="H770" s="68" t="s">
        <v>816</v>
      </c>
      <c r="I770" s="25">
        <v>0.9</v>
      </c>
      <c r="J770" s="26">
        <v>0.9285714285714286</v>
      </c>
      <c r="K770" s="26">
        <v>0.8571428571428571</v>
      </c>
      <c r="L770" s="27">
        <v>0.9375</v>
      </c>
      <c r="M770" s="26">
        <v>0.83193277310924374</v>
      </c>
      <c r="N770" s="28">
        <v>0.9</v>
      </c>
      <c r="O770" s="26">
        <v>0.93310265282583627</v>
      </c>
      <c r="P770" s="26">
        <v>0.87303851640513552</v>
      </c>
      <c r="Q770" s="26">
        <v>0.93125000000000002</v>
      </c>
      <c r="R770" s="26">
        <v>0.92740805604203147</v>
      </c>
      <c r="S770" s="28">
        <v>0.9</v>
      </c>
      <c r="T770" s="26">
        <v>0.86966551326412922</v>
      </c>
      <c r="U770" s="26">
        <v>0.85734664764621971</v>
      </c>
      <c r="V770" s="26">
        <v>0.79562500000000003</v>
      </c>
      <c r="W770" s="26">
        <v>0.84185639229422071</v>
      </c>
      <c r="X770" s="28">
        <v>0.92</v>
      </c>
      <c r="Y770" s="28">
        <v>0.88697788697788693</v>
      </c>
      <c r="Z770" s="28">
        <v>1</v>
      </c>
      <c r="AA770" s="28">
        <v>0.84226190476190477</v>
      </c>
      <c r="AB770" s="28">
        <v>0.86404066073697583</v>
      </c>
      <c r="AC770" s="28">
        <v>0.92</v>
      </c>
      <c r="AD770" s="26">
        <v>0.99820466786355477</v>
      </c>
      <c r="AE770" s="26">
        <v>1</v>
      </c>
      <c r="AF770" s="26">
        <v>0.99268292682926829</v>
      </c>
      <c r="AG770" s="26">
        <v>0.99392807099486224</v>
      </c>
      <c r="AH770" s="28">
        <v>0.92</v>
      </c>
      <c r="AI770" s="26">
        <v>0.92293320878094354</v>
      </c>
      <c r="AJ770" s="26">
        <v>0.90391459074733094</v>
      </c>
      <c r="AK770" s="26">
        <v>0.92716942148760328</v>
      </c>
      <c r="AL770" s="26">
        <v>0.91895225656653601</v>
      </c>
      <c r="AM770" s="25">
        <v>0.99</v>
      </c>
      <c r="AN770" s="30">
        <v>1</v>
      </c>
      <c r="AO770" s="30">
        <v>1</v>
      </c>
      <c r="AP770" s="30">
        <v>1</v>
      </c>
      <c r="AQ770" s="30">
        <v>1</v>
      </c>
      <c r="AR770" s="50">
        <v>8.1059522893420499E-2</v>
      </c>
      <c r="AS770" s="34">
        <v>0</v>
      </c>
      <c r="AT770" s="34">
        <v>0</v>
      </c>
      <c r="AU770" s="34">
        <v>8.3333333333333329E-2</v>
      </c>
      <c r="AV770" s="34">
        <v>3.4883720930232558E-2</v>
      </c>
      <c r="AW770" s="10"/>
      <c r="AX770" s="8"/>
    </row>
    <row r="771" spans="1:50">
      <c r="A771" s="7"/>
      <c r="B771" s="10"/>
      <c r="C771" s="45" t="s">
        <v>688</v>
      </c>
      <c r="D771" s="23" t="s">
        <v>21</v>
      </c>
      <c r="E771" s="68" t="s">
        <v>817</v>
      </c>
      <c r="F771" s="68" t="s">
        <v>817</v>
      </c>
      <c r="G771" s="68" t="s">
        <v>817</v>
      </c>
      <c r="H771" s="68" t="s">
        <v>817</v>
      </c>
      <c r="I771" s="25">
        <v>0.9</v>
      </c>
      <c r="J771" s="26">
        <v>0.75</v>
      </c>
      <c r="K771" s="26">
        <v>0.80487804878048785</v>
      </c>
      <c r="L771" s="27">
        <v>0.78048780487804881</v>
      </c>
      <c r="M771" s="26">
        <v>0.75577557755775582</v>
      </c>
      <c r="N771" s="28">
        <v>0.9</v>
      </c>
      <c r="O771" s="26">
        <v>0.95046968403074295</v>
      </c>
      <c r="P771" s="26">
        <v>0.96039279869067107</v>
      </c>
      <c r="Q771" s="26">
        <v>0.95062084897487731</v>
      </c>
      <c r="R771" s="26">
        <v>0.94969530409845859</v>
      </c>
      <c r="S771" s="28">
        <v>0.9</v>
      </c>
      <c r="T771" s="26">
        <v>0.91545687446626811</v>
      </c>
      <c r="U771" s="26">
        <v>0.92995090016366611</v>
      </c>
      <c r="V771" s="26">
        <v>0.93271729714120699</v>
      </c>
      <c r="W771" s="26">
        <v>0.91114031943282747</v>
      </c>
      <c r="X771" s="28">
        <v>0.92</v>
      </c>
      <c r="Y771" s="28">
        <v>0.89159561510353225</v>
      </c>
      <c r="Z771" s="28">
        <v>1</v>
      </c>
      <c r="AA771" s="28">
        <v>0.93511988716502115</v>
      </c>
      <c r="AB771" s="28">
        <v>0.90785241248817405</v>
      </c>
      <c r="AC771" s="28">
        <v>0.92</v>
      </c>
      <c r="AD771" s="26">
        <v>0.99432463110102154</v>
      </c>
      <c r="AE771" s="26">
        <v>0.99730700179533216</v>
      </c>
      <c r="AF771" s="26">
        <v>0.98899371069182385</v>
      </c>
      <c r="AG771" s="26">
        <v>0.99415045572031013</v>
      </c>
      <c r="AH771" s="28">
        <v>0.92</v>
      </c>
      <c r="AI771" s="26">
        <v>0.94970004614674663</v>
      </c>
      <c r="AJ771" s="26">
        <v>0.96434412823029114</v>
      </c>
      <c r="AK771" s="26">
        <v>0.96261682242990654</v>
      </c>
      <c r="AL771" s="26">
        <v>0.95107587023754692</v>
      </c>
      <c r="AM771" s="25">
        <v>0.99</v>
      </c>
      <c r="AN771" s="30">
        <v>1</v>
      </c>
      <c r="AO771" s="30">
        <v>1</v>
      </c>
      <c r="AP771" s="30">
        <v>1</v>
      </c>
      <c r="AQ771" s="30">
        <v>1</v>
      </c>
      <c r="AR771" s="50">
        <v>8.1059522893420499E-2</v>
      </c>
      <c r="AS771" s="34">
        <v>0</v>
      </c>
      <c r="AT771" s="34">
        <v>0</v>
      </c>
      <c r="AU771" s="34">
        <v>0</v>
      </c>
      <c r="AV771" s="34">
        <v>2.7972027972027972E-2</v>
      </c>
      <c r="AW771" s="10"/>
      <c r="AX771" s="8"/>
    </row>
    <row r="772" spans="1:50">
      <c r="A772" s="7"/>
      <c r="B772" s="10"/>
      <c r="C772" s="45" t="s">
        <v>688</v>
      </c>
      <c r="D772" s="23" t="s">
        <v>21</v>
      </c>
      <c r="E772" s="68" t="s">
        <v>818</v>
      </c>
      <c r="F772" s="68" t="s">
        <v>818</v>
      </c>
      <c r="G772" s="68" t="s">
        <v>818</v>
      </c>
      <c r="H772" s="68" t="s">
        <v>818</v>
      </c>
      <c r="I772" s="25">
        <v>0.9</v>
      </c>
      <c r="J772" s="26">
        <v>0.79411764705882348</v>
      </c>
      <c r="K772" s="26">
        <v>0.76470588235294112</v>
      </c>
      <c r="L772" s="27">
        <v>0.82857142857142863</v>
      </c>
      <c r="M772" s="26">
        <v>0.80384615384615388</v>
      </c>
      <c r="N772" s="28">
        <v>0.9</v>
      </c>
      <c r="O772" s="26">
        <v>0.94987468671679198</v>
      </c>
      <c r="P772" s="26">
        <v>0.96672354948805461</v>
      </c>
      <c r="Q772" s="26">
        <v>0.95882352941176474</v>
      </c>
      <c r="R772" s="26">
        <v>0.95485148514851481</v>
      </c>
      <c r="S772" s="28">
        <v>0.9</v>
      </c>
      <c r="T772" s="26">
        <v>0.91328320802005014</v>
      </c>
      <c r="U772" s="26">
        <v>0.92790102389078499</v>
      </c>
      <c r="V772" s="26">
        <v>0.92500000000000004</v>
      </c>
      <c r="W772" s="26">
        <v>0.91717114568599722</v>
      </c>
      <c r="X772" s="28">
        <v>0.92</v>
      </c>
      <c r="Y772" s="28">
        <v>0.88498402555910538</v>
      </c>
      <c r="Z772" s="28">
        <v>0.88034188034188032</v>
      </c>
      <c r="AA772" s="28">
        <v>0.91896551724137931</v>
      </c>
      <c r="AB772" s="28">
        <v>0.88150098749177086</v>
      </c>
      <c r="AC772" s="28">
        <v>0.92</v>
      </c>
      <c r="AD772" s="26">
        <v>0.99903660886319845</v>
      </c>
      <c r="AE772" s="26">
        <v>0.99806949806949807</v>
      </c>
      <c r="AF772" s="26">
        <v>0.99626726390444198</v>
      </c>
      <c r="AG772" s="26">
        <v>0.99718406007338511</v>
      </c>
      <c r="AH772" s="28">
        <v>0.92</v>
      </c>
      <c r="AI772" s="26">
        <v>0.93742846241892408</v>
      </c>
      <c r="AJ772" s="26">
        <v>0.94880546075085326</v>
      </c>
      <c r="AK772" s="26">
        <v>0.95245305875227138</v>
      </c>
      <c r="AL772" s="26">
        <v>0.93997302158273377</v>
      </c>
      <c r="AM772" s="25">
        <v>0.99</v>
      </c>
      <c r="AN772" s="30">
        <v>1</v>
      </c>
      <c r="AO772" s="30">
        <v>1</v>
      </c>
      <c r="AP772" s="30">
        <v>1</v>
      </c>
      <c r="AQ772" s="30">
        <v>1</v>
      </c>
      <c r="AR772" s="50">
        <v>8.1059522893420499E-2</v>
      </c>
      <c r="AS772" s="34">
        <v>0.2</v>
      </c>
      <c r="AT772" s="34">
        <v>0.10526315789473684</v>
      </c>
      <c r="AU772" s="34">
        <v>3.4482758620689655E-2</v>
      </c>
      <c r="AV772" s="34">
        <v>5.6603773584905662E-2</v>
      </c>
      <c r="AW772" s="10"/>
      <c r="AX772" s="8"/>
    </row>
    <row r="773" spans="1:50">
      <c r="A773" s="7"/>
      <c r="B773" s="10"/>
      <c r="C773" s="45" t="s">
        <v>688</v>
      </c>
      <c r="D773" s="23" t="s">
        <v>21</v>
      </c>
      <c r="E773" s="68" t="s">
        <v>819</v>
      </c>
      <c r="F773" s="68" t="s">
        <v>819</v>
      </c>
      <c r="G773" s="68" t="s">
        <v>819</v>
      </c>
      <c r="H773" s="68" t="s">
        <v>819</v>
      </c>
      <c r="I773" s="25">
        <v>0.9</v>
      </c>
      <c r="J773" s="26">
        <v>0.8</v>
      </c>
      <c r="K773" s="26">
        <v>0.9</v>
      </c>
      <c r="L773" s="27">
        <v>0.75</v>
      </c>
      <c r="M773" s="26">
        <v>0.78884462151394419</v>
      </c>
      <c r="N773" s="28">
        <v>0.9</v>
      </c>
      <c r="O773" s="26">
        <v>0.94050587816173847</v>
      </c>
      <c r="P773" s="26">
        <v>0.92264831202884301</v>
      </c>
      <c r="Q773" s="26">
        <v>0.92</v>
      </c>
      <c r="R773" s="26">
        <v>0.93183060683796626</v>
      </c>
      <c r="S773" s="28">
        <v>0.9</v>
      </c>
      <c r="T773" s="26">
        <v>0.86925543284645534</v>
      </c>
      <c r="U773" s="26">
        <v>0.84824647656506058</v>
      </c>
      <c r="V773" s="26">
        <v>0.83571428571428574</v>
      </c>
      <c r="W773" s="26">
        <v>0.84763867277850202</v>
      </c>
      <c r="X773" s="28">
        <v>0.92</v>
      </c>
      <c r="Y773" s="28">
        <v>0.80692410119840208</v>
      </c>
      <c r="Z773" s="28">
        <v>0.82727272727272727</v>
      </c>
      <c r="AA773" s="28">
        <v>0.79827089337175794</v>
      </c>
      <c r="AB773" s="28">
        <v>0.84495843874232024</v>
      </c>
      <c r="AC773" s="28">
        <v>0.92</v>
      </c>
      <c r="AD773" s="26">
        <v>0.99910233393177739</v>
      </c>
      <c r="AE773" s="26">
        <v>0.99424815119145438</v>
      </c>
      <c r="AF773" s="26">
        <v>0.99809885931558939</v>
      </c>
      <c r="AG773" s="26">
        <v>0.9948892674616695</v>
      </c>
      <c r="AH773" s="28">
        <v>0.92</v>
      </c>
      <c r="AI773" s="26">
        <v>0.89769533445756045</v>
      </c>
      <c r="AJ773" s="26">
        <v>0.90813577586206895</v>
      </c>
      <c r="AK773" s="26">
        <v>0.92230695900857962</v>
      </c>
      <c r="AL773" s="26">
        <v>0.91790026604816155</v>
      </c>
      <c r="AM773" s="25">
        <v>0.99</v>
      </c>
      <c r="AN773" s="30">
        <v>1</v>
      </c>
      <c r="AO773" s="30">
        <v>1</v>
      </c>
      <c r="AP773" s="30">
        <v>1</v>
      </c>
      <c r="AQ773" s="30">
        <v>1</v>
      </c>
      <c r="AR773" s="50">
        <v>8.1059522893420499E-2</v>
      </c>
      <c r="AS773" s="34">
        <v>4.5454545454545456E-2</v>
      </c>
      <c r="AT773" s="34">
        <v>5.2631578947368418E-2</v>
      </c>
      <c r="AU773" s="34">
        <v>4.7619047619047616E-2</v>
      </c>
      <c r="AV773" s="34">
        <v>6.3694267515923567E-2</v>
      </c>
      <c r="AW773" s="10"/>
      <c r="AX773" s="8"/>
    </row>
    <row r="774" spans="1:50">
      <c r="A774" s="7"/>
      <c r="B774" s="10"/>
      <c r="C774" s="45" t="s">
        <v>688</v>
      </c>
      <c r="D774" s="23" t="s">
        <v>21</v>
      </c>
      <c r="E774" s="68" t="s">
        <v>820</v>
      </c>
      <c r="F774" s="68" t="s">
        <v>820</v>
      </c>
      <c r="G774" s="68" t="s">
        <v>820</v>
      </c>
      <c r="H774" s="68" t="s">
        <v>820</v>
      </c>
      <c r="I774" s="25">
        <v>0.9</v>
      </c>
      <c r="J774" s="26">
        <v>0.68965517241379315</v>
      </c>
      <c r="K774" s="26">
        <v>0.83333333333333337</v>
      </c>
      <c r="L774" s="27">
        <v>0.73333333333333328</v>
      </c>
      <c r="M774" s="26">
        <v>0.70614035087719296</v>
      </c>
      <c r="N774" s="28">
        <v>0.9</v>
      </c>
      <c r="O774" s="26">
        <v>0.92542503863987635</v>
      </c>
      <c r="P774" s="26">
        <v>0.92972231744943434</v>
      </c>
      <c r="Q774" s="26">
        <v>0.94656971229845088</v>
      </c>
      <c r="R774" s="26">
        <v>0.92802498755149154</v>
      </c>
      <c r="S774" s="28">
        <v>0.9</v>
      </c>
      <c r="T774" s="26">
        <v>0.88678516228748072</v>
      </c>
      <c r="U774" s="26">
        <v>0.87110044566335276</v>
      </c>
      <c r="V774" s="26">
        <v>0.89345558014543158</v>
      </c>
      <c r="W774" s="26">
        <v>0.86913222579330951</v>
      </c>
      <c r="X774" s="28">
        <v>0.92</v>
      </c>
      <c r="Y774" s="28">
        <v>0.83460949464012246</v>
      </c>
      <c r="Z774" s="28">
        <v>0.84498480243161089</v>
      </c>
      <c r="AA774" s="28">
        <v>0.86033519553072624</v>
      </c>
      <c r="AB774" s="28">
        <v>0.84719831707783511</v>
      </c>
      <c r="AC774" s="28">
        <v>0.92</v>
      </c>
      <c r="AD774" s="26">
        <v>0.99632802937576503</v>
      </c>
      <c r="AE774" s="26">
        <v>1</v>
      </c>
      <c r="AF774" s="26">
        <v>0.99832214765100669</v>
      </c>
      <c r="AG774" s="26">
        <v>0.99626517273576098</v>
      </c>
      <c r="AH774" s="28">
        <v>0.92</v>
      </c>
      <c r="AI774" s="26">
        <v>0.91823511261956181</v>
      </c>
      <c r="AJ774" s="26">
        <v>0.92507688006709532</v>
      </c>
      <c r="AK774" s="26">
        <v>0.94457334364526935</v>
      </c>
      <c r="AL774" s="26">
        <v>0.9249066822806119</v>
      </c>
      <c r="AM774" s="25">
        <v>0.99</v>
      </c>
      <c r="AN774" s="30">
        <v>1</v>
      </c>
      <c r="AO774" s="30">
        <v>1</v>
      </c>
      <c r="AP774" s="30">
        <v>1</v>
      </c>
      <c r="AQ774" s="30">
        <v>1</v>
      </c>
      <c r="AR774" s="50">
        <v>8.1059522893420499E-2</v>
      </c>
      <c r="AS774" s="34">
        <v>0.2</v>
      </c>
      <c r="AT774" s="34">
        <v>0</v>
      </c>
      <c r="AU774" s="34">
        <v>9.5238095238095233E-2</v>
      </c>
      <c r="AV774" s="34">
        <v>4.5161290322580643E-2</v>
      </c>
      <c r="AW774" s="10"/>
      <c r="AX774" s="8"/>
    </row>
    <row r="775" spans="1:50">
      <c r="A775" s="7"/>
      <c r="B775" s="10"/>
      <c r="C775" s="45" t="s">
        <v>688</v>
      </c>
      <c r="D775" s="23" t="s">
        <v>21</v>
      </c>
      <c r="E775" s="68" t="s">
        <v>821</v>
      </c>
      <c r="F775" s="68" t="s">
        <v>821</v>
      </c>
      <c r="G775" s="68" t="s">
        <v>821</v>
      </c>
      <c r="H775" s="68" t="s">
        <v>821</v>
      </c>
      <c r="I775" s="25">
        <v>0.9</v>
      </c>
      <c r="J775" s="26">
        <v>0.91666666666666663</v>
      </c>
      <c r="K775" s="26">
        <v>0.96</v>
      </c>
      <c r="L775" s="27">
        <v>0.92</v>
      </c>
      <c r="M775" s="26">
        <v>0.92893401015228427</v>
      </c>
      <c r="N775" s="28">
        <v>0.9</v>
      </c>
      <c r="O775" s="26">
        <v>0.97717099373321392</v>
      </c>
      <c r="P775" s="26">
        <v>0.99357171554841306</v>
      </c>
      <c r="Q775" s="26">
        <v>0.995724973281083</v>
      </c>
      <c r="R775" s="26">
        <v>0.98590230453103056</v>
      </c>
      <c r="S775" s="28">
        <v>0.9</v>
      </c>
      <c r="T775" s="26">
        <v>0.92927484333034915</v>
      </c>
      <c r="U775" s="26">
        <v>0.97428686219365201</v>
      </c>
      <c r="V775" s="26">
        <v>0.97185607410046315</v>
      </c>
      <c r="W775" s="26">
        <v>0.95510586276855847</v>
      </c>
      <c r="X775" s="28">
        <v>0.92</v>
      </c>
      <c r="Y775" s="28">
        <v>0.90535714285714286</v>
      </c>
      <c r="Z775" s="28">
        <v>0.96903460837887068</v>
      </c>
      <c r="AA775" s="28">
        <v>0.97178130511463845</v>
      </c>
      <c r="AB775" s="28">
        <v>0.94604157452454662</v>
      </c>
      <c r="AC775" s="28">
        <v>0.92</v>
      </c>
      <c r="AD775" s="26">
        <v>0.99831203279479142</v>
      </c>
      <c r="AE775" s="26">
        <v>0.99792715427894585</v>
      </c>
      <c r="AF775" s="26">
        <v>0.99457994579945797</v>
      </c>
      <c r="AG775" s="26">
        <v>0.9974839556592765</v>
      </c>
      <c r="AH775" s="28">
        <v>0.92</v>
      </c>
      <c r="AI775" s="26">
        <v>0.94926759556984641</v>
      </c>
      <c r="AJ775" s="26">
        <v>0.98420013166556941</v>
      </c>
      <c r="AK775" s="26">
        <v>0.98519395913532726</v>
      </c>
      <c r="AL775" s="26">
        <v>0.9687276400521907</v>
      </c>
      <c r="AM775" s="25">
        <v>0.99</v>
      </c>
      <c r="AN775" s="30">
        <v>1</v>
      </c>
      <c r="AO775" s="30">
        <v>1</v>
      </c>
      <c r="AP775" s="30">
        <v>1</v>
      </c>
      <c r="AQ775" s="30">
        <v>1</v>
      </c>
      <c r="AR775" s="50">
        <v>8.1059522893420499E-2</v>
      </c>
      <c r="AS775" s="34">
        <v>4.5454545454545456E-2</v>
      </c>
      <c r="AT775" s="34">
        <v>0.125</v>
      </c>
      <c r="AU775" s="34">
        <v>0</v>
      </c>
      <c r="AV775" s="34">
        <v>4.6511627906976744E-2</v>
      </c>
      <c r="AW775" s="10"/>
      <c r="AX775" s="8"/>
    </row>
    <row r="776" spans="1:50">
      <c r="A776" s="7"/>
      <c r="B776" s="10"/>
      <c r="C776" s="45" t="s">
        <v>688</v>
      </c>
      <c r="D776" s="23" t="s">
        <v>21</v>
      </c>
      <c r="E776" s="68" t="s">
        <v>822</v>
      </c>
      <c r="F776" s="68" t="s">
        <v>822</v>
      </c>
      <c r="G776" s="68" t="s">
        <v>822</v>
      </c>
      <c r="H776" s="68" t="s">
        <v>822</v>
      </c>
      <c r="I776" s="25">
        <v>0.9</v>
      </c>
      <c r="J776" s="26">
        <v>0.96666666666666667</v>
      </c>
      <c r="K776" s="26">
        <v>0.9375</v>
      </c>
      <c r="L776" s="27">
        <v>1</v>
      </c>
      <c r="M776" s="26">
        <v>0.96734693877551026</v>
      </c>
      <c r="N776" s="28">
        <v>0.9</v>
      </c>
      <c r="O776" s="26">
        <v>0.97306122448979593</v>
      </c>
      <c r="P776" s="26">
        <v>0.97539797395079597</v>
      </c>
      <c r="Q776" s="26">
        <v>0.98777506112469438</v>
      </c>
      <c r="R776" s="26">
        <v>0.97968245425188372</v>
      </c>
      <c r="S776" s="28">
        <v>0.9</v>
      </c>
      <c r="T776" s="26">
        <v>0.93102040816326526</v>
      </c>
      <c r="U776" s="26">
        <v>0.94753979739507954</v>
      </c>
      <c r="V776" s="26">
        <v>0.95782396088019561</v>
      </c>
      <c r="W776" s="26">
        <v>0.94685145317545749</v>
      </c>
      <c r="X776" s="28">
        <v>0.92</v>
      </c>
      <c r="Y776" s="28">
        <v>0.9380888290713324</v>
      </c>
      <c r="Z776" s="28">
        <v>0.95845697329376855</v>
      </c>
      <c r="AA776" s="28">
        <v>0.9791044776119403</v>
      </c>
      <c r="AB776" s="28">
        <v>0.95570321151716497</v>
      </c>
      <c r="AC776" s="28">
        <v>0.92</v>
      </c>
      <c r="AD776" s="26">
        <v>1</v>
      </c>
      <c r="AE776" s="26">
        <v>0.99747474747474751</v>
      </c>
      <c r="AF776" s="26">
        <v>0.99898270600203454</v>
      </c>
      <c r="AG776" s="26">
        <v>0.99788748054258392</v>
      </c>
      <c r="AH776" s="28">
        <v>0.92</v>
      </c>
      <c r="AI776" s="26">
        <v>0.96150234741784035</v>
      </c>
      <c r="AJ776" s="26">
        <v>0.97731239092495636</v>
      </c>
      <c r="AK776" s="26">
        <v>0.98680872653475393</v>
      </c>
      <c r="AL776" s="26">
        <v>0.97384371166750849</v>
      </c>
      <c r="AM776" s="25">
        <v>0.99</v>
      </c>
      <c r="AN776" s="30">
        <v>1</v>
      </c>
      <c r="AO776" s="30">
        <v>1</v>
      </c>
      <c r="AP776" s="30">
        <v>1</v>
      </c>
      <c r="AQ776" s="30">
        <v>1</v>
      </c>
      <c r="AR776" s="50">
        <v>8.1059522893420499E-2</v>
      </c>
      <c r="AS776" s="34">
        <v>0</v>
      </c>
      <c r="AT776" s="34">
        <v>0</v>
      </c>
      <c r="AU776" s="34">
        <v>0</v>
      </c>
      <c r="AV776" s="34">
        <v>1.4492753623188406E-2</v>
      </c>
      <c r="AW776" s="10"/>
      <c r="AX776" s="8"/>
    </row>
    <row r="777" spans="1:50">
      <c r="A777" s="7"/>
      <c r="B777" s="10"/>
      <c r="C777" s="45" t="s">
        <v>688</v>
      </c>
      <c r="D777" s="23" t="s">
        <v>21</v>
      </c>
      <c r="E777" s="68" t="s">
        <v>823</v>
      </c>
      <c r="F777" s="68" t="s">
        <v>823</v>
      </c>
      <c r="G777" s="68" t="s">
        <v>823</v>
      </c>
      <c r="H777" s="68" t="s">
        <v>823</v>
      </c>
      <c r="I777" s="25">
        <v>0.9</v>
      </c>
      <c r="J777" s="26">
        <v>0.47058823529411764</v>
      </c>
      <c r="K777" s="26">
        <v>0.43478260869565216</v>
      </c>
      <c r="L777" s="27">
        <v>0.43478260869565216</v>
      </c>
      <c r="M777" s="26">
        <v>0.45061728395061729</v>
      </c>
      <c r="N777" s="28">
        <v>0.9</v>
      </c>
      <c r="O777" s="26">
        <v>0.86936416184971099</v>
      </c>
      <c r="P777" s="26">
        <v>0.92471443406022846</v>
      </c>
      <c r="Q777" s="26">
        <v>0.8929088277858177</v>
      </c>
      <c r="R777" s="26">
        <v>0.85919461242440898</v>
      </c>
      <c r="S777" s="28">
        <v>0.9</v>
      </c>
      <c r="T777" s="26">
        <v>0.73583815028901733</v>
      </c>
      <c r="U777" s="26">
        <v>0.82658359293873318</v>
      </c>
      <c r="V777" s="26">
        <v>0.75397973950795949</v>
      </c>
      <c r="W777" s="26">
        <v>0.73330126443100607</v>
      </c>
      <c r="X777" s="28">
        <v>0.92</v>
      </c>
      <c r="Y777" s="28">
        <v>0.79196217494089838</v>
      </c>
      <c r="Z777" s="28">
        <v>0.90343347639484983</v>
      </c>
      <c r="AA777" s="28">
        <v>0.88478260869565217</v>
      </c>
      <c r="AB777" s="28">
        <v>0.8071108622620381</v>
      </c>
      <c r="AC777" s="28">
        <v>0.92</v>
      </c>
      <c r="AD777" s="26">
        <v>0.99699398797595196</v>
      </c>
      <c r="AE777" s="26">
        <v>0.94761904761904758</v>
      </c>
      <c r="AF777" s="26">
        <v>0.99125683060109293</v>
      </c>
      <c r="AG777" s="26">
        <v>0.96897038081805364</v>
      </c>
      <c r="AH777" s="28">
        <v>0.92</v>
      </c>
      <c r="AI777" s="26">
        <v>0.86251741755689737</v>
      </c>
      <c r="AJ777" s="26">
        <v>0.92558528428093645</v>
      </c>
      <c r="AK777" s="26">
        <v>0.91472562179234107</v>
      </c>
      <c r="AL777" s="26">
        <v>0.87458618406532773</v>
      </c>
      <c r="AM777" s="25">
        <v>0.99</v>
      </c>
      <c r="AN777" s="30">
        <v>1</v>
      </c>
      <c r="AO777" s="30">
        <v>1</v>
      </c>
      <c r="AP777" s="30">
        <v>1</v>
      </c>
      <c r="AQ777" s="30">
        <v>1</v>
      </c>
      <c r="AR777" s="50">
        <v>8.1059522893420499E-2</v>
      </c>
      <c r="AS777" s="34">
        <v>0</v>
      </c>
      <c r="AT777" s="34">
        <v>0</v>
      </c>
      <c r="AU777" s="34">
        <v>0.1111111111111111</v>
      </c>
      <c r="AV777" s="34">
        <v>2.0833333333333332E-2</v>
      </c>
      <c r="AW777" s="10"/>
      <c r="AX777" s="8"/>
    </row>
    <row r="778" spans="1:50">
      <c r="A778" s="7"/>
      <c r="B778" s="10"/>
      <c r="C778" s="45" t="s">
        <v>688</v>
      </c>
      <c r="D778" s="23" t="s">
        <v>21</v>
      </c>
      <c r="E778" s="68" t="s">
        <v>824</v>
      </c>
      <c r="F778" s="68" t="s">
        <v>824</v>
      </c>
      <c r="G778" s="68" t="s">
        <v>824</v>
      </c>
      <c r="H778" s="68" t="s">
        <v>824</v>
      </c>
      <c r="I778" s="25">
        <v>0.9</v>
      </c>
      <c r="J778" s="26">
        <v>0.93333333333333335</v>
      </c>
      <c r="K778" s="26">
        <v>0.87878787878787878</v>
      </c>
      <c r="L778" s="27">
        <v>0.84375</v>
      </c>
      <c r="M778" s="26">
        <v>0.89473684210526316</v>
      </c>
      <c r="N778" s="28">
        <v>0.9</v>
      </c>
      <c r="O778" s="26">
        <v>0.96505376344086025</v>
      </c>
      <c r="P778" s="26">
        <v>0.97801758593125498</v>
      </c>
      <c r="Q778" s="26">
        <v>0.97681999275624776</v>
      </c>
      <c r="R778" s="26">
        <v>0.97059883631120947</v>
      </c>
      <c r="S778" s="28">
        <v>0.9</v>
      </c>
      <c r="T778" s="26">
        <v>0.93369175627240142</v>
      </c>
      <c r="U778" s="26">
        <v>0.95683453237410077</v>
      </c>
      <c r="V778" s="26">
        <v>0.95038029699384285</v>
      </c>
      <c r="W778" s="26">
        <v>0.93017867257092834</v>
      </c>
      <c r="X778" s="28">
        <v>0.92</v>
      </c>
      <c r="Y778" s="28">
        <v>0.92346938775510201</v>
      </c>
      <c r="Z778" s="28">
        <v>0.91085899513776336</v>
      </c>
      <c r="AA778" s="28">
        <v>0.93944353518821599</v>
      </c>
      <c r="AB778" s="28">
        <v>0.9205122543607861</v>
      </c>
      <c r="AC778" s="28">
        <v>0.92</v>
      </c>
      <c r="AD778" s="26">
        <v>0.9990089197224975</v>
      </c>
      <c r="AE778" s="26">
        <v>0.99077868852459017</v>
      </c>
      <c r="AF778" s="26">
        <v>0.98773507767784141</v>
      </c>
      <c r="AG778" s="26">
        <v>0.99103330486763452</v>
      </c>
      <c r="AH778" s="28">
        <v>0.92</v>
      </c>
      <c r="AI778" s="26">
        <v>0.95496453900709222</v>
      </c>
      <c r="AJ778" s="26">
        <v>0.95767874318691892</v>
      </c>
      <c r="AK778" s="26">
        <v>0.97064056939501775</v>
      </c>
      <c r="AL778" s="26">
        <v>0.95491170208324638</v>
      </c>
      <c r="AM778" s="25">
        <v>0.99</v>
      </c>
      <c r="AN778" s="30">
        <v>1</v>
      </c>
      <c r="AO778" s="30">
        <v>1</v>
      </c>
      <c r="AP778" s="30">
        <v>1</v>
      </c>
      <c r="AQ778" s="30">
        <v>1</v>
      </c>
      <c r="AR778" s="50">
        <v>8.1059522893420499E-2</v>
      </c>
      <c r="AS778" s="34">
        <v>0</v>
      </c>
      <c r="AT778" s="34">
        <v>0.14000000000000001</v>
      </c>
      <c r="AU778" s="34">
        <v>4.1666666666666664E-2</v>
      </c>
      <c r="AV778" s="34">
        <v>4.0247678018575851E-2</v>
      </c>
      <c r="AW778" s="10"/>
      <c r="AX778" s="8"/>
    </row>
    <row r="779" spans="1:50">
      <c r="A779" s="7"/>
      <c r="B779" s="10"/>
      <c r="C779" s="45" t="s">
        <v>688</v>
      </c>
      <c r="D779" s="23" t="s">
        <v>21</v>
      </c>
      <c r="E779" s="68" t="s">
        <v>825</v>
      </c>
      <c r="F779" s="68" t="s">
        <v>825</v>
      </c>
      <c r="G779" s="68" t="s">
        <v>825</v>
      </c>
      <c r="H779" s="68" t="s">
        <v>825</v>
      </c>
      <c r="I779" s="25">
        <v>0.9</v>
      </c>
      <c r="J779" s="26">
        <v>0.52173913043478259</v>
      </c>
      <c r="K779" s="26">
        <v>0.625</v>
      </c>
      <c r="L779" s="27">
        <v>0.66666666666666663</v>
      </c>
      <c r="M779" s="26">
        <v>0.58064516129032262</v>
      </c>
      <c r="N779" s="28">
        <v>0.9</v>
      </c>
      <c r="O779" s="26">
        <v>0.92268041237113407</v>
      </c>
      <c r="P779" s="26">
        <v>0.96924969249692494</v>
      </c>
      <c r="Q779" s="26">
        <v>0.88912133891213385</v>
      </c>
      <c r="R779" s="26">
        <v>0.92434910758146394</v>
      </c>
      <c r="S779" s="28">
        <v>0.9</v>
      </c>
      <c r="T779" s="26">
        <v>0.88144329896907214</v>
      </c>
      <c r="U779" s="26">
        <v>0.90774907749077494</v>
      </c>
      <c r="V779" s="26">
        <v>0.84832635983263593</v>
      </c>
      <c r="W779" s="26">
        <v>0.88914360569837891</v>
      </c>
      <c r="X779" s="28">
        <v>0.92</v>
      </c>
      <c r="Y779" s="28">
        <v>0.92890365448504986</v>
      </c>
      <c r="Z779" s="28">
        <v>0.95158036314727634</v>
      </c>
      <c r="AA779" s="28">
        <v>0.95056581298391896</v>
      </c>
      <c r="AB779" s="28">
        <v>0.93881943869525619</v>
      </c>
      <c r="AC779" s="28">
        <v>0.92</v>
      </c>
      <c r="AD779" s="26">
        <v>0.99886492622020429</v>
      </c>
      <c r="AE779" s="26">
        <v>0.9948051948051948</v>
      </c>
      <c r="AF779" s="26">
        <v>0.9903264812575574</v>
      </c>
      <c r="AG779" s="26">
        <v>0.97044632086851623</v>
      </c>
      <c r="AH779" s="28">
        <v>0.92</v>
      </c>
      <c r="AI779" s="26">
        <v>0.93154619435136432</v>
      </c>
      <c r="AJ779" s="26">
        <v>0.95043478260869563</v>
      </c>
      <c r="AK779" s="26">
        <v>0.94994311717861202</v>
      </c>
      <c r="AL779" s="26">
        <v>0.94052657615566426</v>
      </c>
      <c r="AM779" s="25">
        <v>0.99</v>
      </c>
      <c r="AN779" s="30">
        <v>1</v>
      </c>
      <c r="AO779" s="30">
        <v>1</v>
      </c>
      <c r="AP779" s="30">
        <v>1</v>
      </c>
      <c r="AQ779" s="30">
        <v>1</v>
      </c>
      <c r="AR779" s="50">
        <v>8.1059522893420499E-2</v>
      </c>
      <c r="AS779" s="34">
        <v>0.14285714285714285</v>
      </c>
      <c r="AT779" s="34">
        <v>5.8823529411764705E-2</v>
      </c>
      <c r="AU779" s="34">
        <v>0</v>
      </c>
      <c r="AV779" s="34">
        <v>3.2000000000000001E-2</v>
      </c>
      <c r="AW779" s="10"/>
      <c r="AX779" s="8"/>
    </row>
    <row r="780" spans="1:50">
      <c r="A780" s="7"/>
      <c r="B780" s="10"/>
      <c r="C780" s="45" t="s">
        <v>688</v>
      </c>
      <c r="D780" s="23" t="s">
        <v>21</v>
      </c>
      <c r="E780" s="68" t="s">
        <v>826</v>
      </c>
      <c r="F780" s="68" t="s">
        <v>826</v>
      </c>
      <c r="G780" s="68" t="s">
        <v>826</v>
      </c>
      <c r="H780" s="68" t="s">
        <v>826</v>
      </c>
      <c r="I780" s="25">
        <v>0.9</v>
      </c>
      <c r="J780" s="26">
        <v>0.58333333333333337</v>
      </c>
      <c r="K780" s="26">
        <v>0.75</v>
      </c>
      <c r="L780" s="27">
        <v>0.76923076923076927</v>
      </c>
      <c r="M780" s="26">
        <v>0.68686868686868685</v>
      </c>
      <c r="N780" s="28">
        <v>0.9</v>
      </c>
      <c r="O780" s="26">
        <v>0.64862298195631529</v>
      </c>
      <c r="P780" s="26">
        <v>0.96422764227642277</v>
      </c>
      <c r="Q780" s="26">
        <v>0.97107736804049172</v>
      </c>
      <c r="R780" s="26">
        <v>0.9309144604999473</v>
      </c>
      <c r="S780" s="28">
        <v>0.9</v>
      </c>
      <c r="T780" s="26">
        <v>0.78822412155745492</v>
      </c>
      <c r="U780" s="26">
        <v>0.7943089430894309</v>
      </c>
      <c r="V780" s="26">
        <v>0.81489515545914681</v>
      </c>
      <c r="W780" s="26">
        <v>0.81710790001054745</v>
      </c>
      <c r="X780" s="28">
        <v>0.92</v>
      </c>
      <c r="Y780" s="28">
        <v>0.92378048780487809</v>
      </c>
      <c r="Z780" s="28">
        <v>0.89959839357429716</v>
      </c>
      <c r="AA780" s="28">
        <v>0.90106007067137805</v>
      </c>
      <c r="AB780" s="28">
        <v>0.90203160270880356</v>
      </c>
      <c r="AC780" s="28">
        <v>0.92</v>
      </c>
      <c r="AD780" s="26">
        <v>1</v>
      </c>
      <c r="AE780" s="26">
        <v>1</v>
      </c>
      <c r="AF780" s="26">
        <v>0.99250000000000005</v>
      </c>
      <c r="AG780" s="26">
        <v>0.99847978108847679</v>
      </c>
      <c r="AH780" s="28">
        <v>0.92</v>
      </c>
      <c r="AI780" s="26">
        <v>0.92831281679942068</v>
      </c>
      <c r="AJ780" s="26">
        <v>0.94590939824205544</v>
      </c>
      <c r="AK780" s="26">
        <v>0.94177671068427371</v>
      </c>
      <c r="AL780" s="26">
        <v>0.93657035390665067</v>
      </c>
      <c r="AM780" s="25">
        <v>0.99</v>
      </c>
      <c r="AN780" s="30">
        <v>1</v>
      </c>
      <c r="AO780" s="30">
        <v>1</v>
      </c>
      <c r="AP780" s="30">
        <v>1</v>
      </c>
      <c r="AQ780" s="30">
        <v>1</v>
      </c>
      <c r="AR780" s="50">
        <v>8.1059522893420499E-2</v>
      </c>
      <c r="AS780" s="34">
        <v>0.22222222222222221</v>
      </c>
      <c r="AT780" s="34">
        <v>6.6666666666666666E-2</v>
      </c>
      <c r="AU780" s="34">
        <v>0</v>
      </c>
      <c r="AV780" s="34">
        <v>0</v>
      </c>
      <c r="AW780" s="10"/>
      <c r="AX780" s="8"/>
    </row>
    <row r="781" spans="1:50">
      <c r="A781" s="7"/>
      <c r="B781" s="10"/>
      <c r="C781" s="45" t="s">
        <v>688</v>
      </c>
      <c r="D781" s="23" t="s">
        <v>21</v>
      </c>
      <c r="E781" s="68" t="s">
        <v>827</v>
      </c>
      <c r="F781" s="68" t="s">
        <v>827</v>
      </c>
      <c r="G781" s="68" t="s">
        <v>827</v>
      </c>
      <c r="H781" s="68" t="s">
        <v>827</v>
      </c>
      <c r="I781" s="25">
        <v>0.9</v>
      </c>
      <c r="J781" s="26">
        <v>0.88888888888888884</v>
      </c>
      <c r="K781" s="26">
        <v>0.92307692307692313</v>
      </c>
      <c r="L781" s="27">
        <v>0.94827586206896552</v>
      </c>
      <c r="M781" s="26">
        <v>0.8946135831381733</v>
      </c>
      <c r="N781" s="28">
        <v>0.9</v>
      </c>
      <c r="O781" s="26">
        <v>0.95986215284816545</v>
      </c>
      <c r="P781" s="26">
        <v>0.96103387507342863</v>
      </c>
      <c r="Q781" s="26">
        <v>0.95707600451831532</v>
      </c>
      <c r="R781" s="26">
        <v>0.95462238465500748</v>
      </c>
      <c r="S781" s="28">
        <v>0.9</v>
      </c>
      <c r="T781" s="26">
        <v>0.90958848570849382</v>
      </c>
      <c r="U781" s="26">
        <v>0.92422165654983357</v>
      </c>
      <c r="V781" s="26">
        <v>0.90737453606583829</v>
      </c>
      <c r="W781" s="26">
        <v>0.914665554710687</v>
      </c>
      <c r="X781" s="28">
        <v>0.92</v>
      </c>
      <c r="Y781" s="28">
        <v>0.91499227202472955</v>
      </c>
      <c r="Z781" s="28">
        <v>0.91925465838509313</v>
      </c>
      <c r="AA781" s="28">
        <v>0.92933130699088151</v>
      </c>
      <c r="AB781" s="28">
        <v>0.92092065197922268</v>
      </c>
      <c r="AC781" s="28">
        <v>0.92</v>
      </c>
      <c r="AD781" s="26">
        <v>0.98940936863543794</v>
      </c>
      <c r="AE781" s="26">
        <v>0.98136645962732916</v>
      </c>
      <c r="AF781" s="26">
        <v>0.99721189591078063</v>
      </c>
      <c r="AG781" s="26">
        <v>0.98988976186125832</v>
      </c>
      <c r="AH781" s="28">
        <v>0.92</v>
      </c>
      <c r="AI781" s="26">
        <v>0.94171483622350671</v>
      </c>
      <c r="AJ781" s="26">
        <v>0.95060222594907762</v>
      </c>
      <c r="AK781" s="26">
        <v>0.95343267695582756</v>
      </c>
      <c r="AL781" s="26">
        <v>0.94785972746169833</v>
      </c>
      <c r="AM781" s="25">
        <v>0.99</v>
      </c>
      <c r="AN781" s="30">
        <v>1</v>
      </c>
      <c r="AO781" s="30">
        <v>1</v>
      </c>
      <c r="AP781" s="30">
        <v>1</v>
      </c>
      <c r="AQ781" s="30">
        <v>1</v>
      </c>
      <c r="AR781" s="50">
        <v>8.1059522893420499E-2</v>
      </c>
      <c r="AS781" s="34">
        <v>3.5714285714285712E-2</v>
      </c>
      <c r="AT781" s="34">
        <v>6.25E-2</v>
      </c>
      <c r="AU781" s="34">
        <v>0.125</v>
      </c>
      <c r="AV781" s="34">
        <v>6.0085836909871244E-2</v>
      </c>
      <c r="AW781" s="10"/>
      <c r="AX781" s="8"/>
    </row>
    <row r="782" spans="1:50">
      <c r="A782" s="7"/>
      <c r="B782" s="10"/>
      <c r="C782" s="45" t="s">
        <v>688</v>
      </c>
      <c r="D782" s="23" t="s">
        <v>21</v>
      </c>
      <c r="E782" s="68" t="s">
        <v>828</v>
      </c>
      <c r="F782" s="68" t="s">
        <v>828</v>
      </c>
      <c r="G782" s="68" t="s">
        <v>828</v>
      </c>
      <c r="H782" s="68" t="s">
        <v>828</v>
      </c>
      <c r="I782" s="25">
        <v>0.9</v>
      </c>
      <c r="J782" s="26">
        <v>0.83870967741935487</v>
      </c>
      <c r="K782" s="26">
        <v>0.84375</v>
      </c>
      <c r="L782" s="27">
        <v>0.8571428571428571</v>
      </c>
      <c r="M782" s="26">
        <v>0.84773662551440332</v>
      </c>
      <c r="N782" s="28">
        <v>0.9</v>
      </c>
      <c r="O782" s="26">
        <v>0.95469255663430419</v>
      </c>
      <c r="P782" s="26">
        <v>0.96388888888888891</v>
      </c>
      <c r="Q782" s="26">
        <v>0.93183322303110527</v>
      </c>
      <c r="R782" s="26">
        <v>0.95106619602533726</v>
      </c>
      <c r="S782" s="28">
        <v>0.9</v>
      </c>
      <c r="T782" s="26">
        <v>0.92152103559870546</v>
      </c>
      <c r="U782" s="26">
        <v>0.94523809523809521</v>
      </c>
      <c r="V782" s="26">
        <v>0.94275314361350104</v>
      </c>
      <c r="W782" s="26">
        <v>0.92785648663024034</v>
      </c>
      <c r="X782" s="28">
        <v>0.92</v>
      </c>
      <c r="Y782" s="28">
        <v>0.93344709897610922</v>
      </c>
      <c r="Z782" s="28">
        <v>0.94385026737967914</v>
      </c>
      <c r="AA782" s="28">
        <v>0.93053311793214866</v>
      </c>
      <c r="AB782" s="28">
        <v>0.92871615398784302</v>
      </c>
      <c r="AC782" s="28">
        <v>0.92</v>
      </c>
      <c r="AD782" s="26">
        <v>0.99380037197768134</v>
      </c>
      <c r="AE782" s="26">
        <v>0.99522234472620363</v>
      </c>
      <c r="AF782" s="26">
        <v>0.99496306245802557</v>
      </c>
      <c r="AG782" s="26">
        <v>0.99283029105142817</v>
      </c>
      <c r="AH782" s="28">
        <v>0.92</v>
      </c>
      <c r="AI782" s="26">
        <v>0.94767822105951605</v>
      </c>
      <c r="AJ782" s="26">
        <v>0.96300825435646586</v>
      </c>
      <c r="AK782" s="26">
        <v>0.96158068057080137</v>
      </c>
      <c r="AL782" s="26">
        <v>0.95342696414220662</v>
      </c>
      <c r="AM782" s="25">
        <v>0.99</v>
      </c>
      <c r="AN782" s="30">
        <v>1</v>
      </c>
      <c r="AO782" s="30">
        <v>1</v>
      </c>
      <c r="AP782" s="30">
        <v>1</v>
      </c>
      <c r="AQ782" s="30">
        <v>1</v>
      </c>
      <c r="AR782" s="50">
        <v>8.1059522893420499E-2</v>
      </c>
      <c r="AS782" s="34">
        <v>0.2</v>
      </c>
      <c r="AT782" s="34">
        <v>7.1428571428571425E-2</v>
      </c>
      <c r="AU782" s="34">
        <v>0</v>
      </c>
      <c r="AV782" s="34">
        <v>5.3763440860215055E-2</v>
      </c>
      <c r="AW782" s="10"/>
      <c r="AX782" s="8"/>
    </row>
    <row r="783" spans="1:50">
      <c r="A783" s="7"/>
      <c r="B783" s="10"/>
      <c r="C783" s="45" t="s">
        <v>688</v>
      </c>
      <c r="D783" s="23" t="s">
        <v>21</v>
      </c>
      <c r="E783" s="68" t="s">
        <v>829</v>
      </c>
      <c r="F783" s="68" t="s">
        <v>829</v>
      </c>
      <c r="G783" s="68" t="s">
        <v>829</v>
      </c>
      <c r="H783" s="68" t="s">
        <v>829</v>
      </c>
      <c r="I783" s="25">
        <v>0.9</v>
      </c>
      <c r="J783" s="26">
        <v>0.77272727272727271</v>
      </c>
      <c r="K783" s="26">
        <v>0.73913043478260865</v>
      </c>
      <c r="L783" s="27">
        <v>0.625</v>
      </c>
      <c r="M783" s="26">
        <v>0.75141242937853103</v>
      </c>
      <c r="N783" s="28">
        <v>0.9</v>
      </c>
      <c r="O783" s="26">
        <v>0.93612453032742893</v>
      </c>
      <c r="P783" s="26">
        <v>0.87928388746803066</v>
      </c>
      <c r="Q783" s="26">
        <v>0.92074989348103964</v>
      </c>
      <c r="R783" s="26">
        <v>0.91112112240957654</v>
      </c>
      <c r="S783" s="28">
        <v>0.9</v>
      </c>
      <c r="T783" s="26">
        <v>0.93773483628556087</v>
      </c>
      <c r="U783" s="26">
        <v>0.92685421994884909</v>
      </c>
      <c r="V783" s="26">
        <v>0.92074989348103964</v>
      </c>
      <c r="W783" s="26">
        <v>0.92495816707426948</v>
      </c>
      <c r="X783" s="28">
        <v>0.92</v>
      </c>
      <c r="Y783" s="28">
        <v>0.94302554027504915</v>
      </c>
      <c r="Z783" s="28">
        <v>0.94306049822064053</v>
      </c>
      <c r="AA783" s="28">
        <v>0.96153846153846156</v>
      </c>
      <c r="AB783" s="28">
        <v>0.94472947761194026</v>
      </c>
      <c r="AC783" s="28">
        <v>0.92</v>
      </c>
      <c r="AD783" s="26">
        <v>0.99691738594327994</v>
      </c>
      <c r="AE783" s="26">
        <v>0.99897277863379563</v>
      </c>
      <c r="AF783" s="26">
        <v>0.99482669425763059</v>
      </c>
      <c r="AG783" s="26">
        <v>0.95926291543270814</v>
      </c>
      <c r="AH783" s="28">
        <v>0.92</v>
      </c>
      <c r="AI783" s="26">
        <v>0.97219882055602358</v>
      </c>
      <c r="AJ783" s="26">
        <v>0.9682791435368755</v>
      </c>
      <c r="AK783" s="26">
        <v>0.97257383966244726</v>
      </c>
      <c r="AL783" s="26">
        <v>0.96776305847982669</v>
      </c>
      <c r="AM783" s="25">
        <v>0.99</v>
      </c>
      <c r="AN783" s="30">
        <v>1</v>
      </c>
      <c r="AO783" s="30">
        <v>1</v>
      </c>
      <c r="AP783" s="30">
        <v>1</v>
      </c>
      <c r="AQ783" s="30">
        <v>1</v>
      </c>
      <c r="AR783" s="50">
        <v>8.1059522893420499E-2</v>
      </c>
      <c r="AS783" s="34">
        <v>0.1111111111111111</v>
      </c>
      <c r="AT783" s="34">
        <v>0.16666666666666666</v>
      </c>
      <c r="AU783" s="34">
        <v>0</v>
      </c>
      <c r="AV783" s="34">
        <v>9.6153846153846159E-2</v>
      </c>
      <c r="AW783" s="10"/>
      <c r="AX783" s="8"/>
    </row>
    <row r="784" spans="1:50">
      <c r="A784" s="7"/>
      <c r="B784" s="10"/>
      <c r="C784" s="45" t="s">
        <v>688</v>
      </c>
      <c r="D784" s="23" t="s">
        <v>21</v>
      </c>
      <c r="E784" s="68" t="s">
        <v>830</v>
      </c>
      <c r="F784" s="68" t="s">
        <v>830</v>
      </c>
      <c r="G784" s="68" t="s">
        <v>830</v>
      </c>
      <c r="H784" s="68" t="s">
        <v>830</v>
      </c>
      <c r="I784" s="25">
        <v>0.9</v>
      </c>
      <c r="J784" s="26">
        <v>0.83333333333333337</v>
      </c>
      <c r="K784" s="26">
        <v>0.81818181818181823</v>
      </c>
      <c r="L784" s="27">
        <v>0.82222222222222219</v>
      </c>
      <c r="M784" s="26">
        <v>0.85207100591715978</v>
      </c>
      <c r="N784" s="28">
        <v>0.9</v>
      </c>
      <c r="O784" s="26">
        <v>0.94533859702399026</v>
      </c>
      <c r="P784" s="26">
        <v>0.95369545859305427</v>
      </c>
      <c r="Q784" s="26">
        <v>0.94455445544554451</v>
      </c>
      <c r="R784" s="26">
        <v>0.9422888816432996</v>
      </c>
      <c r="S784" s="28">
        <v>0.9</v>
      </c>
      <c r="T784" s="26">
        <v>0.92286668691163076</v>
      </c>
      <c r="U784" s="26">
        <v>0.92163846838824581</v>
      </c>
      <c r="V784" s="26">
        <v>0.93044554455445549</v>
      </c>
      <c r="W784" s="26">
        <v>0.91624098829837342</v>
      </c>
      <c r="X784" s="28">
        <v>0.92</v>
      </c>
      <c r="Y784" s="28">
        <v>0.93045310853530028</v>
      </c>
      <c r="Z784" s="28">
        <v>0.92433910665451235</v>
      </c>
      <c r="AA784" s="28">
        <v>0.92452830188679247</v>
      </c>
      <c r="AB784" s="28">
        <v>0.92912982186338589</v>
      </c>
      <c r="AC784" s="28">
        <v>0.92</v>
      </c>
      <c r="AD784" s="26">
        <v>0.9988597491448119</v>
      </c>
      <c r="AE784" s="26">
        <v>1</v>
      </c>
      <c r="AF784" s="26">
        <v>0.99621928166351603</v>
      </c>
      <c r="AG784" s="26">
        <v>0.99859878561419901</v>
      </c>
      <c r="AH784" s="28">
        <v>0.92</v>
      </c>
      <c r="AI784" s="26">
        <v>0.95618374558303887</v>
      </c>
      <c r="AJ784" s="26">
        <v>0.95927500559409262</v>
      </c>
      <c r="AK784" s="26">
        <v>0.96423462088698142</v>
      </c>
      <c r="AL784" s="26">
        <v>0.96108367433328634</v>
      </c>
      <c r="AM784" s="25">
        <v>0.99</v>
      </c>
      <c r="AN784" s="30">
        <v>1</v>
      </c>
      <c r="AO784" s="30">
        <v>1</v>
      </c>
      <c r="AP784" s="30">
        <v>1</v>
      </c>
      <c r="AQ784" s="30">
        <v>1</v>
      </c>
      <c r="AR784" s="50">
        <v>8.1059522893420499E-2</v>
      </c>
      <c r="AS784" s="34">
        <v>7.1428571428571425E-2</v>
      </c>
      <c r="AT784" s="34">
        <v>0</v>
      </c>
      <c r="AU784" s="34">
        <v>0</v>
      </c>
      <c r="AV784" s="34">
        <v>2.9629629629629631E-2</v>
      </c>
      <c r="AW784" s="10"/>
      <c r="AX784" s="8"/>
    </row>
    <row r="785" spans="1:50">
      <c r="A785" s="7"/>
      <c r="B785" s="10"/>
      <c r="C785" s="45" t="s">
        <v>688</v>
      </c>
      <c r="D785" s="23" t="s">
        <v>21</v>
      </c>
      <c r="E785" s="68" t="s">
        <v>831</v>
      </c>
      <c r="F785" s="68" t="s">
        <v>831</v>
      </c>
      <c r="G785" s="68" t="s">
        <v>831</v>
      </c>
      <c r="H785" s="68" t="s">
        <v>831</v>
      </c>
      <c r="I785" s="25">
        <v>0.9</v>
      </c>
      <c r="J785" s="26">
        <v>0.72727272727272729</v>
      </c>
      <c r="K785" s="26">
        <v>0.76</v>
      </c>
      <c r="L785" s="27">
        <v>0.84615384615384615</v>
      </c>
      <c r="M785" s="26">
        <v>0.78191489361702127</v>
      </c>
      <c r="N785" s="28">
        <v>0.9</v>
      </c>
      <c r="O785" s="26">
        <v>0.94125809435707675</v>
      </c>
      <c r="P785" s="26">
        <v>0.95088044485634848</v>
      </c>
      <c r="Q785" s="26">
        <v>0.95792266868840026</v>
      </c>
      <c r="R785" s="26">
        <v>0.94795164539959709</v>
      </c>
      <c r="S785" s="28">
        <v>0.9</v>
      </c>
      <c r="T785" s="26">
        <v>0.88945420906567996</v>
      </c>
      <c r="U785" s="26">
        <v>0.92029657089898054</v>
      </c>
      <c r="V785" s="26">
        <v>0.92115238817285827</v>
      </c>
      <c r="W785" s="26">
        <v>0.90385045892097604</v>
      </c>
      <c r="X785" s="28">
        <v>0.92</v>
      </c>
      <c r="Y785" s="28">
        <v>0.90401396160558467</v>
      </c>
      <c r="Z785" s="28">
        <v>0.911976911976912</v>
      </c>
      <c r="AA785" s="28">
        <v>0.90535714285714286</v>
      </c>
      <c r="AB785" s="28">
        <v>0.90117319546629548</v>
      </c>
      <c r="AC785" s="28">
        <v>0.92</v>
      </c>
      <c r="AD785" s="26">
        <v>0.99772209567198178</v>
      </c>
      <c r="AE785" s="26">
        <v>0.99709090909090914</v>
      </c>
      <c r="AF785" s="26">
        <v>0.98382126348228038</v>
      </c>
      <c r="AG785" s="26">
        <v>0.98925122973219171</v>
      </c>
      <c r="AH785" s="28">
        <v>0.92</v>
      </c>
      <c r="AI785" s="26">
        <v>0.94519546949214472</v>
      </c>
      <c r="AJ785" s="26">
        <v>0.94959747987399368</v>
      </c>
      <c r="AK785" s="26">
        <v>0.9600124960949703</v>
      </c>
      <c r="AL785" s="26">
        <v>0.9488700811447518</v>
      </c>
      <c r="AM785" s="25">
        <v>0.99</v>
      </c>
      <c r="AN785" s="30">
        <v>1</v>
      </c>
      <c r="AO785" s="30">
        <v>1</v>
      </c>
      <c r="AP785" s="30">
        <v>1</v>
      </c>
      <c r="AQ785" s="30">
        <v>1</v>
      </c>
      <c r="AR785" s="50">
        <v>8.1059522893420499E-2</v>
      </c>
      <c r="AS785" s="34">
        <v>0</v>
      </c>
      <c r="AT785" s="34">
        <v>8.3333333333333329E-2</v>
      </c>
      <c r="AU785" s="34">
        <v>0</v>
      </c>
      <c r="AV785" s="34">
        <v>6.25E-2</v>
      </c>
      <c r="AW785" s="10"/>
      <c r="AX785" s="8"/>
    </row>
    <row r="786" spans="1:50">
      <c r="A786" s="7"/>
      <c r="B786" s="10"/>
      <c r="C786" s="45" t="s">
        <v>688</v>
      </c>
      <c r="D786" s="23" t="s">
        <v>21</v>
      </c>
      <c r="E786" s="68" t="s">
        <v>832</v>
      </c>
      <c r="F786" s="68" t="s">
        <v>832</v>
      </c>
      <c r="G786" s="68" t="s">
        <v>832</v>
      </c>
      <c r="H786" s="68" t="s">
        <v>832</v>
      </c>
      <c r="I786" s="25">
        <v>0.9</v>
      </c>
      <c r="J786" s="26">
        <v>0.8666666666666667</v>
      </c>
      <c r="K786" s="26">
        <v>0.93333333333333335</v>
      </c>
      <c r="L786" s="27">
        <v>0.94285714285714284</v>
      </c>
      <c r="M786" s="26">
        <v>0.92800000000000005</v>
      </c>
      <c r="N786" s="28">
        <v>0.9</v>
      </c>
      <c r="O786" s="26">
        <v>0.96349453978159127</v>
      </c>
      <c r="P786" s="26">
        <v>0.95207986688851909</v>
      </c>
      <c r="Q786" s="26">
        <v>0.95580841492458324</v>
      </c>
      <c r="R786" s="26">
        <v>0.95112873209806614</v>
      </c>
      <c r="S786" s="28">
        <v>0.9</v>
      </c>
      <c r="T786" s="26">
        <v>0.93042121684867396</v>
      </c>
      <c r="U786" s="26">
        <v>0.92712146422628949</v>
      </c>
      <c r="V786" s="26">
        <v>0.93384493252183121</v>
      </c>
      <c r="W786" s="26">
        <v>0.92523666963346551</v>
      </c>
      <c r="X786" s="28">
        <v>0.92</v>
      </c>
      <c r="Y786" s="28">
        <v>0.83949191685912239</v>
      </c>
      <c r="Z786" s="28">
        <v>0.92</v>
      </c>
      <c r="AA786" s="28">
        <v>0.94424673784104385</v>
      </c>
      <c r="AB786" s="28">
        <v>0.90760375643744318</v>
      </c>
      <c r="AC786" s="28">
        <v>0.92</v>
      </c>
      <c r="AD786" s="26">
        <v>0.99026425591098743</v>
      </c>
      <c r="AE786" s="26">
        <v>1</v>
      </c>
      <c r="AF786" s="26">
        <v>0.99896907216494846</v>
      </c>
      <c r="AG786" s="26">
        <v>0.99303346963501438</v>
      </c>
      <c r="AH786" s="28">
        <v>0.92</v>
      </c>
      <c r="AI786" s="26">
        <v>0.9467223177019396</v>
      </c>
      <c r="AJ786" s="26">
        <v>0.95436868032149336</v>
      </c>
      <c r="AK786" s="26">
        <v>0.96603936837551374</v>
      </c>
      <c r="AL786" s="26">
        <v>0.95572343884479294</v>
      </c>
      <c r="AM786" s="25">
        <v>0.99</v>
      </c>
      <c r="AN786" s="30">
        <v>1</v>
      </c>
      <c r="AO786" s="30">
        <v>1</v>
      </c>
      <c r="AP786" s="30">
        <v>1</v>
      </c>
      <c r="AQ786" s="30">
        <v>1</v>
      </c>
      <c r="AR786" s="50">
        <v>8.1059522893420499E-2</v>
      </c>
      <c r="AS786" s="34">
        <v>6.6666666666666666E-2</v>
      </c>
      <c r="AT786" s="34">
        <v>0</v>
      </c>
      <c r="AU786" s="34">
        <v>0</v>
      </c>
      <c r="AV786" s="34">
        <v>3.4482758620689655E-2</v>
      </c>
      <c r="AW786" s="10"/>
      <c r="AX786" s="8"/>
    </row>
    <row r="787" spans="1:50">
      <c r="A787" s="7"/>
      <c r="B787" s="10"/>
      <c r="C787" s="45" t="s">
        <v>688</v>
      </c>
      <c r="D787" s="23" t="s">
        <v>21</v>
      </c>
      <c r="E787" s="68" t="s">
        <v>833</v>
      </c>
      <c r="F787" s="68" t="s">
        <v>833</v>
      </c>
      <c r="G787" s="68" t="s">
        <v>833</v>
      </c>
      <c r="H787" s="68" t="s">
        <v>833</v>
      </c>
      <c r="I787" s="25">
        <v>0.9</v>
      </c>
      <c r="J787" s="26">
        <v>0.7931034482758621</v>
      </c>
      <c r="K787" s="26">
        <v>0.77419354838709675</v>
      </c>
      <c r="L787" s="27">
        <v>0.8</v>
      </c>
      <c r="M787" s="26">
        <v>0.8125</v>
      </c>
      <c r="N787" s="28">
        <v>0.9</v>
      </c>
      <c r="O787" s="26">
        <v>0.93509212730318259</v>
      </c>
      <c r="P787" s="26">
        <v>0.96600331674958539</v>
      </c>
      <c r="Q787" s="26">
        <v>0.93964935940660821</v>
      </c>
      <c r="R787" s="26">
        <v>0.95031213520783642</v>
      </c>
      <c r="S787" s="28">
        <v>0.9</v>
      </c>
      <c r="T787" s="26">
        <v>0.91624790619765495</v>
      </c>
      <c r="U787" s="26">
        <v>0.94320066334991703</v>
      </c>
      <c r="V787" s="26">
        <v>0.92751180040458525</v>
      </c>
      <c r="W787" s="26">
        <v>0.93173628381464757</v>
      </c>
      <c r="X787" s="28">
        <v>0.92</v>
      </c>
      <c r="Y787" s="28">
        <v>0.90031152647975077</v>
      </c>
      <c r="Z787" s="28">
        <v>0.94986449864498645</v>
      </c>
      <c r="AA787" s="28">
        <v>0.95924764890282133</v>
      </c>
      <c r="AB787" s="28">
        <v>0.94132334581772781</v>
      </c>
      <c r="AC787" s="28">
        <v>0.92</v>
      </c>
      <c r="AD787" s="26">
        <v>0.99763872491145222</v>
      </c>
      <c r="AE787" s="26">
        <v>0.99841772151898733</v>
      </c>
      <c r="AF787" s="26">
        <v>0.99264705882352944</v>
      </c>
      <c r="AG787" s="26">
        <v>0.99497975708502029</v>
      </c>
      <c r="AH787" s="28">
        <v>0.92</v>
      </c>
      <c r="AI787" s="26">
        <v>0.94424282415044536</v>
      </c>
      <c r="AJ787" s="26">
        <v>0.95627376425855515</v>
      </c>
      <c r="AK787" s="26">
        <v>0.96292197011621472</v>
      </c>
      <c r="AL787" s="26">
        <v>0.95549593624240514</v>
      </c>
      <c r="AM787" s="25">
        <v>0.99</v>
      </c>
      <c r="AN787" s="30">
        <v>1</v>
      </c>
      <c r="AO787" s="30">
        <v>1</v>
      </c>
      <c r="AP787" s="30">
        <v>1</v>
      </c>
      <c r="AQ787" s="30">
        <v>1</v>
      </c>
      <c r="AR787" s="50">
        <v>8.1059522893420499E-2</v>
      </c>
      <c r="AS787" s="34">
        <v>0.13333333333333333</v>
      </c>
      <c r="AT787" s="34">
        <v>0</v>
      </c>
      <c r="AU787" s="34">
        <v>0</v>
      </c>
      <c r="AV787" s="34">
        <v>5.9322033898305086E-2</v>
      </c>
      <c r="AW787" s="10"/>
      <c r="AX787" s="8"/>
    </row>
    <row r="788" spans="1:50">
      <c r="A788" s="7"/>
      <c r="B788" s="10"/>
      <c r="C788" s="45" t="s">
        <v>688</v>
      </c>
      <c r="D788" s="23" t="s">
        <v>21</v>
      </c>
      <c r="E788" s="68" t="s">
        <v>834</v>
      </c>
      <c r="F788" s="68" t="s">
        <v>834</v>
      </c>
      <c r="G788" s="68" t="s">
        <v>834</v>
      </c>
      <c r="H788" s="68" t="s">
        <v>834</v>
      </c>
      <c r="I788" s="25">
        <v>0.9</v>
      </c>
      <c r="J788" s="26">
        <v>0.93103448275862066</v>
      </c>
      <c r="K788" s="26">
        <v>0.93548387096774188</v>
      </c>
      <c r="L788" s="27">
        <v>0.967741935483871</v>
      </c>
      <c r="M788" s="26">
        <v>0.9291666666666667</v>
      </c>
      <c r="N788" s="28">
        <v>0.9</v>
      </c>
      <c r="O788" s="26">
        <v>0.95898542903399897</v>
      </c>
      <c r="P788" s="26">
        <v>0.93606281547952885</v>
      </c>
      <c r="Q788" s="26">
        <v>0.91294741493592579</v>
      </c>
      <c r="R788" s="26">
        <v>0.93703128167015737</v>
      </c>
      <c r="S788" s="28">
        <v>0.9</v>
      </c>
      <c r="T788" s="26">
        <v>0.89854290339989207</v>
      </c>
      <c r="U788" s="26">
        <v>0.88782950084127876</v>
      </c>
      <c r="V788" s="26">
        <v>0.85992045956694652</v>
      </c>
      <c r="W788" s="26">
        <v>0.8788595365178028</v>
      </c>
      <c r="X788" s="28">
        <v>0.92</v>
      </c>
      <c r="Y788" s="28">
        <v>0.90309278350515465</v>
      </c>
      <c r="Z788" s="28">
        <v>0.91512915129151295</v>
      </c>
      <c r="AA788" s="28">
        <v>0.94279176201372994</v>
      </c>
      <c r="AB788" s="28">
        <v>0.91249380267724345</v>
      </c>
      <c r="AC788" s="28">
        <v>0.92</v>
      </c>
      <c r="AD788" s="26">
        <v>0.99342825848849947</v>
      </c>
      <c r="AE788" s="26">
        <v>0.99353169469598968</v>
      </c>
      <c r="AF788" s="26">
        <v>0.99523809523809526</v>
      </c>
      <c r="AG788" s="26">
        <v>0.99483699660716918</v>
      </c>
      <c r="AH788" s="28">
        <v>0.92</v>
      </c>
      <c r="AI788" s="26">
        <v>0.95339888841385212</v>
      </c>
      <c r="AJ788" s="26">
        <v>0.95158526135389887</v>
      </c>
      <c r="AK788" s="26">
        <v>0.9630040695523493</v>
      </c>
      <c r="AL788" s="26">
        <v>0.95509489979853679</v>
      </c>
      <c r="AM788" s="25">
        <v>0.99</v>
      </c>
      <c r="AN788" s="30">
        <v>1</v>
      </c>
      <c r="AO788" s="30">
        <v>1</v>
      </c>
      <c r="AP788" s="30">
        <v>1</v>
      </c>
      <c r="AQ788" s="30">
        <v>1</v>
      </c>
      <c r="AR788" s="50">
        <v>8.1059522893420499E-2</v>
      </c>
      <c r="AS788" s="34">
        <v>0</v>
      </c>
      <c r="AT788" s="34">
        <v>0</v>
      </c>
      <c r="AU788" s="34">
        <v>0.1111111111111111</v>
      </c>
      <c r="AV788" s="34">
        <v>4.6875E-2</v>
      </c>
      <c r="AW788" s="10"/>
      <c r="AX788" s="8"/>
    </row>
    <row r="789" spans="1:50">
      <c r="A789" s="7"/>
      <c r="B789" s="10"/>
      <c r="C789" s="45" t="s">
        <v>688</v>
      </c>
      <c r="D789" s="23" t="s">
        <v>21</v>
      </c>
      <c r="E789" s="68" t="s">
        <v>835</v>
      </c>
      <c r="F789" s="68" t="s">
        <v>835</v>
      </c>
      <c r="G789" s="68" t="s">
        <v>835</v>
      </c>
      <c r="H789" s="68" t="s">
        <v>835</v>
      </c>
      <c r="I789" s="25">
        <v>0.9</v>
      </c>
      <c r="J789" s="26">
        <v>0.8529411764705882</v>
      </c>
      <c r="K789" s="26">
        <v>0.91666666666666663</v>
      </c>
      <c r="L789" s="27">
        <v>0.94117647058823528</v>
      </c>
      <c r="M789" s="26">
        <v>0.89513108614232206</v>
      </c>
      <c r="N789" s="28">
        <v>0.9</v>
      </c>
      <c r="O789" s="26">
        <v>0.94286703601108035</v>
      </c>
      <c r="P789" s="26">
        <v>0.96199213630406288</v>
      </c>
      <c r="Q789" s="26">
        <v>0.92287091590787362</v>
      </c>
      <c r="R789" s="26">
        <v>0.94568958280869642</v>
      </c>
      <c r="S789" s="28">
        <v>0.9</v>
      </c>
      <c r="T789" s="26">
        <v>0.93524930747922441</v>
      </c>
      <c r="U789" s="26">
        <v>0.95052424639580602</v>
      </c>
      <c r="V789" s="26">
        <v>0.92501339046598818</v>
      </c>
      <c r="W789" s="26">
        <v>0.93838663644757825</v>
      </c>
      <c r="X789" s="28">
        <v>0.92</v>
      </c>
      <c r="Y789" s="28">
        <v>0.94486983154670745</v>
      </c>
      <c r="Z789" s="28">
        <v>0.9205219454329775</v>
      </c>
      <c r="AA789" s="28">
        <v>0.91925465838509313</v>
      </c>
      <c r="AB789" s="28">
        <v>0.94093519278096804</v>
      </c>
      <c r="AC789" s="28">
        <v>0.92</v>
      </c>
      <c r="AD789" s="26">
        <v>0.99715909090909094</v>
      </c>
      <c r="AE789" s="26">
        <v>0.99885714285714289</v>
      </c>
      <c r="AF789" s="26">
        <v>0.99874213836477987</v>
      </c>
      <c r="AG789" s="26">
        <v>0.99623875715453802</v>
      </c>
      <c r="AH789" s="28">
        <v>0.92</v>
      </c>
      <c r="AI789" s="26">
        <v>0.96978254730302171</v>
      </c>
      <c r="AJ789" s="26">
        <v>0.96846153846153848</v>
      </c>
      <c r="AK789" s="26">
        <v>0.96432503853776697</v>
      </c>
      <c r="AL789" s="26">
        <v>0.97143716175586292</v>
      </c>
      <c r="AM789" s="25">
        <v>0.99</v>
      </c>
      <c r="AN789" s="30">
        <v>1</v>
      </c>
      <c r="AO789" s="30">
        <v>1</v>
      </c>
      <c r="AP789" s="30">
        <v>1</v>
      </c>
      <c r="AQ789" s="30">
        <v>1</v>
      </c>
      <c r="AR789" s="50">
        <v>8.1059522893420499E-2</v>
      </c>
      <c r="AS789" s="34">
        <v>9.0909090909090912E-2</v>
      </c>
      <c r="AT789" s="34">
        <v>0</v>
      </c>
      <c r="AU789" s="34">
        <v>0</v>
      </c>
      <c r="AV789" s="34">
        <v>1.6129032258064516E-2</v>
      </c>
      <c r="AW789" s="10"/>
      <c r="AX789" s="8"/>
    </row>
    <row r="790" spans="1:50">
      <c r="A790" s="7"/>
      <c r="B790" s="10"/>
      <c r="C790" s="45" t="s">
        <v>688</v>
      </c>
      <c r="D790" s="23" t="s">
        <v>21</v>
      </c>
      <c r="E790" s="68" t="s">
        <v>836</v>
      </c>
      <c r="F790" s="68" t="s">
        <v>836</v>
      </c>
      <c r="G790" s="68" t="s">
        <v>836</v>
      </c>
      <c r="H790" s="68" t="s">
        <v>836</v>
      </c>
      <c r="I790" s="25">
        <v>0.9</v>
      </c>
      <c r="J790" s="26">
        <v>0.79411764705882348</v>
      </c>
      <c r="K790" s="26">
        <v>0.74285714285714288</v>
      </c>
      <c r="L790" s="27">
        <v>0.7142857142857143</v>
      </c>
      <c r="M790" s="26">
        <v>0.74329501915708818</v>
      </c>
      <c r="N790" s="28">
        <v>0.9</v>
      </c>
      <c r="O790" s="26">
        <v>0.9625649913344887</v>
      </c>
      <c r="P790" s="26">
        <v>0.95740295431123323</v>
      </c>
      <c r="Q790" s="26">
        <v>0.954912329529641</v>
      </c>
      <c r="R790" s="26">
        <v>0.94380518013305992</v>
      </c>
      <c r="S790" s="28">
        <v>0.9</v>
      </c>
      <c r="T790" s="26">
        <v>0.91715771230502596</v>
      </c>
      <c r="U790" s="26">
        <v>0.93266918584678804</v>
      </c>
      <c r="V790" s="26">
        <v>0.91455608126913446</v>
      </c>
      <c r="W790" s="26">
        <v>0.91338549730114227</v>
      </c>
      <c r="X790" s="28">
        <v>0.92</v>
      </c>
      <c r="Y790" s="28">
        <v>0.88959390862944165</v>
      </c>
      <c r="Z790" s="28">
        <v>0.92601156069364166</v>
      </c>
      <c r="AA790" s="28">
        <v>0.92447916666666663</v>
      </c>
      <c r="AB790" s="28">
        <v>0.9168421052631579</v>
      </c>
      <c r="AC790" s="28">
        <v>0.92</v>
      </c>
      <c r="AD790" s="26">
        <v>0.99763593380614657</v>
      </c>
      <c r="AE790" s="26">
        <v>0.99237611181702667</v>
      </c>
      <c r="AF790" s="26">
        <v>0.99255952380952384</v>
      </c>
      <c r="AG790" s="26">
        <v>0.96521853261582879</v>
      </c>
      <c r="AH790" s="28">
        <v>0.92</v>
      </c>
      <c r="AI790" s="26">
        <v>0.94936019602504762</v>
      </c>
      <c r="AJ790" s="26">
        <v>0.95844362096347269</v>
      </c>
      <c r="AK790" s="26">
        <v>0.94729605866177824</v>
      </c>
      <c r="AL790" s="26">
        <v>0.95180919976444411</v>
      </c>
      <c r="AM790" s="25">
        <v>0.99</v>
      </c>
      <c r="AN790" s="30">
        <v>1</v>
      </c>
      <c r="AO790" s="30">
        <v>1</v>
      </c>
      <c r="AP790" s="30">
        <v>1</v>
      </c>
      <c r="AQ790" s="30">
        <v>1</v>
      </c>
      <c r="AR790" s="50">
        <v>8.1059522893420499E-2</v>
      </c>
      <c r="AS790" s="34">
        <v>8.3333333333333329E-2</v>
      </c>
      <c r="AT790" s="34">
        <v>0.1111111111111111</v>
      </c>
      <c r="AU790" s="34">
        <v>6.6666666666666666E-2</v>
      </c>
      <c r="AV790" s="34">
        <v>4.807692307692308E-2</v>
      </c>
      <c r="AW790" s="10"/>
      <c r="AX790" s="8"/>
    </row>
    <row r="791" spans="1:50">
      <c r="A791" s="7"/>
      <c r="B791" s="10"/>
      <c r="C791" s="45" t="s">
        <v>688</v>
      </c>
      <c r="D791" s="23" t="s">
        <v>21</v>
      </c>
      <c r="E791" s="68" t="s">
        <v>837</v>
      </c>
      <c r="F791" s="68" t="s">
        <v>837</v>
      </c>
      <c r="G791" s="68" t="s">
        <v>837</v>
      </c>
      <c r="H791" s="68" t="s">
        <v>837</v>
      </c>
      <c r="I791" s="25">
        <v>0.9</v>
      </c>
      <c r="J791" s="26">
        <v>0.8</v>
      </c>
      <c r="K791" s="26">
        <v>0.66666666666666663</v>
      </c>
      <c r="L791" s="27">
        <v>0.68181818181818177</v>
      </c>
      <c r="M791" s="26">
        <v>0.6987951807228916</v>
      </c>
      <c r="N791" s="28">
        <v>0.9</v>
      </c>
      <c r="O791" s="26">
        <v>0.930126582278481</v>
      </c>
      <c r="P791" s="26">
        <v>0.93926701570680626</v>
      </c>
      <c r="Q791" s="26">
        <v>0.93822393822393824</v>
      </c>
      <c r="R791" s="26">
        <v>0.92971428571428572</v>
      </c>
      <c r="S791" s="28">
        <v>0.9</v>
      </c>
      <c r="T791" s="26">
        <v>0.93164556962025313</v>
      </c>
      <c r="U791" s="26">
        <v>0.93926701570680626</v>
      </c>
      <c r="V791" s="26">
        <v>0.91977691977691978</v>
      </c>
      <c r="W791" s="26">
        <v>0.93187301587301585</v>
      </c>
      <c r="X791" s="28">
        <v>0.92</v>
      </c>
      <c r="Y791" s="28">
        <v>0.92164179104477617</v>
      </c>
      <c r="Z791" s="28">
        <v>0.90701468189233281</v>
      </c>
      <c r="AA791" s="28">
        <v>0.94555353901996375</v>
      </c>
      <c r="AB791" s="28">
        <v>0.929551692589204</v>
      </c>
      <c r="AC791" s="28">
        <v>0.92</v>
      </c>
      <c r="AD791" s="26">
        <v>0.99930939226519333</v>
      </c>
      <c r="AE791" s="26">
        <v>1</v>
      </c>
      <c r="AF791" s="26">
        <v>0.99494097807757165</v>
      </c>
      <c r="AG791" s="26">
        <v>0.9981378026070763</v>
      </c>
      <c r="AH791" s="28">
        <v>0.92</v>
      </c>
      <c r="AI791" s="26">
        <v>0.97132616487455192</v>
      </c>
      <c r="AJ791" s="26">
        <v>0.9571938168846611</v>
      </c>
      <c r="AK791" s="26">
        <v>0.96634281748785567</v>
      </c>
      <c r="AL791" s="26">
        <v>0.963275853500969</v>
      </c>
      <c r="AM791" s="25">
        <v>0.99</v>
      </c>
      <c r="AN791" s="30">
        <v>1</v>
      </c>
      <c r="AO791" s="30">
        <v>1</v>
      </c>
      <c r="AP791" s="30">
        <v>1</v>
      </c>
      <c r="AQ791" s="30">
        <v>1</v>
      </c>
      <c r="AR791" s="50">
        <v>8.1059522893420499E-2</v>
      </c>
      <c r="AS791" s="34">
        <v>0</v>
      </c>
      <c r="AT791" s="34">
        <v>0</v>
      </c>
      <c r="AU791" s="34">
        <v>-0.1</v>
      </c>
      <c r="AV791" s="34">
        <v>-1.7543859649122806E-2</v>
      </c>
      <c r="AW791" s="10"/>
      <c r="AX791" s="8"/>
    </row>
    <row r="792" spans="1:50">
      <c r="A792" s="7"/>
      <c r="B792" s="10"/>
      <c r="C792" s="45" t="s">
        <v>688</v>
      </c>
      <c r="D792" s="23" t="s">
        <v>21</v>
      </c>
      <c r="E792" s="68" t="s">
        <v>838</v>
      </c>
      <c r="F792" s="68" t="s">
        <v>838</v>
      </c>
      <c r="G792" s="68" t="s">
        <v>838</v>
      </c>
      <c r="H792" s="68" t="s">
        <v>838</v>
      </c>
      <c r="I792" s="25">
        <v>0.9</v>
      </c>
      <c r="J792" s="26">
        <v>0.8571428571428571</v>
      </c>
      <c r="K792" s="26">
        <v>0.85</v>
      </c>
      <c r="L792" s="27">
        <v>0.85</v>
      </c>
      <c r="M792" s="26">
        <v>0.85802469135802473</v>
      </c>
      <c r="N792" s="28">
        <v>0.9</v>
      </c>
      <c r="O792" s="26">
        <v>0.96081871345029235</v>
      </c>
      <c r="P792" s="26">
        <v>0.96</v>
      </c>
      <c r="Q792" s="26">
        <v>0.95879120879120883</v>
      </c>
      <c r="R792" s="26">
        <v>0.9556796250344638</v>
      </c>
      <c r="S792" s="28">
        <v>0.9</v>
      </c>
      <c r="T792" s="26">
        <v>0.93391812865497081</v>
      </c>
      <c r="U792" s="26">
        <v>0.94434782608695655</v>
      </c>
      <c r="V792" s="26">
        <v>0.93406593406593408</v>
      </c>
      <c r="W792" s="26">
        <v>0.93927488282326987</v>
      </c>
      <c r="X792" s="28">
        <v>0.92</v>
      </c>
      <c r="Y792" s="28">
        <v>0.87941787941787941</v>
      </c>
      <c r="Z792" s="28">
        <v>0.93738819320214672</v>
      </c>
      <c r="AA792" s="28">
        <v>0.90289256198347112</v>
      </c>
      <c r="AB792" s="28">
        <v>0.90893841361131078</v>
      </c>
      <c r="AC792" s="28">
        <v>0.92</v>
      </c>
      <c r="AD792" s="26">
        <v>0.9989200863930886</v>
      </c>
      <c r="AE792" s="26">
        <v>0.99773242630385484</v>
      </c>
      <c r="AF792" s="26">
        <v>0.99439252336448603</v>
      </c>
      <c r="AG792" s="26">
        <v>0.99696180555555558</v>
      </c>
      <c r="AH792" s="28">
        <v>0.92</v>
      </c>
      <c r="AI792" s="26">
        <v>0.94801641586867302</v>
      </c>
      <c r="AJ792" s="26">
        <v>0.9588981198076082</v>
      </c>
      <c r="AK792" s="26">
        <v>0.95844253088730813</v>
      </c>
      <c r="AL792" s="26">
        <v>0.95634262479268095</v>
      </c>
      <c r="AM792" s="25">
        <v>0.99</v>
      </c>
      <c r="AN792" s="30">
        <v>1</v>
      </c>
      <c r="AO792" s="30">
        <v>1</v>
      </c>
      <c r="AP792" s="30">
        <v>1</v>
      </c>
      <c r="AQ792" s="30">
        <v>1</v>
      </c>
      <c r="AR792" s="50">
        <v>8.1059522893420499E-2</v>
      </c>
      <c r="AS792" s="34">
        <v>0.1111111111111111</v>
      </c>
      <c r="AT792" s="34">
        <v>0.4</v>
      </c>
      <c r="AU792" s="34">
        <v>-0.25</v>
      </c>
      <c r="AV792" s="34">
        <v>6.4516129032258063E-2</v>
      </c>
      <c r="AW792" s="10"/>
      <c r="AX792" s="8"/>
    </row>
    <row r="793" spans="1:50">
      <c r="A793" s="7"/>
      <c r="B793" s="10"/>
      <c r="C793" s="45" t="s">
        <v>688</v>
      </c>
      <c r="D793" s="23" t="s">
        <v>21</v>
      </c>
      <c r="E793" s="68" t="s">
        <v>839</v>
      </c>
      <c r="F793" s="68" t="s">
        <v>839</v>
      </c>
      <c r="G793" s="68" t="s">
        <v>839</v>
      </c>
      <c r="H793" s="68" t="s">
        <v>839</v>
      </c>
      <c r="I793" s="25">
        <v>0.9</v>
      </c>
      <c r="J793" s="26">
        <v>0.95652173913043481</v>
      </c>
      <c r="K793" s="26">
        <v>0.88</v>
      </c>
      <c r="L793" s="27">
        <v>0.92</v>
      </c>
      <c r="M793" s="26">
        <v>0.91891891891891897</v>
      </c>
      <c r="N793" s="28">
        <v>0.9</v>
      </c>
      <c r="O793" s="26">
        <v>0.94341675734494013</v>
      </c>
      <c r="P793" s="26">
        <v>0.93714580113343637</v>
      </c>
      <c r="Q793" s="26">
        <v>0.95469406819243341</v>
      </c>
      <c r="R793" s="26">
        <v>0.93800305993481004</v>
      </c>
      <c r="S793" s="28">
        <v>0.9</v>
      </c>
      <c r="T793" s="26">
        <v>0.91512513601741019</v>
      </c>
      <c r="U793" s="26">
        <v>0.90314270994332824</v>
      </c>
      <c r="V793" s="26">
        <v>0.93040635217188228</v>
      </c>
      <c r="W793" s="26">
        <v>0.91485398789330141</v>
      </c>
      <c r="X793" s="28">
        <v>0.92</v>
      </c>
      <c r="Y793" s="28">
        <v>0.90295358649789026</v>
      </c>
      <c r="Z793" s="28">
        <v>0.92678571428571432</v>
      </c>
      <c r="AA793" s="28">
        <v>0.95141700404858298</v>
      </c>
      <c r="AB793" s="28">
        <v>0.92091346153846154</v>
      </c>
      <c r="AC793" s="28">
        <v>0.92</v>
      </c>
      <c r="AD793" s="26">
        <v>0.99687987519500776</v>
      </c>
      <c r="AE793" s="26">
        <v>0.99158091674462112</v>
      </c>
      <c r="AF793" s="26">
        <v>0.99248685199098419</v>
      </c>
      <c r="AG793" s="26">
        <v>0.99306458604247938</v>
      </c>
      <c r="AH793" s="28">
        <v>0.92</v>
      </c>
      <c r="AI793" s="26">
        <v>0.94506920415224915</v>
      </c>
      <c r="AJ793" s="26">
        <v>0.94326807830603276</v>
      </c>
      <c r="AK793" s="26">
        <v>0.94844579226686887</v>
      </c>
      <c r="AL793" s="26">
        <v>0.94449651150682079</v>
      </c>
      <c r="AM793" s="25">
        <v>0.99</v>
      </c>
      <c r="AN793" s="30">
        <v>1</v>
      </c>
      <c r="AO793" s="30">
        <v>1</v>
      </c>
      <c r="AP793" s="30">
        <v>1</v>
      </c>
      <c r="AQ793" s="30">
        <v>1</v>
      </c>
      <c r="AR793" s="50">
        <v>8.1059522893420499E-2</v>
      </c>
      <c r="AS793" s="34">
        <v>5.5555555555555552E-2</v>
      </c>
      <c r="AT793" s="34">
        <v>0</v>
      </c>
      <c r="AU793" s="34">
        <v>0.1111111111111111</v>
      </c>
      <c r="AV793" s="34">
        <v>2.7027027027027029E-2</v>
      </c>
      <c r="AW793" s="10"/>
      <c r="AX793" s="8"/>
    </row>
    <row r="794" spans="1:50">
      <c r="A794" s="7"/>
      <c r="B794" s="10"/>
      <c r="C794" s="45" t="s">
        <v>688</v>
      </c>
      <c r="D794" s="23" t="s">
        <v>21</v>
      </c>
      <c r="E794" s="68" t="s">
        <v>840</v>
      </c>
      <c r="F794" s="68" t="s">
        <v>840</v>
      </c>
      <c r="G794" s="68" t="s">
        <v>840</v>
      </c>
      <c r="H794" s="68" t="s">
        <v>840</v>
      </c>
      <c r="I794" s="25">
        <v>0.9</v>
      </c>
      <c r="J794" s="26">
        <v>0.875</v>
      </c>
      <c r="K794" s="26">
        <v>0.77419354838709675</v>
      </c>
      <c r="L794" s="27">
        <v>0.78125</v>
      </c>
      <c r="M794" s="26">
        <v>0.79497907949790791</v>
      </c>
      <c r="N794" s="28">
        <v>0.9</v>
      </c>
      <c r="O794" s="26">
        <v>0.95057189542483655</v>
      </c>
      <c r="P794" s="26">
        <v>0.96577498033044851</v>
      </c>
      <c r="Q794" s="26">
        <v>0.9559157212317666</v>
      </c>
      <c r="R794" s="26">
        <v>0.95787748807171424</v>
      </c>
      <c r="S794" s="28">
        <v>0.9</v>
      </c>
      <c r="T794" s="26">
        <v>0.91503267973856206</v>
      </c>
      <c r="U794" s="26">
        <v>0.93902439024390238</v>
      </c>
      <c r="V794" s="26">
        <v>0.91021069692058343</v>
      </c>
      <c r="W794" s="26">
        <v>0.92317702057930506</v>
      </c>
      <c r="X794" s="28">
        <v>0.92</v>
      </c>
      <c r="Y794" s="28">
        <v>0.92251461988304095</v>
      </c>
      <c r="Z794" s="28">
        <v>0.9241645244215938</v>
      </c>
      <c r="AA794" s="28">
        <v>0.919047619047619</v>
      </c>
      <c r="AB794" s="28">
        <v>0.90196078431372551</v>
      </c>
      <c r="AC794" s="28">
        <v>0.92</v>
      </c>
      <c r="AD794" s="26">
        <v>1</v>
      </c>
      <c r="AE794" s="26">
        <v>0.99501246882793015</v>
      </c>
      <c r="AF794" s="26">
        <v>0.99487179487179489</v>
      </c>
      <c r="AG794" s="26">
        <v>0.99554441659704818</v>
      </c>
      <c r="AH794" s="28">
        <v>0.92</v>
      </c>
      <c r="AI794" s="26">
        <v>0.95881226053639845</v>
      </c>
      <c r="AJ794" s="26">
        <v>0.96509178453204936</v>
      </c>
      <c r="AK794" s="26">
        <v>0.96689098250336469</v>
      </c>
      <c r="AL794" s="26">
        <v>0.96044279885144324</v>
      </c>
      <c r="AM794" s="25">
        <v>0.99</v>
      </c>
      <c r="AN794" s="30">
        <v>1</v>
      </c>
      <c r="AO794" s="30">
        <v>1</v>
      </c>
      <c r="AP794" s="30">
        <v>1</v>
      </c>
      <c r="AQ794" s="30">
        <v>1</v>
      </c>
      <c r="AR794" s="50">
        <v>8.1059522893420499E-2</v>
      </c>
      <c r="AS794" s="34">
        <v>0.11764705882352941</v>
      </c>
      <c r="AT794" s="34">
        <v>0.1111111111111111</v>
      </c>
      <c r="AU794" s="34">
        <v>0.21052631578947367</v>
      </c>
      <c r="AV794" s="34">
        <v>9.7087378640776698E-2</v>
      </c>
      <c r="AW794" s="10"/>
      <c r="AX794" s="8"/>
    </row>
    <row r="795" spans="1:50">
      <c r="A795" s="7"/>
      <c r="B795" s="10"/>
      <c r="C795" s="45" t="s">
        <v>688</v>
      </c>
      <c r="D795" s="23" t="s">
        <v>21</v>
      </c>
      <c r="E795" s="68" t="s">
        <v>841</v>
      </c>
      <c r="F795" s="68" t="s">
        <v>841</v>
      </c>
      <c r="G795" s="68" t="s">
        <v>841</v>
      </c>
      <c r="H795" s="68" t="s">
        <v>841</v>
      </c>
      <c r="I795" s="25">
        <v>0.9</v>
      </c>
      <c r="J795" s="26">
        <v>0.78260869565217395</v>
      </c>
      <c r="K795" s="26">
        <v>0.78260869565217395</v>
      </c>
      <c r="L795" s="27">
        <v>0.91304347826086951</v>
      </c>
      <c r="M795" s="26">
        <v>0.87005649717514122</v>
      </c>
      <c r="N795" s="28">
        <v>0.9</v>
      </c>
      <c r="O795" s="26">
        <v>0.9412751677852349</v>
      </c>
      <c r="P795" s="26">
        <v>0.93908355795148246</v>
      </c>
      <c r="Q795" s="26">
        <v>0.92654348805768361</v>
      </c>
      <c r="R795" s="26">
        <v>0.92729447730444603</v>
      </c>
      <c r="S795" s="28">
        <v>0.9</v>
      </c>
      <c r="T795" s="26">
        <v>0.92170022371364657</v>
      </c>
      <c r="U795" s="26">
        <v>0.93369272237196765</v>
      </c>
      <c r="V795" s="26">
        <v>0.90986931050022535</v>
      </c>
      <c r="W795" s="26">
        <v>0.91247424735827742</v>
      </c>
      <c r="X795" s="28">
        <v>0.92</v>
      </c>
      <c r="Y795" s="28">
        <v>0.88007736943907156</v>
      </c>
      <c r="Z795" s="28">
        <v>0.91428571428571426</v>
      </c>
      <c r="AA795" s="28">
        <v>0.89938398357289528</v>
      </c>
      <c r="AB795" s="28">
        <v>0.89081944118337641</v>
      </c>
      <c r="AC795" s="28">
        <v>0.92</v>
      </c>
      <c r="AD795" s="26">
        <v>0.99868073878627972</v>
      </c>
      <c r="AE795" s="26">
        <v>0.99084249084249088</v>
      </c>
      <c r="AF795" s="26">
        <v>0.97625698324022347</v>
      </c>
      <c r="AG795" s="26">
        <v>0.99241889985895626</v>
      </c>
      <c r="AH795" s="28">
        <v>0.92</v>
      </c>
      <c r="AI795" s="26">
        <v>0.94449262792714661</v>
      </c>
      <c r="AJ795" s="26">
        <v>0.95488410596026485</v>
      </c>
      <c r="AK795" s="26">
        <v>0.95385751199704694</v>
      </c>
      <c r="AL795" s="26">
        <v>0.94658385093167707</v>
      </c>
      <c r="AM795" s="25">
        <v>0.99</v>
      </c>
      <c r="AN795" s="30">
        <v>1</v>
      </c>
      <c r="AO795" s="30">
        <v>1</v>
      </c>
      <c r="AP795" s="30">
        <v>1</v>
      </c>
      <c r="AQ795" s="30">
        <v>1</v>
      </c>
      <c r="AR795" s="50">
        <v>8.1059522893420499E-2</v>
      </c>
      <c r="AS795" s="34">
        <v>0</v>
      </c>
      <c r="AT795" s="34">
        <v>0.125</v>
      </c>
      <c r="AU795" s="34">
        <v>0</v>
      </c>
      <c r="AV795" s="34">
        <v>3.614457831325301E-2</v>
      </c>
      <c r="AW795" s="10"/>
      <c r="AX795" s="8"/>
    </row>
    <row r="796" spans="1:50">
      <c r="A796" s="7"/>
      <c r="B796" s="10"/>
      <c r="C796" s="45" t="s">
        <v>688</v>
      </c>
      <c r="D796" s="23" t="s">
        <v>21</v>
      </c>
      <c r="E796" s="68" t="s">
        <v>842</v>
      </c>
      <c r="F796" s="68" t="s">
        <v>842</v>
      </c>
      <c r="G796" s="68" t="s">
        <v>842</v>
      </c>
      <c r="H796" s="68" t="s">
        <v>842</v>
      </c>
      <c r="I796" s="25">
        <v>0.9</v>
      </c>
      <c r="J796" s="26">
        <v>0.8</v>
      </c>
      <c r="K796" s="26">
        <v>0.7142857142857143</v>
      </c>
      <c r="L796" s="27">
        <v>0.66666666666666663</v>
      </c>
      <c r="M796" s="26">
        <v>0.74545454545454548</v>
      </c>
      <c r="N796" s="28">
        <v>0.9</v>
      </c>
      <c r="O796" s="26">
        <v>0.92924267551133222</v>
      </c>
      <c r="P796" s="26">
        <v>0.93859649122807021</v>
      </c>
      <c r="Q796" s="26">
        <v>0.93952180028129395</v>
      </c>
      <c r="R796" s="26">
        <v>0.92530004138501865</v>
      </c>
      <c r="S796" s="28">
        <v>0.9</v>
      </c>
      <c r="T796" s="26">
        <v>0.92979546710889993</v>
      </c>
      <c r="U796" s="26">
        <v>0.93567251461988299</v>
      </c>
      <c r="V796" s="26">
        <v>0.92545710267229253</v>
      </c>
      <c r="W796" s="26">
        <v>0.92274796523658431</v>
      </c>
      <c r="X796" s="28">
        <v>0.92</v>
      </c>
      <c r="Y796" s="28">
        <v>0.91750503018108653</v>
      </c>
      <c r="Z796" s="28">
        <v>0.91772151898734178</v>
      </c>
      <c r="AA796" s="28">
        <v>0.91954022988505746</v>
      </c>
      <c r="AB796" s="28">
        <v>0.92555383822771764</v>
      </c>
      <c r="AC796" s="28">
        <v>0.92</v>
      </c>
      <c r="AD796" s="26">
        <v>0.98966704936854188</v>
      </c>
      <c r="AE796" s="26">
        <v>0.99568965517241381</v>
      </c>
      <c r="AF796" s="26">
        <v>0.99742433998712166</v>
      </c>
      <c r="AG796" s="26">
        <v>0.99401069518716578</v>
      </c>
      <c r="AH796" s="28">
        <v>0.92</v>
      </c>
      <c r="AI796" s="26">
        <v>0.9661751951431049</v>
      </c>
      <c r="AJ796" s="26">
        <v>0.95928636779505949</v>
      </c>
      <c r="AK796" s="26">
        <v>0.96690031152647971</v>
      </c>
      <c r="AL796" s="26">
        <v>0.96225388882845642</v>
      </c>
      <c r="AM796" s="25">
        <v>0.99</v>
      </c>
      <c r="AN796" s="30">
        <v>1</v>
      </c>
      <c r="AO796" s="30">
        <v>1</v>
      </c>
      <c r="AP796" s="30">
        <v>1</v>
      </c>
      <c r="AQ796" s="30">
        <v>1</v>
      </c>
      <c r="AR796" s="50">
        <v>8.1059522893420499E-2</v>
      </c>
      <c r="AS796" s="34">
        <v>0</v>
      </c>
      <c r="AT796" s="34">
        <v>0</v>
      </c>
      <c r="AU796" s="34">
        <v>0.1</v>
      </c>
      <c r="AV796" s="34">
        <v>5.3571428571428568E-2</v>
      </c>
      <c r="AW796" s="10"/>
      <c r="AX796" s="8"/>
    </row>
    <row r="797" spans="1:50">
      <c r="A797" s="7"/>
      <c r="B797" s="10"/>
      <c r="C797" s="45" t="s">
        <v>688</v>
      </c>
      <c r="D797" s="23" t="s">
        <v>21</v>
      </c>
      <c r="E797" s="68" t="s">
        <v>843</v>
      </c>
      <c r="F797" s="68" t="s">
        <v>843</v>
      </c>
      <c r="G797" s="68" t="s">
        <v>843</v>
      </c>
      <c r="H797" s="68" t="s">
        <v>843</v>
      </c>
      <c r="I797" s="25">
        <v>0.9</v>
      </c>
      <c r="J797" s="26">
        <v>0.92307692307692313</v>
      </c>
      <c r="K797" s="26">
        <v>1</v>
      </c>
      <c r="L797" s="27">
        <v>0.9375</v>
      </c>
      <c r="M797" s="26">
        <v>0.87272727272727268</v>
      </c>
      <c r="N797" s="28">
        <v>0.9</v>
      </c>
      <c r="O797" s="26">
        <v>0.94191919191919193</v>
      </c>
      <c r="P797" s="26">
        <v>0.94909688013136284</v>
      </c>
      <c r="Q797" s="26">
        <v>0.96261089987325732</v>
      </c>
      <c r="R797" s="26">
        <v>0.94442842034419772</v>
      </c>
      <c r="S797" s="28">
        <v>0.9</v>
      </c>
      <c r="T797" s="26">
        <v>0.92760942760942766</v>
      </c>
      <c r="U797" s="26">
        <v>0.909688013136289</v>
      </c>
      <c r="V797" s="26">
        <v>0.94550063371356152</v>
      </c>
      <c r="W797" s="26">
        <v>0.92366118642438222</v>
      </c>
      <c r="X797" s="28">
        <v>0.92</v>
      </c>
      <c r="Y797" s="28">
        <v>0.92112676056338028</v>
      </c>
      <c r="Z797" s="28">
        <v>0.92800000000000005</v>
      </c>
      <c r="AA797" s="28">
        <v>0.94285714285714284</v>
      </c>
      <c r="AB797" s="28">
        <v>0.92207792207792205</v>
      </c>
      <c r="AC797" s="28">
        <v>0.92</v>
      </c>
      <c r="AD797" s="26">
        <v>0.99578059071729963</v>
      </c>
      <c r="AE797" s="26">
        <v>0.98611111111111116</v>
      </c>
      <c r="AF797" s="26">
        <v>0.99678456591639875</v>
      </c>
      <c r="AG797" s="26">
        <v>0.9962025316455696</v>
      </c>
      <c r="AH797" s="28">
        <v>0.92</v>
      </c>
      <c r="AI797" s="26">
        <v>0.95722618276085547</v>
      </c>
      <c r="AJ797" s="26">
        <v>0.95984943538268508</v>
      </c>
      <c r="AK797" s="26">
        <v>0.96249339672477552</v>
      </c>
      <c r="AL797" s="26">
        <v>0.95760410380205185</v>
      </c>
      <c r="AM797" s="25">
        <v>0.99</v>
      </c>
      <c r="AN797" s="30">
        <v>1</v>
      </c>
      <c r="AO797" s="30">
        <v>1</v>
      </c>
      <c r="AP797" s="30">
        <v>1</v>
      </c>
      <c r="AQ797" s="30">
        <v>1</v>
      </c>
      <c r="AR797" s="50">
        <v>8.1059522893420499E-2</v>
      </c>
      <c r="AS797" s="34">
        <v>0.14285714285714285</v>
      </c>
      <c r="AT797" s="34">
        <v>1</v>
      </c>
      <c r="AU797" s="34">
        <v>0.25</v>
      </c>
      <c r="AV797" s="34">
        <v>0.14583333333333334</v>
      </c>
      <c r="AW797" s="10"/>
      <c r="AX797" s="8"/>
    </row>
    <row r="798" spans="1:50">
      <c r="A798" s="7"/>
      <c r="B798" s="10"/>
      <c r="C798" s="45" t="s">
        <v>688</v>
      </c>
      <c r="D798" s="23" t="s">
        <v>21</v>
      </c>
      <c r="E798" s="68" t="s">
        <v>844</v>
      </c>
      <c r="F798" s="68" t="s">
        <v>844</v>
      </c>
      <c r="G798" s="68" t="s">
        <v>844</v>
      </c>
      <c r="H798" s="68" t="s">
        <v>844</v>
      </c>
      <c r="I798" s="25">
        <v>0.9</v>
      </c>
      <c r="J798" s="26">
        <v>0.83333333333333337</v>
      </c>
      <c r="K798" s="26">
        <v>0.9</v>
      </c>
      <c r="L798" s="27">
        <v>0.9</v>
      </c>
      <c r="M798" s="26">
        <v>0.88194444444444442</v>
      </c>
      <c r="N798" s="28">
        <v>0.9</v>
      </c>
      <c r="O798" s="26">
        <v>0.95102339181286555</v>
      </c>
      <c r="P798" s="26">
        <v>0.96616541353383456</v>
      </c>
      <c r="Q798" s="26">
        <v>0.95241116751269039</v>
      </c>
      <c r="R798" s="26">
        <v>0.9537486012681835</v>
      </c>
      <c r="S798" s="28">
        <v>0.9</v>
      </c>
      <c r="T798" s="26">
        <v>0.88450292397660824</v>
      </c>
      <c r="U798" s="26">
        <v>0.95563909774436095</v>
      </c>
      <c r="V798" s="26">
        <v>0.94987309644670048</v>
      </c>
      <c r="W798" s="26">
        <v>0.94423722491607609</v>
      </c>
      <c r="X798" s="28">
        <v>0.92</v>
      </c>
      <c r="Y798" s="28">
        <v>0.90785907859078596</v>
      </c>
      <c r="Z798" s="28">
        <v>0.96208530805687209</v>
      </c>
      <c r="AA798" s="28">
        <v>0.98840579710144927</v>
      </c>
      <c r="AB798" s="28">
        <v>0.94876847290640398</v>
      </c>
      <c r="AC798" s="28">
        <v>0.92</v>
      </c>
      <c r="AD798" s="26">
        <v>0.99737827715355809</v>
      </c>
      <c r="AE798" s="26">
        <v>0.99923047325894576</v>
      </c>
      <c r="AF798" s="26">
        <v>0.99701393497013935</v>
      </c>
      <c r="AG798" s="26">
        <v>0.99399413167063999</v>
      </c>
      <c r="AH798" s="28">
        <v>0.92</v>
      </c>
      <c r="AI798" s="26">
        <v>0.94242947610823258</v>
      </c>
      <c r="AJ798" s="26">
        <v>0.96921322690992018</v>
      </c>
      <c r="AK798" s="26">
        <v>0.98129870129870134</v>
      </c>
      <c r="AL798" s="26">
        <v>0.96618287373004352</v>
      </c>
      <c r="AM798" s="25">
        <v>0.99</v>
      </c>
      <c r="AN798" s="30">
        <v>1</v>
      </c>
      <c r="AO798" s="30">
        <v>1</v>
      </c>
      <c r="AP798" s="30">
        <v>1</v>
      </c>
      <c r="AQ798" s="30">
        <v>1</v>
      </c>
      <c r="AR798" s="50">
        <v>8.1059522893420499E-2</v>
      </c>
      <c r="AS798" s="34">
        <v>0</v>
      </c>
      <c r="AT798" s="34">
        <v>0</v>
      </c>
      <c r="AU798" s="34">
        <v>0</v>
      </c>
      <c r="AV798" s="34">
        <v>0.05</v>
      </c>
      <c r="AW798" s="10"/>
      <c r="AX798" s="8"/>
    </row>
    <row r="799" spans="1:50">
      <c r="A799" s="7"/>
      <c r="B799" s="10"/>
      <c r="C799" s="45" t="s">
        <v>688</v>
      </c>
      <c r="D799" s="23" t="s">
        <v>21</v>
      </c>
      <c r="E799" s="68" t="s">
        <v>845</v>
      </c>
      <c r="F799" s="68" t="s">
        <v>845</v>
      </c>
      <c r="G799" s="68" t="s">
        <v>845</v>
      </c>
      <c r="H799" s="68" t="s">
        <v>845</v>
      </c>
      <c r="I799" s="25">
        <v>0.9</v>
      </c>
      <c r="J799" s="26">
        <v>0.82539682539682535</v>
      </c>
      <c r="K799" s="26">
        <v>0.84848484848484851</v>
      </c>
      <c r="L799" s="27">
        <v>0.94029850746268662</v>
      </c>
      <c r="M799" s="26">
        <v>0.85336048879837068</v>
      </c>
      <c r="N799" s="28">
        <v>0.9</v>
      </c>
      <c r="O799" s="26">
        <v>0.89441930618401211</v>
      </c>
      <c r="P799" s="26">
        <v>0.94984116368500249</v>
      </c>
      <c r="Q799" s="26">
        <v>0.92822161003979187</v>
      </c>
      <c r="R799" s="26">
        <v>0.92061846765137778</v>
      </c>
      <c r="S799" s="28">
        <v>0.9</v>
      </c>
      <c r="T799" s="26">
        <v>0.88034188034188032</v>
      </c>
      <c r="U799" s="26">
        <v>0.93161678649055346</v>
      </c>
      <c r="V799" s="26">
        <v>0.90159167431894705</v>
      </c>
      <c r="W799" s="26">
        <v>0.90591258529843655</v>
      </c>
      <c r="X799" s="28">
        <v>0.92</v>
      </c>
      <c r="Y799" s="28">
        <v>0.91538898353208409</v>
      </c>
      <c r="Z799" s="28">
        <v>0.93553542887586572</v>
      </c>
      <c r="AA799" s="28">
        <v>0.93882091212458285</v>
      </c>
      <c r="AB799" s="28">
        <v>0.93507324704878392</v>
      </c>
      <c r="AC799" s="28">
        <v>0.92</v>
      </c>
      <c r="AD799" s="26">
        <v>0.99783080260303691</v>
      </c>
      <c r="AE799" s="26">
        <v>0.96613545816733071</v>
      </c>
      <c r="AF799" s="26">
        <v>0.97549770290964777</v>
      </c>
      <c r="AG799" s="26">
        <v>0.97696067023504773</v>
      </c>
      <c r="AH799" s="28">
        <v>0.92</v>
      </c>
      <c r="AI799" s="26">
        <v>0.94011124046048378</v>
      </c>
      <c r="AJ799" s="26">
        <v>0.96067701705268516</v>
      </c>
      <c r="AK799" s="26">
        <v>0.94827172347575617</v>
      </c>
      <c r="AL799" s="26">
        <v>0.95564315765064434</v>
      </c>
      <c r="AM799" s="25">
        <v>0.99</v>
      </c>
      <c r="AN799" s="30">
        <v>1</v>
      </c>
      <c r="AO799" s="30">
        <v>1</v>
      </c>
      <c r="AP799" s="30">
        <v>1</v>
      </c>
      <c r="AQ799" s="30">
        <v>1</v>
      </c>
      <c r="AR799" s="50">
        <v>8.1059522893420499E-2</v>
      </c>
      <c r="AS799" s="34">
        <v>8.5714285714285715E-2</v>
      </c>
      <c r="AT799" s="34">
        <v>5.5555555555555552E-2</v>
      </c>
      <c r="AU799" s="34">
        <v>2.8571428571428571E-2</v>
      </c>
      <c r="AV799" s="34">
        <v>3.4482758620689655E-2</v>
      </c>
      <c r="AW799" s="10"/>
      <c r="AX799" s="8"/>
    </row>
    <row r="800" spans="1:50">
      <c r="A800" s="7"/>
      <c r="B800" s="10"/>
      <c r="C800" s="45" t="s">
        <v>688</v>
      </c>
      <c r="D800" s="23" t="s">
        <v>21</v>
      </c>
      <c r="E800" s="68" t="s">
        <v>846</v>
      </c>
      <c r="F800" s="68" t="s">
        <v>846</v>
      </c>
      <c r="G800" s="68" t="s">
        <v>846</v>
      </c>
      <c r="H800" s="68" t="s">
        <v>846</v>
      </c>
      <c r="I800" s="25">
        <v>0.9</v>
      </c>
      <c r="J800" s="26">
        <v>0.76190476190476186</v>
      </c>
      <c r="K800" s="26">
        <v>0.94736842105263153</v>
      </c>
      <c r="L800" s="27">
        <v>0.90909090909090906</v>
      </c>
      <c r="M800" s="26">
        <v>0.89240506329113922</v>
      </c>
      <c r="N800" s="28">
        <v>0.9</v>
      </c>
      <c r="O800" s="26">
        <v>0.92325184764070489</v>
      </c>
      <c r="P800" s="26">
        <v>0.8792165397170838</v>
      </c>
      <c r="Q800" s="26">
        <v>0.91761786600496276</v>
      </c>
      <c r="R800" s="26">
        <v>0.92473950999718391</v>
      </c>
      <c r="S800" s="28">
        <v>0.9</v>
      </c>
      <c r="T800" s="26">
        <v>0.92325184764070489</v>
      </c>
      <c r="U800" s="26">
        <v>0.89662676822633292</v>
      </c>
      <c r="V800" s="26">
        <v>0.91315136476426795</v>
      </c>
      <c r="W800" s="26">
        <v>0.90636440439312871</v>
      </c>
      <c r="X800" s="28">
        <v>0.92</v>
      </c>
      <c r="Y800" s="28">
        <v>0.90204081632653066</v>
      </c>
      <c r="Z800" s="28">
        <v>0.94063079777365488</v>
      </c>
      <c r="AA800" s="28">
        <v>0.94310344827586212</v>
      </c>
      <c r="AB800" s="28">
        <v>0.92069450961989674</v>
      </c>
      <c r="AC800" s="28">
        <v>0.92</v>
      </c>
      <c r="AD800" s="26">
        <v>0.99583333333333335</v>
      </c>
      <c r="AE800" s="26">
        <v>1</v>
      </c>
      <c r="AF800" s="26">
        <v>1</v>
      </c>
      <c r="AG800" s="26">
        <v>0.99008115419296661</v>
      </c>
      <c r="AH800" s="28">
        <v>0.92</v>
      </c>
      <c r="AI800" s="26">
        <v>0.95464650955980435</v>
      </c>
      <c r="AJ800" s="26">
        <v>0.96297854438367692</v>
      </c>
      <c r="AK800" s="26">
        <v>0.95606936416184973</v>
      </c>
      <c r="AL800" s="26">
        <v>0.95435347628330081</v>
      </c>
      <c r="AM800" s="25">
        <v>0.99</v>
      </c>
      <c r="AN800" s="30">
        <v>1</v>
      </c>
      <c r="AO800" s="30">
        <v>1</v>
      </c>
      <c r="AP800" s="30">
        <v>1</v>
      </c>
      <c r="AQ800" s="30">
        <v>1</v>
      </c>
      <c r="AR800" s="50">
        <v>8.1059522893420499E-2</v>
      </c>
      <c r="AS800" s="34">
        <v>0</v>
      </c>
      <c r="AT800" s="34">
        <v>8.3333333333333329E-2</v>
      </c>
      <c r="AU800" s="34">
        <v>0</v>
      </c>
      <c r="AV800" s="34">
        <v>5.3571428571428568E-2</v>
      </c>
      <c r="AW800" s="10"/>
      <c r="AX800" s="8"/>
    </row>
    <row r="801" spans="1:50">
      <c r="A801" s="7"/>
      <c r="B801" s="10"/>
      <c r="C801" s="45" t="s">
        <v>688</v>
      </c>
      <c r="D801" s="23" t="s">
        <v>21</v>
      </c>
      <c r="E801" s="68" t="s">
        <v>847</v>
      </c>
      <c r="F801" s="68" t="s">
        <v>847</v>
      </c>
      <c r="G801" s="68" t="s">
        <v>847</v>
      </c>
      <c r="H801" s="68" t="s">
        <v>847</v>
      </c>
      <c r="I801" s="25">
        <v>0.9</v>
      </c>
      <c r="J801" s="26">
        <v>0.84210526315789469</v>
      </c>
      <c r="K801" s="26">
        <v>0.94736842105263153</v>
      </c>
      <c r="L801" s="27">
        <v>0.95</v>
      </c>
      <c r="M801" s="26">
        <v>0.94366197183098588</v>
      </c>
      <c r="N801" s="28">
        <v>0.9</v>
      </c>
      <c r="O801" s="26">
        <v>0.93113482056256058</v>
      </c>
      <c r="P801" s="26">
        <v>0.9221967963386728</v>
      </c>
      <c r="Q801" s="26">
        <v>0.90662139219015281</v>
      </c>
      <c r="R801" s="26">
        <v>0.91535536706639364</v>
      </c>
      <c r="S801" s="28">
        <v>0.9</v>
      </c>
      <c r="T801" s="26">
        <v>0.91076624636275461</v>
      </c>
      <c r="U801" s="26">
        <v>0.92906178489702518</v>
      </c>
      <c r="V801" s="26">
        <v>0.91553480475381999</v>
      </c>
      <c r="W801" s="26">
        <v>0.91289850833577069</v>
      </c>
      <c r="X801" s="28">
        <v>0.92</v>
      </c>
      <c r="Y801" s="28">
        <v>0.9</v>
      </c>
      <c r="Z801" s="28">
        <v>0.90939044481054365</v>
      </c>
      <c r="AA801" s="28">
        <v>0.92197452229299359</v>
      </c>
      <c r="AB801" s="28">
        <v>0.90478111761145852</v>
      </c>
      <c r="AC801" s="28">
        <v>0.92</v>
      </c>
      <c r="AD801" s="26">
        <v>0.99914113942170057</v>
      </c>
      <c r="AE801" s="26">
        <v>0.99588138385502467</v>
      </c>
      <c r="AF801" s="26">
        <v>0.97357098955132149</v>
      </c>
      <c r="AG801" s="26">
        <v>0.96822508853439038</v>
      </c>
      <c r="AH801" s="28">
        <v>0.92</v>
      </c>
      <c r="AI801" s="26">
        <v>0.93963553530751709</v>
      </c>
      <c r="AJ801" s="26">
        <v>0.94915861081274611</v>
      </c>
      <c r="AK801" s="26">
        <v>0.95006702412868638</v>
      </c>
      <c r="AL801" s="26">
        <v>0.9447769314472253</v>
      </c>
      <c r="AM801" s="25">
        <v>0.99</v>
      </c>
      <c r="AN801" s="30">
        <v>1</v>
      </c>
      <c r="AO801" s="30">
        <v>1</v>
      </c>
      <c r="AP801" s="30">
        <v>1</v>
      </c>
      <c r="AQ801" s="30">
        <v>1</v>
      </c>
      <c r="AR801" s="50">
        <v>8.1059522893420499E-2</v>
      </c>
      <c r="AS801" s="34">
        <v>0</v>
      </c>
      <c r="AT801" s="34">
        <v>0.2</v>
      </c>
      <c r="AU801" s="34">
        <v>8.3333333333333329E-2</v>
      </c>
      <c r="AV801" s="34">
        <v>6.1224489795918366E-2</v>
      </c>
      <c r="AW801" s="10"/>
      <c r="AX801" s="8"/>
    </row>
    <row r="802" spans="1:50">
      <c r="A802" s="7"/>
      <c r="B802" s="10"/>
      <c r="C802" s="45" t="s">
        <v>688</v>
      </c>
      <c r="D802" s="23" t="s">
        <v>21</v>
      </c>
      <c r="E802" s="68" t="s">
        <v>848</v>
      </c>
      <c r="F802" s="68" t="s">
        <v>848</v>
      </c>
      <c r="G802" s="68" t="s">
        <v>848</v>
      </c>
      <c r="H802" s="68" t="s">
        <v>848</v>
      </c>
      <c r="I802" s="25">
        <v>0.9</v>
      </c>
      <c r="J802" s="26">
        <v>0.8</v>
      </c>
      <c r="K802" s="26">
        <v>0.77272727272727271</v>
      </c>
      <c r="L802" s="27">
        <v>0.88</v>
      </c>
      <c r="M802" s="26">
        <v>0.83333333333333337</v>
      </c>
      <c r="N802" s="28">
        <v>0.9</v>
      </c>
      <c r="O802" s="26">
        <v>0.9346563407550823</v>
      </c>
      <c r="P802" s="26">
        <v>0.92780121894045942</v>
      </c>
      <c r="Q802" s="26">
        <v>0.92087475149105369</v>
      </c>
      <c r="R802" s="26">
        <v>0.91286379511059368</v>
      </c>
      <c r="S802" s="28">
        <v>0.9</v>
      </c>
      <c r="T802" s="26">
        <v>0.89545014520813171</v>
      </c>
      <c r="U802" s="26">
        <v>0.87013595874355365</v>
      </c>
      <c r="V802" s="26">
        <v>0.86560636182902584</v>
      </c>
      <c r="W802" s="26">
        <v>0.85593713620488943</v>
      </c>
      <c r="X802" s="28">
        <v>0.92</v>
      </c>
      <c r="Y802" s="28">
        <v>0.91792294807370189</v>
      </c>
      <c r="Z802" s="28">
        <v>0.90476190476190477</v>
      </c>
      <c r="AA802" s="28">
        <v>0.91640378548895896</v>
      </c>
      <c r="AB802" s="28">
        <v>0.90975369458128075</v>
      </c>
      <c r="AC802" s="28">
        <v>0.92</v>
      </c>
      <c r="AD802" s="26">
        <v>0.99424184261036463</v>
      </c>
      <c r="AE802" s="26">
        <v>0.99313893653516294</v>
      </c>
      <c r="AF802" s="26">
        <v>0.96787148594377514</v>
      </c>
      <c r="AG802" s="26">
        <v>0.98266950440863488</v>
      </c>
      <c r="AH802" s="28">
        <v>0.92</v>
      </c>
      <c r="AI802" s="26">
        <v>0.93581081081081086</v>
      </c>
      <c r="AJ802" s="26">
        <v>0.91412145167085879</v>
      </c>
      <c r="AK802" s="26">
        <v>0.93426484598285164</v>
      </c>
      <c r="AL802" s="26">
        <v>0.92868049941615016</v>
      </c>
      <c r="AM802" s="25">
        <v>0.99</v>
      </c>
      <c r="AN802" s="30">
        <v>1</v>
      </c>
      <c r="AO802" s="30">
        <v>1</v>
      </c>
      <c r="AP802" s="30">
        <v>1</v>
      </c>
      <c r="AQ802" s="30">
        <v>1</v>
      </c>
      <c r="AR802" s="50">
        <v>8.1059522893420499E-2</v>
      </c>
      <c r="AS802" s="34">
        <v>0</v>
      </c>
      <c r="AT802" s="34">
        <v>0</v>
      </c>
      <c r="AU802" s="34">
        <v>0</v>
      </c>
      <c r="AV802" s="34">
        <v>2.4691358024691357E-2</v>
      </c>
      <c r="AW802" s="10"/>
      <c r="AX802" s="8"/>
    </row>
    <row r="803" spans="1:50">
      <c r="A803" s="7"/>
      <c r="B803" s="10"/>
      <c r="C803" s="45" t="s">
        <v>688</v>
      </c>
      <c r="D803" s="23" t="s">
        <v>21</v>
      </c>
      <c r="E803" s="68" t="s">
        <v>849</v>
      </c>
      <c r="F803" s="68" t="s">
        <v>849</v>
      </c>
      <c r="G803" s="68" t="s">
        <v>849</v>
      </c>
      <c r="H803" s="68" t="s">
        <v>849</v>
      </c>
      <c r="I803" s="25">
        <v>0.9</v>
      </c>
      <c r="J803" s="26">
        <v>0.92307692307692313</v>
      </c>
      <c r="K803" s="26">
        <v>0.96296296296296291</v>
      </c>
      <c r="L803" s="27">
        <v>0.88888888888888884</v>
      </c>
      <c r="M803" s="26">
        <v>0.93689320388349517</v>
      </c>
      <c r="N803" s="28">
        <v>0.9</v>
      </c>
      <c r="O803" s="26">
        <v>0.95503813729425935</v>
      </c>
      <c r="P803" s="26">
        <v>0.92384105960264906</v>
      </c>
      <c r="Q803" s="26">
        <v>0.91114149008885847</v>
      </c>
      <c r="R803" s="26">
        <v>0.94456548051319289</v>
      </c>
      <c r="S803" s="28">
        <v>0.9</v>
      </c>
      <c r="T803" s="26">
        <v>0.92773986350863102</v>
      </c>
      <c r="U803" s="26">
        <v>0.93487858719646799</v>
      </c>
      <c r="V803" s="26">
        <v>0.94771018455228984</v>
      </c>
      <c r="W803" s="26">
        <v>0.93493100944081331</v>
      </c>
      <c r="X803" s="28">
        <v>0.92</v>
      </c>
      <c r="Y803" s="28">
        <v>0.89670014347202298</v>
      </c>
      <c r="Z803" s="28">
        <v>0.91927083333333337</v>
      </c>
      <c r="AA803" s="28">
        <v>0.93536121673003803</v>
      </c>
      <c r="AB803" s="28">
        <v>0.91984920504835277</v>
      </c>
      <c r="AC803" s="28">
        <v>0.92</v>
      </c>
      <c r="AD803" s="26">
        <v>0.99967105263157896</v>
      </c>
      <c r="AE803" s="26">
        <v>0.99030067895247331</v>
      </c>
      <c r="AF803" s="26">
        <v>0.98267600442314784</v>
      </c>
      <c r="AG803" s="26">
        <v>0.99152991000529378</v>
      </c>
      <c r="AH803" s="28">
        <v>0.92</v>
      </c>
      <c r="AI803" s="26">
        <v>0.95639899623588454</v>
      </c>
      <c r="AJ803" s="26">
        <v>0.96615031554790587</v>
      </c>
      <c r="AK803" s="26">
        <v>0.97012113055181692</v>
      </c>
      <c r="AL803" s="26">
        <v>0.96338501774705776</v>
      </c>
      <c r="AM803" s="25">
        <v>0.99</v>
      </c>
      <c r="AN803" s="30">
        <v>1</v>
      </c>
      <c r="AO803" s="30">
        <v>1</v>
      </c>
      <c r="AP803" s="30">
        <v>1</v>
      </c>
      <c r="AQ803" s="30">
        <v>1</v>
      </c>
      <c r="AR803" s="50">
        <v>8.1059522893420499E-2</v>
      </c>
      <c r="AS803" s="34">
        <v>0.1</v>
      </c>
      <c r="AT803" s="34">
        <v>0</v>
      </c>
      <c r="AU803" s="34">
        <v>5.8823529411764705E-2</v>
      </c>
      <c r="AV803" s="34">
        <v>3.614457831325301E-2</v>
      </c>
      <c r="AW803" s="10"/>
      <c r="AX803" s="8"/>
    </row>
    <row r="804" spans="1:50">
      <c r="A804" s="7"/>
      <c r="B804" s="10"/>
      <c r="C804" s="45" t="s">
        <v>688</v>
      </c>
      <c r="D804" s="23" t="s">
        <v>21</v>
      </c>
      <c r="E804" s="68" t="s">
        <v>850</v>
      </c>
      <c r="F804" s="68" t="s">
        <v>850</v>
      </c>
      <c r="G804" s="68" t="s">
        <v>850</v>
      </c>
      <c r="H804" s="68" t="s">
        <v>850</v>
      </c>
      <c r="I804" s="25">
        <v>0.9</v>
      </c>
      <c r="J804" s="26">
        <v>0.84210526315789469</v>
      </c>
      <c r="K804" s="26">
        <v>0.77272727272727271</v>
      </c>
      <c r="L804" s="27">
        <v>0.65217391304347827</v>
      </c>
      <c r="M804" s="26">
        <v>0.66257668711656437</v>
      </c>
      <c r="N804" s="28">
        <v>0.9</v>
      </c>
      <c r="O804" s="26">
        <v>0.93496862521391899</v>
      </c>
      <c r="P804" s="26">
        <v>0.82820369334079458</v>
      </c>
      <c r="Q804" s="26">
        <v>0.87346938775510208</v>
      </c>
      <c r="R804" s="26">
        <v>0.89064549031035989</v>
      </c>
      <c r="S804" s="28">
        <v>0.9</v>
      </c>
      <c r="T804" s="26">
        <v>0.90530519110096974</v>
      </c>
      <c r="U804" s="26">
        <v>0.88360380526021265</v>
      </c>
      <c r="V804" s="26">
        <v>0.9051020408163265</v>
      </c>
      <c r="W804" s="26">
        <v>0.88816843945796298</v>
      </c>
      <c r="X804" s="28">
        <v>0.92</v>
      </c>
      <c r="Y804" s="28">
        <v>0.86159844054580892</v>
      </c>
      <c r="Z804" s="28">
        <v>0.91730769230769227</v>
      </c>
      <c r="AA804" s="28">
        <v>0.92014519056261346</v>
      </c>
      <c r="AB804" s="28">
        <v>0.87749354611593522</v>
      </c>
      <c r="AC804" s="28">
        <v>0.92</v>
      </c>
      <c r="AD804" s="26">
        <v>1</v>
      </c>
      <c r="AE804" s="26">
        <v>0.94915254237288138</v>
      </c>
      <c r="AF804" s="26">
        <v>0.97916666666666663</v>
      </c>
      <c r="AG804" s="26">
        <v>0.97777777777777775</v>
      </c>
      <c r="AH804" s="28">
        <v>0.92</v>
      </c>
      <c r="AI804" s="26">
        <v>0.91791703442188877</v>
      </c>
      <c r="AJ804" s="26">
        <v>0.93888166449934984</v>
      </c>
      <c r="AK804" s="26">
        <v>0.94946279347393558</v>
      </c>
      <c r="AL804" s="26">
        <v>0.92601445247359648</v>
      </c>
      <c r="AM804" s="25">
        <v>0.99</v>
      </c>
      <c r="AN804" s="30">
        <v>1</v>
      </c>
      <c r="AO804" s="30">
        <v>1</v>
      </c>
      <c r="AP804" s="30">
        <v>1</v>
      </c>
      <c r="AQ804" s="30">
        <v>1</v>
      </c>
      <c r="AR804" s="50">
        <v>8.1059522893420499E-2</v>
      </c>
      <c r="AS804" s="34">
        <v>0</v>
      </c>
      <c r="AT804" s="34">
        <v>0.14285714285714285</v>
      </c>
      <c r="AU804" s="34">
        <v>0</v>
      </c>
      <c r="AV804" s="34">
        <v>8.6956521739130432E-2</v>
      </c>
      <c r="AW804" s="10"/>
      <c r="AX804" s="8"/>
    </row>
    <row r="805" spans="1:50">
      <c r="A805" s="7"/>
      <c r="B805" s="10"/>
      <c r="C805" s="45" t="s">
        <v>688</v>
      </c>
      <c r="D805" s="23" t="s">
        <v>21</v>
      </c>
      <c r="E805" s="68" t="s">
        <v>851</v>
      </c>
      <c r="F805" s="68" t="s">
        <v>851</v>
      </c>
      <c r="G805" s="68" t="s">
        <v>851</v>
      </c>
      <c r="H805" s="68" t="s">
        <v>851</v>
      </c>
      <c r="I805" s="25">
        <v>0.9</v>
      </c>
      <c r="J805" s="26">
        <v>0.88888888888888884</v>
      </c>
      <c r="K805" s="26">
        <v>0.875</v>
      </c>
      <c r="L805" s="27">
        <v>0.88888888888888884</v>
      </c>
      <c r="M805" s="26">
        <v>0.83333333333333337</v>
      </c>
      <c r="N805" s="28">
        <v>0.9</v>
      </c>
      <c r="O805" s="26">
        <v>0.96789536266349585</v>
      </c>
      <c r="P805" s="26">
        <v>0.97285559174809988</v>
      </c>
      <c r="Q805" s="26">
        <v>0.95837669094693023</v>
      </c>
      <c r="R805" s="26">
        <v>0.9690290178571429</v>
      </c>
      <c r="S805" s="28">
        <v>0.9</v>
      </c>
      <c r="T805" s="26">
        <v>0.91438763376932219</v>
      </c>
      <c r="U805" s="26">
        <v>0.92833876221498368</v>
      </c>
      <c r="V805" s="26">
        <v>0.91675338189386057</v>
      </c>
      <c r="W805" s="26">
        <v>0.9213169642857143</v>
      </c>
      <c r="X805" s="28">
        <v>0.92</v>
      </c>
      <c r="Y805" s="28">
        <v>0.94354838709677424</v>
      </c>
      <c r="Z805" s="28">
        <v>0.90839694656488545</v>
      </c>
      <c r="AA805" s="28">
        <v>0.94306049822064053</v>
      </c>
      <c r="AB805" s="28">
        <v>0.93687707641196016</v>
      </c>
      <c r="AC805" s="28">
        <v>0.92</v>
      </c>
      <c r="AD805" s="26">
        <v>1</v>
      </c>
      <c r="AE805" s="26">
        <v>0.99180327868852458</v>
      </c>
      <c r="AF805" s="26">
        <v>0.98954703832752611</v>
      </c>
      <c r="AG805" s="26">
        <v>0.98957945664309643</v>
      </c>
      <c r="AH805" s="28">
        <v>0.92</v>
      </c>
      <c r="AI805" s="26">
        <v>0.95867768595041325</v>
      </c>
      <c r="AJ805" s="26">
        <v>0.96872358410819948</v>
      </c>
      <c r="AK805" s="26">
        <v>0.96859903381642509</v>
      </c>
      <c r="AL805" s="26">
        <v>0.96572537184738094</v>
      </c>
      <c r="AM805" s="25">
        <v>0.99</v>
      </c>
      <c r="AN805" s="30">
        <v>1</v>
      </c>
      <c r="AO805" s="30">
        <v>1</v>
      </c>
      <c r="AP805" s="30">
        <v>1</v>
      </c>
      <c r="AQ805" s="30">
        <v>1</v>
      </c>
      <c r="AR805" s="50">
        <v>8.1059522893420499E-2</v>
      </c>
      <c r="AS805" s="34">
        <v>0.33333333333333331</v>
      </c>
      <c r="AT805" s="34">
        <v>0</v>
      </c>
      <c r="AU805" s="34">
        <v>0</v>
      </c>
      <c r="AV805" s="34">
        <v>4.7619047619047616E-2</v>
      </c>
      <c r="AW805" s="10"/>
      <c r="AX805" s="8"/>
    </row>
    <row r="806" spans="1:50">
      <c r="A806" s="7"/>
      <c r="B806" s="10"/>
      <c r="C806" s="45" t="s">
        <v>688</v>
      </c>
      <c r="D806" s="23" t="s">
        <v>21</v>
      </c>
      <c r="E806" s="68" t="s">
        <v>852</v>
      </c>
      <c r="F806" s="68" t="s">
        <v>852</v>
      </c>
      <c r="G806" s="68" t="s">
        <v>852</v>
      </c>
      <c r="H806" s="68" t="s">
        <v>852</v>
      </c>
      <c r="I806" s="25">
        <v>0.9</v>
      </c>
      <c r="J806" s="26">
        <v>0.72727272727272729</v>
      </c>
      <c r="K806" s="26">
        <v>0.76190476190476186</v>
      </c>
      <c r="L806" s="27">
        <v>0.77272727272727271</v>
      </c>
      <c r="M806" s="26">
        <v>0.78181818181818186</v>
      </c>
      <c r="N806" s="28">
        <v>0.9</v>
      </c>
      <c r="O806" s="26">
        <v>0.95593869731800762</v>
      </c>
      <c r="P806" s="26">
        <v>0.95071258907363421</v>
      </c>
      <c r="Q806" s="26">
        <v>0.9646869983948636</v>
      </c>
      <c r="R806" s="26">
        <v>0.95509459767494875</v>
      </c>
      <c r="S806" s="28">
        <v>0.9</v>
      </c>
      <c r="T806" s="26">
        <v>0.91826309067688383</v>
      </c>
      <c r="U806" s="26">
        <v>0.90855106888361048</v>
      </c>
      <c r="V806" s="26">
        <v>0.93044408774745857</v>
      </c>
      <c r="W806" s="26">
        <v>0.91452017323911561</v>
      </c>
      <c r="X806" s="28">
        <v>0.92</v>
      </c>
      <c r="Y806" s="28">
        <v>0.85747663551401865</v>
      </c>
      <c r="Z806" s="28">
        <v>0.91832229580573954</v>
      </c>
      <c r="AA806" s="28">
        <v>0.89945155393053011</v>
      </c>
      <c r="AB806" s="28">
        <v>0.89427201614938179</v>
      </c>
      <c r="AC806" s="28">
        <v>0.92</v>
      </c>
      <c r="AD806" s="26">
        <v>0.98888888888888893</v>
      </c>
      <c r="AE806" s="26">
        <v>0.96938775510204078</v>
      </c>
      <c r="AF806" s="26">
        <v>0.97560975609756095</v>
      </c>
      <c r="AG806" s="26">
        <v>0.97550585729499473</v>
      </c>
      <c r="AH806" s="28">
        <v>0.92</v>
      </c>
      <c r="AI806" s="26">
        <v>0.93233082706766912</v>
      </c>
      <c r="AJ806" s="26">
        <v>0.94899391670566213</v>
      </c>
      <c r="AK806" s="26">
        <v>0.94789081885856075</v>
      </c>
      <c r="AL806" s="26">
        <v>0.94210004085682597</v>
      </c>
      <c r="AM806" s="25">
        <v>0.99</v>
      </c>
      <c r="AN806" s="30">
        <v>1</v>
      </c>
      <c r="AO806" s="30">
        <v>1</v>
      </c>
      <c r="AP806" s="30">
        <v>1</v>
      </c>
      <c r="AQ806" s="30">
        <v>1</v>
      </c>
      <c r="AR806" s="50">
        <v>8.1059522893420499E-2</v>
      </c>
      <c r="AS806" s="34">
        <v>0</v>
      </c>
      <c r="AT806" s="34">
        <v>0</v>
      </c>
      <c r="AU806" s="34">
        <v>0</v>
      </c>
      <c r="AV806" s="34">
        <v>1.6129032258064516E-2</v>
      </c>
      <c r="AW806" s="10"/>
      <c r="AX806" s="8"/>
    </row>
    <row r="807" spans="1:50">
      <c r="A807" s="7"/>
      <c r="B807" s="10"/>
      <c r="C807" s="45" t="s">
        <v>688</v>
      </c>
      <c r="D807" s="23" t="s">
        <v>21</v>
      </c>
      <c r="E807" s="68" t="s">
        <v>853</v>
      </c>
      <c r="F807" s="68" t="s">
        <v>853</v>
      </c>
      <c r="G807" s="68" t="s">
        <v>853</v>
      </c>
      <c r="H807" s="68" t="s">
        <v>853</v>
      </c>
      <c r="I807" s="25">
        <v>0.9</v>
      </c>
      <c r="J807" s="26">
        <v>0.88888888888888884</v>
      </c>
      <c r="K807" s="26">
        <v>1</v>
      </c>
      <c r="L807" s="27">
        <v>1</v>
      </c>
      <c r="M807" s="26">
        <v>0.97333333333333338</v>
      </c>
      <c r="N807" s="28">
        <v>0.9</v>
      </c>
      <c r="O807" s="26">
        <v>0.96125654450261777</v>
      </c>
      <c r="P807" s="26">
        <v>0.96740273396424814</v>
      </c>
      <c r="Q807" s="26">
        <v>0.96233521657250476</v>
      </c>
      <c r="R807" s="26">
        <v>0.95768431983385249</v>
      </c>
      <c r="S807" s="28">
        <v>0.9</v>
      </c>
      <c r="T807" s="26">
        <v>0.9403141361256544</v>
      </c>
      <c r="U807" s="26">
        <v>0.96214511041009465</v>
      </c>
      <c r="V807" s="26">
        <v>0.9463276836158192</v>
      </c>
      <c r="W807" s="26">
        <v>0.95327102803738317</v>
      </c>
      <c r="X807" s="28">
        <v>0.92</v>
      </c>
      <c r="Y807" s="28">
        <v>0.97397769516728627</v>
      </c>
      <c r="Z807" s="28">
        <v>0.97142857142857142</v>
      </c>
      <c r="AA807" s="28">
        <v>0.97599999999999998</v>
      </c>
      <c r="AB807" s="28">
        <v>0.97240473061760846</v>
      </c>
      <c r="AC807" s="28">
        <v>0.92</v>
      </c>
      <c r="AD807" s="26">
        <v>1</v>
      </c>
      <c r="AE807" s="26">
        <v>1</v>
      </c>
      <c r="AF807" s="26">
        <v>0.98360655737704916</v>
      </c>
      <c r="AG807" s="26">
        <v>0.98066298342541436</v>
      </c>
      <c r="AH807" s="28">
        <v>0.92</v>
      </c>
      <c r="AI807" s="26">
        <v>0.97306122448979593</v>
      </c>
      <c r="AJ807" s="26">
        <v>0.98131600324939072</v>
      </c>
      <c r="AK807" s="26">
        <v>0.98246951219512191</v>
      </c>
      <c r="AL807" s="26">
        <v>0.9776821457165733</v>
      </c>
      <c r="AM807" s="25">
        <v>0.99</v>
      </c>
      <c r="AN807" s="30">
        <v>1</v>
      </c>
      <c r="AO807" s="30">
        <v>1</v>
      </c>
      <c r="AP807" s="30">
        <v>1</v>
      </c>
      <c r="AQ807" s="30">
        <v>1</v>
      </c>
      <c r="AR807" s="50">
        <v>8.1059522893420499E-2</v>
      </c>
      <c r="AS807" s="34">
        <v>0</v>
      </c>
      <c r="AT807" s="34">
        <v>0</v>
      </c>
      <c r="AU807" s="34">
        <v>0</v>
      </c>
      <c r="AV807" s="34">
        <v>2.7777777777777776E-2</v>
      </c>
      <c r="AW807" s="10"/>
      <c r="AX807" s="8"/>
    </row>
    <row r="808" spans="1:50">
      <c r="A808" s="7"/>
      <c r="B808" s="10"/>
      <c r="C808" s="45" t="s">
        <v>688</v>
      </c>
      <c r="D808" s="23" t="s">
        <v>21</v>
      </c>
      <c r="E808" s="68" t="s">
        <v>854</v>
      </c>
      <c r="F808" s="68" t="s">
        <v>854</v>
      </c>
      <c r="G808" s="68" t="s">
        <v>854</v>
      </c>
      <c r="H808" s="68" t="s">
        <v>854</v>
      </c>
      <c r="I808" s="25">
        <v>0.9</v>
      </c>
      <c r="J808" s="26">
        <v>0.9464285714285714</v>
      </c>
      <c r="K808" s="26">
        <v>0.93333333333333335</v>
      </c>
      <c r="L808" s="27">
        <v>0.93333333333333335</v>
      </c>
      <c r="M808" s="26">
        <v>0.95394736842105265</v>
      </c>
      <c r="N808" s="28">
        <v>0.9</v>
      </c>
      <c r="O808" s="26">
        <v>0.97725221159053977</v>
      </c>
      <c r="P808" s="26">
        <v>0.97372232567763295</v>
      </c>
      <c r="Q808" s="26">
        <v>0.96984043485884619</v>
      </c>
      <c r="R808" s="26">
        <v>0.96879023536076636</v>
      </c>
      <c r="S808" s="28">
        <v>0.9</v>
      </c>
      <c r="T808" s="26">
        <v>0.95685141722332556</v>
      </c>
      <c r="U808" s="26">
        <v>0.95510035174839647</v>
      </c>
      <c r="V808" s="26">
        <v>0.94651937576714007</v>
      </c>
      <c r="W808" s="26">
        <v>0.94697945099654945</v>
      </c>
      <c r="X808" s="28">
        <v>0.92</v>
      </c>
      <c r="Y808" s="28">
        <v>0.93134087237479801</v>
      </c>
      <c r="Z808" s="28">
        <v>0.90909090909090906</v>
      </c>
      <c r="AA808" s="28">
        <v>0.96480686695278972</v>
      </c>
      <c r="AB808" s="28">
        <v>0.95112140419307656</v>
      </c>
      <c r="AC808" s="28">
        <v>0.92</v>
      </c>
      <c r="AD808" s="26">
        <v>1</v>
      </c>
      <c r="AE808" s="26">
        <v>0.999548532731377</v>
      </c>
      <c r="AF808" s="26">
        <v>0.99853587115666176</v>
      </c>
      <c r="AG808" s="26">
        <v>0.99950776635309557</v>
      </c>
      <c r="AH808" s="28">
        <v>0.92</v>
      </c>
      <c r="AI808" s="26">
        <v>0.96694702670798294</v>
      </c>
      <c r="AJ808" s="26">
        <v>0.97873658133773744</v>
      </c>
      <c r="AK808" s="26">
        <v>0.9772859638905067</v>
      </c>
      <c r="AL808" s="26">
        <v>0.97544695053251418</v>
      </c>
      <c r="AM808" s="25">
        <v>0.99</v>
      </c>
      <c r="AN808" s="30">
        <v>1</v>
      </c>
      <c r="AO808" s="30">
        <v>1</v>
      </c>
      <c r="AP808" s="30">
        <v>1</v>
      </c>
      <c r="AQ808" s="30">
        <v>1</v>
      </c>
      <c r="AR808" s="50">
        <v>8.1059522893420499E-2</v>
      </c>
      <c r="AS808" s="34">
        <v>4.6511627906976744E-2</v>
      </c>
      <c r="AT808" s="34">
        <v>0</v>
      </c>
      <c r="AU808" s="34">
        <v>5.9701492537313432E-2</v>
      </c>
      <c r="AV808" s="34">
        <v>7.0921985815602835E-3</v>
      </c>
      <c r="AW808" s="10"/>
      <c r="AX808" s="8"/>
    </row>
    <row r="809" spans="1:50">
      <c r="A809" s="7"/>
      <c r="B809" s="10"/>
      <c r="C809" s="45" t="s">
        <v>688</v>
      </c>
      <c r="D809" s="23" t="s">
        <v>21</v>
      </c>
      <c r="E809" s="68" t="s">
        <v>20</v>
      </c>
      <c r="F809" s="68" t="s">
        <v>20</v>
      </c>
      <c r="G809" s="68" t="s">
        <v>20</v>
      </c>
      <c r="H809" s="68" t="s">
        <v>20</v>
      </c>
      <c r="I809" s="25">
        <v>0.9</v>
      </c>
      <c r="J809" s="26">
        <v>0.95833333333333337</v>
      </c>
      <c r="K809" s="26">
        <v>0.92592592592592593</v>
      </c>
      <c r="L809" s="27">
        <v>1</v>
      </c>
      <c r="M809" s="26">
        <v>0.96190476190476193</v>
      </c>
      <c r="N809" s="28">
        <v>0.9</v>
      </c>
      <c r="O809" s="26">
        <v>0.97924631348989621</v>
      </c>
      <c r="P809" s="26">
        <v>0.97456813819577737</v>
      </c>
      <c r="Q809" s="26">
        <v>0.9745324313569439</v>
      </c>
      <c r="R809" s="26">
        <v>0.9773534092300159</v>
      </c>
      <c r="S809" s="28">
        <v>0.9</v>
      </c>
      <c r="T809" s="26">
        <v>0.89513926815947564</v>
      </c>
      <c r="U809" s="26">
        <v>0.94673704414587334</v>
      </c>
      <c r="V809" s="26">
        <v>0.9522483087942698</v>
      </c>
      <c r="W809" s="26">
        <v>0.91945158526135395</v>
      </c>
      <c r="X809" s="28">
        <v>0.92</v>
      </c>
      <c r="Y809" s="28">
        <v>0.9154411764705882</v>
      </c>
      <c r="Z809" s="28">
        <v>0.94188376753507019</v>
      </c>
      <c r="AA809" s="28">
        <v>0.95201535508637236</v>
      </c>
      <c r="AB809" s="28">
        <v>0.93868153174987878</v>
      </c>
      <c r="AC809" s="28">
        <v>0.92</v>
      </c>
      <c r="AD809" s="26">
        <v>1</v>
      </c>
      <c r="AE809" s="26">
        <v>1</v>
      </c>
      <c r="AF809" s="26">
        <v>1</v>
      </c>
      <c r="AG809" s="26">
        <v>0.99912229373902872</v>
      </c>
      <c r="AH809" s="28">
        <v>0.92</v>
      </c>
      <c r="AI809" s="26">
        <v>0.9427609427609428</v>
      </c>
      <c r="AJ809" s="26">
        <v>0.95975232198142413</v>
      </c>
      <c r="AK809" s="26">
        <v>0.97363216875411995</v>
      </c>
      <c r="AL809" s="26">
        <v>0.95983778765818151</v>
      </c>
      <c r="AM809" s="25">
        <v>0.99</v>
      </c>
      <c r="AN809" s="30">
        <v>1</v>
      </c>
      <c r="AO809" s="30">
        <v>1</v>
      </c>
      <c r="AP809" s="30">
        <v>1</v>
      </c>
      <c r="AQ809" s="30">
        <v>1</v>
      </c>
      <c r="AR809" s="50">
        <v>8.1059522893420499E-2</v>
      </c>
      <c r="AS809" s="34">
        <v>3.8461538461538464E-2</v>
      </c>
      <c r="AT809" s="34">
        <v>3.3333333333333333E-2</v>
      </c>
      <c r="AU809" s="34">
        <v>0</v>
      </c>
      <c r="AV809" s="34">
        <v>2.072538860103627E-2</v>
      </c>
      <c r="AW809" s="10"/>
      <c r="AX809" s="8"/>
    </row>
    <row r="810" spans="1:50">
      <c r="A810" s="7"/>
      <c r="B810" s="10"/>
      <c r="C810" s="45" t="s">
        <v>688</v>
      </c>
      <c r="D810" s="23" t="s">
        <v>21</v>
      </c>
      <c r="E810" s="68" t="s">
        <v>855</v>
      </c>
      <c r="F810" s="68" t="s">
        <v>855</v>
      </c>
      <c r="G810" s="68" t="s">
        <v>855</v>
      </c>
      <c r="H810" s="68" t="s">
        <v>855</v>
      </c>
      <c r="I810" s="25">
        <v>0.9</v>
      </c>
      <c r="J810" s="26">
        <v>1</v>
      </c>
      <c r="K810" s="26">
        <v>0.96666666666666667</v>
      </c>
      <c r="L810" s="27">
        <v>0.96666666666666667</v>
      </c>
      <c r="M810" s="26">
        <v>0.9732142857142857</v>
      </c>
      <c r="N810" s="28">
        <v>0.9</v>
      </c>
      <c r="O810" s="26">
        <v>0.97057331303906647</v>
      </c>
      <c r="P810" s="26">
        <v>0.96710526315789469</v>
      </c>
      <c r="Q810" s="26">
        <v>0.97434869739478958</v>
      </c>
      <c r="R810" s="26">
        <v>0.96357693205696937</v>
      </c>
      <c r="S810" s="28">
        <v>0.9</v>
      </c>
      <c r="T810" s="26">
        <v>0.91121258244545911</v>
      </c>
      <c r="U810" s="26">
        <v>0.93280075187969924</v>
      </c>
      <c r="V810" s="26">
        <v>0.94749498997995996</v>
      </c>
      <c r="W810" s="26">
        <v>0.92452720056035487</v>
      </c>
      <c r="X810" s="28">
        <v>0.92</v>
      </c>
      <c r="Y810" s="28">
        <v>0.9226713532513181</v>
      </c>
      <c r="Z810" s="28">
        <v>0.92871690427698572</v>
      </c>
      <c r="AA810" s="28">
        <v>0.95265151515151514</v>
      </c>
      <c r="AB810" s="28">
        <v>0.93516327496450546</v>
      </c>
      <c r="AC810" s="28">
        <v>0.92</v>
      </c>
      <c r="AD810" s="26">
        <v>0.98701298701298701</v>
      </c>
      <c r="AE810" s="26">
        <v>0.98830409356725146</v>
      </c>
      <c r="AF810" s="26">
        <v>0.98994974874371855</v>
      </c>
      <c r="AG810" s="26">
        <v>0.98837209302325579</v>
      </c>
      <c r="AH810" s="28">
        <v>0.92</v>
      </c>
      <c r="AI810" s="26">
        <v>0.95314960629921264</v>
      </c>
      <c r="AJ810" s="26">
        <v>0.96181748759068342</v>
      </c>
      <c r="AK810" s="26">
        <v>0.97750578895137286</v>
      </c>
      <c r="AL810" s="26">
        <v>0.96385429347317164</v>
      </c>
      <c r="AM810" s="25">
        <v>0.99</v>
      </c>
      <c r="AN810" s="30">
        <v>1</v>
      </c>
      <c r="AO810" s="30">
        <v>1</v>
      </c>
      <c r="AP810" s="30">
        <v>1</v>
      </c>
      <c r="AQ810" s="30">
        <v>1</v>
      </c>
      <c r="AR810" s="50">
        <v>8.1059522893420499E-2</v>
      </c>
      <c r="AS810" s="34">
        <v>0</v>
      </c>
      <c r="AT810" s="34">
        <v>0</v>
      </c>
      <c r="AU810" s="34">
        <v>8.3333333333333329E-2</v>
      </c>
      <c r="AV810" s="34">
        <v>4.2168674698795178E-2</v>
      </c>
      <c r="AW810" s="10"/>
      <c r="AX810" s="8"/>
    </row>
    <row r="811" spans="1:50">
      <c r="A811" s="7"/>
      <c r="B811" s="10"/>
      <c r="C811" s="45" t="s">
        <v>688</v>
      </c>
      <c r="D811" s="23" t="s">
        <v>21</v>
      </c>
      <c r="E811" s="68" t="s">
        <v>856</v>
      </c>
      <c r="F811" s="68" t="s">
        <v>856</v>
      </c>
      <c r="G811" s="68" t="s">
        <v>856</v>
      </c>
      <c r="H811" s="68" t="s">
        <v>856</v>
      </c>
      <c r="I811" s="25">
        <v>0.9</v>
      </c>
      <c r="J811" s="26">
        <v>1</v>
      </c>
      <c r="K811" s="26">
        <v>0.97959183673469385</v>
      </c>
      <c r="L811" s="27">
        <v>0.96078431372549022</v>
      </c>
      <c r="M811" s="26">
        <v>0.97900262467191601</v>
      </c>
      <c r="N811" s="28">
        <v>0.9</v>
      </c>
      <c r="O811" s="26">
        <v>0.96626826029216473</v>
      </c>
      <c r="P811" s="26">
        <v>0.96569671161580317</v>
      </c>
      <c r="Q811" s="26">
        <v>0.97163420829805247</v>
      </c>
      <c r="R811" s="26">
        <v>0.96920175989943436</v>
      </c>
      <c r="S811" s="28">
        <v>0.9</v>
      </c>
      <c r="T811" s="26">
        <v>0.95564409030544484</v>
      </c>
      <c r="U811" s="26">
        <v>0.95670688431511708</v>
      </c>
      <c r="V811" s="26">
        <v>0.95999153259949199</v>
      </c>
      <c r="W811" s="26">
        <v>0.95345694531741043</v>
      </c>
      <c r="X811" s="28">
        <v>0.92</v>
      </c>
      <c r="Y811" s="28">
        <v>0.96419213973799123</v>
      </c>
      <c r="Z811" s="28">
        <v>0.96042780748663104</v>
      </c>
      <c r="AA811" s="28">
        <v>0.96335078534031415</v>
      </c>
      <c r="AB811" s="28">
        <v>0.96446765155374425</v>
      </c>
      <c r="AC811" s="28">
        <v>0.92</v>
      </c>
      <c r="AD811" s="26">
        <v>1</v>
      </c>
      <c r="AE811" s="26">
        <v>1</v>
      </c>
      <c r="AF811" s="26">
        <v>0.99900924702774108</v>
      </c>
      <c r="AG811" s="26">
        <v>0.99877465996814119</v>
      </c>
      <c r="AH811" s="28">
        <v>0.92</v>
      </c>
      <c r="AI811" s="26">
        <v>0.9747505599674201</v>
      </c>
      <c r="AJ811" s="26">
        <v>0.98295564594228158</v>
      </c>
      <c r="AK811" s="26">
        <v>0.98362387744321178</v>
      </c>
      <c r="AL811" s="26">
        <v>0.98054190296156274</v>
      </c>
      <c r="AM811" s="25">
        <v>0.99</v>
      </c>
      <c r="AN811" s="30">
        <v>1</v>
      </c>
      <c r="AO811" s="30">
        <v>1</v>
      </c>
      <c r="AP811" s="30">
        <v>1</v>
      </c>
      <c r="AQ811" s="30">
        <v>1</v>
      </c>
      <c r="AR811" s="50">
        <v>8.1059522893420499E-2</v>
      </c>
      <c r="AS811" s="34">
        <v>0</v>
      </c>
      <c r="AT811" s="34">
        <v>2.9411764705882353E-2</v>
      </c>
      <c r="AU811" s="34">
        <v>0</v>
      </c>
      <c r="AV811" s="34">
        <v>-1.8018018018018018E-2</v>
      </c>
      <c r="AW811" s="10"/>
      <c r="AX811" s="8"/>
    </row>
    <row r="812" spans="1:50">
      <c r="A812" s="7"/>
      <c r="B812" s="10"/>
      <c r="C812" s="45" t="s">
        <v>688</v>
      </c>
      <c r="D812" s="23" t="s">
        <v>21</v>
      </c>
      <c r="E812" s="68" t="s">
        <v>857</v>
      </c>
      <c r="F812" s="68" t="s">
        <v>857</v>
      </c>
      <c r="G812" s="68" t="s">
        <v>857</v>
      </c>
      <c r="H812" s="68" t="s">
        <v>857</v>
      </c>
      <c r="I812" s="25">
        <v>0.9</v>
      </c>
      <c r="J812" s="26">
        <v>1</v>
      </c>
      <c r="K812" s="26">
        <v>1</v>
      </c>
      <c r="L812" s="27">
        <v>1</v>
      </c>
      <c r="M812" s="26">
        <v>1</v>
      </c>
      <c r="N812" s="28">
        <v>0.9</v>
      </c>
      <c r="O812" s="26">
        <v>0.97702368328031108</v>
      </c>
      <c r="P812" s="26">
        <v>0.98250079541839008</v>
      </c>
      <c r="Q812" s="26">
        <v>0.98642659279778389</v>
      </c>
      <c r="R812" s="26">
        <v>0.98109763517624626</v>
      </c>
      <c r="S812" s="28">
        <v>0.9</v>
      </c>
      <c r="T812" s="26">
        <v>0.92965712265818312</v>
      </c>
      <c r="U812" s="26">
        <v>0.93668469615017502</v>
      </c>
      <c r="V812" s="26">
        <v>0.95512465373961219</v>
      </c>
      <c r="W812" s="26">
        <v>0.94203545207479822</v>
      </c>
      <c r="X812" s="28">
        <v>0.92</v>
      </c>
      <c r="Y812" s="28">
        <v>0.9208173690932312</v>
      </c>
      <c r="Z812" s="28">
        <v>0.91993957703927487</v>
      </c>
      <c r="AA812" s="28">
        <v>0.9388004895960832</v>
      </c>
      <c r="AB812" s="28">
        <v>0.93489232839838488</v>
      </c>
      <c r="AC812" s="28">
        <v>0.92</v>
      </c>
      <c r="AD812" s="26">
        <v>0.99338842975206609</v>
      </c>
      <c r="AE812" s="26">
        <v>0.99754500818330605</v>
      </c>
      <c r="AF812" s="26">
        <v>0.99647266313932981</v>
      </c>
      <c r="AG812" s="26">
        <v>0.99677620632279529</v>
      </c>
      <c r="AH812" s="28">
        <v>0.92</v>
      </c>
      <c r="AI812" s="26">
        <v>0.94578146611341629</v>
      </c>
      <c r="AJ812" s="26">
        <v>0.95716162943495398</v>
      </c>
      <c r="AK812" s="26">
        <v>0.9728936074090806</v>
      </c>
      <c r="AL812" s="26">
        <v>0.96432305279665442</v>
      </c>
      <c r="AM812" s="25">
        <v>0.99</v>
      </c>
      <c r="AN812" s="30">
        <v>1</v>
      </c>
      <c r="AO812" s="30">
        <v>1</v>
      </c>
      <c r="AP812" s="30">
        <v>1</v>
      </c>
      <c r="AQ812" s="30">
        <v>1</v>
      </c>
      <c r="AR812" s="50">
        <v>8.1059522893420499E-2</v>
      </c>
      <c r="AS812" s="34">
        <v>0.16129032258064516</v>
      </c>
      <c r="AT812" s="34">
        <v>5.5555555555555552E-2</v>
      </c>
      <c r="AU812" s="34">
        <v>3.125E-2</v>
      </c>
      <c r="AV812" s="34">
        <v>3.4042553191489362E-2</v>
      </c>
      <c r="AW812" s="10"/>
      <c r="AX812" s="8"/>
    </row>
    <row r="813" spans="1:50">
      <c r="A813" s="7"/>
      <c r="B813" s="10"/>
      <c r="C813" s="45" t="s">
        <v>688</v>
      </c>
      <c r="D813" s="23" t="s">
        <v>21</v>
      </c>
      <c r="E813" s="68" t="s">
        <v>858</v>
      </c>
      <c r="F813" s="68" t="s">
        <v>858</v>
      </c>
      <c r="G813" s="68" t="s">
        <v>858</v>
      </c>
      <c r="H813" s="68" t="s">
        <v>858</v>
      </c>
      <c r="I813" s="25">
        <v>0.9</v>
      </c>
      <c r="J813" s="26">
        <v>0.81578947368421051</v>
      </c>
      <c r="K813" s="26">
        <v>0.94117647058823528</v>
      </c>
      <c r="L813" s="27">
        <v>0.89189189189189189</v>
      </c>
      <c r="M813" s="26">
        <v>0.8920863309352518</v>
      </c>
      <c r="N813" s="28">
        <v>0.9</v>
      </c>
      <c r="O813" s="26">
        <v>0.95991778006166495</v>
      </c>
      <c r="P813" s="26">
        <v>0.95917044718081657</v>
      </c>
      <c r="Q813" s="26">
        <v>0.96476510067114096</v>
      </c>
      <c r="R813" s="26">
        <v>0.9524639325660561</v>
      </c>
      <c r="S813" s="28">
        <v>0.9</v>
      </c>
      <c r="T813" s="26">
        <v>0.92805755395683454</v>
      </c>
      <c r="U813" s="26">
        <v>0.90570317563188596</v>
      </c>
      <c r="V813" s="26">
        <v>0.92757270693512306</v>
      </c>
      <c r="W813" s="26">
        <v>0.91129032258064513</v>
      </c>
      <c r="X813" s="28">
        <v>0.92</v>
      </c>
      <c r="Y813" s="28">
        <v>0.94777777777777783</v>
      </c>
      <c r="Z813" s="28">
        <v>0.94762484774665046</v>
      </c>
      <c r="AA813" s="28">
        <v>0.96577946768060841</v>
      </c>
      <c r="AB813" s="28">
        <v>0.9449768160741886</v>
      </c>
      <c r="AC813" s="28">
        <v>0.92</v>
      </c>
      <c r="AD813" s="26">
        <v>0.99953535916736358</v>
      </c>
      <c r="AE813" s="26">
        <v>0.98749516565682605</v>
      </c>
      <c r="AF813" s="26">
        <v>0.99596069210827753</v>
      </c>
      <c r="AG813" s="26">
        <v>0.99549311944397045</v>
      </c>
      <c r="AH813" s="28">
        <v>0.92</v>
      </c>
      <c r="AI813" s="26">
        <v>0.95815899581589958</v>
      </c>
      <c r="AJ813" s="26">
        <v>0.96727179749424697</v>
      </c>
      <c r="AK813" s="26">
        <v>0.96842105263157896</v>
      </c>
      <c r="AL813" s="26">
        <v>0.9585804507421537</v>
      </c>
      <c r="AM813" s="25">
        <v>0.99</v>
      </c>
      <c r="AN813" s="30">
        <v>1</v>
      </c>
      <c r="AO813" s="30">
        <v>1</v>
      </c>
      <c r="AP813" s="30">
        <v>1</v>
      </c>
      <c r="AQ813" s="30">
        <v>1</v>
      </c>
      <c r="AR813" s="50">
        <v>8.1059522893420499E-2</v>
      </c>
      <c r="AS813" s="34">
        <v>0.125</v>
      </c>
      <c r="AT813" s="34">
        <v>0.08</v>
      </c>
      <c r="AU813" s="34">
        <v>0</v>
      </c>
      <c r="AV813" s="34">
        <v>2.6905829596412557E-2</v>
      </c>
      <c r="AW813" s="10"/>
      <c r="AX813" s="8"/>
    </row>
    <row r="814" spans="1:50">
      <c r="A814" s="7"/>
      <c r="B814" s="10"/>
      <c r="C814" s="45" t="s">
        <v>688</v>
      </c>
      <c r="D814" s="23" t="s">
        <v>21</v>
      </c>
      <c r="E814" s="68" t="s">
        <v>859</v>
      </c>
      <c r="F814" s="68" t="s">
        <v>859</v>
      </c>
      <c r="G814" s="68" t="s">
        <v>859</v>
      </c>
      <c r="H814" s="68" t="s">
        <v>859</v>
      </c>
      <c r="I814" s="25">
        <v>0.9</v>
      </c>
      <c r="J814" s="26">
        <v>0.88</v>
      </c>
      <c r="K814" s="26">
        <v>0.88461538461538458</v>
      </c>
      <c r="L814" s="27">
        <v>0.96551724137931039</v>
      </c>
      <c r="M814" s="26">
        <v>0.88</v>
      </c>
      <c r="N814" s="28">
        <v>0.9</v>
      </c>
      <c r="O814" s="26">
        <v>0.97654690618762474</v>
      </c>
      <c r="P814" s="26">
        <v>0.96708041014570967</v>
      </c>
      <c r="Q814" s="26">
        <v>0.98741258741258742</v>
      </c>
      <c r="R814" s="26">
        <v>0.97910227120010751</v>
      </c>
      <c r="S814" s="28">
        <v>0.9</v>
      </c>
      <c r="T814" s="26">
        <v>0.93812375249501001</v>
      </c>
      <c r="U814" s="26">
        <v>0.91365353480841882</v>
      </c>
      <c r="V814" s="26">
        <v>0.95664335664335665</v>
      </c>
      <c r="W814" s="26">
        <v>0.93804596156430586</v>
      </c>
      <c r="X814" s="28">
        <v>0.92</v>
      </c>
      <c r="Y814" s="28">
        <v>0.94268774703557312</v>
      </c>
      <c r="Z814" s="28">
        <v>1</v>
      </c>
      <c r="AA814" s="28">
        <v>0.94526315789473681</v>
      </c>
      <c r="AB814" s="28">
        <v>0.9474962063732929</v>
      </c>
      <c r="AC814" s="28">
        <v>0.92</v>
      </c>
      <c r="AD814" s="26">
        <v>0.99631675874769798</v>
      </c>
      <c r="AE814" s="26">
        <v>0.99464285714285716</v>
      </c>
      <c r="AF814" s="26">
        <v>0.99819819819819822</v>
      </c>
      <c r="AG814" s="26">
        <v>0.99573799910273664</v>
      </c>
      <c r="AH814" s="28">
        <v>0.92</v>
      </c>
      <c r="AI814" s="26">
        <v>0.95537848605577691</v>
      </c>
      <c r="AJ814" s="26">
        <v>0.96129032258064517</v>
      </c>
      <c r="AK814" s="26">
        <v>0.97175572519083975</v>
      </c>
      <c r="AL814" s="26">
        <v>0.96611474778590678</v>
      </c>
      <c r="AM814" s="25">
        <v>0.99</v>
      </c>
      <c r="AN814" s="30">
        <v>1</v>
      </c>
      <c r="AO814" s="30">
        <v>1</v>
      </c>
      <c r="AP814" s="30">
        <v>1</v>
      </c>
      <c r="AQ814" s="30">
        <v>1</v>
      </c>
      <c r="AR814" s="50">
        <v>8.1059522893420499E-2</v>
      </c>
      <c r="AS814" s="34">
        <v>0.10526315789473684</v>
      </c>
      <c r="AT814" s="34">
        <v>0.11764705882352941</v>
      </c>
      <c r="AU814" s="34">
        <v>0</v>
      </c>
      <c r="AV814" s="34">
        <v>3.3333333333333333E-2</v>
      </c>
      <c r="AW814" s="10"/>
      <c r="AX814" s="8"/>
    </row>
    <row r="815" spans="1:50">
      <c r="A815" s="7"/>
      <c r="B815" s="10"/>
      <c r="C815" s="45" t="s">
        <v>688</v>
      </c>
      <c r="D815" s="23" t="s">
        <v>21</v>
      </c>
      <c r="E815" s="68" t="s">
        <v>860</v>
      </c>
      <c r="F815" s="68" t="s">
        <v>860</v>
      </c>
      <c r="G815" s="68" t="s">
        <v>860</v>
      </c>
      <c r="H815" s="68" t="s">
        <v>860</v>
      </c>
      <c r="I815" s="25">
        <v>0.9</v>
      </c>
      <c r="J815" s="26">
        <v>0.83333333333333337</v>
      </c>
      <c r="K815" s="26">
        <v>0.92307692307692313</v>
      </c>
      <c r="L815" s="27">
        <v>0.76923076923076927</v>
      </c>
      <c r="M815" s="26">
        <v>0.91836734693877553</v>
      </c>
      <c r="N815" s="28">
        <v>0.9</v>
      </c>
      <c r="O815" s="26">
        <v>0.89347646573080097</v>
      </c>
      <c r="P815" s="26">
        <v>0.95303867403314912</v>
      </c>
      <c r="Q815" s="26">
        <v>0.94571203776553892</v>
      </c>
      <c r="R815" s="26">
        <v>0.93392370572207084</v>
      </c>
      <c r="S815" s="28">
        <v>0.9</v>
      </c>
      <c r="T815" s="26">
        <v>0.92815854665565645</v>
      </c>
      <c r="U815" s="26">
        <v>0.92449355432780844</v>
      </c>
      <c r="V815" s="26">
        <v>0.86388670338316287</v>
      </c>
      <c r="W815" s="26">
        <v>0.91768846503178925</v>
      </c>
      <c r="X815" s="28">
        <v>0.92</v>
      </c>
      <c r="Y815" s="28">
        <v>0.89341692789968652</v>
      </c>
      <c r="Z815" s="28">
        <v>1</v>
      </c>
      <c r="AA815" s="28">
        <v>0.92057761732851984</v>
      </c>
      <c r="AB815" s="28">
        <v>0.91820040899795496</v>
      </c>
      <c r="AC815" s="28">
        <v>0.92</v>
      </c>
      <c r="AD815" s="26">
        <v>1</v>
      </c>
      <c r="AE815" s="26">
        <v>1</v>
      </c>
      <c r="AF815" s="26">
        <v>0.99852724594992637</v>
      </c>
      <c r="AG815" s="26">
        <v>0.99767673415200797</v>
      </c>
      <c r="AH815" s="28">
        <v>0.92</v>
      </c>
      <c r="AI815" s="26">
        <v>0.93953185955786733</v>
      </c>
      <c r="AJ815" s="26">
        <v>0.95128676470588236</v>
      </c>
      <c r="AK815" s="26">
        <v>0.95155038759689925</v>
      </c>
      <c r="AL815" s="26">
        <v>0.94773971966954418</v>
      </c>
      <c r="AM815" s="25">
        <v>0.99</v>
      </c>
      <c r="AN815" s="30">
        <v>1</v>
      </c>
      <c r="AO815" s="30">
        <v>1</v>
      </c>
      <c r="AP815" s="30">
        <v>1</v>
      </c>
      <c r="AQ815" s="30">
        <v>1</v>
      </c>
      <c r="AR815" s="50">
        <v>8.1059522893420499E-2</v>
      </c>
      <c r="AS815" s="34">
        <v>0</v>
      </c>
      <c r="AT815" s="34">
        <v>0.22222222222222221</v>
      </c>
      <c r="AU815" s="34">
        <v>-7.1428571428571425E-2</v>
      </c>
      <c r="AV815" s="34">
        <v>0.04</v>
      </c>
      <c r="AW815" s="10"/>
      <c r="AX815" s="8"/>
    </row>
    <row r="816" spans="1:50">
      <c r="A816" s="7"/>
      <c r="B816" s="10"/>
      <c r="C816" s="45" t="s">
        <v>688</v>
      </c>
      <c r="D816" s="23" t="s">
        <v>21</v>
      </c>
      <c r="E816" s="68" t="s">
        <v>861</v>
      </c>
      <c r="F816" s="68" t="s">
        <v>861</v>
      </c>
      <c r="G816" s="68" t="s">
        <v>861</v>
      </c>
      <c r="H816" s="68" t="s">
        <v>861</v>
      </c>
      <c r="I816" s="25">
        <v>0.9</v>
      </c>
      <c r="J816" s="26">
        <v>1</v>
      </c>
      <c r="K816" s="26">
        <v>0.92452830188679247</v>
      </c>
      <c r="L816" s="27">
        <v>0.9821428571428571</v>
      </c>
      <c r="M816" s="26">
        <v>0.95476190476190481</v>
      </c>
      <c r="N816" s="28">
        <v>0.9</v>
      </c>
      <c r="O816" s="26">
        <v>0.97755395683453239</v>
      </c>
      <c r="P816" s="26">
        <v>0.98362360280738237</v>
      </c>
      <c r="Q816" s="26">
        <v>0.9884823848238482</v>
      </c>
      <c r="R816" s="26">
        <v>0.97662156784719456</v>
      </c>
      <c r="S816" s="28">
        <v>0.9</v>
      </c>
      <c r="T816" s="26">
        <v>0.93035971223021585</v>
      </c>
      <c r="U816" s="26">
        <v>0.94879126592149732</v>
      </c>
      <c r="V816" s="26">
        <v>0.94489611562782294</v>
      </c>
      <c r="W816" s="26">
        <v>0.92863775036476981</v>
      </c>
      <c r="X816" s="28">
        <v>0.92</v>
      </c>
      <c r="Y816" s="28">
        <v>0.94438722966014421</v>
      </c>
      <c r="Z816" s="28">
        <v>0.94909862142099677</v>
      </c>
      <c r="AA816" s="28">
        <v>0.96827133479212257</v>
      </c>
      <c r="AB816" s="28">
        <v>0.93844103930712863</v>
      </c>
      <c r="AC816" s="28">
        <v>0.92</v>
      </c>
      <c r="AD816" s="26">
        <v>1</v>
      </c>
      <c r="AE816" s="26">
        <v>0.99871382636655948</v>
      </c>
      <c r="AF816" s="26">
        <v>0.990979381443299</v>
      </c>
      <c r="AG816" s="26">
        <v>0.99831833851845619</v>
      </c>
      <c r="AH816" s="28">
        <v>0.92</v>
      </c>
      <c r="AI816" s="26">
        <v>0.95773381294964033</v>
      </c>
      <c r="AJ816" s="26">
        <v>0.9734919640993529</v>
      </c>
      <c r="AK816" s="26">
        <v>0.98259078996630478</v>
      </c>
      <c r="AL816" s="26">
        <v>0.9648754845218499</v>
      </c>
      <c r="AM816" s="25">
        <v>0.99</v>
      </c>
      <c r="AN816" s="30">
        <v>1</v>
      </c>
      <c r="AO816" s="30">
        <v>1</v>
      </c>
      <c r="AP816" s="30">
        <v>1</v>
      </c>
      <c r="AQ816" s="30">
        <v>1</v>
      </c>
      <c r="AR816" s="50">
        <v>8.1059522893420499E-2</v>
      </c>
      <c r="AS816" s="34">
        <v>5.5555555555555552E-2</v>
      </c>
      <c r="AT816" s="34">
        <v>5.4054054054054057E-2</v>
      </c>
      <c r="AU816" s="34">
        <v>6.0606060606060608E-2</v>
      </c>
      <c r="AV816" s="34">
        <v>6.2068965517241378E-2</v>
      </c>
      <c r="AW816" s="10"/>
      <c r="AX816" s="8"/>
    </row>
    <row r="817" spans="1:50">
      <c r="A817" s="7"/>
      <c r="B817" s="10"/>
      <c r="C817" s="45" t="s">
        <v>688</v>
      </c>
      <c r="D817" s="23" t="s">
        <v>21</v>
      </c>
      <c r="E817" s="68" t="s">
        <v>862</v>
      </c>
      <c r="F817" s="68" t="s">
        <v>862</v>
      </c>
      <c r="G817" s="68" t="s">
        <v>862</v>
      </c>
      <c r="H817" s="68" t="s">
        <v>862</v>
      </c>
      <c r="I817" s="25">
        <v>0.9</v>
      </c>
      <c r="J817" s="26">
        <v>0.95161290322580649</v>
      </c>
      <c r="K817" s="26">
        <v>0.95238095238095233</v>
      </c>
      <c r="L817" s="27">
        <v>0.96969696969696972</v>
      </c>
      <c r="M817" s="26">
        <v>0.95</v>
      </c>
      <c r="N817" s="28">
        <v>0.9</v>
      </c>
      <c r="O817" s="26">
        <v>0.97180094786729854</v>
      </c>
      <c r="P817" s="26">
        <v>0.97894091187896137</v>
      </c>
      <c r="Q817" s="26">
        <v>0.97809523809523813</v>
      </c>
      <c r="R817" s="26">
        <v>0.97516392345778136</v>
      </c>
      <c r="S817" s="28">
        <v>0.9</v>
      </c>
      <c r="T817" s="26">
        <v>0.93270142180094784</v>
      </c>
      <c r="U817" s="26">
        <v>0.94581885095072582</v>
      </c>
      <c r="V817" s="26">
        <v>0.95371428571428574</v>
      </c>
      <c r="W817" s="26">
        <v>0.94323564833400242</v>
      </c>
      <c r="X817" s="28">
        <v>0.92</v>
      </c>
      <c r="Y817" s="28">
        <v>0.8895446880269815</v>
      </c>
      <c r="Z817" s="28">
        <v>0.92766373411534697</v>
      </c>
      <c r="AA817" s="28">
        <v>0.91766723842195541</v>
      </c>
      <c r="AB817" s="28">
        <v>0.90208190345458705</v>
      </c>
      <c r="AC817" s="28">
        <v>0.92</v>
      </c>
      <c r="AD817" s="26">
        <v>0.99897750511247441</v>
      </c>
      <c r="AE817" s="26">
        <v>0.99691991786447642</v>
      </c>
      <c r="AF817" s="26">
        <v>0.99939283545840918</v>
      </c>
      <c r="AG817" s="26">
        <v>0.99760961617265398</v>
      </c>
      <c r="AH817" s="28">
        <v>0.92</v>
      </c>
      <c r="AI817" s="26">
        <v>0.94210136884942652</v>
      </c>
      <c r="AJ817" s="26">
        <v>0.95941832938789318</v>
      </c>
      <c r="AK817" s="26">
        <v>0.96572140853848554</v>
      </c>
      <c r="AL817" s="26">
        <v>0.95448335682532803</v>
      </c>
      <c r="AM817" s="25">
        <v>0.99</v>
      </c>
      <c r="AN817" s="30">
        <v>1</v>
      </c>
      <c r="AO817" s="30">
        <v>1</v>
      </c>
      <c r="AP817" s="30">
        <v>1</v>
      </c>
      <c r="AQ817" s="30">
        <v>1</v>
      </c>
      <c r="AR817" s="50">
        <v>8.1059522893420499E-2</v>
      </c>
      <c r="AS817" s="34">
        <v>4.1666666666666664E-2</v>
      </c>
      <c r="AT817" s="34">
        <v>0.1</v>
      </c>
      <c r="AU817" s="34">
        <v>0</v>
      </c>
      <c r="AV817" s="34">
        <v>3.9215686274509803E-2</v>
      </c>
      <c r="AW817" s="10"/>
      <c r="AX817" s="8"/>
    </row>
    <row r="818" spans="1:50">
      <c r="A818" s="7"/>
      <c r="B818" s="10"/>
      <c r="C818" s="45" t="s">
        <v>688</v>
      </c>
      <c r="D818" s="23" t="s">
        <v>21</v>
      </c>
      <c r="E818" s="68" t="s">
        <v>863</v>
      </c>
      <c r="F818" s="68" t="s">
        <v>863</v>
      </c>
      <c r="G818" s="68" t="s">
        <v>863</v>
      </c>
      <c r="H818" s="68" t="s">
        <v>863</v>
      </c>
      <c r="I818" s="25">
        <v>0.9</v>
      </c>
      <c r="J818" s="26">
        <v>1</v>
      </c>
      <c r="K818" s="26">
        <v>0.88461538461538458</v>
      </c>
      <c r="L818" s="27">
        <v>0.84615384615384615</v>
      </c>
      <c r="M818" s="26">
        <v>0.90196078431372551</v>
      </c>
      <c r="N818" s="28">
        <v>0.9</v>
      </c>
      <c r="O818" s="26">
        <v>0.99112021857923494</v>
      </c>
      <c r="P818" s="26">
        <v>0.9871589085072231</v>
      </c>
      <c r="Q818" s="26">
        <v>0.99298566636169561</v>
      </c>
      <c r="R818" s="26">
        <v>0.98940146676129648</v>
      </c>
      <c r="S818" s="28">
        <v>0.9</v>
      </c>
      <c r="T818" s="26">
        <v>0.97301912568306015</v>
      </c>
      <c r="U818" s="26">
        <v>0.96669341894061001</v>
      </c>
      <c r="V818" s="26">
        <v>0.95791399817017386</v>
      </c>
      <c r="W818" s="26">
        <v>0.96579134137686307</v>
      </c>
      <c r="X818" s="28">
        <v>0.92</v>
      </c>
      <c r="Y818" s="28">
        <v>0.93317132442284323</v>
      </c>
      <c r="Z818" s="28">
        <v>0.95615103532277712</v>
      </c>
      <c r="AA818" s="28">
        <v>0.95511221945137159</v>
      </c>
      <c r="AB818" s="28">
        <v>0.94988540870893812</v>
      </c>
      <c r="AC818" s="28">
        <v>0.92</v>
      </c>
      <c r="AD818" s="26">
        <v>0.99909090909090914</v>
      </c>
      <c r="AE818" s="26">
        <v>0.99603053435114508</v>
      </c>
      <c r="AF818" s="26">
        <v>0.99455219001961215</v>
      </c>
      <c r="AG818" s="26">
        <v>0.99511142777975692</v>
      </c>
      <c r="AH818" s="28">
        <v>0.92</v>
      </c>
      <c r="AI818" s="26">
        <v>0.97495337063682386</v>
      </c>
      <c r="AJ818" s="26">
        <v>0.98068799034399512</v>
      </c>
      <c r="AK818" s="26">
        <v>0.98064199950992403</v>
      </c>
      <c r="AL818" s="26">
        <v>0.97887247643468522</v>
      </c>
      <c r="AM818" s="25">
        <v>0.99</v>
      </c>
      <c r="AN818" s="30">
        <v>1</v>
      </c>
      <c r="AO818" s="30">
        <v>1</v>
      </c>
      <c r="AP818" s="30">
        <v>1</v>
      </c>
      <c r="AQ818" s="30">
        <v>1</v>
      </c>
      <c r="AR818" s="50">
        <v>8.1059522893420499E-2</v>
      </c>
      <c r="AS818" s="34">
        <v>0.1</v>
      </c>
      <c r="AT818" s="34">
        <v>0</v>
      </c>
      <c r="AU818" s="34">
        <v>-0.16666666666666666</v>
      </c>
      <c r="AV818" s="34">
        <v>8.3333333333333329E-2</v>
      </c>
      <c r="AW818" s="10"/>
      <c r="AX818" s="8"/>
    </row>
    <row r="819" spans="1:50">
      <c r="A819" s="7"/>
      <c r="B819" s="10"/>
      <c r="C819" s="45" t="s">
        <v>688</v>
      </c>
      <c r="D819" s="23" t="s">
        <v>21</v>
      </c>
      <c r="E819" s="68" t="s">
        <v>864</v>
      </c>
      <c r="F819" s="68" t="s">
        <v>864</v>
      </c>
      <c r="G819" s="68" t="s">
        <v>864</v>
      </c>
      <c r="H819" s="68" t="s">
        <v>864</v>
      </c>
      <c r="I819" s="25">
        <v>0.9</v>
      </c>
      <c r="J819" s="26">
        <v>0.96296296296296291</v>
      </c>
      <c r="K819" s="26">
        <v>0.96296296296296291</v>
      </c>
      <c r="L819" s="27">
        <v>0.96296296296296291</v>
      </c>
      <c r="M819" s="26">
        <v>0.96759259259259256</v>
      </c>
      <c r="N819" s="28">
        <v>0.9</v>
      </c>
      <c r="O819" s="26">
        <v>0.95816993464052291</v>
      </c>
      <c r="P819" s="26">
        <v>0.94963592233009708</v>
      </c>
      <c r="Q819" s="26">
        <v>0.95838866755201413</v>
      </c>
      <c r="R819" s="26">
        <v>0.96160267111853093</v>
      </c>
      <c r="S819" s="28">
        <v>0.9</v>
      </c>
      <c r="T819" s="26">
        <v>0.93725490196078431</v>
      </c>
      <c r="U819" s="26">
        <v>0.95084951456310685</v>
      </c>
      <c r="V819" s="26">
        <v>0.95883134130146086</v>
      </c>
      <c r="W819" s="26">
        <v>0.94781157000798433</v>
      </c>
      <c r="X819" s="28">
        <v>0.92</v>
      </c>
      <c r="Y819" s="28">
        <v>0.91836734693877553</v>
      </c>
      <c r="Z819" s="28">
        <v>0.93456032719836402</v>
      </c>
      <c r="AA819" s="28">
        <v>0.91370558375634514</v>
      </c>
      <c r="AB819" s="28">
        <v>0.92378703306139975</v>
      </c>
      <c r="AC819" s="28">
        <v>0.92</v>
      </c>
      <c r="AD819" s="26">
        <v>0.99893162393162394</v>
      </c>
      <c r="AE819" s="26">
        <v>0.99722222222222223</v>
      </c>
      <c r="AF819" s="26">
        <v>1</v>
      </c>
      <c r="AG819" s="26">
        <v>0.99618020447140776</v>
      </c>
      <c r="AH819" s="28">
        <v>0.92</v>
      </c>
      <c r="AI819" s="26">
        <v>0.949238578680203</v>
      </c>
      <c r="AJ819" s="26">
        <v>0.96630790828263924</v>
      </c>
      <c r="AK819" s="26">
        <v>0.96561403508771926</v>
      </c>
      <c r="AL819" s="26">
        <v>0.96050989964740985</v>
      </c>
      <c r="AM819" s="25">
        <v>0.99</v>
      </c>
      <c r="AN819" s="30">
        <v>1</v>
      </c>
      <c r="AO819" s="30">
        <v>1</v>
      </c>
      <c r="AP819" s="30">
        <v>1</v>
      </c>
      <c r="AQ819" s="30">
        <v>1</v>
      </c>
      <c r="AR819" s="50">
        <v>8.1059522893420499E-2</v>
      </c>
      <c r="AS819" s="34">
        <v>0.27272727272727271</v>
      </c>
      <c r="AT819" s="34">
        <v>0</v>
      </c>
      <c r="AU819" s="34">
        <v>0</v>
      </c>
      <c r="AV819" s="34">
        <v>5.5555555555555552E-2</v>
      </c>
      <c r="AW819" s="10"/>
      <c r="AX819" s="8"/>
    </row>
    <row r="820" spans="1:50">
      <c r="A820" s="7"/>
      <c r="B820" s="10"/>
      <c r="C820" s="45" t="s">
        <v>688</v>
      </c>
      <c r="D820" s="23" t="s">
        <v>21</v>
      </c>
      <c r="E820" s="68" t="s">
        <v>865</v>
      </c>
      <c r="F820" s="68" t="s">
        <v>865</v>
      </c>
      <c r="G820" s="68" t="s">
        <v>865</v>
      </c>
      <c r="H820" s="68" t="s">
        <v>865</v>
      </c>
      <c r="I820" s="25">
        <v>0.9</v>
      </c>
      <c r="J820" s="26">
        <v>1</v>
      </c>
      <c r="K820" s="26">
        <v>0.97435897435897434</v>
      </c>
      <c r="L820" s="27">
        <v>1</v>
      </c>
      <c r="M820" s="26">
        <v>0.97674418604651159</v>
      </c>
      <c r="N820" s="28">
        <v>0.9</v>
      </c>
      <c r="O820" s="26">
        <v>0.96743697478991597</v>
      </c>
      <c r="P820" s="26">
        <v>0.96089385474860334</v>
      </c>
      <c r="Q820" s="26">
        <v>0.95543938262384864</v>
      </c>
      <c r="R820" s="26">
        <v>0.95924445169712791</v>
      </c>
      <c r="S820" s="28">
        <v>0.9</v>
      </c>
      <c r="T820" s="26">
        <v>0.94432773109243695</v>
      </c>
      <c r="U820" s="26">
        <v>0.93723299375616165</v>
      </c>
      <c r="V820" s="26">
        <v>0.92058750311177495</v>
      </c>
      <c r="W820" s="26">
        <v>0.93015665796344649</v>
      </c>
      <c r="X820" s="28">
        <v>0.92</v>
      </c>
      <c r="Y820" s="28">
        <v>0.90690978886756235</v>
      </c>
      <c r="Z820" s="28">
        <v>0.90843621399176955</v>
      </c>
      <c r="AA820" s="28">
        <v>0.92353525322740815</v>
      </c>
      <c r="AB820" s="28">
        <v>0.91186565334640846</v>
      </c>
      <c r="AC820" s="28">
        <v>0.92</v>
      </c>
      <c r="AD820" s="26">
        <v>0.99807374793615855</v>
      </c>
      <c r="AE820" s="26">
        <v>0.98995384197664948</v>
      </c>
      <c r="AF820" s="26">
        <v>0.99339672477548868</v>
      </c>
      <c r="AG820" s="26">
        <v>0.9879251809621421</v>
      </c>
      <c r="AH820" s="28">
        <v>0.92</v>
      </c>
      <c r="AI820" s="26">
        <v>0.95253976398152895</v>
      </c>
      <c r="AJ820" s="26">
        <v>0.96114570361145701</v>
      </c>
      <c r="AK820" s="26">
        <v>0.9633757961783439</v>
      </c>
      <c r="AL820" s="26">
        <v>0.95993511263467191</v>
      </c>
      <c r="AM820" s="25">
        <v>0.99</v>
      </c>
      <c r="AN820" s="30">
        <v>1</v>
      </c>
      <c r="AO820" s="30">
        <v>1</v>
      </c>
      <c r="AP820" s="30">
        <v>1</v>
      </c>
      <c r="AQ820" s="30">
        <v>1</v>
      </c>
      <c r="AR820" s="50">
        <v>8.1059522893420499E-2</v>
      </c>
      <c r="AS820" s="34">
        <v>5.5555555555555552E-2</v>
      </c>
      <c r="AT820" s="34">
        <v>0</v>
      </c>
      <c r="AU820" s="34">
        <v>5.2631578947368418E-2</v>
      </c>
      <c r="AV820" s="34">
        <v>6.8627450980392163E-2</v>
      </c>
      <c r="AW820" s="10"/>
      <c r="AX820" s="8"/>
    </row>
    <row r="821" spans="1:50">
      <c r="A821" s="7"/>
      <c r="B821" s="10"/>
      <c r="C821" s="45" t="s">
        <v>688</v>
      </c>
      <c r="D821" s="23" t="s">
        <v>21</v>
      </c>
      <c r="E821" s="68" t="s">
        <v>866</v>
      </c>
      <c r="F821" s="68" t="s">
        <v>866</v>
      </c>
      <c r="G821" s="68" t="s">
        <v>866</v>
      </c>
      <c r="H821" s="68" t="s">
        <v>866</v>
      </c>
      <c r="I821" s="25">
        <v>0.9</v>
      </c>
      <c r="J821" s="26">
        <v>0.9285714285714286</v>
      </c>
      <c r="K821" s="26">
        <v>0.8666666666666667</v>
      </c>
      <c r="L821" s="27">
        <v>1</v>
      </c>
      <c r="M821" s="26">
        <v>0.96153846153846156</v>
      </c>
      <c r="N821" s="28">
        <v>0.9</v>
      </c>
      <c r="O821" s="26">
        <v>0.99140625000000004</v>
      </c>
      <c r="P821" s="26">
        <v>0.98970588235294121</v>
      </c>
      <c r="Q821" s="26">
        <v>0.99168816279736316</v>
      </c>
      <c r="R821" s="26">
        <v>0.99286590630254012</v>
      </c>
      <c r="S821" s="28">
        <v>0.9</v>
      </c>
      <c r="T821" s="26">
        <v>0.96406250000000004</v>
      </c>
      <c r="U821" s="26">
        <v>0.96250000000000002</v>
      </c>
      <c r="V821" s="26">
        <v>0.96245342505015763</v>
      </c>
      <c r="W821" s="26">
        <v>0.96687417639841866</v>
      </c>
      <c r="X821" s="28">
        <v>0.92</v>
      </c>
      <c r="Y821" s="28">
        <v>0.94232649071358754</v>
      </c>
      <c r="Z821" s="28">
        <v>0.93573844419391206</v>
      </c>
      <c r="AA821" s="28">
        <v>0.94080996884735202</v>
      </c>
      <c r="AB821" s="28">
        <v>0.94252406127151955</v>
      </c>
      <c r="AC821" s="28">
        <v>0.92</v>
      </c>
      <c r="AD821" s="26">
        <v>0.9989581524570238</v>
      </c>
      <c r="AE821" s="26">
        <v>0.99815807099799059</v>
      </c>
      <c r="AF821" s="26">
        <v>0.99835010724302919</v>
      </c>
      <c r="AG821" s="26">
        <v>0.99728083532738743</v>
      </c>
      <c r="AH821" s="28">
        <v>0.92</v>
      </c>
      <c r="AI821" s="26">
        <v>0.9665178571428571</v>
      </c>
      <c r="AJ821" s="26">
        <v>0.97006651884700668</v>
      </c>
      <c r="AK821" s="26">
        <v>0.97619047619047616</v>
      </c>
      <c r="AL821" s="26">
        <v>0.97431099013269817</v>
      </c>
      <c r="AM821" s="25">
        <v>0.99</v>
      </c>
      <c r="AN821" s="30">
        <v>1</v>
      </c>
      <c r="AO821" s="30">
        <v>1</v>
      </c>
      <c r="AP821" s="30">
        <v>1</v>
      </c>
      <c r="AQ821" s="30">
        <v>1</v>
      </c>
      <c r="AR821" s="50">
        <v>8.1059522893420499E-2</v>
      </c>
      <c r="AS821" s="34">
        <v>0</v>
      </c>
      <c r="AT821" s="34">
        <v>5.5555555555555552E-2</v>
      </c>
      <c r="AU821" s="34">
        <v>0</v>
      </c>
      <c r="AV821" s="34">
        <v>3.1007751937984496E-2</v>
      </c>
      <c r="AW821" s="10"/>
      <c r="AX821" s="8"/>
    </row>
    <row r="822" spans="1:50">
      <c r="A822" s="7"/>
      <c r="B822" s="10"/>
      <c r="C822" s="45" t="s">
        <v>688</v>
      </c>
      <c r="D822" s="23" t="s">
        <v>21</v>
      </c>
      <c r="E822" s="68" t="s">
        <v>867</v>
      </c>
      <c r="F822" s="68" t="s">
        <v>867</v>
      </c>
      <c r="G822" s="68" t="s">
        <v>867</v>
      </c>
      <c r="H822" s="68" t="s">
        <v>867</v>
      </c>
      <c r="I822" s="25">
        <v>0.9</v>
      </c>
      <c r="J822" s="26">
        <v>1</v>
      </c>
      <c r="K822" s="26">
        <v>1</v>
      </c>
      <c r="L822" s="27">
        <v>1</v>
      </c>
      <c r="M822" s="26">
        <v>1</v>
      </c>
      <c r="N822" s="28">
        <v>0.9</v>
      </c>
      <c r="O822" s="26">
        <v>0.99542857142857144</v>
      </c>
      <c r="P822" s="26">
        <v>0.99506868615709754</v>
      </c>
      <c r="Q822" s="26">
        <v>0.99327122153209113</v>
      </c>
      <c r="R822" s="26">
        <v>0.99473120582565855</v>
      </c>
      <c r="S822" s="28">
        <v>0.9</v>
      </c>
      <c r="T822" s="26">
        <v>0.97257142857142853</v>
      </c>
      <c r="U822" s="26">
        <v>0.98238816484677705</v>
      </c>
      <c r="V822" s="26">
        <v>0.98110766045548659</v>
      </c>
      <c r="W822" s="26">
        <v>0.9787963161276505</v>
      </c>
      <c r="X822" s="28">
        <v>0.92</v>
      </c>
      <c r="Y822" s="28">
        <v>0.9422521655437921</v>
      </c>
      <c r="Z822" s="28">
        <v>0.93792325056433412</v>
      </c>
      <c r="AA822" s="28">
        <v>0.95093945720250517</v>
      </c>
      <c r="AB822" s="28">
        <v>0.94080062589646629</v>
      </c>
      <c r="AC822" s="28">
        <v>0.92</v>
      </c>
      <c r="AD822" s="26">
        <v>0.998046875</v>
      </c>
      <c r="AE822" s="26">
        <v>0.99794801641586872</v>
      </c>
      <c r="AF822" s="26">
        <v>0.99615680245964644</v>
      </c>
      <c r="AG822" s="26">
        <v>0.99699570815450644</v>
      </c>
      <c r="AH822" s="28">
        <v>0.92</v>
      </c>
      <c r="AI822" s="26">
        <v>0.9768013100436681</v>
      </c>
      <c r="AJ822" s="26">
        <v>0.98201342281879189</v>
      </c>
      <c r="AK822" s="26">
        <v>0.98631557122123159</v>
      </c>
      <c r="AL822" s="26">
        <v>0.98100918910204737</v>
      </c>
      <c r="AM822" s="25">
        <v>0.99</v>
      </c>
      <c r="AN822" s="30">
        <v>1</v>
      </c>
      <c r="AO822" s="30">
        <v>1</v>
      </c>
      <c r="AP822" s="30">
        <v>1</v>
      </c>
      <c r="AQ822" s="30">
        <v>1</v>
      </c>
      <c r="AR822" s="50">
        <v>8.1059522893420499E-2</v>
      </c>
      <c r="AS822" s="34">
        <v>0</v>
      </c>
      <c r="AT822" s="34">
        <v>0</v>
      </c>
      <c r="AU822" s="34">
        <v>7.1428571428571425E-2</v>
      </c>
      <c r="AV822" s="34">
        <v>1.3888888888888888E-2</v>
      </c>
      <c r="AW822" s="10"/>
      <c r="AX822" s="8"/>
    </row>
    <row r="823" spans="1:50">
      <c r="A823" s="7"/>
      <c r="B823" s="10"/>
      <c r="C823" s="45" t="s">
        <v>688</v>
      </c>
      <c r="D823" s="23" t="s">
        <v>21</v>
      </c>
      <c r="E823" s="68" t="s">
        <v>868</v>
      </c>
      <c r="F823" s="68" t="s">
        <v>868</v>
      </c>
      <c r="G823" s="68" t="s">
        <v>868</v>
      </c>
      <c r="H823" s="68" t="s">
        <v>868</v>
      </c>
      <c r="I823" s="25">
        <v>0.9</v>
      </c>
      <c r="J823" s="26">
        <v>0.97368421052631582</v>
      </c>
      <c r="K823" s="26">
        <v>0.90243902439024393</v>
      </c>
      <c r="L823" s="27">
        <v>0.82926829268292679</v>
      </c>
      <c r="M823" s="26">
        <v>0.92833876221498368</v>
      </c>
      <c r="N823" s="28">
        <v>0.9</v>
      </c>
      <c r="O823" s="26">
        <v>0.98525469168900803</v>
      </c>
      <c r="P823" s="26">
        <v>0.98585050753614267</v>
      </c>
      <c r="Q823" s="26">
        <v>0.93101092896174864</v>
      </c>
      <c r="R823" s="26">
        <v>0.97535333307659722</v>
      </c>
      <c r="S823" s="28">
        <v>0.9</v>
      </c>
      <c r="T823" s="26">
        <v>0.92627345844504017</v>
      </c>
      <c r="U823" s="26">
        <v>0.93940326053521994</v>
      </c>
      <c r="V823" s="26">
        <v>0.87090163934426235</v>
      </c>
      <c r="W823" s="26">
        <v>0.92032194708668691</v>
      </c>
      <c r="X823" s="28">
        <v>0.92</v>
      </c>
      <c r="Y823" s="28">
        <v>0.93815413891531874</v>
      </c>
      <c r="Z823" s="28">
        <v>0.94228855721393034</v>
      </c>
      <c r="AA823" s="28">
        <v>0.94797687861271673</v>
      </c>
      <c r="AB823" s="28">
        <v>0.94380125422093586</v>
      </c>
      <c r="AC823" s="28">
        <v>0.92</v>
      </c>
      <c r="AD823" s="26">
        <v>0.99973951549882778</v>
      </c>
      <c r="AE823" s="26">
        <v>0.99738751814223514</v>
      </c>
      <c r="AF823" s="26">
        <v>0.99826739820964483</v>
      </c>
      <c r="AG823" s="26">
        <v>0.99512767622163734</v>
      </c>
      <c r="AH823" s="28">
        <v>0.92</v>
      </c>
      <c r="AI823" s="26">
        <v>0.95861214374225523</v>
      </c>
      <c r="AJ823" s="26">
        <v>0.96851503759398494</v>
      </c>
      <c r="AK823" s="26">
        <v>0.96666666666666667</v>
      </c>
      <c r="AL823" s="26">
        <v>0.96699063129323182</v>
      </c>
      <c r="AM823" s="25">
        <v>0.99</v>
      </c>
      <c r="AN823" s="30">
        <v>1</v>
      </c>
      <c r="AO823" s="30">
        <v>1</v>
      </c>
      <c r="AP823" s="30">
        <v>1</v>
      </c>
      <c r="AQ823" s="30">
        <v>1</v>
      </c>
      <c r="AR823" s="50">
        <v>8.1059522893420499E-2</v>
      </c>
      <c r="AS823" s="34">
        <v>0</v>
      </c>
      <c r="AT823" s="34">
        <v>3.3333333333333333E-2</v>
      </c>
      <c r="AU823" s="34">
        <v>0</v>
      </c>
      <c r="AV823" s="34">
        <v>3.4883720930232558E-2</v>
      </c>
      <c r="AW823" s="10"/>
      <c r="AX823" s="8"/>
    </row>
    <row r="824" spans="1:50">
      <c r="A824" s="7"/>
      <c r="B824" s="10"/>
      <c r="C824" s="45" t="s">
        <v>688</v>
      </c>
      <c r="D824" s="23" t="s">
        <v>21</v>
      </c>
      <c r="E824" s="68" t="s">
        <v>869</v>
      </c>
      <c r="F824" s="68" t="s">
        <v>869</v>
      </c>
      <c r="G824" s="68" t="s">
        <v>869</v>
      </c>
      <c r="H824" s="68" t="s">
        <v>869</v>
      </c>
      <c r="I824" s="25">
        <v>0.9</v>
      </c>
      <c r="J824" s="26">
        <v>1</v>
      </c>
      <c r="K824" s="26">
        <v>1</v>
      </c>
      <c r="L824" s="27">
        <v>0.87096774193548387</v>
      </c>
      <c r="M824" s="26">
        <v>0.97942386831275718</v>
      </c>
      <c r="N824" s="28">
        <v>0.9</v>
      </c>
      <c r="O824" s="26">
        <v>0.94277711084433768</v>
      </c>
      <c r="P824" s="26">
        <v>0.94060515502428088</v>
      </c>
      <c r="Q824" s="26">
        <v>0.94785442694187938</v>
      </c>
      <c r="R824" s="26">
        <v>0.93552000716942241</v>
      </c>
      <c r="S824" s="28">
        <v>0.9</v>
      </c>
      <c r="T824" s="26">
        <v>0.93637454981992796</v>
      </c>
      <c r="U824" s="26">
        <v>0.93612252521479267</v>
      </c>
      <c r="V824" s="26">
        <v>0.93617599130907114</v>
      </c>
      <c r="W824" s="26">
        <v>0.93605771385042791</v>
      </c>
      <c r="X824" s="28">
        <v>0.92</v>
      </c>
      <c r="Y824" s="28">
        <v>0.87697160883280756</v>
      </c>
      <c r="Z824" s="28">
        <v>0.88505747126436785</v>
      </c>
      <c r="AA824" s="28">
        <v>0.84696016771488469</v>
      </c>
      <c r="AB824" s="28">
        <v>0.89185803757828808</v>
      </c>
      <c r="AC824" s="28">
        <v>0.92</v>
      </c>
      <c r="AD824" s="26">
        <v>0.9994997498749375</v>
      </c>
      <c r="AE824" s="26">
        <v>0.99150622876557193</v>
      </c>
      <c r="AF824" s="26">
        <v>0.99641760491299902</v>
      </c>
      <c r="AG824" s="26">
        <v>0.99241559836230619</v>
      </c>
      <c r="AH824" s="28">
        <v>0.92</v>
      </c>
      <c r="AI824" s="26">
        <v>0.94057971014492758</v>
      </c>
      <c r="AJ824" s="26">
        <v>0.95009867493656608</v>
      </c>
      <c r="AK824" s="26">
        <v>0.94736842105263153</v>
      </c>
      <c r="AL824" s="26">
        <v>0.95305403023523827</v>
      </c>
      <c r="AM824" s="25">
        <v>0.99</v>
      </c>
      <c r="AN824" s="30">
        <v>1</v>
      </c>
      <c r="AO824" s="30">
        <v>1</v>
      </c>
      <c r="AP824" s="30">
        <v>1</v>
      </c>
      <c r="AQ824" s="30">
        <v>1</v>
      </c>
      <c r="AR824" s="50">
        <v>8.1059522893420499E-2</v>
      </c>
      <c r="AS824" s="34">
        <v>7.1428571428571425E-2</v>
      </c>
      <c r="AT824" s="34">
        <v>5.8823529411764705E-2</v>
      </c>
      <c r="AU824" s="34">
        <v>0</v>
      </c>
      <c r="AV824" s="34">
        <v>5.3435114503816793E-2</v>
      </c>
      <c r="AW824" s="10"/>
      <c r="AX824" s="8"/>
    </row>
    <row r="825" spans="1:50">
      <c r="A825" s="7"/>
      <c r="B825" s="10"/>
      <c r="C825" s="45" t="s">
        <v>688</v>
      </c>
      <c r="D825" s="23" t="s">
        <v>21</v>
      </c>
      <c r="E825" s="68" t="s">
        <v>870</v>
      </c>
      <c r="F825" s="68" t="s">
        <v>870</v>
      </c>
      <c r="G825" s="68" t="s">
        <v>870</v>
      </c>
      <c r="H825" s="68" t="s">
        <v>870</v>
      </c>
      <c r="I825" s="25">
        <v>0.9</v>
      </c>
      <c r="J825" s="26">
        <v>0.90476190476190477</v>
      </c>
      <c r="K825" s="26">
        <v>0.86956521739130432</v>
      </c>
      <c r="L825" s="27">
        <v>0.82608695652173914</v>
      </c>
      <c r="M825" s="26">
        <v>0.83233532934131738</v>
      </c>
      <c r="N825" s="28">
        <v>0.9</v>
      </c>
      <c r="O825" s="26">
        <v>0.91960132890365454</v>
      </c>
      <c r="P825" s="26">
        <v>0.97569209993247807</v>
      </c>
      <c r="Q825" s="26">
        <v>0.92211538461538467</v>
      </c>
      <c r="R825" s="26">
        <v>0.9299094598813612</v>
      </c>
      <c r="S825" s="28">
        <v>0.9</v>
      </c>
      <c r="T825" s="26">
        <v>0.92558139534883721</v>
      </c>
      <c r="U825" s="26">
        <v>0.93450371370695473</v>
      </c>
      <c r="V825" s="26">
        <v>0.9341346153846154</v>
      </c>
      <c r="W825" s="26">
        <v>0.9364658133000312</v>
      </c>
      <c r="X825" s="28">
        <v>0.92</v>
      </c>
      <c r="Y825" s="28">
        <v>0.934819897084048</v>
      </c>
      <c r="Z825" s="28">
        <v>0.93727598566308246</v>
      </c>
      <c r="AA825" s="28">
        <v>0.92674616695059631</v>
      </c>
      <c r="AB825" s="28">
        <v>0.92615096985276935</v>
      </c>
      <c r="AC825" s="28">
        <v>0.92</v>
      </c>
      <c r="AD825" s="26">
        <v>1</v>
      </c>
      <c r="AE825" s="26">
        <v>0.96624472573839659</v>
      </c>
      <c r="AF825" s="26">
        <v>0.99494949494949492</v>
      </c>
      <c r="AG825" s="26">
        <v>0.98944099378881989</v>
      </c>
      <c r="AH825" s="28">
        <v>0.92</v>
      </c>
      <c r="AI825" s="26">
        <v>0.9568965517241379</v>
      </c>
      <c r="AJ825" s="26">
        <v>0.96517900931829326</v>
      </c>
      <c r="AK825" s="26">
        <v>0.96325459317585305</v>
      </c>
      <c r="AL825" s="26">
        <v>0.96220232871101752</v>
      </c>
      <c r="AM825" s="25">
        <v>0.99</v>
      </c>
      <c r="AN825" s="30">
        <v>1</v>
      </c>
      <c r="AO825" s="30">
        <v>1</v>
      </c>
      <c r="AP825" s="30">
        <v>1</v>
      </c>
      <c r="AQ825" s="30">
        <v>1</v>
      </c>
      <c r="AR825" s="50">
        <v>8.1059522893420499E-2</v>
      </c>
      <c r="AS825" s="34">
        <v>0.2857142857142857</v>
      </c>
      <c r="AT825" s="34">
        <v>0</v>
      </c>
      <c r="AU825" s="34">
        <v>0</v>
      </c>
      <c r="AV825" s="34">
        <v>7.1428571428571425E-2</v>
      </c>
      <c r="AW825" s="10"/>
      <c r="AX825" s="8"/>
    </row>
    <row r="826" spans="1:50">
      <c r="A826" s="7"/>
      <c r="B826" s="10"/>
      <c r="C826" s="45" t="s">
        <v>688</v>
      </c>
      <c r="D826" s="23" t="s">
        <v>21</v>
      </c>
      <c r="E826" s="68" t="s">
        <v>871</v>
      </c>
      <c r="F826" s="68" t="s">
        <v>871</v>
      </c>
      <c r="G826" s="68" t="s">
        <v>871</v>
      </c>
      <c r="H826" s="68" t="s">
        <v>871</v>
      </c>
      <c r="I826" s="25">
        <v>0.9</v>
      </c>
      <c r="J826" s="26">
        <v>0.88888888888888884</v>
      </c>
      <c r="K826" s="26">
        <v>0.93103448275862066</v>
      </c>
      <c r="L826" s="27">
        <v>0.93333333333333335</v>
      </c>
      <c r="M826" s="26">
        <v>0.94273127753303965</v>
      </c>
      <c r="N826" s="28">
        <v>0.9</v>
      </c>
      <c r="O826" s="26">
        <v>0.94170192759755522</v>
      </c>
      <c r="P826" s="26">
        <v>0.93127629733520334</v>
      </c>
      <c r="Q826" s="26">
        <v>0.91862811028917279</v>
      </c>
      <c r="R826" s="26">
        <v>0.91485418370128102</v>
      </c>
      <c r="S826" s="28">
        <v>0.9</v>
      </c>
      <c r="T826" s="26">
        <v>0.90785143394452283</v>
      </c>
      <c r="U826" s="26">
        <v>0.93548387096774188</v>
      </c>
      <c r="V826" s="26">
        <v>0.89273705447209151</v>
      </c>
      <c r="W826" s="26">
        <v>0.91757972199509408</v>
      </c>
      <c r="X826" s="28">
        <v>0.92</v>
      </c>
      <c r="Y826" s="28">
        <v>0.88954635108481261</v>
      </c>
      <c r="Z826" s="28">
        <v>0.91032325338894682</v>
      </c>
      <c r="AA826" s="28">
        <v>0.93083333333333329</v>
      </c>
      <c r="AB826" s="28">
        <v>0.90590863952333667</v>
      </c>
      <c r="AC826" s="28">
        <v>0.92</v>
      </c>
      <c r="AD826" s="26">
        <v>0.99076354679802958</v>
      </c>
      <c r="AE826" s="26">
        <v>0.989937106918239</v>
      </c>
      <c r="AF826" s="26">
        <v>0.98112094395280236</v>
      </c>
      <c r="AG826" s="26">
        <v>0.98545143346170305</v>
      </c>
      <c r="AH826" s="28">
        <v>0.92</v>
      </c>
      <c r="AI826" s="26">
        <v>0.93924936386768443</v>
      </c>
      <c r="AJ826" s="26">
        <v>0.95772829945143589</v>
      </c>
      <c r="AK826" s="26">
        <v>0.9647988505747126</v>
      </c>
      <c r="AL826" s="26">
        <v>0.95436658089904647</v>
      </c>
      <c r="AM826" s="25">
        <v>0.99</v>
      </c>
      <c r="AN826" s="30">
        <v>1</v>
      </c>
      <c r="AO826" s="30">
        <v>1</v>
      </c>
      <c r="AP826" s="30">
        <v>1</v>
      </c>
      <c r="AQ826" s="30">
        <v>1</v>
      </c>
      <c r="AR826" s="50">
        <v>8.1059522893420499E-2</v>
      </c>
      <c r="AS826" s="34">
        <v>7.1428571428571425E-2</v>
      </c>
      <c r="AT826" s="34">
        <v>5.2631578947368418E-2</v>
      </c>
      <c r="AU826" s="34">
        <v>0</v>
      </c>
      <c r="AV826" s="34">
        <v>4.2105263157894736E-2</v>
      </c>
      <c r="AW826" s="10"/>
      <c r="AX826" s="8"/>
    </row>
    <row r="827" spans="1:50">
      <c r="A827" s="7"/>
      <c r="B827" s="10"/>
      <c r="C827" s="45" t="s">
        <v>688</v>
      </c>
      <c r="D827" s="23" t="s">
        <v>21</v>
      </c>
      <c r="E827" s="68" t="s">
        <v>872</v>
      </c>
      <c r="F827" s="68" t="s">
        <v>872</v>
      </c>
      <c r="G827" s="68" t="s">
        <v>872</v>
      </c>
      <c r="H827" s="68" t="s">
        <v>872</v>
      </c>
      <c r="I827" s="25">
        <v>0.9</v>
      </c>
      <c r="J827" s="26">
        <v>0.85185185185185186</v>
      </c>
      <c r="K827" s="26">
        <v>0.88888888888888884</v>
      </c>
      <c r="L827" s="27">
        <v>0.92</v>
      </c>
      <c r="M827" s="26">
        <v>0.86567164179104472</v>
      </c>
      <c r="N827" s="28">
        <v>0.9</v>
      </c>
      <c r="O827" s="26">
        <v>0.93959290873276424</v>
      </c>
      <c r="P827" s="26">
        <v>0.95947712418300657</v>
      </c>
      <c r="Q827" s="26">
        <v>0.95807819123881299</v>
      </c>
      <c r="R827" s="26">
        <v>0.8813966091197647</v>
      </c>
      <c r="S827" s="28">
        <v>0.9</v>
      </c>
      <c r="T827" s="26">
        <v>0.91923834537097837</v>
      </c>
      <c r="U827" s="26">
        <v>0.92091503267973851</v>
      </c>
      <c r="V827" s="26">
        <v>0.91945360339142723</v>
      </c>
      <c r="W827" s="26">
        <v>0.92173105210188122</v>
      </c>
      <c r="X827" s="28">
        <v>0.92</v>
      </c>
      <c r="Y827" s="28">
        <v>0.90489913544668588</v>
      </c>
      <c r="Z827" s="28">
        <v>0.89136490250696376</v>
      </c>
      <c r="AA827" s="28">
        <v>0.92149758454106279</v>
      </c>
      <c r="AB827" s="28">
        <v>0.91395022783035407</v>
      </c>
      <c r="AC827" s="28">
        <v>0.92</v>
      </c>
      <c r="AD827" s="26">
        <v>0.98425925925925928</v>
      </c>
      <c r="AE827" s="26">
        <v>0.98765432098765427</v>
      </c>
      <c r="AF827" s="26">
        <v>0.96401985111662536</v>
      </c>
      <c r="AG827" s="26">
        <v>0.98061410356492329</v>
      </c>
      <c r="AH827" s="28">
        <v>0.92</v>
      </c>
      <c r="AI827" s="26">
        <v>0.94497068110058635</v>
      </c>
      <c r="AJ827" s="26">
        <v>0.94439501779359436</v>
      </c>
      <c r="AK827" s="26">
        <v>0.95867208672086723</v>
      </c>
      <c r="AL827" s="26">
        <v>0.95458449645694654</v>
      </c>
      <c r="AM827" s="25">
        <v>0.99</v>
      </c>
      <c r="AN827" s="30">
        <v>1</v>
      </c>
      <c r="AO827" s="30">
        <v>1</v>
      </c>
      <c r="AP827" s="30">
        <v>1</v>
      </c>
      <c r="AQ827" s="30">
        <v>1</v>
      </c>
      <c r="AR827" s="50">
        <v>8.1059522893420499E-2</v>
      </c>
      <c r="AS827" s="34">
        <v>6.25E-2</v>
      </c>
      <c r="AT827" s="34">
        <v>0.1</v>
      </c>
      <c r="AU827" s="34">
        <v>0</v>
      </c>
      <c r="AV827" s="34">
        <v>6.25E-2</v>
      </c>
      <c r="AW827" s="10"/>
      <c r="AX827" s="8"/>
    </row>
    <row r="828" spans="1:50">
      <c r="A828" s="7"/>
      <c r="B828" s="10"/>
      <c r="C828" s="45" t="s">
        <v>688</v>
      </c>
      <c r="D828" s="23" t="s">
        <v>21</v>
      </c>
      <c r="E828" s="68" t="s">
        <v>873</v>
      </c>
      <c r="F828" s="68" t="s">
        <v>873</v>
      </c>
      <c r="G828" s="68" t="s">
        <v>873</v>
      </c>
      <c r="H828" s="68" t="s">
        <v>873</v>
      </c>
      <c r="I828" s="25">
        <v>0.9</v>
      </c>
      <c r="J828" s="26">
        <v>0.9642857142857143</v>
      </c>
      <c r="K828" s="26">
        <v>1</v>
      </c>
      <c r="L828" s="27">
        <v>0.9375</v>
      </c>
      <c r="M828" s="26">
        <v>0.97457627118644063</v>
      </c>
      <c r="N828" s="28">
        <v>0.9</v>
      </c>
      <c r="O828" s="26">
        <v>0.93596648713345298</v>
      </c>
      <c r="P828" s="26">
        <v>0.92514619883040938</v>
      </c>
      <c r="Q828" s="26">
        <v>0.96650067904028969</v>
      </c>
      <c r="R828" s="26">
        <v>0.93396092865232161</v>
      </c>
      <c r="S828" s="28">
        <v>0.9</v>
      </c>
      <c r="T828" s="26">
        <v>0.91681627767803708</v>
      </c>
      <c r="U828" s="26">
        <v>0.91345029239766085</v>
      </c>
      <c r="V828" s="26">
        <v>0.9248528746038932</v>
      </c>
      <c r="W828" s="26">
        <v>0.91364665911664777</v>
      </c>
      <c r="X828" s="28">
        <v>0.92</v>
      </c>
      <c r="Y828" s="28">
        <v>0.77862595419847325</v>
      </c>
      <c r="Z828" s="28">
        <v>0.86503067484662577</v>
      </c>
      <c r="AA828" s="28">
        <v>0.72045454545454546</v>
      </c>
      <c r="AB828" s="28">
        <v>0.82046736502820306</v>
      </c>
      <c r="AC828" s="28">
        <v>0.92</v>
      </c>
      <c r="AD828" s="26">
        <v>0.97044334975369462</v>
      </c>
      <c r="AE828" s="26">
        <v>0.98076923076923073</v>
      </c>
      <c r="AF828" s="26">
        <v>0.96923076923076923</v>
      </c>
      <c r="AG828" s="26">
        <v>0.97348652231551036</v>
      </c>
      <c r="AH828" s="28">
        <v>0.92</v>
      </c>
      <c r="AI828" s="26">
        <v>0.89625711960943855</v>
      </c>
      <c r="AJ828" s="26">
        <v>0.92967206637692612</v>
      </c>
      <c r="AK828" s="26">
        <v>0.89577282994514362</v>
      </c>
      <c r="AL828" s="26">
        <v>0.91696538178246989</v>
      </c>
      <c r="AM828" s="25">
        <v>0.99</v>
      </c>
      <c r="AN828" s="30">
        <v>1</v>
      </c>
      <c r="AO828" s="30">
        <v>1</v>
      </c>
      <c r="AP828" s="30">
        <v>1</v>
      </c>
      <c r="AQ828" s="30">
        <v>1</v>
      </c>
      <c r="AR828" s="50">
        <v>8.1059522893420499E-2</v>
      </c>
      <c r="AS828" s="34">
        <v>0</v>
      </c>
      <c r="AT828" s="34">
        <v>0.16666666666666666</v>
      </c>
      <c r="AU828" s="34">
        <v>0</v>
      </c>
      <c r="AV828" s="34">
        <v>4.5454545454545456E-2</v>
      </c>
      <c r="AW828" s="10"/>
      <c r="AX828" s="8"/>
    </row>
    <row r="829" spans="1:50">
      <c r="A829" s="7"/>
      <c r="B829" s="10"/>
      <c r="C829" s="45" t="s">
        <v>688</v>
      </c>
      <c r="D829" s="23" t="s">
        <v>21</v>
      </c>
      <c r="E829" s="68" t="s">
        <v>874</v>
      </c>
      <c r="F829" s="68" t="s">
        <v>874</v>
      </c>
      <c r="G829" s="68" t="s">
        <v>874</v>
      </c>
      <c r="H829" s="68" t="s">
        <v>874</v>
      </c>
      <c r="I829" s="25">
        <v>0.9</v>
      </c>
      <c r="J829" s="26">
        <v>0.90909090909090906</v>
      </c>
      <c r="K829" s="26">
        <v>0.9375</v>
      </c>
      <c r="L829" s="27">
        <v>0.95833333333333337</v>
      </c>
      <c r="M829" s="26">
        <v>0.92717086834733897</v>
      </c>
      <c r="N829" s="28">
        <v>0.9</v>
      </c>
      <c r="O829" s="26">
        <v>0.91026587887740029</v>
      </c>
      <c r="P829" s="26">
        <v>0.87729357798165142</v>
      </c>
      <c r="Q829" s="26">
        <v>0.81731279872543816</v>
      </c>
      <c r="R829" s="26">
        <v>0.8291317723466074</v>
      </c>
      <c r="S829" s="28">
        <v>0.9</v>
      </c>
      <c r="T829" s="26">
        <v>0.91174298375184637</v>
      </c>
      <c r="U829" s="26">
        <v>0.92048929663608559</v>
      </c>
      <c r="V829" s="26">
        <v>0.92830589484864579</v>
      </c>
      <c r="W829" s="26">
        <v>0.90223893351563833</v>
      </c>
      <c r="X829" s="28">
        <v>0.92</v>
      </c>
      <c r="Y829" s="28">
        <v>0.78394534585824083</v>
      </c>
      <c r="Z829" s="28">
        <v>0.8571428571428571</v>
      </c>
      <c r="AA829" s="28">
        <v>0.85473684210526313</v>
      </c>
      <c r="AB829" s="28">
        <v>0.82594031071136553</v>
      </c>
      <c r="AC829" s="28">
        <v>0.92</v>
      </c>
      <c r="AD829" s="26">
        <v>0.97753456221198154</v>
      </c>
      <c r="AE829" s="26">
        <v>0.97816091954022988</v>
      </c>
      <c r="AF829" s="26">
        <v>0.96743063932448736</v>
      </c>
      <c r="AG829" s="26">
        <v>0.96697373578988632</v>
      </c>
      <c r="AH829" s="28">
        <v>0.92</v>
      </c>
      <c r="AI829" s="26">
        <v>0.89981972701519441</v>
      </c>
      <c r="AJ829" s="26">
        <v>0.92984266185194742</v>
      </c>
      <c r="AK829" s="26">
        <v>0.93971494607087824</v>
      </c>
      <c r="AL829" s="26">
        <v>0.91498841024714772</v>
      </c>
      <c r="AM829" s="25">
        <v>0.99</v>
      </c>
      <c r="AN829" s="30">
        <v>1</v>
      </c>
      <c r="AO829" s="30">
        <v>1</v>
      </c>
      <c r="AP829" s="30">
        <v>1</v>
      </c>
      <c r="AQ829" s="30">
        <v>1</v>
      </c>
      <c r="AR829" s="50">
        <v>8.1059522893420499E-2</v>
      </c>
      <c r="AS829" s="34">
        <v>0</v>
      </c>
      <c r="AT829" s="34">
        <v>7.407407407407407E-2</v>
      </c>
      <c r="AU829" s="34">
        <v>8.3333333333333329E-2</v>
      </c>
      <c r="AV829" s="34">
        <v>8.5972850678733032E-2</v>
      </c>
      <c r="AW829" s="10"/>
      <c r="AX829" s="8"/>
    </row>
    <row r="830" spans="1:50">
      <c r="A830" s="7"/>
      <c r="B830" s="10"/>
      <c r="C830" s="45" t="s">
        <v>688</v>
      </c>
      <c r="D830" s="23" t="s">
        <v>21</v>
      </c>
      <c r="E830" s="68" t="s">
        <v>875</v>
      </c>
      <c r="F830" s="68" t="s">
        <v>875</v>
      </c>
      <c r="G830" s="68" t="s">
        <v>875</v>
      </c>
      <c r="H830" s="68" t="s">
        <v>875</v>
      </c>
      <c r="I830" s="25">
        <v>0.9</v>
      </c>
      <c r="J830" s="26">
        <v>1</v>
      </c>
      <c r="K830" s="26">
        <v>1</v>
      </c>
      <c r="L830" s="27">
        <v>1</v>
      </c>
      <c r="M830" s="26">
        <v>0.97787610619469023</v>
      </c>
      <c r="N830" s="28">
        <v>0.9</v>
      </c>
      <c r="O830" s="26">
        <v>0.96091568955890561</v>
      </c>
      <c r="P830" s="26">
        <v>0.9620396600566572</v>
      </c>
      <c r="Q830" s="26">
        <v>0.94621212121212117</v>
      </c>
      <c r="R830" s="26">
        <v>0.95314257153567417</v>
      </c>
      <c r="S830" s="28">
        <v>0.9</v>
      </c>
      <c r="T830" s="26">
        <v>0.93076493579006137</v>
      </c>
      <c r="U830" s="26">
        <v>0.95127478753541073</v>
      </c>
      <c r="V830" s="26">
        <v>0.93068181818181817</v>
      </c>
      <c r="W830" s="26">
        <v>0.93033862301636883</v>
      </c>
      <c r="X830" s="28">
        <v>0.92</v>
      </c>
      <c r="Y830" s="28">
        <v>0.88847117794486219</v>
      </c>
      <c r="Z830" s="28">
        <v>0.91339491916859128</v>
      </c>
      <c r="AA830" s="28">
        <v>0.90662650602409633</v>
      </c>
      <c r="AB830" s="28">
        <v>0.88947600176133856</v>
      </c>
      <c r="AC830" s="28">
        <v>0.92</v>
      </c>
      <c r="AD830" s="26">
        <v>0.99258760107816713</v>
      </c>
      <c r="AE830" s="26">
        <v>0.94079480940794813</v>
      </c>
      <c r="AF830" s="26">
        <v>0.97464342313787644</v>
      </c>
      <c r="AG830" s="26">
        <v>0.94929507791244128</v>
      </c>
      <c r="AH830" s="28">
        <v>0.92</v>
      </c>
      <c r="AI830" s="26">
        <v>0.94210729448089536</v>
      </c>
      <c r="AJ830" s="26">
        <v>0.95784276490695019</v>
      </c>
      <c r="AK830" s="26">
        <v>0.95709570957095713</v>
      </c>
      <c r="AL830" s="26">
        <v>0.94519588531407306</v>
      </c>
      <c r="AM830" s="25">
        <v>0.99</v>
      </c>
      <c r="AN830" s="30">
        <v>1</v>
      </c>
      <c r="AO830" s="30">
        <v>1</v>
      </c>
      <c r="AP830" s="30">
        <v>1</v>
      </c>
      <c r="AQ830" s="30">
        <v>1</v>
      </c>
      <c r="AR830" s="50">
        <v>8.1059522893420499E-2</v>
      </c>
      <c r="AS830" s="34">
        <v>0</v>
      </c>
      <c r="AT830" s="34">
        <v>5.8823529411764705E-2</v>
      </c>
      <c r="AU830" s="34">
        <v>0</v>
      </c>
      <c r="AV830" s="34">
        <v>3.6036036036036036E-2</v>
      </c>
      <c r="AW830" s="10"/>
      <c r="AX830" s="8"/>
    </row>
    <row r="831" spans="1:50">
      <c r="A831" s="7"/>
      <c r="B831" s="10"/>
      <c r="C831" s="45" t="s">
        <v>688</v>
      </c>
      <c r="D831" s="23" t="s">
        <v>21</v>
      </c>
      <c r="E831" s="68" t="s">
        <v>876</v>
      </c>
      <c r="F831" s="68" t="s">
        <v>876</v>
      </c>
      <c r="G831" s="68" t="s">
        <v>876</v>
      </c>
      <c r="H831" s="68" t="s">
        <v>876</v>
      </c>
      <c r="I831" s="25">
        <v>0.9</v>
      </c>
      <c r="J831" s="26">
        <v>0.97619047619047616</v>
      </c>
      <c r="K831" s="26">
        <v>0.88095238095238093</v>
      </c>
      <c r="L831" s="27">
        <v>1</v>
      </c>
      <c r="M831" s="26">
        <v>0.97297297297297303</v>
      </c>
      <c r="N831" s="28">
        <v>0.9</v>
      </c>
      <c r="O831" s="26">
        <v>0.96718828874305907</v>
      </c>
      <c r="P831" s="26">
        <v>0.96649746192893404</v>
      </c>
      <c r="Q831" s="26">
        <v>0.96844940361677567</v>
      </c>
      <c r="R831" s="26">
        <v>0.8946365855110423</v>
      </c>
      <c r="S831" s="28">
        <v>0.9</v>
      </c>
      <c r="T831" s="26">
        <v>0.92629984856133263</v>
      </c>
      <c r="U831" s="26">
        <v>0.93299492385786797</v>
      </c>
      <c r="V831" s="26">
        <v>0.94882647171989232</v>
      </c>
      <c r="W831" s="26">
        <v>0.92904339544020476</v>
      </c>
      <c r="X831" s="28">
        <v>0.92</v>
      </c>
      <c r="Y831" s="28">
        <v>0.91160809371671991</v>
      </c>
      <c r="Z831" s="28">
        <v>0.91041666666666665</v>
      </c>
      <c r="AA831" s="28">
        <v>0.93025447690857677</v>
      </c>
      <c r="AB831" s="28">
        <v>0.90706718519511864</v>
      </c>
      <c r="AC831" s="28">
        <v>0.92</v>
      </c>
      <c r="AD831" s="26">
        <v>0.9860248447204969</v>
      </c>
      <c r="AE831" s="26">
        <v>0.98373983739837401</v>
      </c>
      <c r="AF831" s="26">
        <v>0.97423049391553329</v>
      </c>
      <c r="AG831" s="26">
        <v>0.97469332560610455</v>
      </c>
      <c r="AH831" s="28">
        <v>0.92</v>
      </c>
      <c r="AI831" s="26">
        <v>0.94315068493150689</v>
      </c>
      <c r="AJ831" s="26">
        <v>0.94984646878198564</v>
      </c>
      <c r="AK831" s="26">
        <v>0.96694892105981967</v>
      </c>
      <c r="AL831" s="26">
        <v>0.9507149627065562</v>
      </c>
      <c r="AM831" s="25">
        <v>0.99</v>
      </c>
      <c r="AN831" s="30">
        <v>1</v>
      </c>
      <c r="AO831" s="30">
        <v>1</v>
      </c>
      <c r="AP831" s="30">
        <v>1</v>
      </c>
      <c r="AQ831" s="30">
        <v>1</v>
      </c>
      <c r="AR831" s="50">
        <v>8.1059522893420499E-2</v>
      </c>
      <c r="AS831" s="34">
        <v>0.23076923076923078</v>
      </c>
      <c r="AT831" s="34">
        <v>0</v>
      </c>
      <c r="AU831" s="34">
        <v>0</v>
      </c>
      <c r="AV831" s="34">
        <v>8.9285714285714288E-2</v>
      </c>
      <c r="AW831" s="10"/>
      <c r="AX831" s="8"/>
    </row>
    <row r="832" spans="1:50">
      <c r="A832" s="7"/>
      <c r="B832" s="10"/>
      <c r="C832" s="45" t="s">
        <v>688</v>
      </c>
      <c r="D832" s="23" t="s">
        <v>21</v>
      </c>
      <c r="E832" s="68" t="s">
        <v>877</v>
      </c>
      <c r="F832" s="68" t="s">
        <v>877</v>
      </c>
      <c r="G832" s="68" t="s">
        <v>877</v>
      </c>
      <c r="H832" s="68" t="s">
        <v>877</v>
      </c>
      <c r="I832" s="25">
        <v>0.9</v>
      </c>
      <c r="J832" s="26">
        <v>0.93023255813953487</v>
      </c>
      <c r="K832" s="26">
        <v>0.93023255813953487</v>
      </c>
      <c r="L832" s="27">
        <v>0.90909090909090906</v>
      </c>
      <c r="M832" s="26">
        <v>0.93255131964809379</v>
      </c>
      <c r="N832" s="28">
        <v>0.9</v>
      </c>
      <c r="O832" s="26">
        <v>0.94311111111111112</v>
      </c>
      <c r="P832" s="26">
        <v>0.95238095238095233</v>
      </c>
      <c r="Q832" s="26">
        <v>0.91425818882466281</v>
      </c>
      <c r="R832" s="26">
        <v>0.89023109243697474</v>
      </c>
      <c r="S832" s="28">
        <v>0.9</v>
      </c>
      <c r="T832" s="26">
        <v>0.91244444444444439</v>
      </c>
      <c r="U832" s="26">
        <v>0.92399267399267404</v>
      </c>
      <c r="V832" s="26">
        <v>0.9145793192035967</v>
      </c>
      <c r="W832" s="26">
        <v>0.90483193277310925</v>
      </c>
      <c r="X832" s="28">
        <v>0.92</v>
      </c>
      <c r="Y832" s="28">
        <v>0.87797619047619047</v>
      </c>
      <c r="Z832" s="28">
        <v>0.90079016681299384</v>
      </c>
      <c r="AA832" s="28">
        <v>0.8857368006304176</v>
      </c>
      <c r="AB832" s="28">
        <v>0.86962716694371878</v>
      </c>
      <c r="AC832" s="28">
        <v>0.92</v>
      </c>
      <c r="AD832" s="26">
        <v>0.97083775185577947</v>
      </c>
      <c r="AE832" s="26">
        <v>0.98700531600708796</v>
      </c>
      <c r="AF832" s="26">
        <v>0.94327097163548579</v>
      </c>
      <c r="AG832" s="26">
        <v>0.97719190680564072</v>
      </c>
      <c r="AH832" s="28">
        <v>0.92</v>
      </c>
      <c r="AI832" s="26">
        <v>0.93533558075390744</v>
      </c>
      <c r="AJ832" s="26">
        <v>0.94556390977443605</v>
      </c>
      <c r="AK832" s="26">
        <v>0.94481185860889394</v>
      </c>
      <c r="AL832" s="26">
        <v>0.93311997672473357</v>
      </c>
      <c r="AM832" s="25">
        <v>0.99</v>
      </c>
      <c r="AN832" s="30">
        <v>1</v>
      </c>
      <c r="AO832" s="30">
        <v>1</v>
      </c>
      <c r="AP832" s="30">
        <v>1</v>
      </c>
      <c r="AQ832" s="30">
        <v>1</v>
      </c>
      <c r="AR832" s="50">
        <v>8.1059522893420499E-2</v>
      </c>
      <c r="AS832" s="34">
        <v>0</v>
      </c>
      <c r="AT832" s="34">
        <v>0</v>
      </c>
      <c r="AU832" s="34">
        <v>0</v>
      </c>
      <c r="AV832" s="34">
        <v>2.5000000000000001E-2</v>
      </c>
      <c r="AW832" s="10"/>
      <c r="AX832" s="8"/>
    </row>
    <row r="833" spans="1:50">
      <c r="A833" s="7"/>
      <c r="B833" s="10"/>
      <c r="C833" s="45" t="s">
        <v>688</v>
      </c>
      <c r="D833" s="23" t="s">
        <v>21</v>
      </c>
      <c r="E833" s="68" t="s">
        <v>878</v>
      </c>
      <c r="F833" s="68" t="s">
        <v>878</v>
      </c>
      <c r="G833" s="68" t="s">
        <v>878</v>
      </c>
      <c r="H833" s="68" t="s">
        <v>878</v>
      </c>
      <c r="I833" s="25">
        <v>0.9</v>
      </c>
      <c r="J833" s="26">
        <v>0.956989247311828</v>
      </c>
      <c r="K833" s="26">
        <v>0.94791666666666663</v>
      </c>
      <c r="L833" s="27">
        <v>0.95833333333333337</v>
      </c>
      <c r="M833" s="26">
        <v>0.94825174825174829</v>
      </c>
      <c r="N833" s="28">
        <v>0.9</v>
      </c>
      <c r="O833" s="26">
        <v>0.90783047108870329</v>
      </c>
      <c r="P833" s="26">
        <v>0.95910724985020968</v>
      </c>
      <c r="Q833" s="26">
        <v>0.94896766653681341</v>
      </c>
      <c r="R833" s="26">
        <v>0.90749818098265234</v>
      </c>
      <c r="S833" s="28">
        <v>0.9</v>
      </c>
      <c r="T833" s="26">
        <v>0.9275248148731684</v>
      </c>
      <c r="U833" s="26">
        <v>0.94008388256440978</v>
      </c>
      <c r="V833" s="26">
        <v>0.93351512790546687</v>
      </c>
      <c r="W833" s="26">
        <v>0.92003982690613872</v>
      </c>
      <c r="X833" s="28">
        <v>0.92</v>
      </c>
      <c r="Y833" s="28">
        <v>0.91707798617966441</v>
      </c>
      <c r="Z833" s="28">
        <v>0.92849519743863396</v>
      </c>
      <c r="AA833" s="28">
        <v>0.94506517690875236</v>
      </c>
      <c r="AB833" s="28">
        <v>0.92411894273127748</v>
      </c>
      <c r="AC833" s="28">
        <v>0.92</v>
      </c>
      <c r="AD833" s="26">
        <v>0.99320163554854923</v>
      </c>
      <c r="AE833" s="26">
        <v>0.98487356584279928</v>
      </c>
      <c r="AF833" s="26">
        <v>0.98476330583723004</v>
      </c>
      <c r="AG833" s="26">
        <v>0.98753077489697461</v>
      </c>
      <c r="AH833" s="28">
        <v>0.92</v>
      </c>
      <c r="AI833" s="26">
        <v>0.96114130434782608</v>
      </c>
      <c r="AJ833" s="26">
        <v>0.97308298319327735</v>
      </c>
      <c r="AK833" s="26">
        <v>0.97766890737153922</v>
      </c>
      <c r="AL833" s="26">
        <v>0.96643561934273836</v>
      </c>
      <c r="AM833" s="25">
        <v>0.99</v>
      </c>
      <c r="AN833" s="30">
        <v>1</v>
      </c>
      <c r="AO833" s="30">
        <v>1</v>
      </c>
      <c r="AP833" s="30">
        <v>1</v>
      </c>
      <c r="AQ833" s="30">
        <v>1</v>
      </c>
      <c r="AR833" s="50">
        <v>8.1059522893420499E-2</v>
      </c>
      <c r="AS833" s="34">
        <v>5.7142857142857141E-2</v>
      </c>
      <c r="AT833" s="34">
        <v>0.16666666666666666</v>
      </c>
      <c r="AU833" s="34">
        <v>0</v>
      </c>
      <c r="AV833" s="34">
        <v>6.1728395061728392E-2</v>
      </c>
      <c r="AW833" s="10"/>
      <c r="AX833" s="8"/>
    </row>
    <row r="834" spans="1:50">
      <c r="A834" s="7"/>
      <c r="B834" s="10"/>
      <c r="C834" s="45" t="s">
        <v>688</v>
      </c>
      <c r="D834" s="23" t="s">
        <v>21</v>
      </c>
      <c r="E834" s="68" t="s">
        <v>879</v>
      </c>
      <c r="F834" s="68" t="s">
        <v>879</v>
      </c>
      <c r="G834" s="68" t="s">
        <v>879</v>
      </c>
      <c r="H834" s="68" t="s">
        <v>879</v>
      </c>
      <c r="I834" s="25">
        <v>0.9</v>
      </c>
      <c r="J834" s="26">
        <v>0.97916666666666663</v>
      </c>
      <c r="K834" s="26">
        <v>0.98148148148148151</v>
      </c>
      <c r="L834" s="27">
        <v>0.98076923076923073</v>
      </c>
      <c r="M834" s="26">
        <v>0.97455470737913485</v>
      </c>
      <c r="N834" s="28">
        <v>0.9</v>
      </c>
      <c r="O834" s="26">
        <v>0.92179426961014566</v>
      </c>
      <c r="P834" s="26">
        <v>0.93159990630124145</v>
      </c>
      <c r="Q834" s="26">
        <v>0.91951315272870038</v>
      </c>
      <c r="R834" s="26">
        <v>0.91288287776325505</v>
      </c>
      <c r="S834" s="28">
        <v>0.9</v>
      </c>
      <c r="T834" s="26">
        <v>0.87576326914044156</v>
      </c>
      <c r="U834" s="26">
        <v>0.92269852424455379</v>
      </c>
      <c r="V834" s="26">
        <v>0.87848449155869646</v>
      </c>
      <c r="W834" s="26">
        <v>0.87614366085128148</v>
      </c>
      <c r="X834" s="28">
        <v>0.92</v>
      </c>
      <c r="Y834" s="28">
        <v>0.9211822660098522</v>
      </c>
      <c r="Z834" s="28">
        <v>0.91152263374485598</v>
      </c>
      <c r="AA834" s="28">
        <v>0.93353941267387941</v>
      </c>
      <c r="AB834" s="28">
        <v>0.9220449601160261</v>
      </c>
      <c r="AC834" s="28">
        <v>0.92</v>
      </c>
      <c r="AD834" s="26">
        <v>1</v>
      </c>
      <c r="AE834" s="26">
        <v>0.9939393939393939</v>
      </c>
      <c r="AF834" s="26">
        <v>0.99447513812154698</v>
      </c>
      <c r="AG834" s="26">
        <v>0.99282786885245899</v>
      </c>
      <c r="AH834" s="28">
        <v>0.92</v>
      </c>
      <c r="AI834" s="26">
        <v>0.96465995479761657</v>
      </c>
      <c r="AJ834" s="26">
        <v>0.96972245584524808</v>
      </c>
      <c r="AK834" s="26">
        <v>0.97665911862044941</v>
      </c>
      <c r="AL834" s="26">
        <v>0.96703674592257816</v>
      </c>
      <c r="AM834" s="25">
        <v>0.99</v>
      </c>
      <c r="AN834" s="30">
        <v>1</v>
      </c>
      <c r="AO834" s="30">
        <v>1</v>
      </c>
      <c r="AP834" s="30">
        <v>1</v>
      </c>
      <c r="AQ834" s="30">
        <v>1</v>
      </c>
      <c r="AR834" s="50">
        <v>8.1059522893420499E-2</v>
      </c>
      <c r="AS834" s="34">
        <v>8.3333333333333329E-2</v>
      </c>
      <c r="AT834" s="34">
        <v>6.6666666666666666E-2</v>
      </c>
      <c r="AU834" s="34">
        <v>0.1111111111111111</v>
      </c>
      <c r="AV834" s="34">
        <v>9.7014925373134331E-2</v>
      </c>
      <c r="AW834" s="10"/>
      <c r="AX834" s="8"/>
    </row>
    <row r="835" spans="1:50">
      <c r="A835" s="7"/>
      <c r="B835" s="10"/>
      <c r="C835" s="45" t="s">
        <v>688</v>
      </c>
      <c r="D835" s="23" t="s">
        <v>21</v>
      </c>
      <c r="E835" s="68" t="s">
        <v>880</v>
      </c>
      <c r="F835" s="68" t="s">
        <v>880</v>
      </c>
      <c r="G835" s="68" t="s">
        <v>880</v>
      </c>
      <c r="H835" s="68" t="s">
        <v>880</v>
      </c>
      <c r="I835" s="25">
        <v>0.9</v>
      </c>
      <c r="J835" s="26">
        <v>1</v>
      </c>
      <c r="K835" s="26">
        <v>0.95833333333333337</v>
      </c>
      <c r="L835" s="27">
        <v>0.875</v>
      </c>
      <c r="M835" s="26">
        <v>0.949438202247191</v>
      </c>
      <c r="N835" s="28">
        <v>0.9</v>
      </c>
      <c r="O835" s="26">
        <v>0.99454446262956897</v>
      </c>
      <c r="P835" s="26">
        <v>0.99140111279716747</v>
      </c>
      <c r="Q835" s="26">
        <v>0.9883158742949234</v>
      </c>
      <c r="R835" s="26">
        <v>0.99232720747478498</v>
      </c>
      <c r="S835" s="28">
        <v>0.9</v>
      </c>
      <c r="T835" s="26">
        <v>0.94271685761047463</v>
      </c>
      <c r="U835" s="26">
        <v>0.96459281740010117</v>
      </c>
      <c r="V835" s="26">
        <v>0.95487510072522164</v>
      </c>
      <c r="W835" s="26">
        <v>0.95687148072520267</v>
      </c>
      <c r="X835" s="28">
        <v>0.92</v>
      </c>
      <c r="Y835" s="28">
        <v>0.93665158371040724</v>
      </c>
      <c r="Z835" s="28">
        <v>0.93650793650793651</v>
      </c>
      <c r="AA835" s="28">
        <v>0.9701986754966887</v>
      </c>
      <c r="AB835" s="28">
        <v>0.95894554883318928</v>
      </c>
      <c r="AC835" s="28">
        <v>0.92</v>
      </c>
      <c r="AD835" s="26">
        <v>0.99300699300699302</v>
      </c>
      <c r="AE835" s="26">
        <v>0.9850746268656716</v>
      </c>
      <c r="AF835" s="26">
        <v>0.98305084745762716</v>
      </c>
      <c r="AG835" s="26">
        <v>0.99090909090909096</v>
      </c>
      <c r="AH835" s="28">
        <v>0.92</v>
      </c>
      <c r="AI835" s="26">
        <v>0.96592015579357349</v>
      </c>
      <c r="AJ835" s="26">
        <v>0.98476454293628812</v>
      </c>
      <c r="AK835" s="26">
        <v>0.98311781609195403</v>
      </c>
      <c r="AL835" s="26">
        <v>0.98273342354533155</v>
      </c>
      <c r="AM835" s="25">
        <v>0.99</v>
      </c>
      <c r="AN835" s="30">
        <v>1</v>
      </c>
      <c r="AO835" s="30">
        <v>1</v>
      </c>
      <c r="AP835" s="30">
        <v>1</v>
      </c>
      <c r="AQ835" s="30">
        <v>1</v>
      </c>
      <c r="AR835" s="50">
        <v>8.1059522893420499E-2</v>
      </c>
      <c r="AS835" s="34">
        <v>0</v>
      </c>
      <c r="AT835" s="34">
        <v>0.14285714285714285</v>
      </c>
      <c r="AU835" s="34">
        <v>0.25</v>
      </c>
      <c r="AV835" s="34">
        <v>9.3023255813953487E-2</v>
      </c>
      <c r="AW835" s="10"/>
      <c r="AX835" s="8"/>
    </row>
    <row r="836" spans="1:50">
      <c r="A836" s="7"/>
      <c r="B836" s="10"/>
      <c r="C836" s="45" t="s">
        <v>688</v>
      </c>
      <c r="D836" s="23" t="s">
        <v>21</v>
      </c>
      <c r="E836" s="68" t="s">
        <v>881</v>
      </c>
      <c r="F836" s="68" t="s">
        <v>881</v>
      </c>
      <c r="G836" s="68" t="s">
        <v>881</v>
      </c>
      <c r="H836" s="68" t="s">
        <v>881</v>
      </c>
      <c r="I836" s="25">
        <v>0.9</v>
      </c>
      <c r="J836" s="26">
        <v>0.90697674418604646</v>
      </c>
      <c r="K836" s="26">
        <v>0.95652173913043481</v>
      </c>
      <c r="L836" s="27">
        <v>0.98076923076923073</v>
      </c>
      <c r="M836" s="26">
        <v>0.94707520891364905</v>
      </c>
      <c r="N836" s="28">
        <v>0.9</v>
      </c>
      <c r="O836" s="26">
        <v>0.97427745664739884</v>
      </c>
      <c r="P836" s="26">
        <v>0.97544771808203345</v>
      </c>
      <c r="Q836" s="26">
        <v>0.97447852760736198</v>
      </c>
      <c r="R836" s="26">
        <v>0.97374248655488771</v>
      </c>
      <c r="S836" s="28">
        <v>0.9</v>
      </c>
      <c r="T836" s="26">
        <v>0.93208092485549132</v>
      </c>
      <c r="U836" s="26">
        <v>0.92518775274407861</v>
      </c>
      <c r="V836" s="26">
        <v>0.92588957055214727</v>
      </c>
      <c r="W836" s="26">
        <v>0.93310836936271924</v>
      </c>
      <c r="X836" s="28">
        <v>0.92</v>
      </c>
      <c r="Y836" s="28">
        <v>0.92094861660079053</v>
      </c>
      <c r="Z836" s="28">
        <v>0.9285714285714286</v>
      </c>
      <c r="AA836" s="28">
        <v>0.9619834710743802</v>
      </c>
      <c r="AB836" s="28">
        <v>0.94098502929051853</v>
      </c>
      <c r="AC836" s="28">
        <v>0.92</v>
      </c>
      <c r="AD836" s="26">
        <v>0.99557522123893805</v>
      </c>
      <c r="AE836" s="26">
        <v>0.99798630688683043</v>
      </c>
      <c r="AF836" s="26">
        <v>0.99501661129568109</v>
      </c>
      <c r="AG836" s="26">
        <v>0.99618381300683734</v>
      </c>
      <c r="AH836" s="28">
        <v>0.92</v>
      </c>
      <c r="AI836" s="26">
        <v>0.97528996469994955</v>
      </c>
      <c r="AJ836" s="26">
        <v>0.97950181629475874</v>
      </c>
      <c r="AK836" s="26">
        <v>0.98355052339243754</v>
      </c>
      <c r="AL836" s="26">
        <v>0.97873498895913369</v>
      </c>
      <c r="AM836" s="25">
        <v>0.99</v>
      </c>
      <c r="AN836" s="30">
        <v>1</v>
      </c>
      <c r="AO836" s="30">
        <v>1</v>
      </c>
      <c r="AP836" s="30">
        <v>1</v>
      </c>
      <c r="AQ836" s="30">
        <v>1</v>
      </c>
      <c r="AR836" s="50">
        <v>8.1059522893420499E-2</v>
      </c>
      <c r="AS836" s="34">
        <v>0</v>
      </c>
      <c r="AT836" s="34">
        <v>0.14285714285714285</v>
      </c>
      <c r="AU836" s="34">
        <v>0.2</v>
      </c>
      <c r="AV836" s="34">
        <v>4.9586776859504134E-2</v>
      </c>
      <c r="AW836" s="10"/>
      <c r="AX836" s="8"/>
    </row>
    <row r="837" spans="1:50">
      <c r="A837" s="7"/>
      <c r="B837" s="10"/>
      <c r="C837" s="45" t="s">
        <v>688</v>
      </c>
      <c r="D837" s="23" t="s">
        <v>21</v>
      </c>
      <c r="E837" s="68" t="s">
        <v>882</v>
      </c>
      <c r="F837" s="68" t="s">
        <v>882</v>
      </c>
      <c r="G837" s="68" t="s">
        <v>882</v>
      </c>
      <c r="H837" s="68" t="s">
        <v>882</v>
      </c>
      <c r="I837" s="25">
        <v>0.9</v>
      </c>
      <c r="J837" s="26">
        <v>0.90384615384615385</v>
      </c>
      <c r="K837" s="26">
        <v>0.8545454545454545</v>
      </c>
      <c r="L837" s="27">
        <v>0.86206896551724133</v>
      </c>
      <c r="M837" s="26">
        <v>0.86157517899761338</v>
      </c>
      <c r="N837" s="28">
        <v>0.9</v>
      </c>
      <c r="O837" s="26">
        <v>0.92384578772013326</v>
      </c>
      <c r="P837" s="26">
        <v>0.91104665216340341</v>
      </c>
      <c r="Q837" s="26">
        <v>0.8887601390498262</v>
      </c>
      <c r="R837" s="26">
        <v>0.89947524259036671</v>
      </c>
      <c r="S837" s="28">
        <v>0.9</v>
      </c>
      <c r="T837" s="26">
        <v>0.90171346977629696</v>
      </c>
      <c r="U837" s="26">
        <v>0.86463620981387479</v>
      </c>
      <c r="V837" s="26">
        <v>0.86655079181151029</v>
      </c>
      <c r="W837" s="26">
        <v>0.88103544311219251</v>
      </c>
      <c r="X837" s="28">
        <v>0.92</v>
      </c>
      <c r="Y837" s="28">
        <v>0.88688524590163931</v>
      </c>
      <c r="Z837" s="28">
        <v>0.87694974003466208</v>
      </c>
      <c r="AA837" s="28">
        <v>0.88132911392405067</v>
      </c>
      <c r="AB837" s="28">
        <v>0.88679583781844273</v>
      </c>
      <c r="AC837" s="28">
        <v>0.92</v>
      </c>
      <c r="AD837" s="26">
        <v>0.98021415270018619</v>
      </c>
      <c r="AE837" s="26">
        <v>0.9963428571428572</v>
      </c>
      <c r="AF837" s="26">
        <v>0.98613776924717422</v>
      </c>
      <c r="AG837" s="26">
        <v>0.98826674072274101</v>
      </c>
      <c r="AH837" s="28">
        <v>0.92</v>
      </c>
      <c r="AI837" s="26">
        <v>0.95864505403158773</v>
      </c>
      <c r="AJ837" s="26">
        <v>0.96054306321595251</v>
      </c>
      <c r="AK837" s="26">
        <v>0.96540447504302929</v>
      </c>
      <c r="AL837" s="26">
        <v>0.96379075744595066</v>
      </c>
      <c r="AM837" s="25">
        <v>0.99</v>
      </c>
      <c r="AN837" s="30">
        <v>1</v>
      </c>
      <c r="AO837" s="30">
        <v>1</v>
      </c>
      <c r="AP837" s="30">
        <v>1</v>
      </c>
      <c r="AQ837" s="30">
        <v>1</v>
      </c>
      <c r="AR837" s="50">
        <v>8.1059522893420499E-2</v>
      </c>
      <c r="AS837" s="34">
        <v>0.1111111111111111</v>
      </c>
      <c r="AT837" s="34">
        <v>0</v>
      </c>
      <c r="AU837" s="34">
        <v>0.27272727272727271</v>
      </c>
      <c r="AV837" s="34">
        <v>7.9545454545454544E-2</v>
      </c>
      <c r="AW837" s="10"/>
      <c r="AX837" s="8"/>
    </row>
    <row r="838" spans="1:50">
      <c r="A838" s="7"/>
      <c r="B838" s="10"/>
      <c r="C838" s="45" t="s">
        <v>688</v>
      </c>
      <c r="D838" s="23" t="s">
        <v>21</v>
      </c>
      <c r="E838" s="68" t="s">
        <v>883</v>
      </c>
      <c r="F838" s="68" t="s">
        <v>883</v>
      </c>
      <c r="G838" s="68" t="s">
        <v>883</v>
      </c>
      <c r="H838" s="68" t="s">
        <v>883</v>
      </c>
      <c r="I838" s="25">
        <v>0.9</v>
      </c>
      <c r="J838" s="26">
        <v>0.76</v>
      </c>
      <c r="K838" s="26">
        <v>0.78</v>
      </c>
      <c r="L838" s="27">
        <v>0.8392857142857143</v>
      </c>
      <c r="M838" s="26">
        <v>0.81499999999999995</v>
      </c>
      <c r="N838" s="28">
        <v>0.9</v>
      </c>
      <c r="O838" s="26">
        <v>0.96508456082924166</v>
      </c>
      <c r="P838" s="26">
        <v>0.93942642723130532</v>
      </c>
      <c r="Q838" s="26">
        <v>0.94837725985624044</v>
      </c>
      <c r="R838" s="26">
        <v>0.95552814386807761</v>
      </c>
      <c r="S838" s="28">
        <v>0.9</v>
      </c>
      <c r="T838" s="26">
        <v>0.91434806328423346</v>
      </c>
      <c r="U838" s="26">
        <v>0.91369606003752346</v>
      </c>
      <c r="V838" s="26">
        <v>0.91178392507079065</v>
      </c>
      <c r="W838" s="26">
        <v>0.91582808543790173</v>
      </c>
      <c r="X838" s="28">
        <v>0.92</v>
      </c>
      <c r="Y838" s="28">
        <v>0.87800369685767099</v>
      </c>
      <c r="Z838" s="28">
        <v>0.88666666666666671</v>
      </c>
      <c r="AA838" s="28">
        <v>0.91256830601092898</v>
      </c>
      <c r="AB838" s="28">
        <v>0.91248206599713055</v>
      </c>
      <c r="AC838" s="28">
        <v>0.92</v>
      </c>
      <c r="AD838" s="26">
        <v>0.99632352941176472</v>
      </c>
      <c r="AE838" s="26">
        <v>1</v>
      </c>
      <c r="AF838" s="26">
        <v>1</v>
      </c>
      <c r="AG838" s="26">
        <v>0.99650731281379612</v>
      </c>
      <c r="AH838" s="28">
        <v>0.92</v>
      </c>
      <c r="AI838" s="26">
        <v>0.94272813688212931</v>
      </c>
      <c r="AJ838" s="26">
        <v>0.95216455393446542</v>
      </c>
      <c r="AK838" s="26">
        <v>0.96654998055231423</v>
      </c>
      <c r="AL838" s="26">
        <v>0.96080024657457475</v>
      </c>
      <c r="AM838" s="25">
        <v>0.99</v>
      </c>
      <c r="AN838" s="30">
        <v>1</v>
      </c>
      <c r="AO838" s="30">
        <v>1</v>
      </c>
      <c r="AP838" s="30">
        <v>1</v>
      </c>
      <c r="AQ838" s="30">
        <v>1</v>
      </c>
      <c r="AR838" s="50">
        <v>8.1059522893420499E-2</v>
      </c>
      <c r="AS838" s="34">
        <v>0</v>
      </c>
      <c r="AT838" s="34">
        <v>0.125</v>
      </c>
      <c r="AU838" s="34">
        <v>6.25E-2</v>
      </c>
      <c r="AV838" s="34">
        <v>3.7037037037037035E-2</v>
      </c>
      <c r="AW838" s="10"/>
      <c r="AX838" s="8"/>
    </row>
    <row r="839" spans="1:50">
      <c r="A839" s="7"/>
      <c r="B839" s="10"/>
      <c r="C839" s="45" t="s">
        <v>688</v>
      </c>
      <c r="D839" s="23" t="s">
        <v>21</v>
      </c>
      <c r="E839" s="68" t="s">
        <v>884</v>
      </c>
      <c r="F839" s="68" t="s">
        <v>884</v>
      </c>
      <c r="G839" s="68" t="s">
        <v>884</v>
      </c>
      <c r="H839" s="68" t="s">
        <v>884</v>
      </c>
      <c r="I839" s="25">
        <v>0.9</v>
      </c>
      <c r="J839" s="26">
        <v>0.9821428571428571</v>
      </c>
      <c r="K839" s="26">
        <v>0.96296296296296291</v>
      </c>
      <c r="L839" s="27">
        <v>1</v>
      </c>
      <c r="M839" s="26">
        <v>0.97906976744186047</v>
      </c>
      <c r="N839" s="28">
        <v>0.9</v>
      </c>
      <c r="O839" s="26">
        <v>0.9802839116719243</v>
      </c>
      <c r="P839" s="26">
        <v>0.98426795229637143</v>
      </c>
      <c r="Q839" s="26">
        <v>0.98165731549417345</v>
      </c>
      <c r="R839" s="26">
        <v>0.97817541432120503</v>
      </c>
      <c r="S839" s="28">
        <v>0.9</v>
      </c>
      <c r="T839" s="26">
        <v>0.92770767613038907</v>
      </c>
      <c r="U839" s="26">
        <v>0.92311596041613808</v>
      </c>
      <c r="V839" s="26">
        <v>0.93137678031937854</v>
      </c>
      <c r="W839" s="26">
        <v>0.92131828044907071</v>
      </c>
      <c r="X839" s="28">
        <v>0.92</v>
      </c>
      <c r="Y839" s="28">
        <v>0.94951456310679616</v>
      </c>
      <c r="Z839" s="28">
        <v>0.91235955056179774</v>
      </c>
      <c r="AA839" s="28">
        <v>0.91351351351351351</v>
      </c>
      <c r="AB839" s="28">
        <v>0.92092840283241539</v>
      </c>
      <c r="AC839" s="28">
        <v>0.92</v>
      </c>
      <c r="AD839" s="26">
        <v>1</v>
      </c>
      <c r="AE839" s="26">
        <v>0.98795180722891562</v>
      </c>
      <c r="AF839" s="26">
        <v>0.99685534591194969</v>
      </c>
      <c r="AG839" s="26">
        <v>0.99056603773584906</v>
      </c>
      <c r="AH839" s="28">
        <v>0.92</v>
      </c>
      <c r="AI839" s="26">
        <v>0.96712201898587635</v>
      </c>
      <c r="AJ839" s="26">
        <v>0.97058823529411764</v>
      </c>
      <c r="AK839" s="26">
        <v>0.97186355752553477</v>
      </c>
      <c r="AL839" s="26">
        <v>0.97012335637793146</v>
      </c>
      <c r="AM839" s="25">
        <v>0.99</v>
      </c>
      <c r="AN839" s="30">
        <v>1</v>
      </c>
      <c r="AO839" s="30">
        <v>1</v>
      </c>
      <c r="AP839" s="30">
        <v>1</v>
      </c>
      <c r="AQ839" s="30">
        <v>1</v>
      </c>
      <c r="AR839" s="50">
        <v>8.1059522893420499E-2</v>
      </c>
      <c r="AS839" s="34">
        <v>0</v>
      </c>
      <c r="AT839" s="34">
        <v>0</v>
      </c>
      <c r="AU839" s="34">
        <v>0</v>
      </c>
      <c r="AV839" s="34">
        <v>1.8867924528301886E-2</v>
      </c>
      <c r="AW839" s="10"/>
      <c r="AX839" s="8"/>
    </row>
    <row r="840" spans="1:50">
      <c r="A840" s="7"/>
      <c r="B840" s="10"/>
      <c r="C840" s="45" t="s">
        <v>688</v>
      </c>
      <c r="D840" s="23" t="s">
        <v>21</v>
      </c>
      <c r="E840" s="68" t="s">
        <v>885</v>
      </c>
      <c r="F840" s="68" t="s">
        <v>885</v>
      </c>
      <c r="G840" s="68" t="s">
        <v>885</v>
      </c>
      <c r="H840" s="68" t="s">
        <v>885</v>
      </c>
      <c r="I840" s="25">
        <v>0.9</v>
      </c>
      <c r="J840" s="26">
        <v>0.87096774193548387</v>
      </c>
      <c r="K840" s="26">
        <v>0.93939393939393945</v>
      </c>
      <c r="L840" s="27">
        <v>1</v>
      </c>
      <c r="M840" s="26">
        <v>0.94841269841269837</v>
      </c>
      <c r="N840" s="28">
        <v>0.9</v>
      </c>
      <c r="O840" s="26">
        <v>0.97347294938917972</v>
      </c>
      <c r="P840" s="26">
        <v>0.97352629721143669</v>
      </c>
      <c r="Q840" s="26">
        <v>0.92645348837209307</v>
      </c>
      <c r="R840" s="26">
        <v>0.95720934435859206</v>
      </c>
      <c r="S840" s="28">
        <v>0.9</v>
      </c>
      <c r="T840" s="26">
        <v>0.94694589877835955</v>
      </c>
      <c r="U840" s="26">
        <v>0.96576067772679142</v>
      </c>
      <c r="V840" s="26">
        <v>0.95029069767441865</v>
      </c>
      <c r="W840" s="26">
        <v>0.95815823957344903</v>
      </c>
      <c r="X840" s="28">
        <v>0.92</v>
      </c>
      <c r="Y840" s="28">
        <v>0.91020408163265309</v>
      </c>
      <c r="Z840" s="28">
        <v>0.95053763440860217</v>
      </c>
      <c r="AA840" s="28">
        <v>0.9408163265306122</v>
      </c>
      <c r="AB840" s="28">
        <v>0.9369680239245457</v>
      </c>
      <c r="AC840" s="28">
        <v>0.92</v>
      </c>
      <c r="AD840" s="26">
        <v>0.99937185929648242</v>
      </c>
      <c r="AE840" s="26">
        <v>0.99383647798742136</v>
      </c>
      <c r="AF840" s="26">
        <v>0.99337671392052052</v>
      </c>
      <c r="AG840" s="26">
        <v>0.99145172740179843</v>
      </c>
      <c r="AH840" s="28">
        <v>0.92</v>
      </c>
      <c r="AI840" s="26">
        <v>0.96454112038140649</v>
      </c>
      <c r="AJ840" s="26">
        <v>0.98392965433596113</v>
      </c>
      <c r="AK840" s="26">
        <v>0.97888040712468194</v>
      </c>
      <c r="AL840" s="26">
        <v>0.97772239842924025</v>
      </c>
      <c r="AM840" s="25">
        <v>0.99</v>
      </c>
      <c r="AN840" s="30">
        <v>1</v>
      </c>
      <c r="AO840" s="30">
        <v>1</v>
      </c>
      <c r="AP840" s="30">
        <v>1</v>
      </c>
      <c r="AQ840" s="30">
        <v>1</v>
      </c>
      <c r="AR840" s="50">
        <v>8.1059522893420499E-2</v>
      </c>
      <c r="AS840" s="34">
        <v>0</v>
      </c>
      <c r="AT840" s="34">
        <v>0.22222222222222221</v>
      </c>
      <c r="AU840" s="34">
        <v>0</v>
      </c>
      <c r="AV840" s="34">
        <v>5.7471264367816091E-2</v>
      </c>
      <c r="AW840" s="10"/>
      <c r="AX840" s="8"/>
    </row>
    <row r="841" spans="1:50">
      <c r="A841" s="7"/>
      <c r="B841" s="10"/>
      <c r="C841" s="45" t="s">
        <v>688</v>
      </c>
      <c r="D841" s="23" t="s">
        <v>21</v>
      </c>
      <c r="E841" s="68" t="s">
        <v>886</v>
      </c>
      <c r="F841" s="68" t="s">
        <v>886</v>
      </c>
      <c r="G841" s="68" t="s">
        <v>886</v>
      </c>
      <c r="H841" s="68" t="s">
        <v>886</v>
      </c>
      <c r="I841" s="25">
        <v>0.9</v>
      </c>
      <c r="J841" s="26">
        <v>0.82608695652173914</v>
      </c>
      <c r="K841" s="26">
        <v>0.92</v>
      </c>
      <c r="L841" s="27">
        <v>1</v>
      </c>
      <c r="M841" s="26">
        <v>0.95287958115183247</v>
      </c>
      <c r="N841" s="28">
        <v>0.9</v>
      </c>
      <c r="O841" s="26">
        <v>0.96937212863705968</v>
      </c>
      <c r="P841" s="26">
        <v>0.97978723404255319</v>
      </c>
      <c r="Q841" s="26">
        <v>0.92333756882676832</v>
      </c>
      <c r="R841" s="26">
        <v>0.95804952574957036</v>
      </c>
      <c r="S841" s="28">
        <v>0.9</v>
      </c>
      <c r="T841" s="26">
        <v>0.90811638591117916</v>
      </c>
      <c r="U841" s="26">
        <v>0.96223404255319145</v>
      </c>
      <c r="V841" s="26">
        <v>0.88860652265988993</v>
      </c>
      <c r="W841" s="26">
        <v>0.92972181551976574</v>
      </c>
      <c r="X841" s="28">
        <v>0.92</v>
      </c>
      <c r="Y841" s="28">
        <v>0.94078947368421051</v>
      </c>
      <c r="Z841" s="28">
        <v>0.9508771929824561</v>
      </c>
      <c r="AA841" s="28">
        <v>0.9625850340136054</v>
      </c>
      <c r="AB841" s="28">
        <v>0.94885745375408048</v>
      </c>
      <c r="AC841" s="28">
        <v>0.92</v>
      </c>
      <c r="AD841" s="26">
        <v>0.9985528219971056</v>
      </c>
      <c r="AE841" s="26">
        <v>0.99502487562189057</v>
      </c>
      <c r="AF841" s="26">
        <v>0.99639639639639643</v>
      </c>
      <c r="AG841" s="26">
        <v>0.99615072933549431</v>
      </c>
      <c r="AH841" s="28">
        <v>0.92</v>
      </c>
      <c r="AI841" s="26">
        <v>0.97304463102076888</v>
      </c>
      <c r="AJ841" s="26">
        <v>0.98198614318706701</v>
      </c>
      <c r="AK841" s="26">
        <v>0.98380414312617703</v>
      </c>
      <c r="AL841" s="26">
        <v>0.98213028645692313</v>
      </c>
      <c r="AM841" s="25">
        <v>0.99</v>
      </c>
      <c r="AN841" s="30">
        <v>1</v>
      </c>
      <c r="AO841" s="30">
        <v>1</v>
      </c>
      <c r="AP841" s="30">
        <v>1</v>
      </c>
      <c r="AQ841" s="30">
        <v>1</v>
      </c>
      <c r="AR841" s="50">
        <v>8.1059522893420499E-2</v>
      </c>
      <c r="AS841" s="34">
        <v>0</v>
      </c>
      <c r="AT841" s="34">
        <v>0</v>
      </c>
      <c r="AU841" s="34">
        <v>0</v>
      </c>
      <c r="AV841" s="34">
        <v>-3.7735849056603772E-2</v>
      </c>
      <c r="AW841" s="10"/>
      <c r="AX841" s="8"/>
    </row>
    <row r="842" spans="1:50">
      <c r="A842" s="7"/>
      <c r="B842" s="10"/>
      <c r="C842" s="45" t="s">
        <v>688</v>
      </c>
      <c r="D842" s="23" t="s">
        <v>21</v>
      </c>
      <c r="E842" s="68" t="s">
        <v>887</v>
      </c>
      <c r="F842" s="68" t="s">
        <v>887</v>
      </c>
      <c r="G842" s="68" t="s">
        <v>887</v>
      </c>
      <c r="H842" s="68" t="s">
        <v>887</v>
      </c>
      <c r="I842" s="25">
        <v>0.9</v>
      </c>
      <c r="J842" s="26">
        <v>0.94736842105263153</v>
      </c>
      <c r="K842" s="26">
        <v>1</v>
      </c>
      <c r="L842" s="27">
        <v>1</v>
      </c>
      <c r="M842" s="26">
        <v>0.97560975609756095</v>
      </c>
      <c r="N842" s="28">
        <v>0.9</v>
      </c>
      <c r="O842" s="26">
        <v>0.96592946802151824</v>
      </c>
      <c r="P842" s="26">
        <v>0.96445880452342492</v>
      </c>
      <c r="Q842" s="26">
        <v>0.95793036750483562</v>
      </c>
      <c r="R842" s="26">
        <v>0.96486933986034118</v>
      </c>
      <c r="S842" s="28">
        <v>0.9</v>
      </c>
      <c r="T842" s="26">
        <v>0.92408846383741783</v>
      </c>
      <c r="U842" s="26">
        <v>0.9450726978998385</v>
      </c>
      <c r="V842" s="26">
        <v>0.94390715667311409</v>
      </c>
      <c r="W842" s="26">
        <v>0.93211431862356919</v>
      </c>
      <c r="X842" s="28">
        <v>0.92</v>
      </c>
      <c r="Y842" s="28">
        <v>0.94017094017094016</v>
      </c>
      <c r="Z842" s="28">
        <v>0.9538461538461539</v>
      </c>
      <c r="AA842" s="28">
        <v>0.95287958115183247</v>
      </c>
      <c r="AB842" s="28">
        <v>0.9413870246085011</v>
      </c>
      <c r="AC842" s="28">
        <v>0.92</v>
      </c>
      <c r="AD842" s="26">
        <v>0.99636363636363634</v>
      </c>
      <c r="AE842" s="26">
        <v>1</v>
      </c>
      <c r="AF842" s="26">
        <v>0.99784017278617709</v>
      </c>
      <c r="AG842" s="26">
        <v>0.99758129535071216</v>
      </c>
      <c r="AH842" s="28">
        <v>0.92</v>
      </c>
      <c r="AI842" s="26">
        <v>0.96696381751442051</v>
      </c>
      <c r="AJ842" s="26">
        <v>0.97563352826510719</v>
      </c>
      <c r="AK842" s="26">
        <v>0.97919433377600706</v>
      </c>
      <c r="AL842" s="26">
        <v>0.97135061391541611</v>
      </c>
      <c r="AM842" s="25">
        <v>0.99</v>
      </c>
      <c r="AN842" s="30">
        <v>1</v>
      </c>
      <c r="AO842" s="30">
        <v>1</v>
      </c>
      <c r="AP842" s="30">
        <v>1</v>
      </c>
      <c r="AQ842" s="30">
        <v>1</v>
      </c>
      <c r="AR842" s="50">
        <v>8.1059522893420499E-2</v>
      </c>
      <c r="AS842" s="34">
        <v>0</v>
      </c>
      <c r="AT842" s="34">
        <v>0</v>
      </c>
      <c r="AU842" s="34">
        <v>0.16666666666666666</v>
      </c>
      <c r="AV842" s="34">
        <v>4.1666666666666664E-2</v>
      </c>
      <c r="AW842" s="10"/>
      <c r="AX842" s="8"/>
    </row>
    <row r="843" spans="1:50">
      <c r="A843" s="7"/>
      <c r="B843" s="10"/>
      <c r="C843" s="45" t="s">
        <v>688</v>
      </c>
      <c r="D843" s="23" t="s">
        <v>21</v>
      </c>
      <c r="E843" s="68" t="s">
        <v>888</v>
      </c>
      <c r="F843" s="68" t="s">
        <v>888</v>
      </c>
      <c r="G843" s="68" t="s">
        <v>888</v>
      </c>
      <c r="H843" s="68" t="s">
        <v>888</v>
      </c>
      <c r="I843" s="25">
        <v>0.9</v>
      </c>
      <c r="J843" s="26">
        <v>0.93333333333333335</v>
      </c>
      <c r="K843" s="26">
        <v>0.82352941176470584</v>
      </c>
      <c r="L843" s="27">
        <v>0.83333333333333337</v>
      </c>
      <c r="M843" s="26">
        <v>0.8294573643410853</v>
      </c>
      <c r="N843" s="28">
        <v>0.9</v>
      </c>
      <c r="O843" s="26">
        <v>0.86331500392772975</v>
      </c>
      <c r="P843" s="26">
        <v>0.88437500000000002</v>
      </c>
      <c r="Q843" s="26">
        <v>0.94736842105263153</v>
      </c>
      <c r="R843" s="26">
        <v>0.93778960859706206</v>
      </c>
      <c r="S843" s="28">
        <v>0.9</v>
      </c>
      <c r="T843" s="26">
        <v>0.6802827965435978</v>
      </c>
      <c r="U843" s="26">
        <v>0.73281249999999998</v>
      </c>
      <c r="V843" s="26">
        <v>0.74013157894736847</v>
      </c>
      <c r="W843" s="26">
        <v>0.71694764862466731</v>
      </c>
      <c r="X843" s="28">
        <v>0.92</v>
      </c>
      <c r="Y843" s="28">
        <v>0.7134831460674157</v>
      </c>
      <c r="Z843" s="28">
        <v>0.77272727272727271</v>
      </c>
      <c r="AA843" s="28">
        <v>0.63855421686746983</v>
      </c>
      <c r="AB843" s="28">
        <v>0.71872974724562544</v>
      </c>
      <c r="AC843" s="28">
        <v>0.92</v>
      </c>
      <c r="AD843" s="26">
        <v>0.95744680851063835</v>
      </c>
      <c r="AE843" s="26">
        <v>0.97674418604651159</v>
      </c>
      <c r="AF843" s="26">
        <v>1</v>
      </c>
      <c r="AG843" s="26">
        <v>0.96601941747572817</v>
      </c>
      <c r="AH843" s="28">
        <v>0.92</v>
      </c>
      <c r="AI843" s="26">
        <v>0.91592005513439012</v>
      </c>
      <c r="AJ843" s="26">
        <v>0.93696883852691215</v>
      </c>
      <c r="AK843" s="26">
        <v>0.93297746144721239</v>
      </c>
      <c r="AL843" s="26">
        <v>0.93453705288379252</v>
      </c>
      <c r="AM843" s="25">
        <v>0.99</v>
      </c>
      <c r="AN843" s="30">
        <v>1</v>
      </c>
      <c r="AO843" s="30">
        <v>1</v>
      </c>
      <c r="AP843" s="30">
        <v>1</v>
      </c>
      <c r="AQ843" s="30">
        <v>1</v>
      </c>
      <c r="AR843" s="50">
        <v>8.1059522893420499E-2</v>
      </c>
      <c r="AS843" s="34">
        <v>0</v>
      </c>
      <c r="AT843" s="34">
        <v>0</v>
      </c>
      <c r="AU843" s="34">
        <v>0</v>
      </c>
      <c r="AV843" s="34">
        <v>3.6363636363636362E-2</v>
      </c>
      <c r="AW843" s="10"/>
      <c r="AX843" s="8"/>
    </row>
    <row r="844" spans="1:50">
      <c r="A844" s="7"/>
      <c r="B844" s="10"/>
      <c r="C844" s="45" t="s">
        <v>688</v>
      </c>
      <c r="D844" s="23" t="s">
        <v>21</v>
      </c>
      <c r="E844" s="68" t="s">
        <v>889</v>
      </c>
      <c r="F844" s="68" t="s">
        <v>889</v>
      </c>
      <c r="G844" s="68" t="s">
        <v>889</v>
      </c>
      <c r="H844" s="68" t="s">
        <v>889</v>
      </c>
      <c r="I844" s="25">
        <v>0.9</v>
      </c>
      <c r="J844" s="26">
        <v>0.96666666666666667</v>
      </c>
      <c r="K844" s="26">
        <v>1</v>
      </c>
      <c r="L844" s="27">
        <v>0.86206896551724133</v>
      </c>
      <c r="M844" s="26">
        <v>0.91555555555555557</v>
      </c>
      <c r="N844" s="28">
        <v>0.9</v>
      </c>
      <c r="O844" s="26">
        <v>0.95780590717299574</v>
      </c>
      <c r="P844" s="26">
        <v>0.96268325188804971</v>
      </c>
      <c r="Q844" s="26">
        <v>0.95837897042716325</v>
      </c>
      <c r="R844" s="26">
        <v>0.95619634602685455</v>
      </c>
      <c r="S844" s="28">
        <v>0.9</v>
      </c>
      <c r="T844" s="26">
        <v>0.93952180028129395</v>
      </c>
      <c r="U844" s="26">
        <v>0.92314526876943581</v>
      </c>
      <c r="V844" s="26">
        <v>0.92405987586710481</v>
      </c>
      <c r="W844" s="26">
        <v>0.91888619854721554</v>
      </c>
      <c r="X844" s="28">
        <v>0.92</v>
      </c>
      <c r="Y844" s="28">
        <v>0.80250783699059558</v>
      </c>
      <c r="Z844" s="28">
        <v>0.78210116731517509</v>
      </c>
      <c r="AA844" s="28">
        <v>0.77562326869806097</v>
      </c>
      <c r="AB844" s="28">
        <v>0.81851604278074863</v>
      </c>
      <c r="AC844" s="28">
        <v>0.92</v>
      </c>
      <c r="AD844" s="26">
        <v>0.99552572706935127</v>
      </c>
      <c r="AE844" s="26">
        <v>0.98717948717948723</v>
      </c>
      <c r="AF844" s="26">
        <v>0.99056603773584906</v>
      </c>
      <c r="AG844" s="26">
        <v>0.98955916473317862</v>
      </c>
      <c r="AH844" s="28">
        <v>0.92</v>
      </c>
      <c r="AI844" s="26">
        <v>0.94412724306688423</v>
      </c>
      <c r="AJ844" s="26">
        <v>0.94617224880382778</v>
      </c>
      <c r="AK844" s="26">
        <v>0.95709677419354844</v>
      </c>
      <c r="AL844" s="26">
        <v>0.95081270081270086</v>
      </c>
      <c r="AM844" s="25">
        <v>0.99</v>
      </c>
      <c r="AN844" s="30">
        <v>1</v>
      </c>
      <c r="AO844" s="30">
        <v>1</v>
      </c>
      <c r="AP844" s="30">
        <v>1</v>
      </c>
      <c r="AQ844" s="30">
        <v>1</v>
      </c>
      <c r="AR844" s="50">
        <v>8.1059522893420499E-2</v>
      </c>
      <c r="AS844" s="34">
        <v>0.14285714285714285</v>
      </c>
      <c r="AT844" s="34">
        <v>0.1</v>
      </c>
      <c r="AU844" s="34">
        <v>0</v>
      </c>
      <c r="AV844" s="34">
        <v>9.2307692307692313E-2</v>
      </c>
      <c r="AW844" s="10"/>
      <c r="AX844" s="8"/>
    </row>
    <row r="845" spans="1:50">
      <c r="A845" s="7"/>
      <c r="B845" s="10"/>
      <c r="C845" s="45" t="s">
        <v>688</v>
      </c>
      <c r="D845" s="23" t="s">
        <v>21</v>
      </c>
      <c r="E845" s="68" t="s">
        <v>890</v>
      </c>
      <c r="F845" s="68" t="s">
        <v>890</v>
      </c>
      <c r="G845" s="68" t="s">
        <v>890</v>
      </c>
      <c r="H845" s="68" t="s">
        <v>890</v>
      </c>
      <c r="I845" s="25">
        <v>0.9</v>
      </c>
      <c r="J845" s="26">
        <v>0.91304347826086951</v>
      </c>
      <c r="K845" s="26">
        <v>0.93333333333333335</v>
      </c>
      <c r="L845" s="27">
        <v>0.93877551020408168</v>
      </c>
      <c r="M845" s="26">
        <v>0.87603305785123964</v>
      </c>
      <c r="N845" s="28">
        <v>0.9</v>
      </c>
      <c r="O845" s="26">
        <v>0.94819518716577544</v>
      </c>
      <c r="P845" s="26">
        <v>0.93536240978977092</v>
      </c>
      <c r="Q845" s="26">
        <v>0.96666666666666667</v>
      </c>
      <c r="R845" s="26">
        <v>0.94962546074273713</v>
      </c>
      <c r="S845" s="28">
        <v>0.9</v>
      </c>
      <c r="T845" s="26">
        <v>0.86764705882352944</v>
      </c>
      <c r="U845" s="26">
        <v>0.88641355506746156</v>
      </c>
      <c r="V845" s="26">
        <v>0.92682926829268297</v>
      </c>
      <c r="W845" s="26">
        <v>0.91613491340018227</v>
      </c>
      <c r="X845" s="28">
        <v>0.92</v>
      </c>
      <c r="Y845" s="28">
        <v>0.87911111111111107</v>
      </c>
      <c r="Z845" s="28">
        <v>0.89403973509933776</v>
      </c>
      <c r="AA845" s="28">
        <v>0.93274531422271223</v>
      </c>
      <c r="AB845" s="28">
        <v>0.90307898259705488</v>
      </c>
      <c r="AC845" s="28">
        <v>0.92</v>
      </c>
      <c r="AD845" s="26">
        <v>0.99947671376242808</v>
      </c>
      <c r="AE845" s="26">
        <v>0.9866751269035533</v>
      </c>
      <c r="AF845" s="26">
        <v>0.99548787366046254</v>
      </c>
      <c r="AG845" s="26">
        <v>0.99378967706320731</v>
      </c>
      <c r="AH845" s="28">
        <v>0.92</v>
      </c>
      <c r="AI845" s="26">
        <v>0.91939791211459088</v>
      </c>
      <c r="AJ845" s="26">
        <v>0.94137762579384465</v>
      </c>
      <c r="AK845" s="26">
        <v>0.96172248803827753</v>
      </c>
      <c r="AL845" s="26">
        <v>0.94771601541001649</v>
      </c>
      <c r="AM845" s="25">
        <v>0.99</v>
      </c>
      <c r="AN845" s="30">
        <v>1</v>
      </c>
      <c r="AO845" s="30">
        <v>1</v>
      </c>
      <c r="AP845" s="30">
        <v>1</v>
      </c>
      <c r="AQ845" s="30">
        <v>1</v>
      </c>
      <c r="AR845" s="50">
        <v>8.1059522893420499E-2</v>
      </c>
      <c r="AS845" s="34">
        <v>0</v>
      </c>
      <c r="AT845" s="34">
        <v>0.05</v>
      </c>
      <c r="AU845" s="34">
        <v>4.1666666666666664E-2</v>
      </c>
      <c r="AV845" s="34">
        <v>3.9215686274509803E-2</v>
      </c>
      <c r="AW845" s="10"/>
      <c r="AX845" s="8"/>
    </row>
    <row r="846" spans="1:50">
      <c r="A846" s="7"/>
      <c r="B846" s="10"/>
      <c r="C846" s="45" t="s">
        <v>688</v>
      </c>
      <c r="D846" s="23" t="s">
        <v>21</v>
      </c>
      <c r="E846" s="68" t="s">
        <v>891</v>
      </c>
      <c r="F846" s="68" t="s">
        <v>891</v>
      </c>
      <c r="G846" s="68" t="s">
        <v>891</v>
      </c>
      <c r="H846" s="68" t="s">
        <v>891</v>
      </c>
      <c r="I846" s="25">
        <v>0.9</v>
      </c>
      <c r="J846" s="26">
        <v>0.87179487179487181</v>
      </c>
      <c r="K846" s="26">
        <v>0.84615384615384615</v>
      </c>
      <c r="L846" s="27">
        <v>0.92500000000000004</v>
      </c>
      <c r="M846" s="26">
        <v>0.87375415282392022</v>
      </c>
      <c r="N846" s="28">
        <v>0.9</v>
      </c>
      <c r="O846" s="26">
        <v>0.92657621707901039</v>
      </c>
      <c r="P846" s="26">
        <v>0.93227366966136838</v>
      </c>
      <c r="Q846" s="26">
        <v>0.92441679626749607</v>
      </c>
      <c r="R846" s="26">
        <v>0.92991938438988642</v>
      </c>
      <c r="S846" s="28">
        <v>0.9</v>
      </c>
      <c r="T846" s="26">
        <v>0.85634477254588981</v>
      </c>
      <c r="U846" s="26">
        <v>0.91085003455425018</v>
      </c>
      <c r="V846" s="26">
        <v>0.88460342146189741</v>
      </c>
      <c r="W846" s="26">
        <v>0.88695492854525471</v>
      </c>
      <c r="X846" s="28">
        <v>0.92</v>
      </c>
      <c r="Y846" s="28">
        <v>0.90625</v>
      </c>
      <c r="Z846" s="28">
        <v>0.92065491183879089</v>
      </c>
      <c r="AA846" s="28">
        <v>0.93494897959183676</v>
      </c>
      <c r="AB846" s="28">
        <v>0.91431810819565917</v>
      </c>
      <c r="AC846" s="28">
        <v>0.92</v>
      </c>
      <c r="AD846" s="26">
        <v>0.99539833189531202</v>
      </c>
      <c r="AE846" s="26">
        <v>0.99103139013452912</v>
      </c>
      <c r="AF846" s="26">
        <v>0.98127340823970033</v>
      </c>
      <c r="AG846" s="26">
        <v>0.99072861557802105</v>
      </c>
      <c r="AH846" s="28">
        <v>0.92</v>
      </c>
      <c r="AI846" s="26">
        <v>0.93037602820211518</v>
      </c>
      <c r="AJ846" s="26">
        <v>0.95173535791757047</v>
      </c>
      <c r="AK846" s="26">
        <v>0.95550000000000002</v>
      </c>
      <c r="AL846" s="26">
        <v>0.94231249776889303</v>
      </c>
      <c r="AM846" s="25">
        <v>0.99</v>
      </c>
      <c r="AN846" s="30">
        <v>1</v>
      </c>
      <c r="AO846" s="30">
        <v>1</v>
      </c>
      <c r="AP846" s="30">
        <v>1</v>
      </c>
      <c r="AQ846" s="30">
        <v>1</v>
      </c>
      <c r="AR846" s="50">
        <v>8.1059522893420499E-2</v>
      </c>
      <c r="AS846" s="34">
        <v>3.4482758620689655E-2</v>
      </c>
      <c r="AT846" s="34">
        <v>0.13043478260869565</v>
      </c>
      <c r="AU846" s="34">
        <v>0.04</v>
      </c>
      <c r="AV846" s="34">
        <v>3.0612244897959183E-2</v>
      </c>
      <c r="AW846" s="10"/>
      <c r="AX846" s="8"/>
    </row>
    <row r="847" spans="1:50">
      <c r="A847" s="7"/>
      <c r="B847" s="10"/>
      <c r="C847" s="45" t="s">
        <v>688</v>
      </c>
      <c r="D847" s="23" t="s">
        <v>21</v>
      </c>
      <c r="E847" s="68" t="s">
        <v>892</v>
      </c>
      <c r="F847" s="68" t="s">
        <v>892</v>
      </c>
      <c r="G847" s="68" t="s">
        <v>892</v>
      </c>
      <c r="H847" s="68" t="s">
        <v>892</v>
      </c>
      <c r="I847" s="25">
        <v>0.9</v>
      </c>
      <c r="J847" s="26">
        <v>0.90243902439024393</v>
      </c>
      <c r="K847" s="26">
        <v>0.90476190476190477</v>
      </c>
      <c r="L847" s="27">
        <v>0.87804878048780488</v>
      </c>
      <c r="M847" s="26">
        <v>0.86503067484662577</v>
      </c>
      <c r="N847" s="28">
        <v>0.9</v>
      </c>
      <c r="O847" s="26">
        <v>0.88995215311004783</v>
      </c>
      <c r="P847" s="26">
        <v>0.94240129799891836</v>
      </c>
      <c r="Q847" s="26">
        <v>0.92450789530607835</v>
      </c>
      <c r="R847" s="26">
        <v>0.90888735223418615</v>
      </c>
      <c r="S847" s="28">
        <v>0.9</v>
      </c>
      <c r="T847" s="26">
        <v>0.89533492822966509</v>
      </c>
      <c r="U847" s="26">
        <v>0.90237966468361275</v>
      </c>
      <c r="V847" s="26">
        <v>0.89638762708198139</v>
      </c>
      <c r="W847" s="26">
        <v>0.9024663307978531</v>
      </c>
      <c r="X847" s="28">
        <v>0.92</v>
      </c>
      <c r="Y847" s="28">
        <v>0.94387351778656126</v>
      </c>
      <c r="Z847" s="28">
        <v>0.94</v>
      </c>
      <c r="AA847" s="28">
        <v>0.94536585365853654</v>
      </c>
      <c r="AB847" s="28">
        <v>0.94801042160113691</v>
      </c>
      <c r="AC847" s="28">
        <v>0.92</v>
      </c>
      <c r="AD847" s="26">
        <v>0.99902818270165206</v>
      </c>
      <c r="AE847" s="26">
        <v>0.99661781285231121</v>
      </c>
      <c r="AF847" s="26">
        <v>0.99145299145299148</v>
      </c>
      <c r="AG847" s="26">
        <v>0.98903775883069422</v>
      </c>
      <c r="AH847" s="28">
        <v>0.92</v>
      </c>
      <c r="AI847" s="26">
        <v>0.94578182606809802</v>
      </c>
      <c r="AJ847" s="26">
        <v>0.95408593091828142</v>
      </c>
      <c r="AK847" s="26">
        <v>0.96104815864022664</v>
      </c>
      <c r="AL847" s="26">
        <v>0.95757013679573377</v>
      </c>
      <c r="AM847" s="25">
        <v>0.99</v>
      </c>
      <c r="AN847" s="30">
        <v>1</v>
      </c>
      <c r="AO847" s="30">
        <v>1</v>
      </c>
      <c r="AP847" s="30">
        <v>1</v>
      </c>
      <c r="AQ847" s="30">
        <v>1</v>
      </c>
      <c r="AR847" s="50">
        <v>8.1059522893420499E-2</v>
      </c>
      <c r="AS847" s="34">
        <v>2.3809523809523808E-2</v>
      </c>
      <c r="AT847" s="34">
        <v>5.6603773584905662E-2</v>
      </c>
      <c r="AU847" s="34">
        <v>0.04</v>
      </c>
      <c r="AV847" s="34">
        <v>3.8363171355498722E-2</v>
      </c>
      <c r="AW847" s="10"/>
      <c r="AX847" s="8"/>
    </row>
    <row r="848" spans="1:50">
      <c r="A848" s="7"/>
      <c r="B848" s="10"/>
      <c r="C848" s="45" t="s">
        <v>688</v>
      </c>
      <c r="D848" s="23" t="s">
        <v>21</v>
      </c>
      <c r="E848" s="68" t="s">
        <v>893</v>
      </c>
      <c r="F848" s="68" t="s">
        <v>893</v>
      </c>
      <c r="G848" s="68" t="s">
        <v>893</v>
      </c>
      <c r="H848" s="68" t="s">
        <v>893</v>
      </c>
      <c r="I848" s="25">
        <v>0.9</v>
      </c>
      <c r="J848" s="26">
        <v>0.96969696969696972</v>
      </c>
      <c r="K848" s="26">
        <v>0.97058823529411764</v>
      </c>
      <c r="L848" s="27">
        <v>0.97058823529411764</v>
      </c>
      <c r="M848" s="26">
        <v>0.93410852713178294</v>
      </c>
      <c r="N848" s="28">
        <v>0.9</v>
      </c>
      <c r="O848" s="26">
        <v>0.96895943562610232</v>
      </c>
      <c r="P848" s="26">
        <v>0.96988577362409134</v>
      </c>
      <c r="Q848" s="26">
        <v>0.97617664148750727</v>
      </c>
      <c r="R848" s="26">
        <v>0.97079124579124576</v>
      </c>
      <c r="S848" s="28">
        <v>0.9</v>
      </c>
      <c r="T848" s="26">
        <v>0.93474426807760136</v>
      </c>
      <c r="U848" s="26">
        <v>0.93907926618206994</v>
      </c>
      <c r="V848" s="26">
        <v>0.94973852411388726</v>
      </c>
      <c r="W848" s="26">
        <v>0.93846801346801345</v>
      </c>
      <c r="X848" s="28">
        <v>0.92</v>
      </c>
      <c r="Y848" s="28">
        <v>0.97782705099778267</v>
      </c>
      <c r="Z848" s="28">
        <v>0.97922077922077921</v>
      </c>
      <c r="AA848" s="28">
        <v>0.98074454428754809</v>
      </c>
      <c r="AB848" s="28">
        <v>0.97723496178132274</v>
      </c>
      <c r="AC848" s="28">
        <v>0.92</v>
      </c>
      <c r="AD848" s="26">
        <v>0.99821799821799817</v>
      </c>
      <c r="AE848" s="26">
        <v>0.99969706149651616</v>
      </c>
      <c r="AF848" s="26">
        <v>0.85409911996294585</v>
      </c>
      <c r="AG848" s="26">
        <v>0.9823111958478975</v>
      </c>
      <c r="AH848" s="28">
        <v>0.92</v>
      </c>
      <c r="AI848" s="26">
        <v>0.97966827180310323</v>
      </c>
      <c r="AJ848" s="26">
        <v>0.98442197321672587</v>
      </c>
      <c r="AK848" s="26">
        <v>0.98626243486499288</v>
      </c>
      <c r="AL848" s="26">
        <v>0.98381464069845537</v>
      </c>
      <c r="AM848" s="25">
        <v>0.99</v>
      </c>
      <c r="AN848" s="30">
        <v>1</v>
      </c>
      <c r="AO848" s="30">
        <v>1</v>
      </c>
      <c r="AP848" s="30">
        <v>1</v>
      </c>
      <c r="AQ848" s="30">
        <v>1</v>
      </c>
      <c r="AR848" s="50">
        <v>8.1059522893420499E-2</v>
      </c>
      <c r="AS848" s="34">
        <v>0</v>
      </c>
      <c r="AT848" s="34">
        <v>0.16666666666666666</v>
      </c>
      <c r="AU848" s="34">
        <v>8.3333333333333329E-2</v>
      </c>
      <c r="AV848" s="34">
        <v>6.3157894736842107E-2</v>
      </c>
      <c r="AW848" s="10"/>
      <c r="AX848" s="8"/>
    </row>
    <row r="849" spans="1:50">
      <c r="A849" s="7"/>
      <c r="B849" s="10"/>
      <c r="C849" s="45" t="s">
        <v>688</v>
      </c>
      <c r="D849" s="23" t="s">
        <v>21</v>
      </c>
      <c r="E849" s="68" t="s">
        <v>894</v>
      </c>
      <c r="F849" s="68" t="s">
        <v>894</v>
      </c>
      <c r="G849" s="68" t="s">
        <v>894</v>
      </c>
      <c r="H849" s="68" t="s">
        <v>894</v>
      </c>
      <c r="I849" s="25">
        <v>0.9</v>
      </c>
      <c r="J849" s="26">
        <v>0.7142857142857143</v>
      </c>
      <c r="K849" s="26">
        <v>0.73913043478260865</v>
      </c>
      <c r="L849" s="27">
        <v>0.77272727272727271</v>
      </c>
      <c r="M849" s="26">
        <v>0.75287356321839083</v>
      </c>
      <c r="N849" s="28">
        <v>0.9</v>
      </c>
      <c r="O849" s="26">
        <v>0.95229127432517258</v>
      </c>
      <c r="P849" s="26">
        <v>0.98330351818723916</v>
      </c>
      <c r="Q849" s="26">
        <v>0.95380710659898482</v>
      </c>
      <c r="R849" s="26">
        <v>0.95772767724710772</v>
      </c>
      <c r="S849" s="28">
        <v>0.9</v>
      </c>
      <c r="T849" s="26">
        <v>0.8895166352793471</v>
      </c>
      <c r="U849" s="26">
        <v>0.8908765652951699</v>
      </c>
      <c r="V849" s="26">
        <v>0.89035532994923861</v>
      </c>
      <c r="W849" s="26">
        <v>0.90114209433402548</v>
      </c>
      <c r="X849" s="28">
        <v>0.92</v>
      </c>
      <c r="Y849" s="28">
        <v>0.92571428571428571</v>
      </c>
      <c r="Z849" s="28">
        <v>0.95143487858719644</v>
      </c>
      <c r="AA849" s="28">
        <v>0.92540792540792538</v>
      </c>
      <c r="AB849" s="28">
        <v>0.93080823143453628</v>
      </c>
      <c r="AC849" s="28">
        <v>0.92</v>
      </c>
      <c r="AD849" s="26">
        <v>0.99140401146131807</v>
      </c>
      <c r="AE849" s="26">
        <v>0.97922848664688422</v>
      </c>
      <c r="AF849" s="26">
        <v>0.9874476987447699</v>
      </c>
      <c r="AG849" s="26">
        <v>0.97767988252569749</v>
      </c>
      <c r="AH849" s="28">
        <v>0.92</v>
      </c>
      <c r="AI849" s="26">
        <v>0.94903256252949508</v>
      </c>
      <c r="AJ849" s="26">
        <v>0.96807511737089202</v>
      </c>
      <c r="AK849" s="26">
        <v>0.96581909128803667</v>
      </c>
      <c r="AL849" s="26">
        <v>0.96241539009618815</v>
      </c>
      <c r="AM849" s="25">
        <v>0.99</v>
      </c>
      <c r="AN849" s="30">
        <v>1</v>
      </c>
      <c r="AO849" s="30">
        <v>1</v>
      </c>
      <c r="AP849" s="30">
        <v>1</v>
      </c>
      <c r="AQ849" s="30">
        <v>1</v>
      </c>
      <c r="AR849" s="50">
        <v>8.1059522893420499E-2</v>
      </c>
      <c r="AS849" s="34">
        <v>0.1111111111111111</v>
      </c>
      <c r="AT849" s="34">
        <v>0.25</v>
      </c>
      <c r="AU849" s="34">
        <v>0</v>
      </c>
      <c r="AV849" s="34">
        <v>5.2631578947368418E-2</v>
      </c>
      <c r="AW849" s="10"/>
      <c r="AX849" s="8"/>
    </row>
    <row r="850" spans="1:50">
      <c r="A850" s="7"/>
      <c r="B850" s="10"/>
      <c r="C850" s="45" t="s">
        <v>688</v>
      </c>
      <c r="D850" s="23" t="s">
        <v>21</v>
      </c>
      <c r="E850" s="68" t="s">
        <v>895</v>
      </c>
      <c r="F850" s="68" t="s">
        <v>895</v>
      </c>
      <c r="G850" s="68" t="s">
        <v>895</v>
      </c>
      <c r="H850" s="68" t="s">
        <v>895</v>
      </c>
      <c r="I850" s="25">
        <v>0.9</v>
      </c>
      <c r="J850" s="26">
        <v>0.96551724137931039</v>
      </c>
      <c r="K850" s="26">
        <v>0.967741935483871</v>
      </c>
      <c r="L850" s="27">
        <v>1</v>
      </c>
      <c r="M850" s="26">
        <v>0.975103734439834</v>
      </c>
      <c r="N850" s="28">
        <v>0.9</v>
      </c>
      <c r="O850" s="26">
        <v>0.97742312183729074</v>
      </c>
      <c r="P850" s="26">
        <v>0.95602365114560239</v>
      </c>
      <c r="Q850" s="26">
        <v>0.9553656220322887</v>
      </c>
      <c r="R850" s="26">
        <v>0.96515741068270255</v>
      </c>
      <c r="S850" s="28">
        <v>0.9</v>
      </c>
      <c r="T850" s="26">
        <v>0.89762553522771504</v>
      </c>
      <c r="U850" s="26">
        <v>0.93089430894308944</v>
      </c>
      <c r="V850" s="26">
        <v>0.93668882557771449</v>
      </c>
      <c r="W850" s="26">
        <v>0.9252741422002122</v>
      </c>
      <c r="X850" s="28">
        <v>0.92</v>
      </c>
      <c r="Y850" s="28">
        <v>0.93262411347517726</v>
      </c>
      <c r="Z850" s="28">
        <v>0.93333333333333335</v>
      </c>
      <c r="AA850" s="28">
        <v>0.95039164490861616</v>
      </c>
      <c r="AB850" s="28">
        <v>0.93060498220640564</v>
      </c>
      <c r="AC850" s="28">
        <v>0.92</v>
      </c>
      <c r="AD850" s="26">
        <v>0.99030574198359433</v>
      </c>
      <c r="AE850" s="26">
        <v>0.99708667152221409</v>
      </c>
      <c r="AF850" s="26">
        <v>0.99424815119145438</v>
      </c>
      <c r="AG850" s="26">
        <v>0.99375960061443935</v>
      </c>
      <c r="AH850" s="28">
        <v>0.92</v>
      </c>
      <c r="AI850" s="26">
        <v>0.95988286969253289</v>
      </c>
      <c r="AJ850" s="26">
        <v>0.97256275539988324</v>
      </c>
      <c r="AK850" s="26">
        <v>0.97757961783439495</v>
      </c>
      <c r="AL850" s="26">
        <v>0.96865925348820736</v>
      </c>
      <c r="AM850" s="25">
        <v>0.99</v>
      </c>
      <c r="AN850" s="30">
        <v>1</v>
      </c>
      <c r="AO850" s="30">
        <v>1</v>
      </c>
      <c r="AP850" s="30">
        <v>1</v>
      </c>
      <c r="AQ850" s="30">
        <v>1</v>
      </c>
      <c r="AR850" s="50">
        <v>8.1059522893420499E-2</v>
      </c>
      <c r="AS850" s="34">
        <v>0</v>
      </c>
      <c r="AT850" s="34">
        <v>0</v>
      </c>
      <c r="AU850" s="34">
        <v>0</v>
      </c>
      <c r="AV850" s="34">
        <v>5.8823529411764705E-2</v>
      </c>
      <c r="AW850" s="10"/>
      <c r="AX850" s="8"/>
    </row>
    <row r="851" spans="1:50">
      <c r="A851" s="7"/>
      <c r="B851" s="10"/>
      <c r="C851" s="45" t="s">
        <v>688</v>
      </c>
      <c r="D851" s="23" t="s">
        <v>21</v>
      </c>
      <c r="E851" s="68" t="s">
        <v>896</v>
      </c>
      <c r="F851" s="68" t="s">
        <v>896</v>
      </c>
      <c r="G851" s="68" t="s">
        <v>896</v>
      </c>
      <c r="H851" s="68" t="s">
        <v>896</v>
      </c>
      <c r="I851" s="25">
        <v>0.9</v>
      </c>
      <c r="J851" s="26">
        <v>0.6097560975609756</v>
      </c>
      <c r="K851" s="26">
        <v>0.60465116279069764</v>
      </c>
      <c r="L851" s="27">
        <v>0.65853658536585369</v>
      </c>
      <c r="M851" s="26">
        <v>0.64761904761904765</v>
      </c>
      <c r="N851" s="28">
        <v>0.9</v>
      </c>
      <c r="O851" s="26">
        <v>0.71058745436442083</v>
      </c>
      <c r="P851" s="26">
        <v>0.81192378610940386</v>
      </c>
      <c r="Q851" s="26">
        <v>0.76863478493187287</v>
      </c>
      <c r="R851" s="26">
        <v>0.76162587751619282</v>
      </c>
      <c r="S851" s="28">
        <v>0.9</v>
      </c>
      <c r="T851" s="26">
        <v>0.54264852306671096</v>
      </c>
      <c r="U851" s="26">
        <v>0.52550706822372462</v>
      </c>
      <c r="V851" s="26">
        <v>0.48116484103660168</v>
      </c>
      <c r="W851" s="26">
        <v>0.48846138928751504</v>
      </c>
      <c r="X851" s="28">
        <v>0.92</v>
      </c>
      <c r="Y851" s="28">
        <v>0.44526315789473686</v>
      </c>
      <c r="Z851" s="28">
        <v>0.60960591133004927</v>
      </c>
      <c r="AA851" s="28">
        <v>0.58961038961038958</v>
      </c>
      <c r="AB851" s="28">
        <v>0.49431545236188951</v>
      </c>
      <c r="AC851" s="28">
        <v>0.92</v>
      </c>
      <c r="AD851" s="26">
        <v>0.99065420560747663</v>
      </c>
      <c r="AE851" s="26">
        <v>0.98734177215189878</v>
      </c>
      <c r="AF851" s="26">
        <v>0.98463508322663251</v>
      </c>
      <c r="AG851" s="26">
        <v>0.97507233474293342</v>
      </c>
      <c r="AH851" s="28">
        <v>0.92</v>
      </c>
      <c r="AI851" s="26">
        <v>0.72773151652788293</v>
      </c>
      <c r="AJ851" s="26">
        <v>0.80059011556429804</v>
      </c>
      <c r="AK851" s="26">
        <v>0.81320629293153113</v>
      </c>
      <c r="AL851" s="26">
        <v>0.764994223984514</v>
      </c>
      <c r="AM851" s="25">
        <v>0.99</v>
      </c>
      <c r="AN851" s="30">
        <v>1</v>
      </c>
      <c r="AO851" s="30">
        <v>1</v>
      </c>
      <c r="AP851" s="30">
        <v>1</v>
      </c>
      <c r="AQ851" s="30">
        <v>1</v>
      </c>
      <c r="AR851" s="50">
        <v>8.1059522893420499E-2</v>
      </c>
      <c r="AS851" s="34">
        <v>3.5714285714285712E-2</v>
      </c>
      <c r="AT851" s="34">
        <v>0</v>
      </c>
      <c r="AU851" s="34">
        <v>0</v>
      </c>
      <c r="AV851" s="34">
        <v>3.6199095022624438E-2</v>
      </c>
      <c r="AW851" s="10"/>
      <c r="AX851" s="8"/>
    </row>
    <row r="852" spans="1:50">
      <c r="A852" s="7"/>
      <c r="B852" s="10"/>
      <c r="C852" s="45" t="s">
        <v>688</v>
      </c>
      <c r="D852" s="23" t="s">
        <v>21</v>
      </c>
      <c r="E852" s="68" t="s">
        <v>897</v>
      </c>
      <c r="F852" s="68" t="s">
        <v>897</v>
      </c>
      <c r="G852" s="68" t="s">
        <v>897</v>
      </c>
      <c r="H852" s="68" t="s">
        <v>897</v>
      </c>
      <c r="I852" s="25">
        <v>0.9</v>
      </c>
      <c r="J852" s="26">
        <v>0</v>
      </c>
      <c r="K852" s="26">
        <v>0</v>
      </c>
      <c r="L852" s="27">
        <v>0</v>
      </c>
      <c r="M852" s="26">
        <v>0</v>
      </c>
      <c r="N852" s="28">
        <v>0.9</v>
      </c>
      <c r="O852" s="26">
        <v>0</v>
      </c>
      <c r="P852" s="26">
        <v>0</v>
      </c>
      <c r="Q852" s="26">
        <v>0</v>
      </c>
      <c r="R852" s="26">
        <v>7.575757575757576E-3</v>
      </c>
      <c r="S852" s="28">
        <v>0.9</v>
      </c>
      <c r="T852" s="26">
        <v>1</v>
      </c>
      <c r="U852" s="26">
        <v>1</v>
      </c>
      <c r="V852" s="26">
        <v>1</v>
      </c>
      <c r="W852" s="26">
        <v>0.75</v>
      </c>
      <c r="X852" s="28">
        <v>0.92</v>
      </c>
      <c r="Y852" s="28">
        <v>1</v>
      </c>
      <c r="Z852" s="28">
        <v>1</v>
      </c>
      <c r="AA852" s="28">
        <v>1</v>
      </c>
      <c r="AB852" s="28">
        <v>1</v>
      </c>
      <c r="AC852" s="28">
        <v>0.92</v>
      </c>
      <c r="AD852" s="26">
        <v>0</v>
      </c>
      <c r="AE852" s="26">
        <v>0</v>
      </c>
      <c r="AF852" s="26">
        <v>0</v>
      </c>
      <c r="AG852" s="26">
        <v>0.66666666666666663</v>
      </c>
      <c r="AH852" s="28">
        <v>0.92</v>
      </c>
      <c r="AI852" s="26">
        <v>1</v>
      </c>
      <c r="AJ852" s="26">
        <v>1</v>
      </c>
      <c r="AK852" s="26">
        <v>1</v>
      </c>
      <c r="AL852" s="26">
        <v>1</v>
      </c>
      <c r="AM852" s="25">
        <v>0.99</v>
      </c>
      <c r="AN852" s="30">
        <v>0</v>
      </c>
      <c r="AO852" s="30">
        <v>0</v>
      </c>
      <c r="AP852" s="30">
        <v>0</v>
      </c>
      <c r="AQ852" s="30">
        <v>1</v>
      </c>
      <c r="AR852" s="50">
        <v>8.1059522893420499E-2</v>
      </c>
      <c r="AS852" s="34">
        <v>0</v>
      </c>
      <c r="AT852" s="34">
        <v>0</v>
      </c>
      <c r="AU852" s="34">
        <v>0</v>
      </c>
      <c r="AV852" s="34">
        <v>0</v>
      </c>
      <c r="AW852" s="10"/>
      <c r="AX852" s="8"/>
    </row>
    <row r="853" spans="1:50">
      <c r="A853" s="7"/>
      <c r="B853" s="10"/>
      <c r="C853" s="45" t="s">
        <v>688</v>
      </c>
      <c r="D853" s="23" t="s">
        <v>21</v>
      </c>
      <c r="E853" s="68" t="s">
        <v>898</v>
      </c>
      <c r="F853" s="68" t="s">
        <v>898</v>
      </c>
      <c r="G853" s="68" t="s">
        <v>898</v>
      </c>
      <c r="H853" s="68" t="s">
        <v>898</v>
      </c>
      <c r="I853" s="25">
        <v>0.9</v>
      </c>
      <c r="J853" s="26">
        <v>0.93478260869565222</v>
      </c>
      <c r="K853" s="26">
        <v>0.8571428571428571</v>
      </c>
      <c r="L853" s="27">
        <v>0.89583333333333337</v>
      </c>
      <c r="M853" s="26">
        <v>0.9045092838196287</v>
      </c>
      <c r="N853" s="28">
        <v>0.9</v>
      </c>
      <c r="O853" s="26">
        <v>0.93321134492223234</v>
      </c>
      <c r="P853" s="26">
        <v>0.95397489539748959</v>
      </c>
      <c r="Q853" s="26">
        <v>0.94930555555555551</v>
      </c>
      <c r="R853" s="26">
        <v>0.95418602177227763</v>
      </c>
      <c r="S853" s="28">
        <v>0.9</v>
      </c>
      <c r="T853" s="26">
        <v>0.87953644403781639</v>
      </c>
      <c r="U853" s="26">
        <v>0.91799163179916321</v>
      </c>
      <c r="V853" s="26">
        <v>0.90393518518518523</v>
      </c>
      <c r="W853" s="26">
        <v>0.91227261444629626</v>
      </c>
      <c r="X853" s="28">
        <v>0.92</v>
      </c>
      <c r="Y853" s="28">
        <v>0.92166266986410872</v>
      </c>
      <c r="Z853" s="28">
        <v>0.91007905138339917</v>
      </c>
      <c r="AA853" s="28">
        <v>0.91698841698841704</v>
      </c>
      <c r="AB853" s="28">
        <v>0.91560607932781413</v>
      </c>
      <c r="AC853" s="28">
        <v>0.92</v>
      </c>
      <c r="AD853" s="26">
        <v>1</v>
      </c>
      <c r="AE853" s="26">
        <v>0.98004987531172072</v>
      </c>
      <c r="AF853" s="26">
        <v>0.99728997289972898</v>
      </c>
      <c r="AG853" s="26">
        <v>0.98416719442685241</v>
      </c>
      <c r="AH853" s="28">
        <v>0.92</v>
      </c>
      <c r="AI853" s="26">
        <v>0.95034208783932905</v>
      </c>
      <c r="AJ853" s="26">
        <v>0.95627583206438982</v>
      </c>
      <c r="AK853" s="26">
        <v>0.96097834204630317</v>
      </c>
      <c r="AL853" s="26">
        <v>0.95759980163649894</v>
      </c>
      <c r="AM853" s="25">
        <v>0.99</v>
      </c>
      <c r="AN853" s="30">
        <v>1</v>
      </c>
      <c r="AO853" s="30">
        <v>1</v>
      </c>
      <c r="AP853" s="30">
        <v>1</v>
      </c>
      <c r="AQ853" s="30">
        <v>1</v>
      </c>
      <c r="AR853" s="50">
        <v>8.1059522893420499E-2</v>
      </c>
      <c r="AS853" s="34">
        <v>0.13043478260869565</v>
      </c>
      <c r="AT853" s="34">
        <v>0</v>
      </c>
      <c r="AU853" s="34">
        <v>0</v>
      </c>
      <c r="AV853" s="34">
        <v>5.3435114503816793E-2</v>
      </c>
      <c r="AW853" s="10"/>
      <c r="AX853" s="8"/>
    </row>
    <row r="854" spans="1:50">
      <c r="A854" s="7"/>
      <c r="B854" s="10"/>
      <c r="C854" s="45" t="s">
        <v>688</v>
      </c>
      <c r="D854" s="23" t="s">
        <v>21</v>
      </c>
      <c r="E854" s="68" t="s">
        <v>899</v>
      </c>
      <c r="F854" s="68" t="s">
        <v>899</v>
      </c>
      <c r="G854" s="68" t="s">
        <v>899</v>
      </c>
      <c r="H854" s="68" t="s">
        <v>899</v>
      </c>
      <c r="I854" s="25">
        <v>0.9</v>
      </c>
      <c r="J854" s="26">
        <v>1</v>
      </c>
      <c r="K854" s="26">
        <v>0.96969696969696972</v>
      </c>
      <c r="L854" s="27">
        <v>0.94285714285714284</v>
      </c>
      <c r="M854" s="26">
        <v>0.96212121212121215</v>
      </c>
      <c r="N854" s="28">
        <v>0.9</v>
      </c>
      <c r="O854" s="26">
        <v>0.95797167656464144</v>
      </c>
      <c r="P854" s="26">
        <v>0.95210643015521068</v>
      </c>
      <c r="Q854" s="26">
        <v>0.95767790262172281</v>
      </c>
      <c r="R854" s="26">
        <v>0.96157996978199867</v>
      </c>
      <c r="S854" s="28">
        <v>0.9</v>
      </c>
      <c r="T854" s="26">
        <v>0.91959798994974873</v>
      </c>
      <c r="U854" s="26">
        <v>0.94057649667405763</v>
      </c>
      <c r="V854" s="26">
        <v>0.91797752808988764</v>
      </c>
      <c r="W854" s="26">
        <v>0.92100151090006477</v>
      </c>
      <c r="X854" s="28">
        <v>0.92</v>
      </c>
      <c r="Y854" s="28">
        <v>0.88796680497925307</v>
      </c>
      <c r="Z854" s="28">
        <v>0.91932773109243693</v>
      </c>
      <c r="AA854" s="28">
        <v>0.91531531531531529</v>
      </c>
      <c r="AB854" s="28">
        <v>0.90879407923378319</v>
      </c>
      <c r="AC854" s="28">
        <v>0.92</v>
      </c>
      <c r="AD854" s="26">
        <v>0.99411764705882355</v>
      </c>
      <c r="AE854" s="26">
        <v>0.98734177215189878</v>
      </c>
      <c r="AF854" s="26">
        <v>1</v>
      </c>
      <c r="AG854" s="26">
        <v>0.99489361702127654</v>
      </c>
      <c r="AH854" s="28">
        <v>0.92</v>
      </c>
      <c r="AI854" s="26">
        <v>0.94782011671816002</v>
      </c>
      <c r="AJ854" s="26">
        <v>0.96280701754385967</v>
      </c>
      <c r="AK854" s="26">
        <v>0.96961240310077523</v>
      </c>
      <c r="AL854" s="26">
        <v>0.96285726639858171</v>
      </c>
      <c r="AM854" s="25">
        <v>0.99</v>
      </c>
      <c r="AN854" s="30">
        <v>1</v>
      </c>
      <c r="AO854" s="30">
        <v>1</v>
      </c>
      <c r="AP854" s="30">
        <v>1</v>
      </c>
      <c r="AQ854" s="30">
        <v>1</v>
      </c>
      <c r="AR854" s="50">
        <v>8.1059522893420499E-2</v>
      </c>
      <c r="AS854" s="34">
        <v>0</v>
      </c>
      <c r="AT854" s="34">
        <v>8.3333333333333329E-2</v>
      </c>
      <c r="AU854" s="34">
        <v>0.1</v>
      </c>
      <c r="AV854" s="34">
        <v>7.5268817204301078E-2</v>
      </c>
      <c r="AW854" s="10"/>
      <c r="AX854" s="8"/>
    </row>
    <row r="855" spans="1:50">
      <c r="A855" s="7"/>
      <c r="B855" s="10"/>
      <c r="C855" s="45" t="s">
        <v>688</v>
      </c>
      <c r="D855" s="23" t="s">
        <v>21</v>
      </c>
      <c r="E855" s="68" t="s">
        <v>900</v>
      </c>
      <c r="F855" s="68" t="s">
        <v>900</v>
      </c>
      <c r="G855" s="68" t="s">
        <v>900</v>
      </c>
      <c r="H855" s="68" t="s">
        <v>900</v>
      </c>
      <c r="I855" s="25">
        <v>0.9</v>
      </c>
      <c r="J855" s="26">
        <v>0.96296296296296291</v>
      </c>
      <c r="K855" s="26">
        <v>0.92592592592592593</v>
      </c>
      <c r="L855" s="27">
        <v>0.9285714285714286</v>
      </c>
      <c r="M855" s="26">
        <v>0.92760180995475117</v>
      </c>
      <c r="N855" s="28">
        <v>0.9</v>
      </c>
      <c r="O855" s="26">
        <v>0.96684831970935514</v>
      </c>
      <c r="P855" s="26">
        <v>0.95572117492327924</v>
      </c>
      <c r="Q855" s="26">
        <v>0.97639565380292248</v>
      </c>
      <c r="R855" s="26">
        <v>0.96950106876596631</v>
      </c>
      <c r="S855" s="28">
        <v>0.9</v>
      </c>
      <c r="T855" s="26">
        <v>0.90690281562216168</v>
      </c>
      <c r="U855" s="26">
        <v>0.90661990355107414</v>
      </c>
      <c r="V855" s="26">
        <v>0.92918696140876733</v>
      </c>
      <c r="W855" s="26">
        <v>0.92482143788123661</v>
      </c>
      <c r="X855" s="28">
        <v>0.92</v>
      </c>
      <c r="Y855" s="28">
        <v>0.92847124824684435</v>
      </c>
      <c r="Z855" s="28">
        <v>0.94581280788177335</v>
      </c>
      <c r="AA855" s="28">
        <v>0.92773109243697482</v>
      </c>
      <c r="AB855" s="28">
        <v>0.92717086834733897</v>
      </c>
      <c r="AC855" s="28">
        <v>0.92</v>
      </c>
      <c r="AD855" s="26">
        <v>0.99899396378269623</v>
      </c>
      <c r="AE855" s="26">
        <v>0.99661781285231121</v>
      </c>
      <c r="AF855" s="26">
        <v>0.99662921348314604</v>
      </c>
      <c r="AG855" s="26">
        <v>0.99551960174237708</v>
      </c>
      <c r="AH855" s="28">
        <v>0.92</v>
      </c>
      <c r="AI855" s="26">
        <v>0.95368782161234988</v>
      </c>
      <c r="AJ855" s="26">
        <v>0.95813148788927338</v>
      </c>
      <c r="AK855" s="26">
        <v>0.96415441176470584</v>
      </c>
      <c r="AL855" s="26">
        <v>0.95881957854084465</v>
      </c>
      <c r="AM855" s="25">
        <v>0.99</v>
      </c>
      <c r="AN855" s="30">
        <v>1</v>
      </c>
      <c r="AO855" s="30">
        <v>1</v>
      </c>
      <c r="AP855" s="30">
        <v>1</v>
      </c>
      <c r="AQ855" s="30">
        <v>1</v>
      </c>
      <c r="AR855" s="50">
        <v>8.1059522893420499E-2</v>
      </c>
      <c r="AS855" s="34">
        <v>9.0909090909090912E-2</v>
      </c>
      <c r="AT855" s="34">
        <v>9.0909090909090912E-2</v>
      </c>
      <c r="AU855" s="34">
        <v>0</v>
      </c>
      <c r="AV855" s="34">
        <v>2.3622047244094488E-2</v>
      </c>
      <c r="AW855" s="10"/>
      <c r="AX855" s="8"/>
    </row>
    <row r="856" spans="1:50">
      <c r="A856" s="7"/>
      <c r="B856" s="10"/>
      <c r="C856" s="45" t="s">
        <v>688</v>
      </c>
      <c r="D856" s="23" t="s">
        <v>21</v>
      </c>
      <c r="E856" s="68" t="s">
        <v>901</v>
      </c>
      <c r="F856" s="68" t="s">
        <v>901</v>
      </c>
      <c r="G856" s="68" t="s">
        <v>901</v>
      </c>
      <c r="H856" s="68" t="s">
        <v>901</v>
      </c>
      <c r="I856" s="25">
        <v>0.9</v>
      </c>
      <c r="J856" s="26">
        <v>0.95161290322580649</v>
      </c>
      <c r="K856" s="26">
        <v>0.9375</v>
      </c>
      <c r="L856" s="27">
        <v>0.921875</v>
      </c>
      <c r="M856" s="26">
        <v>0.94386694386694392</v>
      </c>
      <c r="N856" s="28">
        <v>0.9</v>
      </c>
      <c r="O856" s="26">
        <v>0.93330622204148028</v>
      </c>
      <c r="P856" s="26">
        <v>0.9288851704664296</v>
      </c>
      <c r="Q856" s="26">
        <v>0.91144366197183102</v>
      </c>
      <c r="R856" s="26">
        <v>0.89431152796545055</v>
      </c>
      <c r="S856" s="28">
        <v>0.9</v>
      </c>
      <c r="T856" s="26">
        <v>0.90402602684017896</v>
      </c>
      <c r="U856" s="26">
        <v>0.91319807571637734</v>
      </c>
      <c r="V856" s="26">
        <v>0.91936619718309864</v>
      </c>
      <c r="W856" s="26">
        <v>0.91102985984156004</v>
      </c>
      <c r="X856" s="28">
        <v>0.92</v>
      </c>
      <c r="Y856" s="28">
        <v>0.87764705882352945</v>
      </c>
      <c r="Z856" s="28">
        <v>0.86504065040650402</v>
      </c>
      <c r="AA856" s="28">
        <v>0.87580299785867233</v>
      </c>
      <c r="AB856" s="28">
        <v>0.8800590841949778</v>
      </c>
      <c r="AC856" s="28">
        <v>0.92</v>
      </c>
      <c r="AD856" s="26">
        <v>0.99710982658959535</v>
      </c>
      <c r="AE856" s="26">
        <v>0.96258709481975158</v>
      </c>
      <c r="AF856" s="26">
        <v>0.98859614628391668</v>
      </c>
      <c r="AG856" s="26">
        <v>0.97966766200907207</v>
      </c>
      <c r="AH856" s="28">
        <v>0.92</v>
      </c>
      <c r="AI856" s="26">
        <v>0.94053398058252424</v>
      </c>
      <c r="AJ856" s="26">
        <v>0.94458858413639735</v>
      </c>
      <c r="AK856" s="26">
        <v>0.95570003023888717</v>
      </c>
      <c r="AL856" s="26">
        <v>0.94869029968099927</v>
      </c>
      <c r="AM856" s="25">
        <v>0.99</v>
      </c>
      <c r="AN856" s="30">
        <v>1</v>
      </c>
      <c r="AO856" s="30">
        <v>1</v>
      </c>
      <c r="AP856" s="30">
        <v>1</v>
      </c>
      <c r="AQ856" s="30">
        <v>1</v>
      </c>
      <c r="AR856" s="50">
        <v>8.1059522893420499E-2</v>
      </c>
      <c r="AS856" s="34">
        <v>3.3333333333333333E-2</v>
      </c>
      <c r="AT856" s="34">
        <v>0</v>
      </c>
      <c r="AU856" s="34">
        <v>7.6923076923076927E-2</v>
      </c>
      <c r="AV856" s="34">
        <v>4.4692737430167599E-2</v>
      </c>
      <c r="AW856" s="10"/>
      <c r="AX856" s="8"/>
    </row>
    <row r="857" spans="1:50">
      <c r="A857" s="7"/>
      <c r="B857" s="10"/>
      <c r="C857" s="45" t="s">
        <v>688</v>
      </c>
      <c r="D857" s="23" t="s">
        <v>21</v>
      </c>
      <c r="E857" s="68" t="s">
        <v>902</v>
      </c>
      <c r="F857" s="68" t="s">
        <v>902</v>
      </c>
      <c r="G857" s="68" t="s">
        <v>902</v>
      </c>
      <c r="H857" s="68" t="s">
        <v>902</v>
      </c>
      <c r="I857" s="25">
        <v>0.9</v>
      </c>
      <c r="J857" s="26">
        <v>0.84375</v>
      </c>
      <c r="K857" s="26">
        <v>0.97058823529411764</v>
      </c>
      <c r="L857" s="27">
        <v>0.94285714285714284</v>
      </c>
      <c r="M857" s="26">
        <v>0.91954022988505746</v>
      </c>
      <c r="N857" s="28">
        <v>0.9</v>
      </c>
      <c r="O857" s="26">
        <v>0.934391976598412</v>
      </c>
      <c r="P857" s="26">
        <v>1.6280016280016279E-3</v>
      </c>
      <c r="Q857" s="26">
        <v>0.946257197696737</v>
      </c>
      <c r="R857" s="26">
        <v>0.75655109856883695</v>
      </c>
      <c r="S857" s="28">
        <v>0.9</v>
      </c>
      <c r="T857" s="26">
        <v>0.93188466360217304</v>
      </c>
      <c r="U857" s="26">
        <v>0.91493691493691498</v>
      </c>
      <c r="V857" s="26">
        <v>0.94145873320537432</v>
      </c>
      <c r="W857" s="26">
        <v>0.92511590405160249</v>
      </c>
      <c r="X857" s="28">
        <v>0.92</v>
      </c>
      <c r="Y857" s="28">
        <v>0.90133333333333332</v>
      </c>
      <c r="Z857" s="28">
        <v>0.76388888888888884</v>
      </c>
      <c r="AA857" s="28">
        <v>0.89200863930885532</v>
      </c>
      <c r="AB857" s="28">
        <v>0.86653554369204833</v>
      </c>
      <c r="AC857" s="28">
        <v>0.92</v>
      </c>
      <c r="AD857" s="26">
        <v>0.99404761904761907</v>
      </c>
      <c r="AE857" s="26">
        <v>0.97429305912596398</v>
      </c>
      <c r="AF857" s="26">
        <v>0.99337748344370858</v>
      </c>
      <c r="AG857" s="26">
        <v>0.98692620569436373</v>
      </c>
      <c r="AH857" s="28">
        <v>0.92</v>
      </c>
      <c r="AI857" s="26">
        <v>0.96387283236994215</v>
      </c>
      <c r="AJ857" s="26">
        <v>0.9515659140568099</v>
      </c>
      <c r="AK857" s="26">
        <v>0.97185845639453883</v>
      </c>
      <c r="AL857" s="26">
        <v>0.96081866347632883</v>
      </c>
      <c r="AM857" s="25">
        <v>0.99</v>
      </c>
      <c r="AN857" s="30">
        <v>1</v>
      </c>
      <c r="AO857" s="30">
        <v>1</v>
      </c>
      <c r="AP857" s="30">
        <v>1</v>
      </c>
      <c r="AQ857" s="30">
        <v>1</v>
      </c>
      <c r="AR857" s="50">
        <v>8.1059522893420499E-2</v>
      </c>
      <c r="AS857" s="34">
        <v>0</v>
      </c>
      <c r="AT857" s="34">
        <v>0</v>
      </c>
      <c r="AU857" s="34">
        <v>0.14285714285714285</v>
      </c>
      <c r="AV857" s="34">
        <v>4.0816326530612242E-2</v>
      </c>
      <c r="AW857" s="10"/>
      <c r="AX857" s="8"/>
    </row>
    <row r="858" spans="1:50">
      <c r="A858" s="7"/>
      <c r="B858" s="10"/>
      <c r="C858" s="45" t="s">
        <v>688</v>
      </c>
      <c r="D858" s="23" t="s">
        <v>21</v>
      </c>
      <c r="E858" s="68" t="s">
        <v>903</v>
      </c>
      <c r="F858" s="68" t="s">
        <v>903</v>
      </c>
      <c r="G858" s="68" t="s">
        <v>903</v>
      </c>
      <c r="H858" s="68" t="s">
        <v>903</v>
      </c>
      <c r="I858" s="25">
        <v>0.9</v>
      </c>
      <c r="J858" s="26">
        <v>0.95348837209302328</v>
      </c>
      <c r="K858" s="26">
        <v>0.97674418604651159</v>
      </c>
      <c r="L858" s="27">
        <v>1</v>
      </c>
      <c r="M858" s="26">
        <v>0.98181818181818181</v>
      </c>
      <c r="N858" s="28">
        <v>0.9</v>
      </c>
      <c r="O858" s="26">
        <v>0.78974956319161327</v>
      </c>
      <c r="P858" s="26">
        <v>0.86800235710076601</v>
      </c>
      <c r="Q858" s="26">
        <v>0.8457055991892577</v>
      </c>
      <c r="R858" s="26">
        <v>0.82735893962139795</v>
      </c>
      <c r="S858" s="28">
        <v>0.9</v>
      </c>
      <c r="T858" s="26">
        <v>0.59493302271403614</v>
      </c>
      <c r="U858" s="26">
        <v>0.6490866234531526</v>
      </c>
      <c r="V858" s="26">
        <v>0.59412211806435267</v>
      </c>
      <c r="W858" s="26">
        <v>0.60854600710336493</v>
      </c>
      <c r="X858" s="28">
        <v>0.92</v>
      </c>
      <c r="Y858" s="28">
        <v>0.65953307392996108</v>
      </c>
      <c r="Z858" s="28">
        <v>0.66125290023201855</v>
      </c>
      <c r="AA858" s="28">
        <v>0.71880492091388404</v>
      </c>
      <c r="AB858" s="28">
        <v>0.64367060884800698</v>
      </c>
      <c r="AC858" s="28">
        <v>0.92</v>
      </c>
      <c r="AD858" s="26">
        <v>0.99799732977303068</v>
      </c>
      <c r="AE858" s="26">
        <v>1</v>
      </c>
      <c r="AF858" s="26">
        <v>0.99283387622149832</v>
      </c>
      <c r="AG858" s="26">
        <v>0.99550210227828295</v>
      </c>
      <c r="AH858" s="28">
        <v>0.92</v>
      </c>
      <c r="AI858" s="26">
        <v>0.90172239108409324</v>
      </c>
      <c r="AJ858" s="26">
        <v>0.91032679738562094</v>
      </c>
      <c r="AK858" s="26">
        <v>0.93268379096545617</v>
      </c>
      <c r="AL858" s="26">
        <v>0.89918760390201058</v>
      </c>
      <c r="AM858" s="25">
        <v>0.99</v>
      </c>
      <c r="AN858" s="30">
        <v>1</v>
      </c>
      <c r="AO858" s="30">
        <v>1</v>
      </c>
      <c r="AP858" s="30">
        <v>1</v>
      </c>
      <c r="AQ858" s="30">
        <v>1</v>
      </c>
      <c r="AR858" s="50">
        <v>8.1059522893420499E-2</v>
      </c>
      <c r="AS858" s="34">
        <v>0.16666666666666666</v>
      </c>
      <c r="AT858" s="34">
        <v>0</v>
      </c>
      <c r="AU858" s="34">
        <v>0.18181818181818182</v>
      </c>
      <c r="AV858" s="34">
        <v>9.8039215686274508E-2</v>
      </c>
      <c r="AW858" s="10"/>
      <c r="AX858" s="8"/>
    </row>
    <row r="859" spans="1:50">
      <c r="A859" s="7"/>
      <c r="B859" s="10"/>
      <c r="C859" s="45" t="s">
        <v>688</v>
      </c>
      <c r="D859" s="23" t="s">
        <v>21</v>
      </c>
      <c r="E859" s="68" t="s">
        <v>904</v>
      </c>
      <c r="F859" s="68" t="s">
        <v>904</v>
      </c>
      <c r="G859" s="68" t="s">
        <v>904</v>
      </c>
      <c r="H859" s="68" t="s">
        <v>904</v>
      </c>
      <c r="I859" s="25">
        <v>0.9</v>
      </c>
      <c r="J859" s="26">
        <v>1</v>
      </c>
      <c r="K859" s="26">
        <v>1</v>
      </c>
      <c r="L859" s="27">
        <v>0.97777777777777775</v>
      </c>
      <c r="M859" s="26">
        <v>0.99065420560747663</v>
      </c>
      <c r="N859" s="28">
        <v>0.9</v>
      </c>
      <c r="O859" s="26">
        <v>0.96746007833684844</v>
      </c>
      <c r="P859" s="26">
        <v>0.97580889023283945</v>
      </c>
      <c r="Q859" s="26">
        <v>0.95978287688132247</v>
      </c>
      <c r="R859" s="26">
        <v>0.94406932659324783</v>
      </c>
      <c r="S859" s="28">
        <v>0.9</v>
      </c>
      <c r="T859" s="26">
        <v>0.90268153058150047</v>
      </c>
      <c r="U859" s="26">
        <v>0.95706078016328999</v>
      </c>
      <c r="V859" s="26">
        <v>0.94251171971379222</v>
      </c>
      <c r="W859" s="26">
        <v>0.9333453692002166</v>
      </c>
      <c r="X859" s="28">
        <v>0.92</v>
      </c>
      <c r="Y859" s="28">
        <v>0.73232323232323238</v>
      </c>
      <c r="Z859" s="28">
        <v>0.90512820512820513</v>
      </c>
      <c r="AA859" s="28">
        <v>0.875</v>
      </c>
      <c r="AB859" s="28">
        <v>0.8205787781350482</v>
      </c>
      <c r="AC859" s="28">
        <v>0.92</v>
      </c>
      <c r="AD859" s="26">
        <v>1</v>
      </c>
      <c r="AE859" s="26">
        <v>0.99156118143459915</v>
      </c>
      <c r="AF859" s="26">
        <v>0.99044585987261147</v>
      </c>
      <c r="AG859" s="26">
        <v>0.98493626882966401</v>
      </c>
      <c r="AH859" s="28">
        <v>0.92</v>
      </c>
      <c r="AI859" s="26">
        <v>0.9246102734474827</v>
      </c>
      <c r="AJ859" s="26">
        <v>0.97646740600486881</v>
      </c>
      <c r="AK859" s="26">
        <v>0.97130339539978094</v>
      </c>
      <c r="AL859" s="26">
        <v>0.95664400494437574</v>
      </c>
      <c r="AM859" s="25">
        <v>0.99</v>
      </c>
      <c r="AN859" s="30">
        <v>1</v>
      </c>
      <c r="AO859" s="30">
        <v>1</v>
      </c>
      <c r="AP859" s="30">
        <v>1</v>
      </c>
      <c r="AQ859" s="30">
        <v>1</v>
      </c>
      <c r="AR859" s="50">
        <v>8.1059522893420499E-2</v>
      </c>
      <c r="AS859" s="34">
        <v>0</v>
      </c>
      <c r="AT859" s="34">
        <v>0</v>
      </c>
      <c r="AU859" s="34">
        <v>9.0909090909090912E-2</v>
      </c>
      <c r="AV859" s="34">
        <v>4.7058823529411764E-2</v>
      </c>
      <c r="AW859" s="10"/>
      <c r="AX859" s="8"/>
    </row>
    <row r="860" spans="1:50">
      <c r="A860" s="7"/>
      <c r="B860" s="10"/>
      <c r="C860" s="45" t="s">
        <v>688</v>
      </c>
      <c r="D860" s="23" t="s">
        <v>21</v>
      </c>
      <c r="E860" s="68" t="s">
        <v>905</v>
      </c>
      <c r="F860" s="68" t="s">
        <v>905</v>
      </c>
      <c r="G860" s="68" t="s">
        <v>905</v>
      </c>
      <c r="H860" s="68" t="s">
        <v>905</v>
      </c>
      <c r="I860" s="25">
        <v>0.9</v>
      </c>
      <c r="J860" s="26">
        <v>0.95652173913043481</v>
      </c>
      <c r="K860" s="26">
        <v>1</v>
      </c>
      <c r="L860" s="27">
        <v>0.8936170212765957</v>
      </c>
      <c r="M860" s="26">
        <v>0.90835579514824794</v>
      </c>
      <c r="N860" s="28">
        <v>0.9</v>
      </c>
      <c r="O860" s="26">
        <v>0.91706846673095466</v>
      </c>
      <c r="P860" s="26">
        <v>0.89664396887159536</v>
      </c>
      <c r="Q860" s="26">
        <v>0.88000830392360385</v>
      </c>
      <c r="R860" s="26">
        <v>0.89884543533519123</v>
      </c>
      <c r="S860" s="28">
        <v>0.9</v>
      </c>
      <c r="T860" s="26">
        <v>0.8987463837994214</v>
      </c>
      <c r="U860" s="26">
        <v>0.89275291828793779</v>
      </c>
      <c r="V860" s="26">
        <v>0.84679260950799251</v>
      </c>
      <c r="W860" s="26">
        <v>0.87327351238783568</v>
      </c>
      <c r="X860" s="28">
        <v>0.92</v>
      </c>
      <c r="Y860" s="28">
        <v>0.87482419127988753</v>
      </c>
      <c r="Z860" s="28">
        <v>0.89674952198852775</v>
      </c>
      <c r="AA860" s="28">
        <v>0.82784431137724546</v>
      </c>
      <c r="AB860" s="28">
        <v>0.86495063469675604</v>
      </c>
      <c r="AC860" s="28">
        <v>0.92</v>
      </c>
      <c r="AD860" s="26">
        <v>1</v>
      </c>
      <c r="AE860" s="26">
        <v>0.99306358381502891</v>
      </c>
      <c r="AF860" s="26">
        <v>0.99119911991199117</v>
      </c>
      <c r="AG860" s="26">
        <v>0.99310277831746652</v>
      </c>
      <c r="AH860" s="28">
        <v>0.92</v>
      </c>
      <c r="AI860" s="26">
        <v>0.94979423868312762</v>
      </c>
      <c r="AJ860" s="26">
        <v>0.96267529665587914</v>
      </c>
      <c r="AK860" s="26">
        <v>0.94840474020054699</v>
      </c>
      <c r="AL860" s="26">
        <v>0.95253874654281689</v>
      </c>
      <c r="AM860" s="25">
        <v>0.99</v>
      </c>
      <c r="AN860" s="30">
        <v>1</v>
      </c>
      <c r="AO860" s="30">
        <v>1</v>
      </c>
      <c r="AP860" s="30">
        <v>1</v>
      </c>
      <c r="AQ860" s="30">
        <v>1</v>
      </c>
      <c r="AR860" s="50">
        <v>8.1059522893420499E-2</v>
      </c>
      <c r="AS860" s="34">
        <v>7.6923076923076927E-2</v>
      </c>
      <c r="AT860" s="34">
        <v>0</v>
      </c>
      <c r="AU860" s="34">
        <v>0</v>
      </c>
      <c r="AV860" s="34">
        <v>8.7591240875912413E-2</v>
      </c>
      <c r="AW860" s="10"/>
      <c r="AX860" s="8"/>
    </row>
    <row r="861" spans="1:50">
      <c r="A861" s="7"/>
      <c r="B861" s="10"/>
      <c r="C861" s="45" t="s">
        <v>688</v>
      </c>
      <c r="D861" s="23" t="s">
        <v>21</v>
      </c>
      <c r="E861" s="68" t="s">
        <v>906</v>
      </c>
      <c r="F861" s="68" t="s">
        <v>906</v>
      </c>
      <c r="G861" s="68" t="s">
        <v>906</v>
      </c>
      <c r="H861" s="68" t="s">
        <v>906</v>
      </c>
      <c r="I861" s="25">
        <v>0.9</v>
      </c>
      <c r="J861" s="26">
        <v>0.96721311475409832</v>
      </c>
      <c r="K861" s="26">
        <v>0.96875</v>
      </c>
      <c r="L861" s="27">
        <v>0.93939393939393945</v>
      </c>
      <c r="M861" s="26">
        <v>0.92546583850931674</v>
      </c>
      <c r="N861" s="28">
        <v>0.9</v>
      </c>
      <c r="O861" s="26">
        <v>0.61575875486381326</v>
      </c>
      <c r="P861" s="26">
        <v>0.7914911541701769</v>
      </c>
      <c r="Q861" s="26">
        <v>0.77592093441150045</v>
      </c>
      <c r="R861" s="26">
        <v>0.73909867993940703</v>
      </c>
      <c r="S861" s="28">
        <v>0.9</v>
      </c>
      <c r="T861" s="26">
        <v>0.8599221789883269</v>
      </c>
      <c r="U861" s="26">
        <v>0.90606571187868579</v>
      </c>
      <c r="V861" s="26">
        <v>0.90314465408805034</v>
      </c>
      <c r="W861" s="26">
        <v>0.88771369833369396</v>
      </c>
      <c r="X861" s="28">
        <v>0.92</v>
      </c>
      <c r="Y861" s="28">
        <v>0.8246305418719212</v>
      </c>
      <c r="Z861" s="28">
        <v>0.89497716894977164</v>
      </c>
      <c r="AA861" s="28">
        <v>0.90150637311703363</v>
      </c>
      <c r="AB861" s="28">
        <v>0.87286527514231504</v>
      </c>
      <c r="AC861" s="28">
        <v>0.92</v>
      </c>
      <c r="AD861" s="26">
        <v>0.99876237623762376</v>
      </c>
      <c r="AE861" s="26">
        <v>0.99695121951219512</v>
      </c>
      <c r="AF861" s="26">
        <v>0.8718801996672213</v>
      </c>
      <c r="AG861" s="26">
        <v>0.9784553587730509</v>
      </c>
      <c r="AH861" s="28">
        <v>0.92</v>
      </c>
      <c r="AI861" s="26">
        <v>0.93062550771730301</v>
      </c>
      <c r="AJ861" s="26">
        <v>0.95633672525439406</v>
      </c>
      <c r="AK861" s="26">
        <v>0.96406347230864964</v>
      </c>
      <c r="AL861" s="26">
        <v>0.9496337205321892</v>
      </c>
      <c r="AM861" s="25">
        <v>0.99</v>
      </c>
      <c r="AN861" s="30">
        <v>1</v>
      </c>
      <c r="AO861" s="30">
        <v>1</v>
      </c>
      <c r="AP861" s="30">
        <v>1</v>
      </c>
      <c r="AQ861" s="30">
        <v>1</v>
      </c>
      <c r="AR861" s="50">
        <v>8.1059522893420499E-2</v>
      </c>
      <c r="AS861" s="34">
        <v>6.25E-2</v>
      </c>
      <c r="AT861" s="34">
        <v>0.13636363636363635</v>
      </c>
      <c r="AU861" s="34">
        <v>6.8965517241379309E-2</v>
      </c>
      <c r="AV861" s="34">
        <v>8.5526315789473686E-2</v>
      </c>
      <c r="AW861" s="10"/>
      <c r="AX861" s="8"/>
    </row>
    <row r="862" spans="1:50">
      <c r="A862" s="7"/>
      <c r="B862" s="10"/>
      <c r="C862" s="45" t="s">
        <v>688</v>
      </c>
      <c r="D862" s="23" t="s">
        <v>21</v>
      </c>
      <c r="E862" s="68" t="s">
        <v>907</v>
      </c>
      <c r="F862" s="68" t="s">
        <v>907</v>
      </c>
      <c r="G862" s="68" t="s">
        <v>907</v>
      </c>
      <c r="H862" s="68" t="s">
        <v>907</v>
      </c>
      <c r="I862" s="25">
        <v>0.9</v>
      </c>
      <c r="J862" s="26">
        <v>0.83333333333333337</v>
      </c>
      <c r="K862" s="26">
        <v>0.89130434782608692</v>
      </c>
      <c r="L862" s="27">
        <v>0.82608695652173914</v>
      </c>
      <c r="M862" s="26">
        <v>0.83606557377049184</v>
      </c>
      <c r="N862" s="28">
        <v>0.9</v>
      </c>
      <c r="O862" s="26">
        <v>0.93505412156536216</v>
      </c>
      <c r="P862" s="26">
        <v>0.90169397389613992</v>
      </c>
      <c r="Q862" s="26">
        <v>0.87485488739261663</v>
      </c>
      <c r="R862" s="26">
        <v>0.87729563364561847</v>
      </c>
      <c r="S862" s="28">
        <v>0.9</v>
      </c>
      <c r="T862" s="26">
        <v>0.90618928670552312</v>
      </c>
      <c r="U862" s="26">
        <v>0.92696473201888363</v>
      </c>
      <c r="V862" s="26">
        <v>0.90596703041560256</v>
      </c>
      <c r="W862" s="26">
        <v>0.90421753982480468</v>
      </c>
      <c r="X862" s="28">
        <v>0.92</v>
      </c>
      <c r="Y862" s="28">
        <v>0.91035548686244205</v>
      </c>
      <c r="Z862" s="28">
        <v>0.89320388349514568</v>
      </c>
      <c r="AA862" s="28">
        <v>0.9369527145359019</v>
      </c>
      <c r="AB862" s="28">
        <v>0.90316045380875198</v>
      </c>
      <c r="AC862" s="28">
        <v>0.92</v>
      </c>
      <c r="AD862" s="26">
        <v>0.99769585253456217</v>
      </c>
      <c r="AE862" s="26">
        <v>0.98778004073319758</v>
      </c>
      <c r="AF862" s="26">
        <v>0.99076212471131642</v>
      </c>
      <c r="AG862" s="26">
        <v>0.99352560329605655</v>
      </c>
      <c r="AH862" s="28">
        <v>0.92</v>
      </c>
      <c r="AI862" s="26">
        <v>0.95482352941176474</v>
      </c>
      <c r="AJ862" s="26">
        <v>0.97059556441564909</v>
      </c>
      <c r="AK862" s="26">
        <v>0.97683476834768346</v>
      </c>
      <c r="AL862" s="26">
        <v>0.96461177288931399</v>
      </c>
      <c r="AM862" s="25">
        <v>0.99</v>
      </c>
      <c r="AN862" s="30">
        <v>1</v>
      </c>
      <c r="AO862" s="30">
        <v>1</v>
      </c>
      <c r="AP862" s="30">
        <v>1</v>
      </c>
      <c r="AQ862" s="30">
        <v>1</v>
      </c>
      <c r="AR862" s="50">
        <v>8.1059522893420499E-2</v>
      </c>
      <c r="AS862" s="34">
        <v>0</v>
      </c>
      <c r="AT862" s="34">
        <v>9.0909090909090912E-2</v>
      </c>
      <c r="AU862" s="34">
        <v>0</v>
      </c>
      <c r="AV862" s="34">
        <v>8.2758620689655171E-2</v>
      </c>
      <c r="AW862" s="10"/>
      <c r="AX862" s="8"/>
    </row>
    <row r="863" spans="1:50">
      <c r="A863" s="7"/>
      <c r="B863" s="10"/>
      <c r="C863" s="45" t="s">
        <v>688</v>
      </c>
      <c r="D863" s="23" t="s">
        <v>21</v>
      </c>
      <c r="E863" s="68" t="s">
        <v>908</v>
      </c>
      <c r="F863" s="68" t="s">
        <v>908</v>
      </c>
      <c r="G863" s="68" t="s">
        <v>908</v>
      </c>
      <c r="H863" s="68" t="s">
        <v>908</v>
      </c>
      <c r="I863" s="25">
        <v>0.9</v>
      </c>
      <c r="J863" s="26">
        <v>0.86</v>
      </c>
      <c r="K863" s="26">
        <v>0.9</v>
      </c>
      <c r="L863" s="27">
        <v>0.90740740740740744</v>
      </c>
      <c r="M863" s="26">
        <v>0.89195979899497491</v>
      </c>
      <c r="N863" s="28">
        <v>0.9</v>
      </c>
      <c r="O863" s="26">
        <v>0.97776309995596655</v>
      </c>
      <c r="P863" s="26">
        <v>0.97210113339145598</v>
      </c>
      <c r="Q863" s="26">
        <v>0.94896976699403046</v>
      </c>
      <c r="R863" s="26">
        <v>0.9562231759656652</v>
      </c>
      <c r="S863" s="28">
        <v>0.9</v>
      </c>
      <c r="T863" s="26">
        <v>0.91369440774988997</v>
      </c>
      <c r="U863" s="26">
        <v>0.91477768090671319</v>
      </c>
      <c r="V863" s="26">
        <v>0.91392258809936455</v>
      </c>
      <c r="W863" s="26">
        <v>0.91691579103152288</v>
      </c>
      <c r="X863" s="28">
        <v>0.92</v>
      </c>
      <c r="Y863" s="28">
        <v>0.91752577319587625</v>
      </c>
      <c r="Z863" s="28">
        <v>0.93297101449275366</v>
      </c>
      <c r="AA863" s="28">
        <v>0.94256259204712811</v>
      </c>
      <c r="AB863" s="28">
        <v>0.92115211521152118</v>
      </c>
      <c r="AC863" s="28">
        <v>0.92</v>
      </c>
      <c r="AD863" s="26">
        <v>0.99844479004665632</v>
      </c>
      <c r="AE863" s="26">
        <v>0.9927338782924614</v>
      </c>
      <c r="AF863" s="26">
        <v>0.99410898379970547</v>
      </c>
      <c r="AG863" s="26">
        <v>0.98810957254665865</v>
      </c>
      <c r="AH863" s="28">
        <v>0.92</v>
      </c>
      <c r="AI863" s="26">
        <v>0.95035727717186913</v>
      </c>
      <c r="AJ863" s="26">
        <v>0.9680995915191597</v>
      </c>
      <c r="AK863" s="26">
        <v>0.96679155313351495</v>
      </c>
      <c r="AL863" s="26">
        <v>0.9617965533018149</v>
      </c>
      <c r="AM863" s="25">
        <v>0.99</v>
      </c>
      <c r="AN863" s="30">
        <v>1</v>
      </c>
      <c r="AO863" s="30">
        <v>1</v>
      </c>
      <c r="AP863" s="30">
        <v>1</v>
      </c>
      <c r="AQ863" s="30">
        <v>1</v>
      </c>
      <c r="AR863" s="50">
        <v>8.1059522893420499E-2</v>
      </c>
      <c r="AS863" s="34">
        <v>4.7619047619047616E-2</v>
      </c>
      <c r="AT863" s="34">
        <v>5.5555555555555552E-2</v>
      </c>
      <c r="AU863" s="34">
        <v>9.0909090909090912E-2</v>
      </c>
      <c r="AV863" s="34">
        <v>6.9230769230769235E-2</v>
      </c>
      <c r="AW863" s="10"/>
      <c r="AX863" s="8"/>
    </row>
    <row r="864" spans="1:50">
      <c r="A864" s="7"/>
      <c r="B864" s="10"/>
      <c r="C864" s="45" t="s">
        <v>688</v>
      </c>
      <c r="D864" s="23" t="s">
        <v>21</v>
      </c>
      <c r="E864" s="68" t="s">
        <v>909</v>
      </c>
      <c r="F864" s="68" t="s">
        <v>909</v>
      </c>
      <c r="G864" s="68" t="s">
        <v>909</v>
      </c>
      <c r="H864" s="68" t="s">
        <v>909</v>
      </c>
      <c r="I864" s="25">
        <v>0.9</v>
      </c>
      <c r="J864" s="26">
        <v>0.98113207547169812</v>
      </c>
      <c r="K864" s="26">
        <v>0.92727272727272725</v>
      </c>
      <c r="L864" s="27">
        <v>0.94545454545454544</v>
      </c>
      <c r="M864" s="26">
        <v>0.94835680751173712</v>
      </c>
      <c r="N864" s="28">
        <v>0.9</v>
      </c>
      <c r="O864" s="26">
        <v>0.89190317195325541</v>
      </c>
      <c r="P864" s="26">
        <v>0.78013754045307449</v>
      </c>
      <c r="Q864" s="26">
        <v>0.85898316729646174</v>
      </c>
      <c r="R864" s="26">
        <v>0.87372960431745395</v>
      </c>
      <c r="S864" s="28">
        <v>0.9</v>
      </c>
      <c r="T864" s="26">
        <v>0.87103505843071782</v>
      </c>
      <c r="U864" s="26">
        <v>0.87277508090614886</v>
      </c>
      <c r="V864" s="26">
        <v>0.8849192717279285</v>
      </c>
      <c r="W864" s="26">
        <v>0.87627670037575967</v>
      </c>
      <c r="X864" s="28">
        <v>0.92</v>
      </c>
      <c r="Y864" s="28">
        <v>0.89608801955990225</v>
      </c>
      <c r="Z864" s="28">
        <v>0.88508064516129037</v>
      </c>
      <c r="AA864" s="28">
        <v>0.88534107402031925</v>
      </c>
      <c r="AB864" s="28">
        <v>0.86899286280729582</v>
      </c>
      <c r="AC864" s="28">
        <v>0.92</v>
      </c>
      <c r="AD864" s="26">
        <v>0.99212598425196852</v>
      </c>
      <c r="AE864" s="26">
        <v>0.96460176991150437</v>
      </c>
      <c r="AF864" s="26">
        <v>0.96385542168674698</v>
      </c>
      <c r="AG864" s="26">
        <v>0.97733918128654973</v>
      </c>
      <c r="AH864" s="28">
        <v>0.92</v>
      </c>
      <c r="AI864" s="26">
        <v>0.95169340463458107</v>
      </c>
      <c r="AJ864" s="26">
        <v>0.96121323529411762</v>
      </c>
      <c r="AK864" s="26">
        <v>0.96636461373060978</v>
      </c>
      <c r="AL864" s="26">
        <v>0.95665607728795854</v>
      </c>
      <c r="AM864" s="25">
        <v>0.99</v>
      </c>
      <c r="AN864" s="30">
        <v>1</v>
      </c>
      <c r="AO864" s="30">
        <v>1</v>
      </c>
      <c r="AP864" s="30">
        <v>1</v>
      </c>
      <c r="AQ864" s="30">
        <v>1</v>
      </c>
      <c r="AR864" s="50">
        <v>8.1059522893420499E-2</v>
      </c>
      <c r="AS864" s="34">
        <v>0</v>
      </c>
      <c r="AT864" s="34">
        <v>0</v>
      </c>
      <c r="AU864" s="34">
        <v>0</v>
      </c>
      <c r="AV864" s="34">
        <v>5.3846153846153849E-2</v>
      </c>
      <c r="AW864" s="10"/>
      <c r="AX864" s="8"/>
    </row>
    <row r="865" spans="1:50">
      <c r="A865" s="7"/>
      <c r="B865" s="10"/>
      <c r="C865" s="45" t="s">
        <v>688</v>
      </c>
      <c r="D865" s="23" t="s">
        <v>21</v>
      </c>
      <c r="E865" s="68" t="s">
        <v>910</v>
      </c>
      <c r="F865" s="68" t="s">
        <v>910</v>
      </c>
      <c r="G865" s="68" t="s">
        <v>910</v>
      </c>
      <c r="H865" s="68" t="s">
        <v>910</v>
      </c>
      <c r="I865" s="25">
        <v>0.9</v>
      </c>
      <c r="J865" s="26">
        <v>0.8571428571428571</v>
      </c>
      <c r="K865" s="26">
        <v>0.90476190476190477</v>
      </c>
      <c r="L865" s="27">
        <v>0.80952380952380953</v>
      </c>
      <c r="M865" s="26">
        <v>0.77300613496932513</v>
      </c>
      <c r="N865" s="28">
        <v>0.9</v>
      </c>
      <c r="O865" s="26">
        <v>0.95087265675500965</v>
      </c>
      <c r="P865" s="26">
        <v>0.89473684210526316</v>
      </c>
      <c r="Q865" s="26">
        <v>0.93857868020304569</v>
      </c>
      <c r="R865" s="26">
        <v>0.93094048159927301</v>
      </c>
      <c r="S865" s="28">
        <v>0.9</v>
      </c>
      <c r="T865" s="26">
        <v>0.93729799612152553</v>
      </c>
      <c r="U865" s="26">
        <v>0.93671679197994984</v>
      </c>
      <c r="V865" s="26">
        <v>0.92994923857868017</v>
      </c>
      <c r="W865" s="26">
        <v>0.93283356050280175</v>
      </c>
      <c r="X865" s="28">
        <v>0.92</v>
      </c>
      <c r="Y865" s="28">
        <v>0.90136054421768708</v>
      </c>
      <c r="Z865" s="28">
        <v>0.87745098039215685</v>
      </c>
      <c r="AA865" s="28">
        <v>0.89873417721518989</v>
      </c>
      <c r="AB865" s="28">
        <v>0.88976705490848584</v>
      </c>
      <c r="AC865" s="28">
        <v>0.92</v>
      </c>
      <c r="AD865" s="26">
        <v>1</v>
      </c>
      <c r="AE865" s="26">
        <v>0.9821428571428571</v>
      </c>
      <c r="AF865" s="26">
        <v>0.93877551020408168</v>
      </c>
      <c r="AG865" s="26">
        <v>0.95794392523364491</v>
      </c>
      <c r="AH865" s="28">
        <v>0.92</v>
      </c>
      <c r="AI865" s="26">
        <v>0.95654535578489952</v>
      </c>
      <c r="AJ865" s="26">
        <v>0.95833333333333337</v>
      </c>
      <c r="AK865" s="26">
        <v>0.96412948381452324</v>
      </c>
      <c r="AL865" s="26">
        <v>0.95938761129972461</v>
      </c>
      <c r="AM865" s="25">
        <v>0.99</v>
      </c>
      <c r="AN865" s="30">
        <v>1</v>
      </c>
      <c r="AO865" s="30">
        <v>1</v>
      </c>
      <c r="AP865" s="30">
        <v>1</v>
      </c>
      <c r="AQ865" s="30">
        <v>1</v>
      </c>
      <c r="AR865" s="50">
        <v>8.1059522893420499E-2</v>
      </c>
      <c r="AS865" s="34">
        <v>0</v>
      </c>
      <c r="AT865" s="34">
        <v>0</v>
      </c>
      <c r="AU865" s="34">
        <v>0</v>
      </c>
      <c r="AV865" s="34">
        <v>2.0408163265306121E-2</v>
      </c>
      <c r="AW865" s="10"/>
      <c r="AX865" s="8"/>
    </row>
    <row r="866" spans="1:50">
      <c r="A866" s="7"/>
      <c r="B866" s="10"/>
      <c r="C866" s="45" t="s">
        <v>688</v>
      </c>
      <c r="D866" s="23" t="s">
        <v>21</v>
      </c>
      <c r="E866" s="68" t="s">
        <v>911</v>
      </c>
      <c r="F866" s="68" t="s">
        <v>911</v>
      </c>
      <c r="G866" s="68" t="s">
        <v>911</v>
      </c>
      <c r="H866" s="68" t="s">
        <v>911</v>
      </c>
      <c r="I866" s="25">
        <v>0.9</v>
      </c>
      <c r="J866" s="26">
        <v>1</v>
      </c>
      <c r="K866" s="26">
        <v>1</v>
      </c>
      <c r="L866" s="27">
        <v>1</v>
      </c>
      <c r="M866" s="26">
        <v>0.99386503067484666</v>
      </c>
      <c r="N866" s="28">
        <v>0.9</v>
      </c>
      <c r="O866" s="26">
        <v>0.94128113879003561</v>
      </c>
      <c r="P866" s="26">
        <v>1.1068068622025456E-3</v>
      </c>
      <c r="Q866" s="26">
        <v>0.97562037440139315</v>
      </c>
      <c r="R866" s="26">
        <v>0.85386275920716947</v>
      </c>
      <c r="S866" s="28">
        <v>0.9</v>
      </c>
      <c r="T866" s="26">
        <v>0.8944246737841044</v>
      </c>
      <c r="U866" s="26">
        <v>0.69286109573879362</v>
      </c>
      <c r="V866" s="26">
        <v>0.94862864606007835</v>
      </c>
      <c r="W866" s="26">
        <v>0.90109243147772622</v>
      </c>
      <c r="X866" s="28">
        <v>0.92</v>
      </c>
      <c r="Y866" s="28">
        <v>0.83881578947368418</v>
      </c>
      <c r="Z866" s="28">
        <v>0.76439790575916233</v>
      </c>
      <c r="AA866" s="28">
        <v>0.85302593659942361</v>
      </c>
      <c r="AB866" s="28">
        <v>0.81853734845522097</v>
      </c>
      <c r="AC866" s="28">
        <v>0.92</v>
      </c>
      <c r="AD866" s="26">
        <v>0.99507389162561577</v>
      </c>
      <c r="AE866" s="26">
        <v>0.96913580246913578</v>
      </c>
      <c r="AF866" s="26">
        <v>0.98701298701298701</v>
      </c>
      <c r="AG866" s="26">
        <v>0.98590755355129656</v>
      </c>
      <c r="AH866" s="28">
        <v>0.92</v>
      </c>
      <c r="AI866" s="26">
        <v>0.95125628140703522</v>
      </c>
      <c r="AJ866" s="26">
        <v>0.9614614614614615</v>
      </c>
      <c r="AK866" s="26">
        <v>0.9659606656580938</v>
      </c>
      <c r="AL866" s="26">
        <v>0.95768885900022416</v>
      </c>
      <c r="AM866" s="25">
        <v>0.99</v>
      </c>
      <c r="AN866" s="30">
        <v>1</v>
      </c>
      <c r="AO866" s="30">
        <v>1</v>
      </c>
      <c r="AP866" s="30">
        <v>1</v>
      </c>
      <c r="AQ866" s="30">
        <v>1</v>
      </c>
      <c r="AR866" s="50">
        <v>8.1059522893420499E-2</v>
      </c>
      <c r="AS866" s="34">
        <v>0</v>
      </c>
      <c r="AT866" s="34">
        <v>0</v>
      </c>
      <c r="AU866" s="34">
        <v>0.1</v>
      </c>
      <c r="AV866" s="34">
        <v>5.6603773584905662E-2</v>
      </c>
      <c r="AW866" s="10"/>
      <c r="AX866" s="8"/>
    </row>
    <row r="867" spans="1:50">
      <c r="A867" s="7"/>
      <c r="B867" s="10"/>
      <c r="C867" s="45" t="s">
        <v>688</v>
      </c>
      <c r="D867" s="23" t="s">
        <v>21</v>
      </c>
      <c r="E867" s="68" t="s">
        <v>912</v>
      </c>
      <c r="F867" s="68" t="s">
        <v>912</v>
      </c>
      <c r="G867" s="68" t="s">
        <v>912</v>
      </c>
      <c r="H867" s="68" t="s">
        <v>912</v>
      </c>
      <c r="I867" s="25">
        <v>0.9</v>
      </c>
      <c r="J867" s="26">
        <v>0.93103448275862066</v>
      </c>
      <c r="K867" s="26">
        <v>1</v>
      </c>
      <c r="L867" s="27">
        <v>1</v>
      </c>
      <c r="M867" s="26">
        <v>0.9598214285714286</v>
      </c>
      <c r="N867" s="28">
        <v>0.9</v>
      </c>
      <c r="O867" s="26">
        <v>0.99144438852541517</v>
      </c>
      <c r="P867" s="26">
        <v>7.653528872593951E-2</v>
      </c>
      <c r="Q867" s="26">
        <v>0.9875824602250679</v>
      </c>
      <c r="R867" s="26">
        <v>0.87319835277968427</v>
      </c>
      <c r="S867" s="28">
        <v>0.9</v>
      </c>
      <c r="T867" s="26">
        <v>0.94011071967790638</v>
      </c>
      <c r="U867" s="26">
        <v>0.93675527039413387</v>
      </c>
      <c r="V867" s="26">
        <v>0.94722545595653862</v>
      </c>
      <c r="W867" s="26">
        <v>0.93840082361015786</v>
      </c>
      <c r="X867" s="28">
        <v>0.92</v>
      </c>
      <c r="Y867" s="28">
        <v>0.8651162790697674</v>
      </c>
      <c r="Z867" s="28">
        <v>0.87084870848708484</v>
      </c>
      <c r="AA867" s="28">
        <v>0.94906166219839139</v>
      </c>
      <c r="AB867" s="28">
        <v>0.9140926640926641</v>
      </c>
      <c r="AC867" s="28">
        <v>0.92</v>
      </c>
      <c r="AD867" s="26">
        <v>0.98809523809523814</v>
      </c>
      <c r="AE867" s="26">
        <v>0.98630136986301364</v>
      </c>
      <c r="AF867" s="26">
        <v>0.97101449275362317</v>
      </c>
      <c r="AG867" s="26">
        <v>0.9850746268656716</v>
      </c>
      <c r="AH867" s="28">
        <v>0.92</v>
      </c>
      <c r="AI867" s="26">
        <v>0.94911046752172112</v>
      </c>
      <c r="AJ867" s="26">
        <v>0.96860986547085204</v>
      </c>
      <c r="AK867" s="26">
        <v>0.981362250084717</v>
      </c>
      <c r="AL867" s="26">
        <v>0.97037828388287284</v>
      </c>
      <c r="AM867" s="25">
        <v>0.99</v>
      </c>
      <c r="AN867" s="30">
        <v>1</v>
      </c>
      <c r="AO867" s="30">
        <v>1</v>
      </c>
      <c r="AP867" s="30">
        <v>1</v>
      </c>
      <c r="AQ867" s="30">
        <v>1</v>
      </c>
      <c r="AR867" s="50">
        <v>8.1059522893420499E-2</v>
      </c>
      <c r="AS867" s="34">
        <v>0.1111111111111111</v>
      </c>
      <c r="AT867" s="34">
        <v>0.125</v>
      </c>
      <c r="AU867" s="34">
        <v>0</v>
      </c>
      <c r="AV867" s="34">
        <v>6.25E-2</v>
      </c>
      <c r="AW867" s="10"/>
      <c r="AX867" s="8"/>
    </row>
    <row r="868" spans="1:50">
      <c r="A868" s="7"/>
      <c r="B868" s="10"/>
      <c r="C868" s="45" t="s">
        <v>688</v>
      </c>
      <c r="D868" s="23" t="s">
        <v>21</v>
      </c>
      <c r="E868" s="68" t="s">
        <v>913</v>
      </c>
      <c r="F868" s="68" t="s">
        <v>913</v>
      </c>
      <c r="G868" s="68" t="s">
        <v>913</v>
      </c>
      <c r="H868" s="68" t="s">
        <v>913</v>
      </c>
      <c r="I868" s="25">
        <v>0.9</v>
      </c>
      <c r="J868" s="26">
        <v>0.84375</v>
      </c>
      <c r="K868" s="26">
        <v>0.8571428571428571</v>
      </c>
      <c r="L868" s="27">
        <v>0.78378378378378377</v>
      </c>
      <c r="M868" s="26">
        <v>0.8345588235294118</v>
      </c>
      <c r="N868" s="28">
        <v>0.9</v>
      </c>
      <c r="O868" s="26">
        <v>0.9024719101123595</v>
      </c>
      <c r="P868" s="26">
        <v>8.5616438356164379E-4</v>
      </c>
      <c r="Q868" s="26">
        <v>0.9701810436634718</v>
      </c>
      <c r="R868" s="26">
        <v>0.80828371731814652</v>
      </c>
      <c r="S868" s="28">
        <v>0.9</v>
      </c>
      <c r="T868" s="26">
        <v>0.9173033707865168</v>
      </c>
      <c r="U868" s="26">
        <v>0.9259417808219178</v>
      </c>
      <c r="V868" s="26">
        <v>0.93610223642172519</v>
      </c>
      <c r="W868" s="26">
        <v>0.91711105358529643</v>
      </c>
      <c r="X868" s="28">
        <v>0.92</v>
      </c>
      <c r="Y868" s="28">
        <v>0.69882352941176473</v>
      </c>
      <c r="Z868" s="28">
        <v>0.5993031358885017</v>
      </c>
      <c r="AA868" s="28">
        <v>0.89151873767258383</v>
      </c>
      <c r="AB868" s="28">
        <v>0.75871156661786232</v>
      </c>
      <c r="AC868" s="28">
        <v>0.92</v>
      </c>
      <c r="AD868" s="26">
        <v>1</v>
      </c>
      <c r="AE868" s="26">
        <v>1</v>
      </c>
      <c r="AF868" s="26">
        <v>0.96842105263157896</v>
      </c>
      <c r="AG868" s="26">
        <v>0.98762035763411282</v>
      </c>
      <c r="AH868" s="28">
        <v>0.92</v>
      </c>
      <c r="AI868" s="26">
        <v>0.92528301886792452</v>
      </c>
      <c r="AJ868" s="26">
        <v>0.92603888677087309</v>
      </c>
      <c r="AK868" s="26">
        <v>0.96690734055354999</v>
      </c>
      <c r="AL868" s="26">
        <v>0.93915530136383629</v>
      </c>
      <c r="AM868" s="25">
        <v>0.99</v>
      </c>
      <c r="AN868" s="30">
        <v>1</v>
      </c>
      <c r="AO868" s="30">
        <v>1</v>
      </c>
      <c r="AP868" s="30">
        <v>1</v>
      </c>
      <c r="AQ868" s="30">
        <v>1</v>
      </c>
      <c r="AR868" s="50">
        <v>8.1059522893420499E-2</v>
      </c>
      <c r="AS868" s="34">
        <v>0</v>
      </c>
      <c r="AT868" s="34">
        <v>9.0909090909090912E-2</v>
      </c>
      <c r="AU868" s="34">
        <v>0</v>
      </c>
      <c r="AV868" s="34">
        <v>2.6315789473684209E-2</v>
      </c>
      <c r="AW868" s="10"/>
      <c r="AX868" s="8"/>
    </row>
    <row r="869" spans="1:50">
      <c r="A869" s="7"/>
      <c r="B869" s="10"/>
      <c r="C869" s="45" t="s">
        <v>688</v>
      </c>
      <c r="D869" s="23" t="s">
        <v>21</v>
      </c>
      <c r="E869" s="68" t="s">
        <v>914</v>
      </c>
      <c r="F869" s="68" t="s">
        <v>914</v>
      </c>
      <c r="G869" s="68" t="s">
        <v>914</v>
      </c>
      <c r="H869" s="68" t="s">
        <v>914</v>
      </c>
      <c r="I869" s="25">
        <v>0.9</v>
      </c>
      <c r="J869" s="26">
        <v>1</v>
      </c>
      <c r="K869" s="26">
        <v>1</v>
      </c>
      <c r="L869" s="27">
        <v>0.95238095238095233</v>
      </c>
      <c r="M869" s="26">
        <v>0.98447204968944102</v>
      </c>
      <c r="N869" s="28">
        <v>0.9</v>
      </c>
      <c r="O869" s="26">
        <v>0.95054401582591497</v>
      </c>
      <c r="P869" s="26">
        <v>0.94681202510736706</v>
      </c>
      <c r="Q869" s="26">
        <v>0.96791147994467497</v>
      </c>
      <c r="R869" s="26">
        <v>0.96389236293218217</v>
      </c>
      <c r="S869" s="28">
        <v>0.9</v>
      </c>
      <c r="T869" s="26">
        <v>0.91361688097593141</v>
      </c>
      <c r="U869" s="26">
        <v>0.86719524281466798</v>
      </c>
      <c r="V869" s="26">
        <v>0.92807745504840944</v>
      </c>
      <c r="W869" s="26">
        <v>0.92314519707911402</v>
      </c>
      <c r="X869" s="28">
        <v>0.92</v>
      </c>
      <c r="Y869" s="28">
        <v>0.92592592592592593</v>
      </c>
      <c r="Z869" s="28">
        <v>0.91731266149870805</v>
      </c>
      <c r="AA869" s="28">
        <v>0.85462555066079293</v>
      </c>
      <c r="AB869" s="28">
        <v>0.89963099630996313</v>
      </c>
      <c r="AC869" s="28">
        <v>0.92</v>
      </c>
      <c r="AD869" s="26">
        <v>0.98496240601503759</v>
      </c>
      <c r="AE869" s="26">
        <v>0.99180327868852458</v>
      </c>
      <c r="AF869" s="26">
        <v>0.97841726618705038</v>
      </c>
      <c r="AG869" s="26">
        <v>0.9850746268656716</v>
      </c>
      <c r="AH869" s="28">
        <v>0.92</v>
      </c>
      <c r="AI869" s="26">
        <v>0.95882684715172029</v>
      </c>
      <c r="AJ869" s="26">
        <v>0.95957820738137078</v>
      </c>
      <c r="AK869" s="26">
        <v>0.95772917178667982</v>
      </c>
      <c r="AL869" s="26">
        <v>0.9623249688063219</v>
      </c>
      <c r="AM869" s="25">
        <v>0.99</v>
      </c>
      <c r="AN869" s="30">
        <v>1</v>
      </c>
      <c r="AO869" s="30">
        <v>1</v>
      </c>
      <c r="AP869" s="30">
        <v>1</v>
      </c>
      <c r="AQ869" s="30">
        <v>1</v>
      </c>
      <c r="AR869" s="50">
        <v>8.1059522893420499E-2</v>
      </c>
      <c r="AS869" s="34">
        <v>0.25</v>
      </c>
      <c r="AT869" s="34">
        <v>0</v>
      </c>
      <c r="AU869" s="34">
        <v>0.2</v>
      </c>
      <c r="AV869" s="34">
        <v>0.11702127659574468</v>
      </c>
      <c r="AW869" s="10"/>
      <c r="AX869" s="8"/>
    </row>
    <row r="870" spans="1:50">
      <c r="A870" s="7"/>
      <c r="B870" s="10"/>
      <c r="C870" s="45" t="s">
        <v>688</v>
      </c>
      <c r="D870" s="23" t="s">
        <v>21</v>
      </c>
      <c r="E870" s="68" t="s">
        <v>915</v>
      </c>
      <c r="F870" s="68" t="s">
        <v>915</v>
      </c>
      <c r="G870" s="68" t="s">
        <v>915</v>
      </c>
      <c r="H870" s="68" t="s">
        <v>915</v>
      </c>
      <c r="I870" s="25">
        <v>0.9</v>
      </c>
      <c r="J870" s="26">
        <v>0.90322580645161288</v>
      </c>
      <c r="K870" s="26">
        <v>0.75757575757575757</v>
      </c>
      <c r="L870" s="27">
        <v>0.79411764705882348</v>
      </c>
      <c r="M870" s="26">
        <v>0.77911646586345384</v>
      </c>
      <c r="N870" s="28">
        <v>0.9</v>
      </c>
      <c r="O870" s="26">
        <v>0.99576527525710834</v>
      </c>
      <c r="P870" s="26">
        <v>1.7513134851138354E-3</v>
      </c>
      <c r="Q870" s="26">
        <v>0.99904443382704256</v>
      </c>
      <c r="R870" s="26">
        <v>0.87035030697002524</v>
      </c>
      <c r="S870" s="28">
        <v>0.9</v>
      </c>
      <c r="T870" s="26">
        <v>0.90078644888082271</v>
      </c>
      <c r="U870" s="26">
        <v>0.92177466433158206</v>
      </c>
      <c r="V870" s="26">
        <v>0.93979933110367897</v>
      </c>
      <c r="W870" s="26">
        <v>0.93123871433730587</v>
      </c>
      <c r="X870" s="28">
        <v>0.92</v>
      </c>
      <c r="Y870" s="28">
        <v>0.92011834319526631</v>
      </c>
      <c r="Z870" s="28">
        <v>0.87665198237885467</v>
      </c>
      <c r="AA870" s="28">
        <v>0.9363636363636364</v>
      </c>
      <c r="AB870" s="28">
        <v>0.93583100836986843</v>
      </c>
      <c r="AC870" s="28">
        <v>0.92</v>
      </c>
      <c r="AD870" s="26">
        <v>0.99494949494949492</v>
      </c>
      <c r="AE870" s="26">
        <v>0.97131147540983609</v>
      </c>
      <c r="AF870" s="26">
        <v>0.98739495798319332</v>
      </c>
      <c r="AG870" s="26">
        <v>0.98131672597864772</v>
      </c>
      <c r="AH870" s="28">
        <v>0.92</v>
      </c>
      <c r="AI870" s="26">
        <v>0.95730788548468104</v>
      </c>
      <c r="AJ870" s="26">
        <v>0.96649484536082475</v>
      </c>
      <c r="AK870" s="26">
        <v>0.97482459760627327</v>
      </c>
      <c r="AL870" s="26">
        <v>0.97395132689250341</v>
      </c>
      <c r="AM870" s="25">
        <v>0.99</v>
      </c>
      <c r="AN870" s="30">
        <v>1</v>
      </c>
      <c r="AO870" s="30">
        <v>1</v>
      </c>
      <c r="AP870" s="30">
        <v>1</v>
      </c>
      <c r="AQ870" s="30">
        <v>1</v>
      </c>
      <c r="AR870" s="50">
        <v>8.1059522893420499E-2</v>
      </c>
      <c r="AS870" s="34">
        <v>0</v>
      </c>
      <c r="AT870" s="34">
        <v>0</v>
      </c>
      <c r="AU870" s="34">
        <v>0</v>
      </c>
      <c r="AV870" s="34">
        <v>0</v>
      </c>
      <c r="AW870" s="10"/>
      <c r="AX870" s="8"/>
    </row>
    <row r="871" spans="1:50">
      <c r="A871" s="7"/>
      <c r="B871" s="10"/>
      <c r="C871" s="45" t="s">
        <v>688</v>
      </c>
      <c r="D871" s="23" t="s">
        <v>21</v>
      </c>
      <c r="E871" s="68" t="s">
        <v>916</v>
      </c>
      <c r="F871" s="68" t="s">
        <v>916</v>
      </c>
      <c r="G871" s="68" t="s">
        <v>916</v>
      </c>
      <c r="H871" s="68" t="s">
        <v>916</v>
      </c>
      <c r="I871" s="25">
        <v>0.9</v>
      </c>
      <c r="J871" s="26">
        <v>0.88235294117647056</v>
      </c>
      <c r="K871" s="26">
        <v>0.94285714285714284</v>
      </c>
      <c r="L871" s="27">
        <v>0.94871794871794868</v>
      </c>
      <c r="M871" s="26">
        <v>0.89642857142857146</v>
      </c>
      <c r="N871" s="28">
        <v>0.9</v>
      </c>
      <c r="O871" s="26">
        <v>0.9553759662684469</v>
      </c>
      <c r="P871" s="26">
        <v>0.96559206447613144</v>
      </c>
      <c r="Q871" s="26">
        <v>0.97390109890109888</v>
      </c>
      <c r="R871" s="26">
        <v>0.9623277812050175</v>
      </c>
      <c r="S871" s="28">
        <v>0.9</v>
      </c>
      <c r="T871" s="26">
        <v>0.90583274771609279</v>
      </c>
      <c r="U871" s="26">
        <v>0.91785492870427776</v>
      </c>
      <c r="V871" s="26">
        <v>0.94505494505494503</v>
      </c>
      <c r="W871" s="26">
        <v>0.92354513674686411</v>
      </c>
      <c r="X871" s="28">
        <v>0.92</v>
      </c>
      <c r="Y871" s="28">
        <v>0.91645569620253164</v>
      </c>
      <c r="Z871" s="28">
        <v>0.95704948646125121</v>
      </c>
      <c r="AA871" s="28">
        <v>0.95615671641791045</v>
      </c>
      <c r="AB871" s="28">
        <v>0.93713500515286841</v>
      </c>
      <c r="AC871" s="28">
        <v>0.92</v>
      </c>
      <c r="AD871" s="26">
        <v>0.90639534883720929</v>
      </c>
      <c r="AE871" s="26">
        <v>0.98202614379084963</v>
      </c>
      <c r="AF871" s="26">
        <v>0.98660415271265911</v>
      </c>
      <c r="AG871" s="26">
        <v>0.97316511464904376</v>
      </c>
      <c r="AH871" s="28">
        <v>0.92</v>
      </c>
      <c r="AI871" s="26">
        <v>0.94445821968757748</v>
      </c>
      <c r="AJ871" s="26">
        <v>0.97837209302325578</v>
      </c>
      <c r="AK871" s="26">
        <v>0.98153650254668934</v>
      </c>
      <c r="AL871" s="26">
        <v>0.96776729559748431</v>
      </c>
      <c r="AM871" s="25">
        <v>0.99</v>
      </c>
      <c r="AN871" s="30">
        <v>1</v>
      </c>
      <c r="AO871" s="30">
        <v>1</v>
      </c>
      <c r="AP871" s="30">
        <v>1</v>
      </c>
      <c r="AQ871" s="30">
        <v>1</v>
      </c>
      <c r="AR871" s="50">
        <v>8.1059522893420499E-2</v>
      </c>
      <c r="AS871" s="34">
        <v>0.125</v>
      </c>
      <c r="AT871" s="34">
        <v>0.1111111111111111</v>
      </c>
      <c r="AU871" s="34">
        <v>0</v>
      </c>
      <c r="AV871" s="34">
        <v>6.280193236714976E-2</v>
      </c>
      <c r="AW871" s="10"/>
      <c r="AX871" s="8"/>
    </row>
    <row r="872" spans="1:50">
      <c r="A872" s="7"/>
      <c r="B872" s="10"/>
      <c r="C872" s="45" t="s">
        <v>688</v>
      </c>
      <c r="D872" s="23" t="s">
        <v>21</v>
      </c>
      <c r="E872" s="68" t="s">
        <v>917</v>
      </c>
      <c r="F872" s="68" t="s">
        <v>917</v>
      </c>
      <c r="G872" s="68" t="s">
        <v>917</v>
      </c>
      <c r="H872" s="68" t="s">
        <v>917</v>
      </c>
      <c r="I872" s="25">
        <v>0.9</v>
      </c>
      <c r="J872" s="26">
        <v>0.94871794871794868</v>
      </c>
      <c r="K872" s="26">
        <v>0.92682926829268297</v>
      </c>
      <c r="L872" s="27">
        <v>0.93333333333333335</v>
      </c>
      <c r="M872" s="26">
        <v>0.9135802469135802</v>
      </c>
      <c r="N872" s="28">
        <v>0.9</v>
      </c>
      <c r="O872" s="26">
        <v>0.97289483194795812</v>
      </c>
      <c r="P872" s="26">
        <v>0.98235840297121635</v>
      </c>
      <c r="Q872" s="26">
        <v>0.97169069462647439</v>
      </c>
      <c r="R872" s="26">
        <v>0.97322508879434844</v>
      </c>
      <c r="S872" s="28">
        <v>0.9</v>
      </c>
      <c r="T872" s="26">
        <v>0.94904228406216118</v>
      </c>
      <c r="U872" s="26">
        <v>0.95666976168368922</v>
      </c>
      <c r="V872" s="26">
        <v>0.94102228047182179</v>
      </c>
      <c r="W872" s="26">
        <v>0.95355372545958395</v>
      </c>
      <c r="X872" s="28">
        <v>0.92</v>
      </c>
      <c r="Y872" s="28">
        <v>0.93382352941176472</v>
      </c>
      <c r="Z872" s="28">
        <v>0.93715846994535523</v>
      </c>
      <c r="AA872" s="28">
        <v>0.9147826086956522</v>
      </c>
      <c r="AB872" s="28">
        <v>0.92925389157273219</v>
      </c>
      <c r="AC872" s="28">
        <v>0.92</v>
      </c>
      <c r="AD872" s="26">
        <v>0.98575082206795761</v>
      </c>
      <c r="AE872" s="26">
        <v>0.99249195566678583</v>
      </c>
      <c r="AF872" s="26">
        <v>0.99367660343270103</v>
      </c>
      <c r="AG872" s="26">
        <v>0.99005679765294174</v>
      </c>
      <c r="AH872" s="28">
        <v>0.92</v>
      </c>
      <c r="AI872" s="26">
        <v>0.96669171049336333</v>
      </c>
      <c r="AJ872" s="26">
        <v>0.9739030023094688</v>
      </c>
      <c r="AK872" s="26">
        <v>0.97160120845921449</v>
      </c>
      <c r="AL872" s="26">
        <v>0.97195914046181575</v>
      </c>
      <c r="AM872" s="25">
        <v>0.99</v>
      </c>
      <c r="AN872" s="30">
        <v>1</v>
      </c>
      <c r="AO872" s="30">
        <v>1</v>
      </c>
      <c r="AP872" s="30">
        <v>1</v>
      </c>
      <c r="AQ872" s="30">
        <v>1</v>
      </c>
      <c r="AR872" s="50">
        <v>8.1059522893420499E-2</v>
      </c>
      <c r="AS872" s="34">
        <v>0.375</v>
      </c>
      <c r="AT872" s="34">
        <v>0</v>
      </c>
      <c r="AU872" s="34">
        <v>0</v>
      </c>
      <c r="AV872" s="34">
        <v>6.0240963855421686E-2</v>
      </c>
      <c r="AW872" s="10"/>
      <c r="AX872" s="8"/>
    </row>
    <row r="873" spans="1:50">
      <c r="A873" s="7"/>
      <c r="B873" s="10"/>
      <c r="C873" s="45" t="s">
        <v>688</v>
      </c>
      <c r="D873" s="23" t="s">
        <v>21</v>
      </c>
      <c r="E873" s="68" t="s">
        <v>918</v>
      </c>
      <c r="F873" s="68" t="s">
        <v>918</v>
      </c>
      <c r="G873" s="68" t="s">
        <v>918</v>
      </c>
      <c r="H873" s="68" t="s">
        <v>918</v>
      </c>
      <c r="I873" s="25">
        <v>0.9</v>
      </c>
      <c r="J873" s="26">
        <v>0.95833333333333337</v>
      </c>
      <c r="K873" s="26">
        <v>0.92592592592592593</v>
      </c>
      <c r="L873" s="27">
        <v>0.8928571428571429</v>
      </c>
      <c r="M873" s="26">
        <v>0.93069306930693074</v>
      </c>
      <c r="N873" s="28">
        <v>0.9</v>
      </c>
      <c r="O873" s="26">
        <v>0.97472163707493231</v>
      </c>
      <c r="P873" s="26">
        <v>0.95590969455511288</v>
      </c>
      <c r="Q873" s="26">
        <v>0.97369012817629863</v>
      </c>
      <c r="R873" s="26">
        <v>0.96825233388248211</v>
      </c>
      <c r="S873" s="28">
        <v>0.9</v>
      </c>
      <c r="T873" s="26">
        <v>0.93349383087571469</v>
      </c>
      <c r="U873" s="26">
        <v>0.90119521912350598</v>
      </c>
      <c r="V873" s="26">
        <v>0.92399370362041822</v>
      </c>
      <c r="W873" s="26">
        <v>0.92349670510708404</v>
      </c>
      <c r="X873" s="28">
        <v>0.92</v>
      </c>
      <c r="Y873" s="28">
        <v>0.9482178883658372</v>
      </c>
      <c r="Z873" s="28">
        <v>0.94776632302405495</v>
      </c>
      <c r="AA873" s="28">
        <v>0.9610591900311527</v>
      </c>
      <c r="AB873" s="28">
        <v>0.95067019239536787</v>
      </c>
      <c r="AC873" s="28">
        <v>0.92</v>
      </c>
      <c r="AD873" s="26">
        <v>0.80434555520735407</v>
      </c>
      <c r="AE873" s="26">
        <v>0.98863824846574888</v>
      </c>
      <c r="AF873" s="26">
        <v>0.99091760974554888</v>
      </c>
      <c r="AG873" s="26">
        <v>0.97727865023213611</v>
      </c>
      <c r="AH873" s="28">
        <v>0.92</v>
      </c>
      <c r="AI873" s="26">
        <v>0.97339983374896089</v>
      </c>
      <c r="AJ873" s="26">
        <v>0.97165836844121023</v>
      </c>
      <c r="AK873" s="26">
        <v>0.98307745987438944</v>
      </c>
      <c r="AL873" s="26">
        <v>0.9767754796910042</v>
      </c>
      <c r="AM873" s="25">
        <v>0.99</v>
      </c>
      <c r="AN873" s="30">
        <v>1</v>
      </c>
      <c r="AO873" s="30">
        <v>1</v>
      </c>
      <c r="AP873" s="30">
        <v>1</v>
      </c>
      <c r="AQ873" s="30">
        <v>1</v>
      </c>
      <c r="AR873" s="50">
        <v>8.1059522893420499E-2</v>
      </c>
      <c r="AS873" s="34">
        <v>5.8823529411764705E-2</v>
      </c>
      <c r="AT873" s="34">
        <v>0</v>
      </c>
      <c r="AU873" s="34">
        <v>0</v>
      </c>
      <c r="AV873" s="34">
        <v>6.4814814814814811E-2</v>
      </c>
      <c r="AW873" s="10"/>
      <c r="AX873" s="8"/>
    </row>
    <row r="874" spans="1:50">
      <c r="A874" s="7"/>
      <c r="B874" s="10"/>
      <c r="C874" s="45" t="s">
        <v>688</v>
      </c>
      <c r="D874" s="23" t="s">
        <v>21</v>
      </c>
      <c r="E874" s="68" t="s">
        <v>919</v>
      </c>
      <c r="F874" s="68" t="s">
        <v>919</v>
      </c>
      <c r="G874" s="68" t="s">
        <v>919</v>
      </c>
      <c r="H874" s="68" t="s">
        <v>919</v>
      </c>
      <c r="I874" s="25">
        <v>0.9</v>
      </c>
      <c r="J874" s="26">
        <v>1</v>
      </c>
      <c r="K874" s="26">
        <v>0.93617021276595747</v>
      </c>
      <c r="L874" s="27">
        <v>0.95652173913043481</v>
      </c>
      <c r="M874" s="26">
        <v>0.97214484679665736</v>
      </c>
      <c r="N874" s="28">
        <v>0.9</v>
      </c>
      <c r="O874" s="26">
        <v>0.98160696999031949</v>
      </c>
      <c r="P874" s="26">
        <v>0.97982551799345696</v>
      </c>
      <c r="Q874" s="26">
        <v>0.98108747044917255</v>
      </c>
      <c r="R874" s="26">
        <v>0.97806968302084507</v>
      </c>
      <c r="S874" s="28">
        <v>0.9</v>
      </c>
      <c r="T874" s="26">
        <v>0.96063246208454345</v>
      </c>
      <c r="U874" s="26">
        <v>0.9716466739367503</v>
      </c>
      <c r="V874" s="26">
        <v>0.96952981350144474</v>
      </c>
      <c r="W874" s="26">
        <v>0.96545787957037532</v>
      </c>
      <c r="X874" s="28">
        <v>0.92</v>
      </c>
      <c r="Y874" s="28">
        <v>0.9561128526645768</v>
      </c>
      <c r="Z874" s="28">
        <v>0.97302383939774151</v>
      </c>
      <c r="AA874" s="28">
        <v>0.97150997150997154</v>
      </c>
      <c r="AB874" s="28">
        <v>0.96715009610344227</v>
      </c>
      <c r="AC874" s="28">
        <v>0.92</v>
      </c>
      <c r="AD874" s="26">
        <v>0.93097762073027091</v>
      </c>
      <c r="AE874" s="26">
        <v>0.9928925165077036</v>
      </c>
      <c r="AF874" s="26">
        <v>0.99521312021312025</v>
      </c>
      <c r="AG874" s="26">
        <v>0.9874334293696525</v>
      </c>
      <c r="AH874" s="28">
        <v>0.92</v>
      </c>
      <c r="AI874" s="26">
        <v>0.9748615253515126</v>
      </c>
      <c r="AJ874" s="26">
        <v>0.98593957818734557</v>
      </c>
      <c r="AK874" s="26">
        <v>0.98829399347534064</v>
      </c>
      <c r="AL874" s="26">
        <v>0.98294695481335947</v>
      </c>
      <c r="AM874" s="25">
        <v>0.99</v>
      </c>
      <c r="AN874" s="30">
        <v>1</v>
      </c>
      <c r="AO874" s="30">
        <v>1</v>
      </c>
      <c r="AP874" s="30">
        <v>1</v>
      </c>
      <c r="AQ874" s="30">
        <v>1</v>
      </c>
      <c r="AR874" s="50">
        <v>8.1059522893420499E-2</v>
      </c>
      <c r="AS874" s="34">
        <v>0</v>
      </c>
      <c r="AT874" s="34">
        <v>0</v>
      </c>
      <c r="AU874" s="34">
        <v>0</v>
      </c>
      <c r="AV874" s="34">
        <v>4.0816326530612242E-2</v>
      </c>
      <c r="AW874" s="10"/>
      <c r="AX874" s="8"/>
    </row>
    <row r="875" spans="1:50">
      <c r="A875" s="7"/>
      <c r="B875" s="10"/>
      <c r="C875" s="45" t="s">
        <v>688</v>
      </c>
      <c r="D875" s="23" t="s">
        <v>21</v>
      </c>
      <c r="E875" s="68" t="s">
        <v>920</v>
      </c>
      <c r="F875" s="68" t="s">
        <v>920</v>
      </c>
      <c r="G875" s="68" t="s">
        <v>920</v>
      </c>
      <c r="H875" s="68" t="s">
        <v>920</v>
      </c>
      <c r="I875" s="25">
        <v>0.9</v>
      </c>
      <c r="J875" s="26">
        <v>0.93548387096774188</v>
      </c>
      <c r="K875" s="26">
        <v>0.90625</v>
      </c>
      <c r="L875" s="27">
        <v>0.96969696969696972</v>
      </c>
      <c r="M875" s="26">
        <v>0.92490118577075098</v>
      </c>
      <c r="N875" s="28">
        <v>0.9</v>
      </c>
      <c r="O875" s="26">
        <v>0.97982345523329129</v>
      </c>
      <c r="P875" s="26">
        <v>0.97875354107648727</v>
      </c>
      <c r="Q875" s="26">
        <v>0.97587719298245612</v>
      </c>
      <c r="R875" s="26">
        <v>0.98031260085757754</v>
      </c>
      <c r="S875" s="28">
        <v>0.9</v>
      </c>
      <c r="T875" s="26">
        <v>0.95628415300546443</v>
      </c>
      <c r="U875" s="26">
        <v>0.96352691218130315</v>
      </c>
      <c r="V875" s="26">
        <v>0.96522556390977443</v>
      </c>
      <c r="W875" s="26">
        <v>0.96214671031398402</v>
      </c>
      <c r="X875" s="28">
        <v>0.92</v>
      </c>
      <c r="Y875" s="28">
        <v>0.93827160493827155</v>
      </c>
      <c r="Z875" s="28">
        <v>0.94472876151484131</v>
      </c>
      <c r="AA875" s="28">
        <v>0.93506493506493504</v>
      </c>
      <c r="AB875" s="28">
        <v>0.93996921498204211</v>
      </c>
      <c r="AC875" s="28">
        <v>0.92</v>
      </c>
      <c r="AD875" s="26">
        <v>0.85972850678733037</v>
      </c>
      <c r="AE875" s="26">
        <v>0.99337748344370858</v>
      </c>
      <c r="AF875" s="26">
        <v>0.98706896551724133</v>
      </c>
      <c r="AG875" s="26">
        <v>0.96856581532416508</v>
      </c>
      <c r="AH875" s="28">
        <v>0.92</v>
      </c>
      <c r="AI875" s="26">
        <v>0.97057966792892514</v>
      </c>
      <c r="AJ875" s="26">
        <v>0.97974217311233891</v>
      </c>
      <c r="AK875" s="26">
        <v>0.97853565466253278</v>
      </c>
      <c r="AL875" s="26">
        <v>0.97721415977214154</v>
      </c>
      <c r="AM875" s="25">
        <v>0.99</v>
      </c>
      <c r="AN875" s="30">
        <v>1</v>
      </c>
      <c r="AO875" s="30">
        <v>1</v>
      </c>
      <c r="AP875" s="30">
        <v>1</v>
      </c>
      <c r="AQ875" s="30">
        <v>1</v>
      </c>
      <c r="AR875" s="50">
        <v>8.1059522893420499E-2</v>
      </c>
      <c r="AS875" s="34">
        <v>0</v>
      </c>
      <c r="AT875" s="34">
        <v>0</v>
      </c>
      <c r="AU875" s="34">
        <v>6.25E-2</v>
      </c>
      <c r="AV875" s="34">
        <v>4.9019607843137254E-2</v>
      </c>
      <c r="AW875" s="10"/>
      <c r="AX875" s="8"/>
    </row>
    <row r="876" spans="1:50">
      <c r="A876" s="7"/>
      <c r="B876" s="10"/>
      <c r="C876" s="45" t="s">
        <v>688</v>
      </c>
      <c r="D876" s="23" t="s">
        <v>21</v>
      </c>
      <c r="E876" s="68" t="s">
        <v>921</v>
      </c>
      <c r="F876" s="68" t="s">
        <v>921</v>
      </c>
      <c r="G876" s="68" t="s">
        <v>921</v>
      </c>
      <c r="H876" s="68" t="s">
        <v>921</v>
      </c>
      <c r="I876" s="25">
        <v>0.9</v>
      </c>
      <c r="J876" s="26">
        <v>0.89473684210526316</v>
      </c>
      <c r="K876" s="26">
        <v>0.9152542372881356</v>
      </c>
      <c r="L876" s="27">
        <v>0.88135593220338981</v>
      </c>
      <c r="M876" s="26">
        <v>0.8764044943820225</v>
      </c>
      <c r="N876" s="28">
        <v>0.9</v>
      </c>
      <c r="O876" s="26">
        <v>0.95972325179145046</v>
      </c>
      <c r="P876" s="26">
        <v>0.95325719120135366</v>
      </c>
      <c r="Q876" s="26">
        <v>0.95175842386300868</v>
      </c>
      <c r="R876" s="26">
        <v>0.94990980990703477</v>
      </c>
      <c r="S876" s="28">
        <v>0.9</v>
      </c>
      <c r="T876" s="26">
        <v>0.93723745984680007</v>
      </c>
      <c r="U876" s="26">
        <v>0.92216582064297803</v>
      </c>
      <c r="V876" s="26">
        <v>0.92726937948812371</v>
      </c>
      <c r="W876" s="26">
        <v>0.92138198973220475</v>
      </c>
      <c r="X876" s="28">
        <v>0.92</v>
      </c>
      <c r="Y876" s="28">
        <v>0.92392566782810681</v>
      </c>
      <c r="Z876" s="28">
        <v>0.9415627051871307</v>
      </c>
      <c r="AA876" s="28">
        <v>0.93451652386780903</v>
      </c>
      <c r="AB876" s="28">
        <v>0.92866735129157119</v>
      </c>
      <c r="AC876" s="28">
        <v>0.92</v>
      </c>
      <c r="AD876" s="26">
        <v>0.97004608294930872</v>
      </c>
      <c r="AE876" s="26">
        <v>0.99105545617173529</v>
      </c>
      <c r="AF876" s="26">
        <v>0.9494949494949495</v>
      </c>
      <c r="AG876" s="26">
        <v>0.98405920865357244</v>
      </c>
      <c r="AH876" s="28">
        <v>0.92</v>
      </c>
      <c r="AI876" s="26">
        <v>0.96517068099116266</v>
      </c>
      <c r="AJ876" s="26">
        <v>0.9707246840505519</v>
      </c>
      <c r="AK876" s="26">
        <v>0.97339371638833849</v>
      </c>
      <c r="AL876" s="26">
        <v>0.96781741307828084</v>
      </c>
      <c r="AM876" s="25">
        <v>0.99</v>
      </c>
      <c r="AN876" s="30">
        <v>1</v>
      </c>
      <c r="AO876" s="30">
        <v>1</v>
      </c>
      <c r="AP876" s="30">
        <v>1</v>
      </c>
      <c r="AQ876" s="30">
        <v>1</v>
      </c>
      <c r="AR876" s="50">
        <v>8.1059522893420499E-2</v>
      </c>
      <c r="AS876" s="34">
        <v>0.17647058823529413</v>
      </c>
      <c r="AT876" s="34">
        <v>3.0303030303030304E-2</v>
      </c>
      <c r="AU876" s="34">
        <v>7.407407407407407E-2</v>
      </c>
      <c r="AV876" s="34">
        <v>9.9447513812154692E-2</v>
      </c>
      <c r="AW876" s="10"/>
      <c r="AX876" s="8"/>
    </row>
    <row r="877" spans="1:50">
      <c r="A877" s="7"/>
      <c r="B877" s="10"/>
      <c r="C877" s="45" t="s">
        <v>688</v>
      </c>
      <c r="D877" s="23" t="s">
        <v>21</v>
      </c>
      <c r="E877" s="68" t="s">
        <v>922</v>
      </c>
      <c r="F877" s="68" t="s">
        <v>922</v>
      </c>
      <c r="G877" s="68" t="s">
        <v>922</v>
      </c>
      <c r="H877" s="68" t="s">
        <v>922</v>
      </c>
      <c r="I877" s="25">
        <v>0.9</v>
      </c>
      <c r="J877" s="26">
        <v>0.85</v>
      </c>
      <c r="K877" s="26">
        <v>0.89473684210526316</v>
      </c>
      <c r="L877" s="27">
        <v>0.86363636363636365</v>
      </c>
      <c r="M877" s="26">
        <v>0.86750788643533128</v>
      </c>
      <c r="N877" s="28">
        <v>0.9</v>
      </c>
      <c r="O877" s="26">
        <v>0.9580911593759559</v>
      </c>
      <c r="P877" s="26">
        <v>0.9555916598971026</v>
      </c>
      <c r="Q877" s="26">
        <v>0.96849642004773273</v>
      </c>
      <c r="R877" s="26">
        <v>0.95094560611801993</v>
      </c>
      <c r="S877" s="28">
        <v>0.9</v>
      </c>
      <c r="T877" s="26">
        <v>0.93606607525237073</v>
      </c>
      <c r="U877" s="26">
        <v>0.93555375033847821</v>
      </c>
      <c r="V877" s="26">
        <v>0.94367541766109786</v>
      </c>
      <c r="W877" s="26">
        <v>0.93155120741327635</v>
      </c>
      <c r="X877" s="28">
        <v>0.92</v>
      </c>
      <c r="Y877" s="28">
        <v>0.94989106753812635</v>
      </c>
      <c r="Z877" s="28">
        <v>0.93794186959937154</v>
      </c>
      <c r="AA877" s="28">
        <v>0.94375963020030817</v>
      </c>
      <c r="AB877" s="28">
        <v>0.93592498534870094</v>
      </c>
      <c r="AC877" s="28">
        <v>0.92</v>
      </c>
      <c r="AD877" s="26">
        <v>0.91063661526294981</v>
      </c>
      <c r="AE877" s="26">
        <v>0.99680638722554893</v>
      </c>
      <c r="AF877" s="26">
        <v>0.99778073679538393</v>
      </c>
      <c r="AG877" s="26">
        <v>0.98590094510148218</v>
      </c>
      <c r="AH877" s="28">
        <v>0.92</v>
      </c>
      <c r="AI877" s="26">
        <v>0.97547332185886404</v>
      </c>
      <c r="AJ877" s="26">
        <v>0.97222781243711009</v>
      </c>
      <c r="AK877" s="26">
        <v>0.97758746355685133</v>
      </c>
      <c r="AL877" s="26">
        <v>0.97235867545623456</v>
      </c>
      <c r="AM877" s="25">
        <v>0.99</v>
      </c>
      <c r="AN877" s="30">
        <v>1</v>
      </c>
      <c r="AO877" s="30">
        <v>1</v>
      </c>
      <c r="AP877" s="30">
        <v>1</v>
      </c>
      <c r="AQ877" s="30">
        <v>1</v>
      </c>
      <c r="AR877" s="50">
        <v>8.1059522893420499E-2</v>
      </c>
      <c r="AS877" s="34">
        <v>4.3478260869565216E-2</v>
      </c>
      <c r="AT877" s="34">
        <v>0.04</v>
      </c>
      <c r="AU877" s="34">
        <v>0</v>
      </c>
      <c r="AV877" s="34">
        <v>2.7027027027027029E-2</v>
      </c>
      <c r="AW877" s="10"/>
      <c r="AX877" s="8"/>
    </row>
    <row r="878" spans="1:50">
      <c r="A878" s="7"/>
      <c r="B878" s="10"/>
      <c r="C878" s="45" t="s">
        <v>688</v>
      </c>
      <c r="D878" s="23" t="s">
        <v>21</v>
      </c>
      <c r="E878" s="68" t="s">
        <v>923</v>
      </c>
      <c r="F878" s="68" t="s">
        <v>923</v>
      </c>
      <c r="G878" s="68" t="s">
        <v>923</v>
      </c>
      <c r="H878" s="68" t="s">
        <v>923</v>
      </c>
      <c r="I878" s="25">
        <v>0.9</v>
      </c>
      <c r="J878" s="26">
        <v>1</v>
      </c>
      <c r="K878" s="26">
        <v>1</v>
      </c>
      <c r="L878" s="27">
        <v>1</v>
      </c>
      <c r="M878" s="26">
        <v>0.99259259259259258</v>
      </c>
      <c r="N878" s="28">
        <v>0.9</v>
      </c>
      <c r="O878" s="26">
        <v>0.98008658008658012</v>
      </c>
      <c r="P878" s="26">
        <v>0.97574334898278559</v>
      </c>
      <c r="Q878" s="26">
        <v>0.97630662020905923</v>
      </c>
      <c r="R878" s="26">
        <v>0.97593800978792822</v>
      </c>
      <c r="S878" s="28">
        <v>0.9</v>
      </c>
      <c r="T878" s="26">
        <v>0.95064935064935063</v>
      </c>
      <c r="U878" s="26">
        <v>0.95931142410015646</v>
      </c>
      <c r="V878" s="26">
        <v>0.95540069686411144</v>
      </c>
      <c r="W878" s="26">
        <v>0.94433115823817293</v>
      </c>
      <c r="X878" s="28">
        <v>0.92</v>
      </c>
      <c r="Y878" s="28">
        <v>0.93970893970893976</v>
      </c>
      <c r="Z878" s="28">
        <v>0.96</v>
      </c>
      <c r="AA878" s="28">
        <v>0.9467592592592593</v>
      </c>
      <c r="AB878" s="28">
        <v>0.94293948126801153</v>
      </c>
      <c r="AC878" s="28">
        <v>0.92</v>
      </c>
      <c r="AD878" s="26">
        <v>0.89026275115919629</v>
      </c>
      <c r="AE878" s="26">
        <v>0.98791540785498488</v>
      </c>
      <c r="AF878" s="26">
        <v>0.99469496021220161</v>
      </c>
      <c r="AG878" s="26">
        <v>0.98243243243243239</v>
      </c>
      <c r="AH878" s="28">
        <v>0.92</v>
      </c>
      <c r="AI878" s="26">
        <v>0.96515892420537897</v>
      </c>
      <c r="AJ878" s="26">
        <v>0.97857142857142854</v>
      </c>
      <c r="AK878" s="26">
        <v>0.97537473233404715</v>
      </c>
      <c r="AL878" s="26">
        <v>0.97342667871123156</v>
      </c>
      <c r="AM878" s="25">
        <v>0.99</v>
      </c>
      <c r="AN878" s="30">
        <v>1</v>
      </c>
      <c r="AO878" s="30">
        <v>1</v>
      </c>
      <c r="AP878" s="30">
        <v>1</v>
      </c>
      <c r="AQ878" s="30">
        <v>1</v>
      </c>
      <c r="AR878" s="50">
        <v>8.1059522893420499E-2</v>
      </c>
      <c r="AS878" s="34">
        <v>0</v>
      </c>
      <c r="AT878" s="34">
        <v>0</v>
      </c>
      <c r="AU878" s="34">
        <v>0</v>
      </c>
      <c r="AV878" s="34">
        <v>1.4925373134328358E-2</v>
      </c>
      <c r="AW878" s="10"/>
      <c r="AX878" s="8"/>
    </row>
    <row r="879" spans="1:50">
      <c r="A879" s="7"/>
      <c r="B879" s="10"/>
      <c r="C879" s="45" t="s">
        <v>688</v>
      </c>
      <c r="D879" s="23" t="s">
        <v>21</v>
      </c>
      <c r="E879" s="68" t="s">
        <v>924</v>
      </c>
      <c r="F879" s="68" t="s">
        <v>924</v>
      </c>
      <c r="G879" s="68" t="s">
        <v>924</v>
      </c>
      <c r="H879" s="68" t="s">
        <v>924</v>
      </c>
      <c r="I879" s="25">
        <v>0.9</v>
      </c>
      <c r="J879" s="26">
        <v>0.8666666666666667</v>
      </c>
      <c r="K879" s="26">
        <v>0.84848484848484851</v>
      </c>
      <c r="L879" s="27">
        <v>0.80555555555555558</v>
      </c>
      <c r="M879" s="26">
        <v>0.82283464566929132</v>
      </c>
      <c r="N879" s="28">
        <v>0.9</v>
      </c>
      <c r="O879" s="26">
        <v>0.98188093183779124</v>
      </c>
      <c r="P879" s="26">
        <v>0.98144413069786207</v>
      </c>
      <c r="Q879" s="26">
        <v>0.9784288473921442</v>
      </c>
      <c r="R879" s="26">
        <v>0.98006581143592919</v>
      </c>
      <c r="S879" s="28">
        <v>0.9</v>
      </c>
      <c r="T879" s="26">
        <v>0.9603106125970664</v>
      </c>
      <c r="U879" s="26">
        <v>0.97216619604679311</v>
      </c>
      <c r="V879" s="26">
        <v>0.97295556986477783</v>
      </c>
      <c r="W879" s="26">
        <v>0.96766655539129187</v>
      </c>
      <c r="X879" s="28">
        <v>0.92</v>
      </c>
      <c r="Y879" s="28">
        <v>0.96887966804979253</v>
      </c>
      <c r="Z879" s="28">
        <v>0.97641509433962259</v>
      </c>
      <c r="AA879" s="28">
        <v>0.98222222222222222</v>
      </c>
      <c r="AB879" s="28">
        <v>0.97351794596047858</v>
      </c>
      <c r="AC879" s="28">
        <v>0.92</v>
      </c>
      <c r="AD879" s="26">
        <v>0.97619047619047616</v>
      </c>
      <c r="AE879" s="26">
        <v>1</v>
      </c>
      <c r="AF879" s="26">
        <v>1</v>
      </c>
      <c r="AG879" s="26">
        <v>0.99717114568599718</v>
      </c>
      <c r="AH879" s="28">
        <v>0.92</v>
      </c>
      <c r="AI879" s="26">
        <v>0.98203957382039575</v>
      </c>
      <c r="AJ879" s="26">
        <v>0.99158653846153844</v>
      </c>
      <c r="AK879" s="26">
        <v>0.99426004492138753</v>
      </c>
      <c r="AL879" s="26">
        <v>0.98958589874397496</v>
      </c>
      <c r="AM879" s="25">
        <v>0.99</v>
      </c>
      <c r="AN879" s="30">
        <v>1</v>
      </c>
      <c r="AO879" s="30">
        <v>1</v>
      </c>
      <c r="AP879" s="30">
        <v>1</v>
      </c>
      <c r="AQ879" s="30">
        <v>1</v>
      </c>
      <c r="AR879" s="50">
        <v>8.1059522893420499E-2</v>
      </c>
      <c r="AS879" s="34">
        <v>0</v>
      </c>
      <c r="AT879" s="34">
        <v>0</v>
      </c>
      <c r="AU879" s="34">
        <v>0</v>
      </c>
      <c r="AV879" s="34">
        <v>1.5625E-2</v>
      </c>
      <c r="AW879" s="10"/>
      <c r="AX879" s="8"/>
    </row>
    <row r="880" spans="1:50">
      <c r="A880" s="7"/>
      <c r="B880" s="10"/>
      <c r="C880" s="45" t="s">
        <v>688</v>
      </c>
      <c r="D880" s="23" t="s">
        <v>21</v>
      </c>
      <c r="E880" s="68" t="s">
        <v>925</v>
      </c>
      <c r="F880" s="68" t="s">
        <v>925</v>
      </c>
      <c r="G880" s="68" t="s">
        <v>925</v>
      </c>
      <c r="H880" s="68" t="s">
        <v>925</v>
      </c>
      <c r="I880" s="25">
        <v>0.9</v>
      </c>
      <c r="J880" s="26">
        <v>0.91304347826086951</v>
      </c>
      <c r="K880" s="26">
        <v>1</v>
      </c>
      <c r="L880" s="27">
        <v>1</v>
      </c>
      <c r="M880" s="26">
        <v>0.97894736842105268</v>
      </c>
      <c r="N880" s="28">
        <v>0.9</v>
      </c>
      <c r="O880" s="26">
        <v>0.97347480106100792</v>
      </c>
      <c r="P880" s="26">
        <v>0.97135892748324193</v>
      </c>
      <c r="Q880" s="26">
        <v>0.96288764616166755</v>
      </c>
      <c r="R880" s="26">
        <v>0.96573545300200647</v>
      </c>
      <c r="S880" s="28">
        <v>0.9</v>
      </c>
      <c r="T880" s="26">
        <v>0.94496021220159154</v>
      </c>
      <c r="U880" s="26">
        <v>0.96526508226691043</v>
      </c>
      <c r="V880" s="26">
        <v>0.96187086934417898</v>
      </c>
      <c r="W880" s="26">
        <v>0.95500848896434631</v>
      </c>
      <c r="X880" s="28">
        <v>0.92</v>
      </c>
      <c r="Y880" s="28">
        <v>0.94496855345911945</v>
      </c>
      <c r="Z880" s="28">
        <v>0.95486111111111116</v>
      </c>
      <c r="AA880" s="28">
        <v>0.93971631205673756</v>
      </c>
      <c r="AB880" s="28">
        <v>0.9418580155887929</v>
      </c>
      <c r="AC880" s="28">
        <v>0.92</v>
      </c>
      <c r="AD880" s="26">
        <v>0.84801613987895086</v>
      </c>
      <c r="AE880" s="26">
        <v>0.99815668202764973</v>
      </c>
      <c r="AF880" s="26">
        <v>0.99914383561643838</v>
      </c>
      <c r="AG880" s="26">
        <v>0.97479881406183821</v>
      </c>
      <c r="AH880" s="28">
        <v>0.92</v>
      </c>
      <c r="AI880" s="26">
        <v>0.96968283582089554</v>
      </c>
      <c r="AJ880" s="26">
        <v>0.98466396030672076</v>
      </c>
      <c r="AK880" s="26">
        <v>0.98222046621888581</v>
      </c>
      <c r="AL880" s="26">
        <v>0.97763596317840407</v>
      </c>
      <c r="AM880" s="25">
        <v>0.99</v>
      </c>
      <c r="AN880" s="30">
        <v>0</v>
      </c>
      <c r="AO880" s="30">
        <v>1</v>
      </c>
      <c r="AP880" s="30">
        <v>0</v>
      </c>
      <c r="AQ880" s="30">
        <v>1</v>
      </c>
      <c r="AR880" s="50">
        <v>8.1059522893420499E-2</v>
      </c>
      <c r="AS880" s="34">
        <v>0</v>
      </c>
      <c r="AT880" s="34">
        <v>0</v>
      </c>
      <c r="AU880" s="34">
        <v>-0.1</v>
      </c>
      <c r="AV880" s="34">
        <v>2.3809523809523808E-2</v>
      </c>
      <c r="AW880" s="10"/>
      <c r="AX880" s="8"/>
    </row>
    <row r="881" spans="1:50">
      <c r="A881" s="7"/>
      <c r="B881" s="10"/>
      <c r="C881" s="45" t="s">
        <v>688</v>
      </c>
      <c r="D881" s="23" t="s">
        <v>21</v>
      </c>
      <c r="E881" s="68" t="s">
        <v>926</v>
      </c>
      <c r="F881" s="68" t="s">
        <v>926</v>
      </c>
      <c r="G881" s="68" t="s">
        <v>926</v>
      </c>
      <c r="H881" s="68" t="s">
        <v>926</v>
      </c>
      <c r="I881" s="25">
        <v>0.9</v>
      </c>
      <c r="J881" s="26">
        <v>0.84</v>
      </c>
      <c r="K881" s="26">
        <v>0.92307692307692313</v>
      </c>
      <c r="L881" s="27">
        <v>0.84615384615384615</v>
      </c>
      <c r="M881" s="26">
        <v>0.86910994764397909</v>
      </c>
      <c r="N881" s="28">
        <v>0.9</v>
      </c>
      <c r="O881" s="26">
        <v>0.99589603283173733</v>
      </c>
      <c r="P881" s="26">
        <v>0.99229401304090104</v>
      </c>
      <c r="Q881" s="26">
        <v>0.98894230769230773</v>
      </c>
      <c r="R881" s="26">
        <v>0.98568807339449538</v>
      </c>
      <c r="S881" s="28">
        <v>0.9</v>
      </c>
      <c r="T881" s="26">
        <v>0.96785225718194257</v>
      </c>
      <c r="U881" s="26">
        <v>0.96680497925311204</v>
      </c>
      <c r="V881" s="26">
        <v>0.96442307692307694</v>
      </c>
      <c r="W881" s="26">
        <v>0.95515596330275232</v>
      </c>
      <c r="X881" s="28">
        <v>0.92</v>
      </c>
      <c r="Y881" s="28">
        <v>0.93914473684210531</v>
      </c>
      <c r="Z881" s="28">
        <v>0.94686907020872868</v>
      </c>
      <c r="AA881" s="28">
        <v>0.96828046744574292</v>
      </c>
      <c r="AB881" s="28">
        <v>0.94991438356164382</v>
      </c>
      <c r="AC881" s="28">
        <v>0.92</v>
      </c>
      <c r="AD881" s="26">
        <v>1</v>
      </c>
      <c r="AE881" s="26">
        <v>1</v>
      </c>
      <c r="AF881" s="26">
        <v>1</v>
      </c>
      <c r="AG881" s="26">
        <v>1</v>
      </c>
      <c r="AH881" s="28">
        <v>0.92</v>
      </c>
      <c r="AI881" s="26">
        <v>0.97828185328185324</v>
      </c>
      <c r="AJ881" s="26">
        <v>0.978809738503156</v>
      </c>
      <c r="AK881" s="26">
        <v>0.98618887644643527</v>
      </c>
      <c r="AL881" s="26">
        <v>0.97935216037581252</v>
      </c>
      <c r="AM881" s="25">
        <v>0.99</v>
      </c>
      <c r="AN881" s="30">
        <v>1</v>
      </c>
      <c r="AO881" s="30">
        <v>1</v>
      </c>
      <c r="AP881" s="30">
        <v>1</v>
      </c>
      <c r="AQ881" s="30">
        <v>1</v>
      </c>
      <c r="AR881" s="50">
        <v>8.1059522893420499E-2</v>
      </c>
      <c r="AS881" s="34">
        <v>0</v>
      </c>
      <c r="AT881" s="34">
        <v>0.4</v>
      </c>
      <c r="AU881" s="34">
        <v>0</v>
      </c>
      <c r="AV881" s="34">
        <v>5.4545454545454543E-2</v>
      </c>
      <c r="AW881" s="10"/>
      <c r="AX881" s="8"/>
    </row>
    <row r="882" spans="1:50">
      <c r="A882" s="7"/>
      <c r="B882" s="10"/>
      <c r="C882" s="45" t="s">
        <v>688</v>
      </c>
      <c r="D882" s="23" t="s">
        <v>21</v>
      </c>
      <c r="E882" s="68" t="s">
        <v>927</v>
      </c>
      <c r="F882" s="68" t="s">
        <v>927</v>
      </c>
      <c r="G882" s="68" t="s">
        <v>927</v>
      </c>
      <c r="H882" s="68" t="s">
        <v>927</v>
      </c>
      <c r="I882" s="25">
        <v>0.9</v>
      </c>
      <c r="J882" s="26">
        <v>0.84615384615384615</v>
      </c>
      <c r="K882" s="26">
        <v>0.84615384615384615</v>
      </c>
      <c r="L882" s="27">
        <v>0.8571428571428571</v>
      </c>
      <c r="M882" s="26">
        <v>0.87317073170731707</v>
      </c>
      <c r="N882" s="28">
        <v>0.9</v>
      </c>
      <c r="O882" s="26">
        <v>0.94746805489824892</v>
      </c>
      <c r="P882" s="26">
        <v>0.93205185516316491</v>
      </c>
      <c r="Q882" s="26">
        <v>0.93705772811918064</v>
      </c>
      <c r="R882" s="26">
        <v>0.93828503072154856</v>
      </c>
      <c r="S882" s="28">
        <v>0.9</v>
      </c>
      <c r="T882" s="26">
        <v>0.92711784193090396</v>
      </c>
      <c r="U882" s="26">
        <v>0.91014751899865887</v>
      </c>
      <c r="V882" s="26">
        <v>0.8901303538175046</v>
      </c>
      <c r="W882" s="26">
        <v>0.91582839432331031</v>
      </c>
      <c r="X882" s="28">
        <v>0.92</v>
      </c>
      <c r="Y882" s="28">
        <v>0.89081081081081082</v>
      </c>
      <c r="Z882" s="28">
        <v>0.90538764783180026</v>
      </c>
      <c r="AA882" s="28">
        <v>0.93627450980392157</v>
      </c>
      <c r="AB882" s="28">
        <v>0.91569589209074187</v>
      </c>
      <c r="AC882" s="28">
        <v>0.92</v>
      </c>
      <c r="AD882" s="26">
        <v>0.96363636363636362</v>
      </c>
      <c r="AE882" s="26">
        <v>0.99521531100478466</v>
      </c>
      <c r="AF882" s="26">
        <v>0.99650959860383947</v>
      </c>
      <c r="AG882" s="26">
        <v>0.98778809769521847</v>
      </c>
      <c r="AH882" s="28">
        <v>0.92</v>
      </c>
      <c r="AI882" s="26">
        <v>0.9464520367936925</v>
      </c>
      <c r="AJ882" s="26">
        <v>0.95599999999999996</v>
      </c>
      <c r="AK882" s="26">
        <v>0.96916047972587094</v>
      </c>
      <c r="AL882" s="26">
        <v>0.96154308858322979</v>
      </c>
      <c r="AM882" s="25">
        <v>0.99</v>
      </c>
      <c r="AN882" s="30">
        <v>1</v>
      </c>
      <c r="AO882" s="30">
        <v>1</v>
      </c>
      <c r="AP882" s="30">
        <v>1</v>
      </c>
      <c r="AQ882" s="30">
        <v>1</v>
      </c>
      <c r="AR882" s="50">
        <v>8.1059522893420499E-2</v>
      </c>
      <c r="AS882" s="34">
        <v>0</v>
      </c>
      <c r="AT882" s="34">
        <v>8.3333333333333329E-2</v>
      </c>
      <c r="AU882" s="34">
        <v>0</v>
      </c>
      <c r="AV882" s="34">
        <v>2.2727272727272728E-2</v>
      </c>
      <c r="AW882" s="10"/>
      <c r="AX882" s="8"/>
    </row>
    <row r="883" spans="1:50">
      <c r="A883" s="7"/>
      <c r="B883" s="10"/>
      <c r="C883" s="45" t="s">
        <v>688</v>
      </c>
      <c r="D883" s="23" t="s">
        <v>21</v>
      </c>
      <c r="E883" s="68" t="s">
        <v>928</v>
      </c>
      <c r="F883" s="68" t="s">
        <v>928</v>
      </c>
      <c r="G883" s="68" t="s">
        <v>928</v>
      </c>
      <c r="H883" s="68" t="s">
        <v>928</v>
      </c>
      <c r="I883" s="25">
        <v>0.9</v>
      </c>
      <c r="J883" s="26">
        <v>0.9464285714285714</v>
      </c>
      <c r="K883" s="26">
        <v>0.93103448275862066</v>
      </c>
      <c r="L883" s="27">
        <v>0.98305084745762716</v>
      </c>
      <c r="M883" s="26">
        <v>0.98026315789473684</v>
      </c>
      <c r="N883" s="28">
        <v>0.9</v>
      </c>
      <c r="O883" s="26">
        <v>0.97450501762950914</v>
      </c>
      <c r="P883" s="26">
        <v>0.97518317182699121</v>
      </c>
      <c r="Q883" s="26">
        <v>0.97189648200566114</v>
      </c>
      <c r="R883" s="26">
        <v>0.96729980246163194</v>
      </c>
      <c r="S883" s="28">
        <v>0.9</v>
      </c>
      <c r="T883" s="26">
        <v>0.92921074043938157</v>
      </c>
      <c r="U883" s="26">
        <v>0.94043961238477902</v>
      </c>
      <c r="V883" s="26">
        <v>0.93752527294783661</v>
      </c>
      <c r="W883" s="26">
        <v>0.93526819632274727</v>
      </c>
      <c r="X883" s="28">
        <v>0.92</v>
      </c>
      <c r="Y883" s="28">
        <v>0.93658326143226922</v>
      </c>
      <c r="Z883" s="28">
        <v>0.95623529411764707</v>
      </c>
      <c r="AA883" s="28">
        <v>0.95774647887323938</v>
      </c>
      <c r="AB883" s="28">
        <v>0.95074158276496701</v>
      </c>
      <c r="AC883" s="28">
        <v>0.92</v>
      </c>
      <c r="AD883" s="26">
        <v>0.96769662921348309</v>
      </c>
      <c r="AE883" s="26">
        <v>0.99117276166456492</v>
      </c>
      <c r="AF883" s="26">
        <v>0.96137339055793991</v>
      </c>
      <c r="AG883" s="26">
        <v>0.98170527022490772</v>
      </c>
      <c r="AH883" s="28">
        <v>0.92</v>
      </c>
      <c r="AI883" s="26">
        <v>0.95803497085761868</v>
      </c>
      <c r="AJ883" s="26">
        <v>0.97325361862806792</v>
      </c>
      <c r="AK883" s="26">
        <v>0.97635371484538969</v>
      </c>
      <c r="AL883" s="26">
        <v>0.96992993382639159</v>
      </c>
      <c r="AM883" s="25">
        <v>0.99</v>
      </c>
      <c r="AN883" s="30">
        <v>1</v>
      </c>
      <c r="AO883" s="30">
        <v>1</v>
      </c>
      <c r="AP883" s="30">
        <v>1</v>
      </c>
      <c r="AQ883" s="30">
        <v>1</v>
      </c>
      <c r="AR883" s="50">
        <v>8.1059522893420499E-2</v>
      </c>
      <c r="AS883" s="34">
        <v>0</v>
      </c>
      <c r="AT883" s="34">
        <v>0</v>
      </c>
      <c r="AU883" s="34">
        <v>3.3333333333333333E-2</v>
      </c>
      <c r="AV883" s="34">
        <v>3.4965034965034965E-3</v>
      </c>
      <c r="AW883" s="10"/>
      <c r="AX883" s="8"/>
    </row>
    <row r="884" spans="1:50">
      <c r="A884" s="7"/>
      <c r="B884" s="10"/>
      <c r="C884" s="45" t="s">
        <v>688</v>
      </c>
      <c r="D884" s="23" t="s">
        <v>21</v>
      </c>
      <c r="E884" s="68" t="s">
        <v>929</v>
      </c>
      <c r="F884" s="68" t="s">
        <v>929</v>
      </c>
      <c r="G884" s="68" t="s">
        <v>929</v>
      </c>
      <c r="H884" s="68" t="s">
        <v>929</v>
      </c>
      <c r="I884" s="25">
        <v>0.9</v>
      </c>
      <c r="J884" s="26">
        <v>0</v>
      </c>
      <c r="K884" s="26">
        <v>0</v>
      </c>
      <c r="L884" s="27">
        <v>0</v>
      </c>
      <c r="M884" s="26">
        <v>0</v>
      </c>
      <c r="N884" s="28">
        <v>0.9</v>
      </c>
      <c r="O884" s="26">
        <v>0</v>
      </c>
      <c r="P884" s="26">
        <v>0</v>
      </c>
      <c r="Q884" s="26">
        <v>0</v>
      </c>
      <c r="R884" s="26">
        <v>0</v>
      </c>
      <c r="S884" s="28">
        <v>0.9</v>
      </c>
      <c r="T884" s="26">
        <v>0</v>
      </c>
      <c r="U884" s="26">
        <v>0</v>
      </c>
      <c r="V884" s="26">
        <v>0</v>
      </c>
      <c r="W884" s="26">
        <v>1</v>
      </c>
      <c r="X884" s="28">
        <v>0.92</v>
      </c>
      <c r="Y884" s="28">
        <v>0</v>
      </c>
      <c r="Z884" s="28">
        <v>0</v>
      </c>
      <c r="AA884" s="28">
        <v>1</v>
      </c>
      <c r="AB884" s="28">
        <v>1</v>
      </c>
      <c r="AC884" s="28">
        <v>0.92</v>
      </c>
      <c r="AD884" s="26">
        <v>0</v>
      </c>
      <c r="AE884" s="26">
        <v>0</v>
      </c>
      <c r="AF884" s="26">
        <v>0</v>
      </c>
      <c r="AG884" s="26">
        <v>1</v>
      </c>
      <c r="AH884" s="28">
        <v>0.92</v>
      </c>
      <c r="AI884" s="26">
        <v>0</v>
      </c>
      <c r="AJ884" s="26">
        <v>0</v>
      </c>
      <c r="AK884" s="26">
        <v>1</v>
      </c>
      <c r="AL884" s="26">
        <v>1</v>
      </c>
      <c r="AM884" s="25">
        <v>0.99</v>
      </c>
      <c r="AN884" s="30">
        <v>0</v>
      </c>
      <c r="AO884" s="30">
        <v>0</v>
      </c>
      <c r="AP884" s="30">
        <v>0</v>
      </c>
      <c r="AQ884" s="30">
        <v>0</v>
      </c>
      <c r="AR884" s="50">
        <v>8.1059522893420499E-2</v>
      </c>
      <c r="AS884" s="34">
        <v>0</v>
      </c>
      <c r="AT884" s="34">
        <v>0</v>
      </c>
      <c r="AU884" s="34">
        <v>0</v>
      </c>
      <c r="AV884" s="34">
        <v>0</v>
      </c>
      <c r="AW884" s="10"/>
      <c r="AX884" s="8"/>
    </row>
    <row r="885" spans="1:50">
      <c r="A885" s="7"/>
      <c r="B885" s="10"/>
      <c r="C885" s="45" t="s">
        <v>688</v>
      </c>
      <c r="D885" s="23" t="s">
        <v>21</v>
      </c>
      <c r="E885" s="68" t="s">
        <v>930</v>
      </c>
      <c r="F885" s="68" t="s">
        <v>930</v>
      </c>
      <c r="G885" s="68" t="s">
        <v>930</v>
      </c>
      <c r="H885" s="68" t="s">
        <v>930</v>
      </c>
      <c r="I885" s="25">
        <v>0.9</v>
      </c>
      <c r="J885" s="26">
        <v>1</v>
      </c>
      <c r="K885" s="26">
        <v>1</v>
      </c>
      <c r="L885" s="27">
        <v>1</v>
      </c>
      <c r="M885" s="26">
        <v>1</v>
      </c>
      <c r="N885" s="28">
        <v>0.9</v>
      </c>
      <c r="O885" s="26">
        <v>0.97662771285475791</v>
      </c>
      <c r="P885" s="26">
        <v>0.98483699772554967</v>
      </c>
      <c r="Q885" s="26">
        <v>0.98766193707587913</v>
      </c>
      <c r="R885" s="26">
        <v>0.9815632048641757</v>
      </c>
      <c r="S885" s="28">
        <v>0.9</v>
      </c>
      <c r="T885" s="26">
        <v>0.93322203672787984</v>
      </c>
      <c r="U885" s="26">
        <v>0.93934799090219867</v>
      </c>
      <c r="V885" s="26">
        <v>0.94756323257248609</v>
      </c>
      <c r="W885" s="26">
        <v>0.93929587133470627</v>
      </c>
      <c r="X885" s="28">
        <v>0.92</v>
      </c>
      <c r="Y885" s="28">
        <v>0.95276653171390013</v>
      </c>
      <c r="Z885" s="28">
        <v>0.92461538461538462</v>
      </c>
      <c r="AA885" s="28">
        <v>0.9429012345679012</v>
      </c>
      <c r="AB885" s="28">
        <v>0.94617161129863203</v>
      </c>
      <c r="AC885" s="28">
        <v>0.92</v>
      </c>
      <c r="AD885" s="26">
        <v>0.99897119341563789</v>
      </c>
      <c r="AE885" s="26">
        <v>1</v>
      </c>
      <c r="AF885" s="26">
        <v>0.99763593380614657</v>
      </c>
      <c r="AG885" s="26">
        <v>0.99809305873379095</v>
      </c>
      <c r="AH885" s="28">
        <v>0.92</v>
      </c>
      <c r="AI885" s="26">
        <v>0.96804123711340206</v>
      </c>
      <c r="AJ885" s="26">
        <v>0.95835449466734379</v>
      </c>
      <c r="AK885" s="26">
        <v>0.97664169237549581</v>
      </c>
      <c r="AL885" s="26">
        <v>0.96904220368966387</v>
      </c>
      <c r="AM885" s="25">
        <v>0.99</v>
      </c>
      <c r="AN885" s="30">
        <v>1</v>
      </c>
      <c r="AO885" s="30">
        <v>1</v>
      </c>
      <c r="AP885" s="30">
        <v>1</v>
      </c>
      <c r="AQ885" s="30">
        <v>1</v>
      </c>
      <c r="AR885" s="50">
        <v>8.1059522893420499E-2</v>
      </c>
      <c r="AS885" s="34">
        <v>0</v>
      </c>
      <c r="AT885" s="34">
        <v>0</v>
      </c>
      <c r="AU885" s="34">
        <v>0</v>
      </c>
      <c r="AV885" s="34">
        <v>1.5873015873015872E-2</v>
      </c>
      <c r="AW885" s="10"/>
      <c r="AX885" s="8"/>
    </row>
    <row r="886" spans="1:50">
      <c r="A886" s="7"/>
      <c r="B886" s="10"/>
      <c r="C886" s="45" t="s">
        <v>688</v>
      </c>
      <c r="D886" s="23" t="s">
        <v>21</v>
      </c>
      <c r="E886" s="68" t="s">
        <v>931</v>
      </c>
      <c r="F886" s="68" t="s">
        <v>931</v>
      </c>
      <c r="G886" s="68" t="s">
        <v>931</v>
      </c>
      <c r="H886" s="68" t="s">
        <v>931</v>
      </c>
      <c r="I886" s="25">
        <v>0.9</v>
      </c>
      <c r="J886" s="26">
        <v>0.97826086956521741</v>
      </c>
      <c r="K886" s="26">
        <v>0.97826086956521741</v>
      </c>
      <c r="L886" s="27">
        <v>0.96</v>
      </c>
      <c r="M886" s="26">
        <v>0.96944444444444444</v>
      </c>
      <c r="N886" s="28">
        <v>0.9</v>
      </c>
      <c r="O886" s="26">
        <v>0.93643626259117752</v>
      </c>
      <c r="P886" s="26">
        <v>0.93160919540229881</v>
      </c>
      <c r="Q886" s="26">
        <v>0.92709984152139457</v>
      </c>
      <c r="R886" s="26">
        <v>0.9261275272161742</v>
      </c>
      <c r="S886" s="28">
        <v>0.9</v>
      </c>
      <c r="T886" s="26">
        <v>0.92080583535949978</v>
      </c>
      <c r="U886" s="26">
        <v>0.90948275862068961</v>
      </c>
      <c r="V886" s="26">
        <v>0.9170628631801373</v>
      </c>
      <c r="W886" s="26">
        <v>0.91006998444790044</v>
      </c>
      <c r="X886" s="28">
        <v>0.92</v>
      </c>
      <c r="Y886" s="28">
        <v>0.92966534316505955</v>
      </c>
      <c r="Z886" s="28">
        <v>0.93531157270029674</v>
      </c>
      <c r="AA886" s="28">
        <v>0.94967741935483874</v>
      </c>
      <c r="AB886" s="28">
        <v>0.93332361728485025</v>
      </c>
      <c r="AC886" s="28">
        <v>0.92</v>
      </c>
      <c r="AD886" s="26">
        <v>0.99885583524027455</v>
      </c>
      <c r="AE886" s="26">
        <v>0.99413489736070382</v>
      </c>
      <c r="AF886" s="26">
        <v>0.99591280653950953</v>
      </c>
      <c r="AG886" s="26">
        <v>0.99421525346323636</v>
      </c>
      <c r="AH886" s="28">
        <v>0.92</v>
      </c>
      <c r="AI886" s="26">
        <v>0.95669969840585956</v>
      </c>
      <c r="AJ886" s="26">
        <v>0.95740561471442398</v>
      </c>
      <c r="AK886" s="26">
        <v>0.96964017991004503</v>
      </c>
      <c r="AL886" s="26">
        <v>0.95827206814379151</v>
      </c>
      <c r="AM886" s="25">
        <v>0.99</v>
      </c>
      <c r="AN886" s="30">
        <v>1</v>
      </c>
      <c r="AO886" s="30">
        <v>1</v>
      </c>
      <c r="AP886" s="30">
        <v>1</v>
      </c>
      <c r="AQ886" s="30">
        <v>1</v>
      </c>
      <c r="AR886" s="50">
        <v>8.1059522893420499E-2</v>
      </c>
      <c r="AS886" s="34">
        <v>0.08</v>
      </c>
      <c r="AT886" s="34">
        <v>0</v>
      </c>
      <c r="AU886" s="34">
        <v>0</v>
      </c>
      <c r="AV886" s="34">
        <v>4.4444444444444446E-2</v>
      </c>
      <c r="AW886" s="10"/>
      <c r="AX886" s="8"/>
    </row>
    <row r="887" spans="1:50">
      <c r="A887" s="7"/>
      <c r="B887" s="10"/>
      <c r="C887" s="45" t="s">
        <v>688</v>
      </c>
      <c r="D887" s="23" t="s">
        <v>21</v>
      </c>
      <c r="E887" s="68" t="s">
        <v>932</v>
      </c>
      <c r="F887" s="68" t="s">
        <v>932</v>
      </c>
      <c r="G887" s="68" t="s">
        <v>932</v>
      </c>
      <c r="H887" s="68" t="s">
        <v>932</v>
      </c>
      <c r="I887" s="25">
        <v>0.9</v>
      </c>
      <c r="J887" s="26">
        <v>0</v>
      </c>
      <c r="K887" s="26">
        <v>0</v>
      </c>
      <c r="L887" s="27">
        <v>0</v>
      </c>
      <c r="M887" s="26">
        <v>0</v>
      </c>
      <c r="N887" s="28">
        <v>0.9</v>
      </c>
      <c r="O887" s="26">
        <v>0</v>
      </c>
      <c r="P887" s="26">
        <v>0</v>
      </c>
      <c r="Q887" s="26">
        <v>0</v>
      </c>
      <c r="R887" s="26">
        <v>0</v>
      </c>
      <c r="S887" s="28">
        <v>0.9</v>
      </c>
      <c r="T887" s="26">
        <v>0</v>
      </c>
      <c r="U887" s="26">
        <v>1</v>
      </c>
      <c r="V887" s="26">
        <v>0</v>
      </c>
      <c r="W887" s="26">
        <v>1</v>
      </c>
      <c r="X887" s="28">
        <v>0.92</v>
      </c>
      <c r="Y887" s="28">
        <v>0</v>
      </c>
      <c r="Z887" s="28">
        <v>0</v>
      </c>
      <c r="AA887" s="28">
        <v>0</v>
      </c>
      <c r="AB887" s="28">
        <v>1</v>
      </c>
      <c r="AC887" s="28">
        <v>0.92</v>
      </c>
      <c r="AD887" s="26">
        <v>1</v>
      </c>
      <c r="AE887" s="26">
        <v>1</v>
      </c>
      <c r="AF887" s="26">
        <v>1</v>
      </c>
      <c r="AG887" s="26">
        <v>0.99966777408637875</v>
      </c>
      <c r="AH887" s="28">
        <v>0.92</v>
      </c>
      <c r="AI887" s="26">
        <v>0</v>
      </c>
      <c r="AJ887" s="26">
        <v>1</v>
      </c>
      <c r="AK887" s="26">
        <v>0</v>
      </c>
      <c r="AL887" s="26">
        <v>1</v>
      </c>
      <c r="AM887" s="25">
        <v>0.99</v>
      </c>
      <c r="AN887" s="30">
        <v>1</v>
      </c>
      <c r="AO887" s="30">
        <v>0</v>
      </c>
      <c r="AP887" s="30">
        <v>1</v>
      </c>
      <c r="AQ887" s="30">
        <v>1</v>
      </c>
      <c r="AR887" s="50">
        <v>8.1059522893420499E-2</v>
      </c>
      <c r="AS887" s="34">
        <v>0</v>
      </c>
      <c r="AT887" s="34">
        <v>0</v>
      </c>
      <c r="AU887" s="34">
        <v>0</v>
      </c>
      <c r="AV887" s="34">
        <v>0</v>
      </c>
      <c r="AW887" s="10"/>
      <c r="AX887" s="8"/>
    </row>
    <row r="888" spans="1:50">
      <c r="A888" s="7"/>
      <c r="B888" s="10"/>
      <c r="C888" s="45" t="s">
        <v>688</v>
      </c>
      <c r="D888" s="23" t="s">
        <v>21</v>
      </c>
      <c r="E888" s="68" t="s">
        <v>933</v>
      </c>
      <c r="F888" s="68" t="s">
        <v>933</v>
      </c>
      <c r="G888" s="68" t="s">
        <v>933</v>
      </c>
      <c r="H888" s="68" t="s">
        <v>933</v>
      </c>
      <c r="I888" s="25">
        <v>0.9</v>
      </c>
      <c r="J888" s="26">
        <v>0</v>
      </c>
      <c r="K888" s="26">
        <v>0</v>
      </c>
      <c r="L888" s="27">
        <v>0</v>
      </c>
      <c r="M888" s="26">
        <v>0</v>
      </c>
      <c r="N888" s="28">
        <v>0.9</v>
      </c>
      <c r="O888" s="26">
        <v>0</v>
      </c>
      <c r="P888" s="26">
        <v>0</v>
      </c>
      <c r="Q888" s="26">
        <v>1</v>
      </c>
      <c r="R888" s="26">
        <v>1</v>
      </c>
      <c r="S888" s="28">
        <v>0.9</v>
      </c>
      <c r="T888" s="26">
        <v>0</v>
      </c>
      <c r="U888" s="26">
        <v>0</v>
      </c>
      <c r="V888" s="26">
        <v>1</v>
      </c>
      <c r="W888" s="26">
        <v>1</v>
      </c>
      <c r="X888" s="28">
        <v>0.92</v>
      </c>
      <c r="Y888" s="28">
        <v>0</v>
      </c>
      <c r="Z888" s="28">
        <v>0</v>
      </c>
      <c r="AA888" s="28">
        <v>0</v>
      </c>
      <c r="AB888" s="28">
        <v>0</v>
      </c>
      <c r="AC888" s="28">
        <v>0.92</v>
      </c>
      <c r="AD888" s="26">
        <v>0.99815837937384899</v>
      </c>
      <c r="AE888" s="26">
        <v>1</v>
      </c>
      <c r="AF888" s="26">
        <v>0.99867549668874167</v>
      </c>
      <c r="AG888" s="26">
        <v>0.99858642972536349</v>
      </c>
      <c r="AH888" s="28">
        <v>0.92</v>
      </c>
      <c r="AI888" s="26">
        <v>0</v>
      </c>
      <c r="AJ888" s="26">
        <v>1</v>
      </c>
      <c r="AK888" s="26">
        <v>1</v>
      </c>
      <c r="AL888" s="26">
        <v>1</v>
      </c>
      <c r="AM888" s="25">
        <v>0.99</v>
      </c>
      <c r="AN888" s="30">
        <v>0</v>
      </c>
      <c r="AO888" s="30">
        <v>0</v>
      </c>
      <c r="AP888" s="30">
        <v>1</v>
      </c>
      <c r="AQ888" s="30">
        <v>1</v>
      </c>
      <c r="AR888" s="50">
        <v>8.1059522893420499E-2</v>
      </c>
      <c r="AS888" s="34">
        <v>0</v>
      </c>
      <c r="AT888" s="34">
        <v>0</v>
      </c>
      <c r="AU888" s="34">
        <v>0</v>
      </c>
      <c r="AV888" s="34">
        <v>0</v>
      </c>
      <c r="AW888" s="10"/>
      <c r="AX888" s="8"/>
    </row>
    <row r="889" spans="1:50">
      <c r="A889" s="7"/>
      <c r="B889" s="10"/>
      <c r="C889" s="45" t="s">
        <v>688</v>
      </c>
      <c r="D889" s="23" t="s">
        <v>21</v>
      </c>
      <c r="E889" s="68" t="s">
        <v>934</v>
      </c>
      <c r="F889" s="68" t="s">
        <v>934</v>
      </c>
      <c r="G889" s="68" t="s">
        <v>934</v>
      </c>
      <c r="H889" s="68" t="s">
        <v>934</v>
      </c>
      <c r="I889" s="25">
        <v>0.9</v>
      </c>
      <c r="J889" s="26">
        <v>0</v>
      </c>
      <c r="K889" s="26">
        <v>0</v>
      </c>
      <c r="L889" s="27">
        <v>0</v>
      </c>
      <c r="M889" s="26">
        <v>0</v>
      </c>
      <c r="N889" s="28">
        <v>0.9</v>
      </c>
      <c r="O889" s="26">
        <v>0</v>
      </c>
      <c r="P889" s="26">
        <v>0</v>
      </c>
      <c r="Q889" s="26">
        <v>0</v>
      </c>
      <c r="R889" s="26">
        <v>0</v>
      </c>
      <c r="S889" s="28">
        <v>0.9</v>
      </c>
      <c r="T889" s="26">
        <v>0.93333333333333335</v>
      </c>
      <c r="U889" s="26">
        <v>1</v>
      </c>
      <c r="V889" s="26">
        <v>0.96875</v>
      </c>
      <c r="W889" s="26">
        <v>0.96399999999999997</v>
      </c>
      <c r="X889" s="28">
        <v>0.92</v>
      </c>
      <c r="Y889" s="28">
        <v>1</v>
      </c>
      <c r="Z889" s="28">
        <v>0</v>
      </c>
      <c r="AA889" s="28">
        <v>0</v>
      </c>
      <c r="AB889" s="28">
        <v>0.8</v>
      </c>
      <c r="AC889" s="28">
        <v>0.92</v>
      </c>
      <c r="AD889" s="26">
        <v>0.95788478324119875</v>
      </c>
      <c r="AE889" s="26">
        <v>0.99591451917033313</v>
      </c>
      <c r="AF889" s="26">
        <v>0.99917125436571363</v>
      </c>
      <c r="AG889" s="26">
        <v>0.99341165132431619</v>
      </c>
      <c r="AH889" s="28">
        <v>0.92</v>
      </c>
      <c r="AI889" s="26">
        <v>0.94444444444444442</v>
      </c>
      <c r="AJ889" s="26">
        <v>1</v>
      </c>
      <c r="AK889" s="26">
        <v>0.98076923076923073</v>
      </c>
      <c r="AL889" s="26">
        <v>0.98044692737430172</v>
      </c>
      <c r="AM889" s="25">
        <v>0.99</v>
      </c>
      <c r="AN889" s="30">
        <v>1</v>
      </c>
      <c r="AO889" s="30">
        <v>1</v>
      </c>
      <c r="AP889" s="30">
        <v>1</v>
      </c>
      <c r="AQ889" s="30">
        <v>1</v>
      </c>
      <c r="AR889" s="50">
        <v>8.1059522893420499E-2</v>
      </c>
      <c r="AS889" s="34">
        <v>0</v>
      </c>
      <c r="AT889" s="34">
        <v>0</v>
      </c>
      <c r="AU889" s="34">
        <v>0</v>
      </c>
      <c r="AV889" s="34">
        <v>0</v>
      </c>
      <c r="AW889" s="10"/>
      <c r="AX889" s="8"/>
    </row>
    <row r="890" spans="1:50">
      <c r="A890" s="7"/>
      <c r="B890" s="10"/>
      <c r="C890" s="45" t="s">
        <v>688</v>
      </c>
      <c r="D890" s="23" t="s">
        <v>21</v>
      </c>
      <c r="E890" s="68" t="s">
        <v>935</v>
      </c>
      <c r="F890" s="68" t="s">
        <v>935</v>
      </c>
      <c r="G890" s="68" t="s">
        <v>935</v>
      </c>
      <c r="H890" s="68" t="s">
        <v>935</v>
      </c>
      <c r="I890" s="25">
        <v>0.9</v>
      </c>
      <c r="J890" s="26">
        <v>0</v>
      </c>
      <c r="K890" s="26">
        <v>0</v>
      </c>
      <c r="L890" s="27">
        <v>0</v>
      </c>
      <c r="M890" s="26">
        <v>0</v>
      </c>
      <c r="N890" s="28">
        <v>0.9</v>
      </c>
      <c r="O890" s="26">
        <v>0</v>
      </c>
      <c r="P890" s="26">
        <v>0</v>
      </c>
      <c r="Q890" s="26">
        <v>0</v>
      </c>
      <c r="R890" s="26">
        <v>0</v>
      </c>
      <c r="S890" s="28">
        <v>0.9</v>
      </c>
      <c r="T890" s="26">
        <v>0</v>
      </c>
      <c r="U890" s="26">
        <v>0</v>
      </c>
      <c r="V890" s="26">
        <v>0</v>
      </c>
      <c r="W890" s="26">
        <v>0</v>
      </c>
      <c r="X890" s="28">
        <v>0.92</v>
      </c>
      <c r="Y890" s="28">
        <v>0</v>
      </c>
      <c r="Z890" s="28">
        <v>0</v>
      </c>
      <c r="AA890" s="28">
        <v>0</v>
      </c>
      <c r="AB890" s="28">
        <v>0</v>
      </c>
      <c r="AC890" s="28">
        <v>0.92</v>
      </c>
      <c r="AD890" s="26">
        <v>0</v>
      </c>
      <c r="AE890" s="26">
        <v>0</v>
      </c>
      <c r="AF890" s="26">
        <v>0</v>
      </c>
      <c r="AG890" s="26">
        <v>0</v>
      </c>
      <c r="AH890" s="28">
        <v>0.92</v>
      </c>
      <c r="AI890" s="26">
        <v>0</v>
      </c>
      <c r="AJ890" s="26">
        <v>0</v>
      </c>
      <c r="AK890" s="26">
        <v>0</v>
      </c>
      <c r="AL890" s="26">
        <v>0</v>
      </c>
      <c r="AM890" s="25">
        <v>0.99</v>
      </c>
      <c r="AN890" s="30">
        <v>0</v>
      </c>
      <c r="AO890" s="30">
        <v>0</v>
      </c>
      <c r="AP890" s="30">
        <v>0</v>
      </c>
      <c r="AQ890" s="30">
        <v>0</v>
      </c>
      <c r="AR890" s="50">
        <v>8.1059522893420499E-2</v>
      </c>
      <c r="AS890" s="34">
        <v>0</v>
      </c>
      <c r="AT890" s="34">
        <v>0</v>
      </c>
      <c r="AU890" s="34">
        <v>0</v>
      </c>
      <c r="AV890" s="34">
        <v>0</v>
      </c>
      <c r="AW890" s="10"/>
      <c r="AX890" s="8"/>
    </row>
    <row r="891" spans="1:50">
      <c r="A891" s="7"/>
      <c r="B891" s="10"/>
      <c r="C891" s="45" t="s">
        <v>688</v>
      </c>
      <c r="D891" s="23" t="s">
        <v>21</v>
      </c>
      <c r="E891" s="68" t="s">
        <v>936</v>
      </c>
      <c r="F891" s="68" t="s">
        <v>936</v>
      </c>
      <c r="G891" s="68" t="s">
        <v>936</v>
      </c>
      <c r="H891" s="68" t="s">
        <v>936</v>
      </c>
      <c r="I891" s="25">
        <v>0.9</v>
      </c>
      <c r="J891" s="26">
        <v>0</v>
      </c>
      <c r="K891" s="26">
        <v>0</v>
      </c>
      <c r="L891" s="27">
        <v>0</v>
      </c>
      <c r="M891" s="26">
        <v>0</v>
      </c>
      <c r="N891" s="28">
        <v>0.9</v>
      </c>
      <c r="O891" s="26">
        <v>0</v>
      </c>
      <c r="P891" s="26">
        <v>0</v>
      </c>
      <c r="Q891" s="26">
        <v>0</v>
      </c>
      <c r="R891" s="26">
        <v>0</v>
      </c>
      <c r="S891" s="28">
        <v>0.9</v>
      </c>
      <c r="T891" s="26">
        <v>1</v>
      </c>
      <c r="U891" s="26">
        <v>1</v>
      </c>
      <c r="V891" s="26">
        <v>1</v>
      </c>
      <c r="W891" s="26">
        <v>1</v>
      </c>
      <c r="X891" s="28">
        <v>0.92</v>
      </c>
      <c r="Y891" s="28">
        <v>1</v>
      </c>
      <c r="Z891" s="28">
        <v>0</v>
      </c>
      <c r="AA891" s="28">
        <v>1</v>
      </c>
      <c r="AB891" s="28">
        <v>1</v>
      </c>
      <c r="AC891" s="28">
        <v>0.92</v>
      </c>
      <c r="AD891" s="26">
        <v>1</v>
      </c>
      <c r="AE891" s="26">
        <v>0.99646643109540634</v>
      </c>
      <c r="AF891" s="26">
        <v>0.99687499999999996</v>
      </c>
      <c r="AG891" s="26">
        <v>0.99860529986053004</v>
      </c>
      <c r="AH891" s="28">
        <v>0.92</v>
      </c>
      <c r="AI891" s="26">
        <v>1</v>
      </c>
      <c r="AJ891" s="26">
        <v>1</v>
      </c>
      <c r="AK891" s="26">
        <v>1</v>
      </c>
      <c r="AL891" s="26">
        <v>1</v>
      </c>
      <c r="AM891" s="25">
        <v>0.99</v>
      </c>
      <c r="AN891" s="30">
        <v>0</v>
      </c>
      <c r="AO891" s="30">
        <v>1</v>
      </c>
      <c r="AP891" s="30">
        <v>1</v>
      </c>
      <c r="AQ891" s="30">
        <v>1</v>
      </c>
      <c r="AR891" s="50">
        <v>8.1059522893420499E-2</v>
      </c>
      <c r="AS891" s="34">
        <v>0</v>
      </c>
      <c r="AT891" s="34">
        <v>0</v>
      </c>
      <c r="AU891" s="34">
        <v>0</v>
      </c>
      <c r="AV891" s="34">
        <v>0</v>
      </c>
      <c r="AW891" s="10"/>
      <c r="AX891" s="8"/>
    </row>
    <row r="892" spans="1:50">
      <c r="A892" s="7"/>
      <c r="B892" s="10"/>
      <c r="C892" s="45" t="s">
        <v>688</v>
      </c>
      <c r="D892" s="23" t="s">
        <v>21</v>
      </c>
      <c r="E892" s="68" t="s">
        <v>937</v>
      </c>
      <c r="F892" s="68" t="s">
        <v>937</v>
      </c>
      <c r="G892" s="68" t="s">
        <v>937</v>
      </c>
      <c r="H892" s="68" t="s">
        <v>937</v>
      </c>
      <c r="I892" s="25">
        <v>0.9</v>
      </c>
      <c r="J892" s="26">
        <v>0</v>
      </c>
      <c r="K892" s="26">
        <v>0</v>
      </c>
      <c r="L892" s="27">
        <v>0</v>
      </c>
      <c r="M892" s="26">
        <v>0</v>
      </c>
      <c r="N892" s="28">
        <v>0.9</v>
      </c>
      <c r="O892" s="26">
        <v>0</v>
      </c>
      <c r="P892" s="26">
        <v>0</v>
      </c>
      <c r="Q892" s="26">
        <v>0</v>
      </c>
      <c r="R892" s="26">
        <v>0</v>
      </c>
      <c r="S892" s="28">
        <v>0.9</v>
      </c>
      <c r="T892" s="26">
        <v>0</v>
      </c>
      <c r="U892" s="26">
        <v>0</v>
      </c>
      <c r="V892" s="26">
        <v>0</v>
      </c>
      <c r="W892" s="26">
        <v>1</v>
      </c>
      <c r="X892" s="28">
        <v>0.92</v>
      </c>
      <c r="Y892" s="28">
        <v>0</v>
      </c>
      <c r="Z892" s="28">
        <v>0</v>
      </c>
      <c r="AA892" s="28">
        <v>0</v>
      </c>
      <c r="AB892" s="28">
        <v>0</v>
      </c>
      <c r="AC892" s="28">
        <v>0.92</v>
      </c>
      <c r="AD892" s="26">
        <v>1</v>
      </c>
      <c r="AE892" s="26">
        <v>1</v>
      </c>
      <c r="AF892" s="26">
        <v>0.99632352941176472</v>
      </c>
      <c r="AG892" s="26">
        <v>0.99905347846663517</v>
      </c>
      <c r="AH892" s="28">
        <v>0.92</v>
      </c>
      <c r="AI892" s="26">
        <v>0</v>
      </c>
      <c r="AJ892" s="26">
        <v>0</v>
      </c>
      <c r="AK892" s="26">
        <v>0</v>
      </c>
      <c r="AL892" s="26">
        <v>1</v>
      </c>
      <c r="AM892" s="25">
        <v>0.99</v>
      </c>
      <c r="AN892" s="30">
        <v>1</v>
      </c>
      <c r="AO892" s="30">
        <v>1</v>
      </c>
      <c r="AP892" s="30">
        <v>1</v>
      </c>
      <c r="AQ892" s="30">
        <v>1</v>
      </c>
      <c r="AR892" s="50">
        <v>8.1059522893420499E-2</v>
      </c>
      <c r="AS892" s="34">
        <v>0</v>
      </c>
      <c r="AT892" s="34">
        <v>0</v>
      </c>
      <c r="AU892" s="34">
        <v>0</v>
      </c>
      <c r="AV892" s="34">
        <v>0</v>
      </c>
      <c r="AW892" s="10"/>
      <c r="AX892" s="8"/>
    </row>
    <row r="893" spans="1:50">
      <c r="A893" s="7"/>
      <c r="B893" s="10"/>
      <c r="C893" s="45" t="s">
        <v>688</v>
      </c>
      <c r="D893" s="23" t="s">
        <v>21</v>
      </c>
      <c r="E893" s="68" t="s">
        <v>938</v>
      </c>
      <c r="F893" s="68" t="s">
        <v>938</v>
      </c>
      <c r="G893" s="68" t="s">
        <v>938</v>
      </c>
      <c r="H893" s="68" t="s">
        <v>938</v>
      </c>
      <c r="I893" s="25">
        <v>0.9</v>
      </c>
      <c r="J893" s="26">
        <v>0</v>
      </c>
      <c r="K893" s="26">
        <v>0</v>
      </c>
      <c r="L893" s="27">
        <v>0</v>
      </c>
      <c r="M893" s="26">
        <v>0</v>
      </c>
      <c r="N893" s="28">
        <v>0.9</v>
      </c>
      <c r="O893" s="26">
        <v>0</v>
      </c>
      <c r="P893" s="26">
        <v>0</v>
      </c>
      <c r="Q893" s="26">
        <v>0</v>
      </c>
      <c r="R893" s="26">
        <v>0</v>
      </c>
      <c r="S893" s="28">
        <v>0.9</v>
      </c>
      <c r="T893" s="26">
        <v>0</v>
      </c>
      <c r="U893" s="26">
        <v>0</v>
      </c>
      <c r="V893" s="26">
        <v>0</v>
      </c>
      <c r="W893" s="26">
        <v>0</v>
      </c>
      <c r="X893" s="28">
        <v>0.92</v>
      </c>
      <c r="Y893" s="28">
        <v>0</v>
      </c>
      <c r="Z893" s="28">
        <v>0</v>
      </c>
      <c r="AA893" s="28">
        <v>0</v>
      </c>
      <c r="AB893" s="28">
        <v>0</v>
      </c>
      <c r="AC893" s="28">
        <v>0.92</v>
      </c>
      <c r="AD893" s="26">
        <v>1</v>
      </c>
      <c r="AE893" s="26">
        <v>1</v>
      </c>
      <c r="AF893" s="26">
        <v>1</v>
      </c>
      <c r="AG893" s="26">
        <v>0.99838501291989667</v>
      </c>
      <c r="AH893" s="28">
        <v>0.92</v>
      </c>
      <c r="AI893" s="26">
        <v>0</v>
      </c>
      <c r="AJ893" s="26">
        <v>0</v>
      </c>
      <c r="AK893" s="26">
        <v>0</v>
      </c>
      <c r="AL893" s="26">
        <v>0</v>
      </c>
      <c r="AM893" s="25">
        <v>0.99</v>
      </c>
      <c r="AN893" s="30">
        <v>1</v>
      </c>
      <c r="AO893" s="30">
        <v>1</v>
      </c>
      <c r="AP893" s="30">
        <v>1</v>
      </c>
      <c r="AQ893" s="30">
        <v>1</v>
      </c>
      <c r="AR893" s="50">
        <v>8.1059522893420499E-2</v>
      </c>
      <c r="AS893" s="34">
        <v>0</v>
      </c>
      <c r="AT893" s="34">
        <v>0</v>
      </c>
      <c r="AU893" s="34">
        <v>0</v>
      </c>
      <c r="AV893" s="34">
        <v>0</v>
      </c>
      <c r="AW893" s="10"/>
      <c r="AX893" s="8"/>
    </row>
    <row r="894" spans="1:50">
      <c r="A894" s="7"/>
      <c r="B894" s="10"/>
      <c r="C894" s="45" t="s">
        <v>688</v>
      </c>
      <c r="D894" s="23" t="s">
        <v>21</v>
      </c>
      <c r="E894" s="68" t="s">
        <v>939</v>
      </c>
      <c r="F894" s="68" t="s">
        <v>939</v>
      </c>
      <c r="G894" s="68" t="s">
        <v>939</v>
      </c>
      <c r="H894" s="68" t="s">
        <v>939</v>
      </c>
      <c r="I894" s="25">
        <v>0.9</v>
      </c>
      <c r="J894" s="26">
        <v>0</v>
      </c>
      <c r="K894" s="26">
        <v>0</v>
      </c>
      <c r="L894" s="27">
        <v>0</v>
      </c>
      <c r="M894" s="26">
        <v>0</v>
      </c>
      <c r="N894" s="28">
        <v>0.9</v>
      </c>
      <c r="O894" s="26">
        <v>0</v>
      </c>
      <c r="P894" s="26">
        <v>0</v>
      </c>
      <c r="Q894" s="26">
        <v>0</v>
      </c>
      <c r="R894" s="26">
        <v>0</v>
      </c>
      <c r="S894" s="28">
        <v>0.9</v>
      </c>
      <c r="T894" s="26">
        <v>1</v>
      </c>
      <c r="U894" s="26">
        <v>1</v>
      </c>
      <c r="V894" s="26">
        <v>1</v>
      </c>
      <c r="W894" s="26">
        <v>1</v>
      </c>
      <c r="X894" s="28">
        <v>0.92</v>
      </c>
      <c r="Y894" s="28">
        <v>1</v>
      </c>
      <c r="Z894" s="28">
        <v>1</v>
      </c>
      <c r="AA894" s="28">
        <v>1</v>
      </c>
      <c r="AB894" s="28">
        <v>1</v>
      </c>
      <c r="AC894" s="28">
        <v>0.92</v>
      </c>
      <c r="AD894" s="26">
        <v>1</v>
      </c>
      <c r="AE894" s="26">
        <v>1</v>
      </c>
      <c r="AF894" s="26">
        <v>1</v>
      </c>
      <c r="AG894" s="26">
        <v>1</v>
      </c>
      <c r="AH894" s="28">
        <v>0.92</v>
      </c>
      <c r="AI894" s="26">
        <v>1</v>
      </c>
      <c r="AJ894" s="26">
        <v>1</v>
      </c>
      <c r="AK894" s="26">
        <v>1</v>
      </c>
      <c r="AL894" s="26">
        <v>1</v>
      </c>
      <c r="AM894" s="25">
        <v>0.99</v>
      </c>
      <c r="AN894" s="30">
        <v>1</v>
      </c>
      <c r="AO894" s="30">
        <v>1</v>
      </c>
      <c r="AP894" s="30">
        <v>1</v>
      </c>
      <c r="AQ894" s="30">
        <v>1</v>
      </c>
      <c r="AR894" s="50">
        <v>8.1059522893420499E-2</v>
      </c>
      <c r="AS894" s="34">
        <v>0</v>
      </c>
      <c r="AT894" s="34">
        <v>0</v>
      </c>
      <c r="AU894" s="34">
        <v>0</v>
      </c>
      <c r="AV894" s="34">
        <v>0</v>
      </c>
      <c r="AW894" s="10"/>
      <c r="AX894" s="8"/>
    </row>
    <row r="895" spans="1:50">
      <c r="A895" s="7"/>
      <c r="B895" s="10"/>
      <c r="C895" s="45" t="s">
        <v>688</v>
      </c>
      <c r="D895" s="23" t="s">
        <v>21</v>
      </c>
      <c r="E895" s="68" t="s">
        <v>940</v>
      </c>
      <c r="F895" s="68" t="s">
        <v>940</v>
      </c>
      <c r="G895" s="68" t="s">
        <v>940</v>
      </c>
      <c r="H895" s="68" t="s">
        <v>940</v>
      </c>
      <c r="I895" s="25">
        <v>0.9</v>
      </c>
      <c r="J895" s="26">
        <v>0</v>
      </c>
      <c r="K895" s="26">
        <v>0</v>
      </c>
      <c r="L895" s="27">
        <v>0</v>
      </c>
      <c r="M895" s="26">
        <v>0</v>
      </c>
      <c r="N895" s="28">
        <v>0.9</v>
      </c>
      <c r="O895" s="26">
        <v>0</v>
      </c>
      <c r="P895" s="26">
        <v>0</v>
      </c>
      <c r="Q895" s="26">
        <v>0</v>
      </c>
      <c r="R895" s="26">
        <v>0</v>
      </c>
      <c r="S895" s="28">
        <v>0.9</v>
      </c>
      <c r="T895" s="26">
        <v>0</v>
      </c>
      <c r="U895" s="26">
        <v>0</v>
      </c>
      <c r="V895" s="26">
        <v>0</v>
      </c>
      <c r="W895" s="26">
        <v>0</v>
      </c>
      <c r="X895" s="28">
        <v>0.92</v>
      </c>
      <c r="Y895" s="28">
        <v>0</v>
      </c>
      <c r="Z895" s="28">
        <v>0</v>
      </c>
      <c r="AA895" s="28">
        <v>0</v>
      </c>
      <c r="AB895" s="28">
        <v>0</v>
      </c>
      <c r="AC895" s="28">
        <v>0.92</v>
      </c>
      <c r="AD895" s="26">
        <v>0</v>
      </c>
      <c r="AE895" s="26">
        <v>0</v>
      </c>
      <c r="AF895" s="26">
        <v>0</v>
      </c>
      <c r="AG895" s="26">
        <v>0</v>
      </c>
      <c r="AH895" s="28">
        <v>0.92</v>
      </c>
      <c r="AI895" s="26">
        <v>0</v>
      </c>
      <c r="AJ895" s="26">
        <v>0</v>
      </c>
      <c r="AK895" s="26">
        <v>0</v>
      </c>
      <c r="AL895" s="26">
        <v>0</v>
      </c>
      <c r="AM895" s="25">
        <v>0.99</v>
      </c>
      <c r="AN895" s="30">
        <v>0</v>
      </c>
      <c r="AO895" s="30">
        <v>0</v>
      </c>
      <c r="AP895" s="30">
        <v>0</v>
      </c>
      <c r="AQ895" s="30">
        <v>0</v>
      </c>
      <c r="AR895" s="50">
        <v>8.1059522893420499E-2</v>
      </c>
      <c r="AS895" s="34">
        <v>0</v>
      </c>
      <c r="AT895" s="34">
        <v>0</v>
      </c>
      <c r="AU895" s="34">
        <v>0</v>
      </c>
      <c r="AV895" s="34">
        <v>0</v>
      </c>
      <c r="AW895" s="10"/>
      <c r="AX895" s="8"/>
    </row>
    <row r="896" spans="1:50">
      <c r="A896" s="7"/>
      <c r="B896" s="10"/>
      <c r="C896" s="45" t="s">
        <v>688</v>
      </c>
      <c r="D896" s="23" t="s">
        <v>21</v>
      </c>
      <c r="E896" s="68" t="s">
        <v>941</v>
      </c>
      <c r="F896" s="68" t="s">
        <v>941</v>
      </c>
      <c r="G896" s="68" t="s">
        <v>941</v>
      </c>
      <c r="H896" s="68" t="s">
        <v>941</v>
      </c>
      <c r="I896" s="25">
        <v>0.9</v>
      </c>
      <c r="J896" s="26">
        <v>0</v>
      </c>
      <c r="K896" s="26">
        <v>0</v>
      </c>
      <c r="L896" s="27">
        <v>0</v>
      </c>
      <c r="M896" s="26">
        <v>0</v>
      </c>
      <c r="N896" s="28">
        <v>0.9</v>
      </c>
      <c r="O896" s="26">
        <v>0</v>
      </c>
      <c r="P896" s="26">
        <v>0</v>
      </c>
      <c r="Q896" s="26">
        <v>0</v>
      </c>
      <c r="R896" s="26">
        <v>0</v>
      </c>
      <c r="S896" s="28">
        <v>0.9</v>
      </c>
      <c r="T896" s="26">
        <v>0</v>
      </c>
      <c r="U896" s="26">
        <v>0</v>
      </c>
      <c r="V896" s="26">
        <v>0</v>
      </c>
      <c r="W896" s="26">
        <v>0</v>
      </c>
      <c r="X896" s="28">
        <v>0.92</v>
      </c>
      <c r="Y896" s="28">
        <v>0</v>
      </c>
      <c r="Z896" s="28">
        <v>0</v>
      </c>
      <c r="AA896" s="28">
        <v>0</v>
      </c>
      <c r="AB896" s="28">
        <v>0</v>
      </c>
      <c r="AC896" s="28">
        <v>0.92</v>
      </c>
      <c r="AD896" s="26">
        <v>0</v>
      </c>
      <c r="AE896" s="26">
        <v>0</v>
      </c>
      <c r="AF896" s="26">
        <v>0</v>
      </c>
      <c r="AG896" s="26">
        <v>0</v>
      </c>
      <c r="AH896" s="28">
        <v>0.92</v>
      </c>
      <c r="AI896" s="26">
        <v>0</v>
      </c>
      <c r="AJ896" s="26">
        <v>0</v>
      </c>
      <c r="AK896" s="26">
        <v>0</v>
      </c>
      <c r="AL896" s="26">
        <v>0</v>
      </c>
      <c r="AM896" s="25">
        <v>0.99</v>
      </c>
      <c r="AN896" s="30">
        <v>0</v>
      </c>
      <c r="AO896" s="30">
        <v>0</v>
      </c>
      <c r="AP896" s="30">
        <v>0</v>
      </c>
      <c r="AQ896" s="30">
        <v>0</v>
      </c>
      <c r="AR896" s="50">
        <v>8.1059522893420499E-2</v>
      </c>
      <c r="AS896" s="34">
        <v>0</v>
      </c>
      <c r="AT896" s="34">
        <v>0</v>
      </c>
      <c r="AU896" s="34">
        <v>0</v>
      </c>
      <c r="AV896" s="34">
        <v>0</v>
      </c>
      <c r="AW896" s="10"/>
      <c r="AX896" s="8"/>
    </row>
    <row r="897" spans="1:50">
      <c r="A897" s="7"/>
      <c r="B897" s="10"/>
      <c r="C897" s="45" t="s">
        <v>688</v>
      </c>
      <c r="D897" s="23" t="s">
        <v>21</v>
      </c>
      <c r="E897" s="68" t="s">
        <v>942</v>
      </c>
      <c r="F897" s="68" t="s">
        <v>942</v>
      </c>
      <c r="G897" s="68" t="s">
        <v>942</v>
      </c>
      <c r="H897" s="68" t="s">
        <v>942</v>
      </c>
      <c r="I897" s="25">
        <v>0.9</v>
      </c>
      <c r="J897" s="26">
        <v>0</v>
      </c>
      <c r="K897" s="26">
        <v>0</v>
      </c>
      <c r="L897" s="27">
        <v>0</v>
      </c>
      <c r="M897" s="26">
        <v>0</v>
      </c>
      <c r="N897" s="28">
        <v>0.9</v>
      </c>
      <c r="O897" s="26">
        <v>0</v>
      </c>
      <c r="P897" s="26">
        <v>0</v>
      </c>
      <c r="Q897" s="26">
        <v>0</v>
      </c>
      <c r="R897" s="26">
        <v>0</v>
      </c>
      <c r="S897" s="28">
        <v>0.9</v>
      </c>
      <c r="T897" s="26">
        <v>0</v>
      </c>
      <c r="U897" s="26">
        <v>0</v>
      </c>
      <c r="V897" s="26">
        <v>0</v>
      </c>
      <c r="W897" s="26">
        <v>0</v>
      </c>
      <c r="X897" s="28">
        <v>0.92</v>
      </c>
      <c r="Y897" s="28">
        <v>0</v>
      </c>
      <c r="Z897" s="28">
        <v>0</v>
      </c>
      <c r="AA897" s="28">
        <v>0</v>
      </c>
      <c r="AB897" s="28">
        <v>0</v>
      </c>
      <c r="AC897" s="28">
        <v>0.92</v>
      </c>
      <c r="AD897" s="26">
        <v>0</v>
      </c>
      <c r="AE897" s="26">
        <v>0</v>
      </c>
      <c r="AF897" s="26">
        <v>0</v>
      </c>
      <c r="AG897" s="26">
        <v>0</v>
      </c>
      <c r="AH897" s="28">
        <v>0.92</v>
      </c>
      <c r="AI897" s="26">
        <v>0</v>
      </c>
      <c r="AJ897" s="26">
        <v>0</v>
      </c>
      <c r="AK897" s="26">
        <v>0</v>
      </c>
      <c r="AL897" s="26">
        <v>0</v>
      </c>
      <c r="AM897" s="25">
        <v>0.99</v>
      </c>
      <c r="AN897" s="30">
        <v>0</v>
      </c>
      <c r="AO897" s="30">
        <v>0</v>
      </c>
      <c r="AP897" s="30">
        <v>0</v>
      </c>
      <c r="AQ897" s="30">
        <v>0</v>
      </c>
      <c r="AR897" s="50">
        <v>8.1059522893420499E-2</v>
      </c>
      <c r="AS897" s="34">
        <v>0</v>
      </c>
      <c r="AT897" s="34">
        <v>0</v>
      </c>
      <c r="AU897" s="34">
        <v>0</v>
      </c>
      <c r="AV897" s="34">
        <v>0</v>
      </c>
      <c r="AW897" s="10"/>
      <c r="AX897" s="8"/>
    </row>
    <row r="898" spans="1:50">
      <c r="A898" s="7"/>
      <c r="B898" s="10"/>
      <c r="C898" s="45" t="s">
        <v>688</v>
      </c>
      <c r="D898" s="23" t="s">
        <v>21</v>
      </c>
      <c r="E898" s="68" t="s">
        <v>943</v>
      </c>
      <c r="F898" s="68" t="s">
        <v>943</v>
      </c>
      <c r="G898" s="68" t="s">
        <v>943</v>
      </c>
      <c r="H898" s="68" t="s">
        <v>943</v>
      </c>
      <c r="I898" s="25">
        <v>0.9</v>
      </c>
      <c r="J898" s="26">
        <v>0</v>
      </c>
      <c r="K898" s="26">
        <v>0</v>
      </c>
      <c r="L898" s="27">
        <v>0</v>
      </c>
      <c r="M898" s="26">
        <v>0</v>
      </c>
      <c r="N898" s="28">
        <v>0.9</v>
      </c>
      <c r="O898" s="26">
        <v>0</v>
      </c>
      <c r="P898" s="26">
        <v>0</v>
      </c>
      <c r="Q898" s="26">
        <v>0</v>
      </c>
      <c r="R898" s="26">
        <v>0</v>
      </c>
      <c r="S898" s="28">
        <v>0.9</v>
      </c>
      <c r="T898" s="26">
        <v>0</v>
      </c>
      <c r="U898" s="26">
        <v>0</v>
      </c>
      <c r="V898" s="26">
        <v>0</v>
      </c>
      <c r="W898" s="26">
        <v>0</v>
      </c>
      <c r="X898" s="28">
        <v>0.92</v>
      </c>
      <c r="Y898" s="28">
        <v>0</v>
      </c>
      <c r="Z898" s="28">
        <v>0</v>
      </c>
      <c r="AA898" s="28">
        <v>0</v>
      </c>
      <c r="AB898" s="28">
        <v>0</v>
      </c>
      <c r="AC898" s="28">
        <v>0.92</v>
      </c>
      <c r="AD898" s="26">
        <v>1</v>
      </c>
      <c r="AE898" s="26">
        <v>1</v>
      </c>
      <c r="AF898" s="26">
        <v>1</v>
      </c>
      <c r="AG898" s="26">
        <v>1</v>
      </c>
      <c r="AH898" s="28">
        <v>0.92</v>
      </c>
      <c r="AI898" s="26">
        <v>0</v>
      </c>
      <c r="AJ898" s="26">
        <v>0</v>
      </c>
      <c r="AK898" s="26">
        <v>0</v>
      </c>
      <c r="AL898" s="26">
        <v>0</v>
      </c>
      <c r="AM898" s="25">
        <v>0.99</v>
      </c>
      <c r="AN898" s="30">
        <v>1</v>
      </c>
      <c r="AO898" s="30">
        <v>1</v>
      </c>
      <c r="AP898" s="30">
        <v>1</v>
      </c>
      <c r="AQ898" s="30">
        <v>1</v>
      </c>
      <c r="AR898" s="50">
        <v>8.1059522893420499E-2</v>
      </c>
      <c r="AS898" s="34">
        <v>0</v>
      </c>
      <c r="AT898" s="34">
        <v>0</v>
      </c>
      <c r="AU898" s="34">
        <v>0</v>
      </c>
      <c r="AV898" s="34">
        <v>0</v>
      </c>
      <c r="AW898" s="10"/>
      <c r="AX898" s="8"/>
    </row>
    <row r="899" spans="1:50">
      <c r="A899" s="7"/>
      <c r="B899" s="10"/>
      <c r="C899" s="47"/>
      <c r="D899" s="48"/>
      <c r="E899" s="48"/>
      <c r="F899" s="48"/>
      <c r="G899" s="48"/>
      <c r="H899" s="48"/>
      <c r="I899" s="39"/>
      <c r="J899" s="40"/>
      <c r="K899" s="40"/>
      <c r="L899" s="27"/>
      <c r="M899" s="40"/>
      <c r="N899" s="43"/>
      <c r="O899" s="40"/>
      <c r="P899" s="40"/>
      <c r="Q899" s="26"/>
      <c r="R899" s="40"/>
      <c r="S899" s="43"/>
      <c r="T899" s="40"/>
      <c r="U899" s="40"/>
      <c r="V899" s="26"/>
      <c r="W899" s="40"/>
      <c r="X899" s="43"/>
      <c r="Y899" s="43"/>
      <c r="Z899" s="43"/>
      <c r="AA899" s="28"/>
      <c r="AB899" s="43"/>
      <c r="AC899" s="40"/>
      <c r="AD899" s="40"/>
      <c r="AE899" s="40"/>
      <c r="AF899" s="26"/>
      <c r="AG899" s="40"/>
      <c r="AH899" s="40"/>
      <c r="AI899" s="40"/>
      <c r="AJ899" s="40"/>
      <c r="AK899" s="26"/>
      <c r="AL899" s="40"/>
      <c r="AM899" s="39"/>
      <c r="AN899" s="39"/>
      <c r="AO899" s="39"/>
      <c r="AP899" s="30"/>
      <c r="AQ899" s="39"/>
      <c r="AR899" s="40"/>
      <c r="AS899" s="39"/>
      <c r="AT899" s="39"/>
      <c r="AU899" s="34"/>
      <c r="AV899" s="39"/>
      <c r="AW899" s="10"/>
      <c r="AX899" s="8"/>
    </row>
    <row r="900" spans="1:50">
      <c r="A900" s="7"/>
      <c r="B900" s="10"/>
      <c r="C900" s="69" t="s">
        <v>944</v>
      </c>
      <c r="D900" s="23" t="s">
        <v>23</v>
      </c>
      <c r="E900" s="70" t="s">
        <v>945</v>
      </c>
      <c r="F900" s="71" t="s">
        <v>945</v>
      </c>
      <c r="G900" s="71" t="s">
        <v>945</v>
      </c>
      <c r="H900" s="71" t="s">
        <v>945</v>
      </c>
      <c r="I900" s="25">
        <v>0.9</v>
      </c>
      <c r="J900" s="26">
        <v>0.875</v>
      </c>
      <c r="K900" s="26">
        <v>0.875</v>
      </c>
      <c r="L900" s="27">
        <v>0.93333333333333335</v>
      </c>
      <c r="M900" s="26">
        <v>0.88429752066115708</v>
      </c>
      <c r="N900" s="28">
        <v>0.9</v>
      </c>
      <c r="O900" s="26">
        <v>0.89356814701378251</v>
      </c>
      <c r="P900" s="26">
        <v>0.88286163522012584</v>
      </c>
      <c r="Q900" s="26">
        <v>0.88429752066115708</v>
      </c>
      <c r="R900" s="26">
        <v>0.88070331626975296</v>
      </c>
      <c r="S900" s="28">
        <v>0.9</v>
      </c>
      <c r="T900" s="26">
        <v>0.92113323124042878</v>
      </c>
      <c r="U900" s="26">
        <v>0.90330188679245282</v>
      </c>
      <c r="V900" s="26">
        <v>0.87695133149678606</v>
      </c>
      <c r="W900" s="26">
        <v>0.90329401290896949</v>
      </c>
      <c r="X900" s="28">
        <v>0.92</v>
      </c>
      <c r="Y900" s="28">
        <v>0.93127147766323026</v>
      </c>
      <c r="Z900" s="28">
        <v>0.95327102803738317</v>
      </c>
      <c r="AA900" s="28">
        <v>0.97447447447447444</v>
      </c>
      <c r="AB900" s="28">
        <v>0.93800229621125142</v>
      </c>
      <c r="AC900" s="28">
        <v>0.92</v>
      </c>
      <c r="AD900" s="26">
        <v>0.96994779065325354</v>
      </c>
      <c r="AE900" s="26">
        <v>0.98351999999999995</v>
      </c>
      <c r="AF900" s="26">
        <v>0.99718349528235461</v>
      </c>
      <c r="AG900" s="26">
        <v>0.98541813723669058</v>
      </c>
      <c r="AH900" s="28">
        <v>0.92</v>
      </c>
      <c r="AI900" s="26">
        <v>0.96120150187734665</v>
      </c>
      <c r="AJ900" s="26">
        <v>0.96735718769617074</v>
      </c>
      <c r="AK900" s="26">
        <v>0.97492877492877494</v>
      </c>
      <c r="AL900" s="26">
        <v>0.96086881572142735</v>
      </c>
      <c r="AM900" s="25">
        <v>0.99</v>
      </c>
      <c r="AN900" s="30">
        <v>1</v>
      </c>
      <c r="AO900" s="30">
        <v>1</v>
      </c>
      <c r="AP900" s="30">
        <v>1</v>
      </c>
      <c r="AQ900" s="30">
        <v>1</v>
      </c>
      <c r="AR900" s="50">
        <v>6.5641848892985799E-2</v>
      </c>
      <c r="AS900" s="34">
        <v>0</v>
      </c>
      <c r="AT900" s="34">
        <v>0.16666666666666666</v>
      </c>
      <c r="AU900" s="34">
        <v>6.25E-2</v>
      </c>
      <c r="AV900" s="34">
        <v>7.6923076923076927E-2</v>
      </c>
      <c r="AW900" s="10"/>
      <c r="AX900" s="8"/>
    </row>
    <row r="901" spans="1:50">
      <c r="A901" s="7"/>
      <c r="B901" s="10"/>
      <c r="C901" s="69" t="s">
        <v>944</v>
      </c>
      <c r="D901" s="23" t="s">
        <v>23</v>
      </c>
      <c r="E901" s="72" t="s">
        <v>946</v>
      </c>
      <c r="F901" s="73" t="s">
        <v>946</v>
      </c>
      <c r="G901" s="73" t="s">
        <v>946</v>
      </c>
      <c r="H901" s="73" t="s">
        <v>946</v>
      </c>
      <c r="I901" s="25">
        <v>0.9</v>
      </c>
      <c r="J901" s="26">
        <v>0.93181818181818177</v>
      </c>
      <c r="K901" s="26">
        <v>0.98039215686274506</v>
      </c>
      <c r="L901" s="27">
        <v>0.92452830188679247</v>
      </c>
      <c r="M901" s="26">
        <v>0.83243243243243248</v>
      </c>
      <c r="N901" s="28">
        <v>0.9</v>
      </c>
      <c r="O901" s="26">
        <v>0.88994961548660834</v>
      </c>
      <c r="P901" s="26">
        <v>0.88883048620236527</v>
      </c>
      <c r="Q901" s="26">
        <v>0.87813839559093687</v>
      </c>
      <c r="R901" s="26">
        <v>0.87245313773431132</v>
      </c>
      <c r="S901" s="28">
        <v>0.9</v>
      </c>
      <c r="T901" s="26">
        <v>0.8594537258021745</v>
      </c>
      <c r="U901" s="26">
        <v>0.88672798948751641</v>
      </c>
      <c r="V901" s="26">
        <v>0.89804041641151255</v>
      </c>
      <c r="W901" s="26">
        <v>0.88315922056753349</v>
      </c>
      <c r="X901" s="28">
        <v>0.92</v>
      </c>
      <c r="Y901" s="28">
        <v>0.87866108786610875</v>
      </c>
      <c r="Z901" s="28">
        <v>0.90909090909090906</v>
      </c>
      <c r="AA901" s="28">
        <v>0.93122134222592745</v>
      </c>
      <c r="AB901" s="28">
        <v>0.91241044603651489</v>
      </c>
      <c r="AC901" s="28">
        <v>0.92</v>
      </c>
      <c r="AD901" s="26">
        <v>0.98653380016159442</v>
      </c>
      <c r="AE901" s="26">
        <v>0.97037914691943128</v>
      </c>
      <c r="AF901" s="26">
        <v>0.97987164527421233</v>
      </c>
      <c r="AG901" s="26">
        <v>0.97780650042558559</v>
      </c>
      <c r="AH901" s="28">
        <v>0.92</v>
      </c>
      <c r="AI901" s="26">
        <v>0.91601438544531411</v>
      </c>
      <c r="AJ901" s="26">
        <v>0.92553191489361697</v>
      </c>
      <c r="AK901" s="26">
        <v>0.94563106796116503</v>
      </c>
      <c r="AL901" s="26">
        <v>0.93471310785798423</v>
      </c>
      <c r="AM901" s="25">
        <v>0.99</v>
      </c>
      <c r="AN901" s="30">
        <v>1</v>
      </c>
      <c r="AO901" s="30">
        <v>1</v>
      </c>
      <c r="AP901" s="30">
        <v>1</v>
      </c>
      <c r="AQ901" s="30">
        <v>1</v>
      </c>
      <c r="AR901" s="50">
        <v>6.5641848892985799E-2</v>
      </c>
      <c r="AS901" s="34">
        <v>0</v>
      </c>
      <c r="AT901" s="34">
        <v>3.8461538461538464E-2</v>
      </c>
      <c r="AU901" s="34">
        <v>3.2258064516129031E-2</v>
      </c>
      <c r="AV901" s="34">
        <v>1.5267175572519083E-2</v>
      </c>
      <c r="AW901" s="10"/>
      <c r="AX901" s="8"/>
    </row>
    <row r="902" spans="1:50">
      <c r="A902" s="7"/>
      <c r="B902" s="10"/>
      <c r="C902" s="69" t="s">
        <v>944</v>
      </c>
      <c r="D902" s="23" t="s">
        <v>23</v>
      </c>
      <c r="E902" s="72" t="s">
        <v>947</v>
      </c>
      <c r="F902" s="73" t="s">
        <v>947</v>
      </c>
      <c r="G902" s="73" t="s">
        <v>947</v>
      </c>
      <c r="H902" s="73" t="s">
        <v>947</v>
      </c>
      <c r="I902" s="25">
        <v>0.9</v>
      </c>
      <c r="J902" s="26">
        <v>1</v>
      </c>
      <c r="K902" s="26">
        <v>0.91891891891891897</v>
      </c>
      <c r="L902" s="27">
        <v>0.96875</v>
      </c>
      <c r="M902" s="26">
        <v>0.96363636363636362</v>
      </c>
      <c r="N902" s="28">
        <v>0.9</v>
      </c>
      <c r="O902" s="26">
        <v>0.95644834571235648</v>
      </c>
      <c r="P902" s="26">
        <v>0.94719025050778605</v>
      </c>
      <c r="Q902" s="26">
        <v>0.86600790513833992</v>
      </c>
      <c r="R902" s="26">
        <v>0.90610489271225381</v>
      </c>
      <c r="S902" s="28">
        <v>0.9</v>
      </c>
      <c r="T902" s="26">
        <v>0.86461850101282922</v>
      </c>
      <c r="U902" s="26">
        <v>0.90893703452945163</v>
      </c>
      <c r="V902" s="26">
        <v>0.79051383399209485</v>
      </c>
      <c r="W902" s="26">
        <v>0.84803753849161734</v>
      </c>
      <c r="X902" s="28">
        <v>0.92</v>
      </c>
      <c r="Y902" s="28">
        <v>0.90533562822719449</v>
      </c>
      <c r="Z902" s="28">
        <v>0.94565217391304346</v>
      </c>
      <c r="AA902" s="28">
        <v>0.92968299711815561</v>
      </c>
      <c r="AB902" s="28">
        <v>0.92797927461139895</v>
      </c>
      <c r="AC902" s="28">
        <v>0.92</v>
      </c>
      <c r="AD902" s="26">
        <v>0.9886255924170616</v>
      </c>
      <c r="AE902" s="26">
        <v>0.86932849364791287</v>
      </c>
      <c r="AF902" s="26">
        <v>0.79261586802827966</v>
      </c>
      <c r="AG902" s="26">
        <v>0.91464608024355765</v>
      </c>
      <c r="AH902" s="28">
        <v>0.92</v>
      </c>
      <c r="AI902" s="26">
        <v>0.93056731583403896</v>
      </c>
      <c r="AJ902" s="26">
        <v>0.9538888888888889</v>
      </c>
      <c r="AK902" s="26">
        <v>0.9409144196951934</v>
      </c>
      <c r="AL902" s="26">
        <v>0.94092103759570334</v>
      </c>
      <c r="AM902" s="25">
        <v>0.99</v>
      </c>
      <c r="AN902" s="30">
        <v>1</v>
      </c>
      <c r="AO902" s="30">
        <v>1</v>
      </c>
      <c r="AP902" s="30">
        <v>1</v>
      </c>
      <c r="AQ902" s="30">
        <v>1</v>
      </c>
      <c r="AR902" s="50">
        <v>6.5641848892985799E-2</v>
      </c>
      <c r="AS902" s="34">
        <v>6.25E-2</v>
      </c>
      <c r="AT902" s="34">
        <v>7.8947368421052627E-2</v>
      </c>
      <c r="AU902" s="34">
        <v>0</v>
      </c>
      <c r="AV902" s="34">
        <v>3.7542662116040959E-2</v>
      </c>
      <c r="AW902" s="10"/>
      <c r="AX902" s="8"/>
    </row>
    <row r="903" spans="1:50">
      <c r="A903" s="7"/>
      <c r="B903" s="10"/>
      <c r="C903" s="69" t="s">
        <v>944</v>
      </c>
      <c r="D903" s="23" t="s">
        <v>23</v>
      </c>
      <c r="E903" s="72" t="s">
        <v>948</v>
      </c>
      <c r="F903" s="73" t="s">
        <v>948</v>
      </c>
      <c r="G903" s="73" t="s">
        <v>948</v>
      </c>
      <c r="H903" s="73" t="s">
        <v>948</v>
      </c>
      <c r="I903" s="25">
        <v>0.9</v>
      </c>
      <c r="J903" s="26">
        <v>0.9375</v>
      </c>
      <c r="K903" s="26">
        <v>0.93939393939393945</v>
      </c>
      <c r="L903" s="27">
        <v>0.91176470588235292</v>
      </c>
      <c r="M903" s="26">
        <v>0.94252873563218387</v>
      </c>
      <c r="N903" s="28">
        <v>0.9</v>
      </c>
      <c r="O903" s="26">
        <v>0.92698164779383052</v>
      </c>
      <c r="P903" s="26">
        <v>0.93960017014036579</v>
      </c>
      <c r="Q903" s="26">
        <v>0.93881453154875716</v>
      </c>
      <c r="R903" s="26">
        <v>0.94089152874690041</v>
      </c>
      <c r="S903" s="28">
        <v>0.9</v>
      </c>
      <c r="T903" s="26">
        <v>0.92151503319016015</v>
      </c>
      <c r="U903" s="26">
        <v>0.91365376435559331</v>
      </c>
      <c r="V903" s="26">
        <v>0.93355640535372852</v>
      </c>
      <c r="W903" s="26">
        <v>0.92226515195202119</v>
      </c>
      <c r="X903" s="28">
        <v>0.92</v>
      </c>
      <c r="Y903" s="28">
        <v>0.939453125</v>
      </c>
      <c r="Z903" s="28">
        <v>0.92881944444444442</v>
      </c>
      <c r="AA903" s="28">
        <v>0.96671388101983002</v>
      </c>
      <c r="AB903" s="28">
        <v>0.93957001743172575</v>
      </c>
      <c r="AC903" s="28">
        <v>0.92</v>
      </c>
      <c r="AD903" s="26">
        <v>0.98776223776223782</v>
      </c>
      <c r="AE903" s="26">
        <v>0.99118165784832446</v>
      </c>
      <c r="AF903" s="26">
        <v>0.99631449631449631</v>
      </c>
      <c r="AG903" s="26">
        <v>0.98441961825559843</v>
      </c>
      <c r="AH903" s="28">
        <v>0.92</v>
      </c>
      <c r="AI903" s="26">
        <v>0.95476732834363809</v>
      </c>
      <c r="AJ903" s="26">
        <v>0.94977792962077212</v>
      </c>
      <c r="AK903" s="26">
        <v>0.97031963470319638</v>
      </c>
      <c r="AL903" s="26">
        <v>0.95987736603572382</v>
      </c>
      <c r="AM903" s="25">
        <v>0.99</v>
      </c>
      <c r="AN903" s="30">
        <v>1</v>
      </c>
      <c r="AO903" s="30">
        <v>1</v>
      </c>
      <c r="AP903" s="30">
        <v>1</v>
      </c>
      <c r="AQ903" s="30">
        <v>1</v>
      </c>
      <c r="AR903" s="50">
        <v>6.5641848892985799E-2</v>
      </c>
      <c r="AS903" s="34">
        <v>9.0909090909090912E-2</v>
      </c>
      <c r="AT903" s="34">
        <v>3.8461538461538464E-2</v>
      </c>
      <c r="AU903" s="34">
        <v>2.564102564102564E-2</v>
      </c>
      <c r="AV903" s="34">
        <v>7.1684587813620068E-2</v>
      </c>
      <c r="AW903" s="10"/>
      <c r="AX903" s="8"/>
    </row>
    <row r="904" spans="1:50">
      <c r="A904" s="7"/>
      <c r="B904" s="10"/>
      <c r="C904" s="69" t="s">
        <v>944</v>
      </c>
      <c r="D904" s="23" t="s">
        <v>23</v>
      </c>
      <c r="E904" s="72" t="s">
        <v>949</v>
      </c>
      <c r="F904" s="73" t="s">
        <v>949</v>
      </c>
      <c r="G904" s="73" t="s">
        <v>949</v>
      </c>
      <c r="H904" s="73" t="s">
        <v>949</v>
      </c>
      <c r="I904" s="25">
        <v>0.9</v>
      </c>
      <c r="J904" s="26">
        <v>0.967741935483871</v>
      </c>
      <c r="K904" s="26">
        <v>1</v>
      </c>
      <c r="L904" s="27">
        <v>1</v>
      </c>
      <c r="M904" s="26">
        <v>0.96078431372549022</v>
      </c>
      <c r="N904" s="28">
        <v>0.9</v>
      </c>
      <c r="O904" s="26">
        <v>0.92402044293015329</v>
      </c>
      <c r="P904" s="26">
        <v>0.97336662505201832</v>
      </c>
      <c r="Q904" s="26">
        <v>0.95438282647584971</v>
      </c>
      <c r="R904" s="26">
        <v>0.95505557354052018</v>
      </c>
      <c r="S904" s="28">
        <v>0.9</v>
      </c>
      <c r="T904" s="26">
        <v>0.91345826235093697</v>
      </c>
      <c r="U904" s="26">
        <v>0.95755305867665419</v>
      </c>
      <c r="V904" s="26">
        <v>0.90384615384615385</v>
      </c>
      <c r="W904" s="26">
        <v>0.92904931477284991</v>
      </c>
      <c r="X904" s="28">
        <v>0.92</v>
      </c>
      <c r="Y904" s="28">
        <v>0.8403908794788274</v>
      </c>
      <c r="Z904" s="28">
        <v>0.94434470377019752</v>
      </c>
      <c r="AA904" s="28">
        <v>0.95877659574468088</v>
      </c>
      <c r="AB904" s="28">
        <v>0.92033655567490158</v>
      </c>
      <c r="AC904" s="28">
        <v>0.92</v>
      </c>
      <c r="AD904" s="26">
        <v>0.95320197044334976</v>
      </c>
      <c r="AE904" s="26">
        <v>0.94225721784776906</v>
      </c>
      <c r="AF904" s="26">
        <v>0.95110593713620484</v>
      </c>
      <c r="AG904" s="26">
        <v>0.93257911634306678</v>
      </c>
      <c r="AH904" s="28">
        <v>0.92</v>
      </c>
      <c r="AI904" s="26">
        <v>0.94054663285432516</v>
      </c>
      <c r="AJ904" s="26">
        <v>0.98006756756756752</v>
      </c>
      <c r="AK904" s="26">
        <v>0.96577540106951876</v>
      </c>
      <c r="AL904" s="26">
        <v>0.96360169140203966</v>
      </c>
      <c r="AM904" s="25">
        <v>0.99</v>
      </c>
      <c r="AN904" s="30">
        <v>1</v>
      </c>
      <c r="AO904" s="30">
        <v>1</v>
      </c>
      <c r="AP904" s="30">
        <v>1</v>
      </c>
      <c r="AQ904" s="30">
        <v>1</v>
      </c>
      <c r="AR904" s="50">
        <v>6.5641848892985799E-2</v>
      </c>
      <c r="AS904" s="34">
        <v>0</v>
      </c>
      <c r="AT904" s="34">
        <v>5.7142857142857141E-2</v>
      </c>
      <c r="AU904" s="34">
        <v>6.4516129032258063E-2</v>
      </c>
      <c r="AV904" s="34">
        <v>4.9586776859504134E-2</v>
      </c>
      <c r="AW904" s="10"/>
      <c r="AX904" s="8"/>
    </row>
    <row r="905" spans="1:50">
      <c r="A905" s="7"/>
      <c r="B905" s="10"/>
      <c r="C905" s="69" t="s">
        <v>944</v>
      </c>
      <c r="D905" s="23" t="s">
        <v>23</v>
      </c>
      <c r="E905" s="72" t="s">
        <v>950</v>
      </c>
      <c r="F905" s="73" t="s">
        <v>950</v>
      </c>
      <c r="G905" s="73" t="s">
        <v>950</v>
      </c>
      <c r="H905" s="73" t="s">
        <v>950</v>
      </c>
      <c r="I905" s="25">
        <v>0.9</v>
      </c>
      <c r="J905" s="26">
        <v>0</v>
      </c>
      <c r="K905" s="26">
        <v>0</v>
      </c>
      <c r="L905" s="27">
        <v>0</v>
      </c>
      <c r="M905" s="26">
        <v>0</v>
      </c>
      <c r="N905" s="28">
        <v>0.9</v>
      </c>
      <c r="O905" s="26">
        <v>0</v>
      </c>
      <c r="P905" s="26">
        <v>0</v>
      </c>
      <c r="Q905" s="26">
        <v>0</v>
      </c>
      <c r="R905" s="26">
        <v>0</v>
      </c>
      <c r="S905" s="28">
        <v>0.9</v>
      </c>
      <c r="T905" s="26">
        <v>0</v>
      </c>
      <c r="U905" s="26">
        <v>0</v>
      </c>
      <c r="V905" s="26">
        <v>0</v>
      </c>
      <c r="W905" s="26">
        <v>1</v>
      </c>
      <c r="X905" s="28">
        <v>0.92</v>
      </c>
      <c r="Y905" s="28">
        <v>0</v>
      </c>
      <c r="Z905" s="28">
        <v>0</v>
      </c>
      <c r="AA905" s="28">
        <v>0</v>
      </c>
      <c r="AB905" s="28">
        <v>0</v>
      </c>
      <c r="AC905" s="28">
        <v>0.92</v>
      </c>
      <c r="AD905" s="26">
        <v>0.97445255474452552</v>
      </c>
      <c r="AE905" s="26">
        <v>0.96995708154506433</v>
      </c>
      <c r="AF905" s="26">
        <v>0.88095238095238093</v>
      </c>
      <c r="AG905" s="26">
        <v>0.94715852442671988</v>
      </c>
      <c r="AH905" s="28">
        <v>0.92</v>
      </c>
      <c r="AI905" s="26">
        <v>0</v>
      </c>
      <c r="AJ905" s="26">
        <v>0</v>
      </c>
      <c r="AK905" s="26">
        <v>0</v>
      </c>
      <c r="AL905" s="26">
        <v>1</v>
      </c>
      <c r="AM905" s="25">
        <v>0.99</v>
      </c>
      <c r="AN905" s="30">
        <v>1</v>
      </c>
      <c r="AO905" s="30">
        <v>1</v>
      </c>
      <c r="AP905" s="30">
        <v>1</v>
      </c>
      <c r="AQ905" s="30">
        <v>1</v>
      </c>
      <c r="AR905" s="50">
        <v>6.5641848892985799E-2</v>
      </c>
      <c r="AS905" s="34">
        <v>0</v>
      </c>
      <c r="AT905" s="34">
        <v>0</v>
      </c>
      <c r="AU905" s="34">
        <v>0</v>
      </c>
      <c r="AV905" s="34">
        <v>0</v>
      </c>
      <c r="AW905" s="10"/>
      <c r="AX905" s="8"/>
    </row>
    <row r="906" spans="1:50">
      <c r="A906" s="7"/>
      <c r="B906" s="10"/>
      <c r="C906" s="69" t="s">
        <v>944</v>
      </c>
      <c r="D906" s="23" t="s">
        <v>23</v>
      </c>
      <c r="E906" s="74" t="s">
        <v>951</v>
      </c>
      <c r="F906" s="75" t="s">
        <v>951</v>
      </c>
      <c r="G906" s="75" t="s">
        <v>951</v>
      </c>
      <c r="H906" s="75" t="s">
        <v>951</v>
      </c>
      <c r="I906" s="25">
        <v>0.9</v>
      </c>
      <c r="J906" s="26">
        <v>0.88888888888888884</v>
      </c>
      <c r="K906" s="26">
        <v>0.89743589743589747</v>
      </c>
      <c r="L906" s="27">
        <v>0.90476190476190477</v>
      </c>
      <c r="M906" s="26">
        <v>0.88888888888888884</v>
      </c>
      <c r="N906" s="28">
        <v>0.9</v>
      </c>
      <c r="O906" s="26">
        <v>0.87028657616892913</v>
      </c>
      <c r="P906" s="26">
        <v>0.84515711046323294</v>
      </c>
      <c r="Q906" s="26">
        <v>0.88274173806609546</v>
      </c>
      <c r="R906" s="26">
        <v>0.85129537886786322</v>
      </c>
      <c r="S906" s="28">
        <v>0.9</v>
      </c>
      <c r="T906" s="26">
        <v>0.87360482654600302</v>
      </c>
      <c r="U906" s="26">
        <v>0.91091674765144148</v>
      </c>
      <c r="V906" s="26">
        <v>0.92215422276621783</v>
      </c>
      <c r="W906" s="26">
        <v>0.90087712174124912</v>
      </c>
      <c r="X906" s="28">
        <v>0.92</v>
      </c>
      <c r="Y906" s="28">
        <v>0.91872278664731499</v>
      </c>
      <c r="Z906" s="28">
        <v>0.92810457516339873</v>
      </c>
      <c r="AA906" s="28">
        <v>0.94744744744744747</v>
      </c>
      <c r="AB906" s="28">
        <v>0.93661355279285585</v>
      </c>
      <c r="AC906" s="28">
        <v>0.92</v>
      </c>
      <c r="AD906" s="26">
        <v>0.96645796064400713</v>
      </c>
      <c r="AE906" s="26">
        <v>0.94017379679144386</v>
      </c>
      <c r="AF906" s="26">
        <v>0.97445820433436536</v>
      </c>
      <c r="AG906" s="26">
        <v>0.95702898873402498</v>
      </c>
      <c r="AH906" s="28">
        <v>0.92</v>
      </c>
      <c r="AI906" s="26">
        <v>0.89588014981273412</v>
      </c>
      <c r="AJ906" s="26">
        <v>0.92914611990656626</v>
      </c>
      <c r="AK906" s="26">
        <v>0.941486002946748</v>
      </c>
      <c r="AL906" s="26">
        <v>0.9235028509277875</v>
      </c>
      <c r="AM906" s="25">
        <v>0.99</v>
      </c>
      <c r="AN906" s="30">
        <v>1</v>
      </c>
      <c r="AO906" s="30">
        <v>1</v>
      </c>
      <c r="AP906" s="30">
        <v>1</v>
      </c>
      <c r="AQ906" s="30">
        <v>1</v>
      </c>
      <c r="AR906" s="50">
        <v>6.5641848892985799E-2</v>
      </c>
      <c r="AS906" s="34">
        <v>2.4390243902439025E-2</v>
      </c>
      <c r="AT906" s="34">
        <v>0.04</v>
      </c>
      <c r="AU906" s="34">
        <v>0.02</v>
      </c>
      <c r="AV906" s="34">
        <v>6.0869565217391307E-2</v>
      </c>
      <c r="AW906" s="10"/>
      <c r="AX906" s="8"/>
    </row>
    <row r="907" spans="1:50">
      <c r="A907" s="7"/>
      <c r="B907" s="10"/>
      <c r="C907" s="69" t="s">
        <v>944</v>
      </c>
      <c r="D907" s="23" t="s">
        <v>23</v>
      </c>
      <c r="E907" s="74" t="s">
        <v>952</v>
      </c>
      <c r="F907" s="75" t="s">
        <v>952</v>
      </c>
      <c r="G907" s="75" t="s">
        <v>952</v>
      </c>
      <c r="H907" s="75" t="s">
        <v>952</v>
      </c>
      <c r="I907" s="25">
        <v>0.9</v>
      </c>
      <c r="J907" s="26">
        <v>0</v>
      </c>
      <c r="K907" s="26">
        <v>0</v>
      </c>
      <c r="L907" s="27">
        <v>0</v>
      </c>
      <c r="M907" s="26">
        <v>0</v>
      </c>
      <c r="N907" s="28">
        <v>0.9</v>
      </c>
      <c r="O907" s="26">
        <v>0</v>
      </c>
      <c r="P907" s="26">
        <v>0</v>
      </c>
      <c r="Q907" s="26">
        <v>0</v>
      </c>
      <c r="R907" s="26">
        <v>0</v>
      </c>
      <c r="S907" s="28">
        <v>0.9</v>
      </c>
      <c r="T907" s="26">
        <v>0</v>
      </c>
      <c r="U907" s="26">
        <v>0</v>
      </c>
      <c r="V907" s="26">
        <v>0</v>
      </c>
      <c r="W907" s="26">
        <v>0</v>
      </c>
      <c r="X907" s="28">
        <v>0.92</v>
      </c>
      <c r="Y907" s="28">
        <v>0</v>
      </c>
      <c r="Z907" s="28">
        <v>0</v>
      </c>
      <c r="AA907" s="28">
        <v>0</v>
      </c>
      <c r="AB907" s="28">
        <v>0</v>
      </c>
      <c r="AC907" s="28">
        <v>0.92</v>
      </c>
      <c r="AD907" s="26">
        <v>0.98842592592592593</v>
      </c>
      <c r="AE907" s="26">
        <v>0.94988066825775652</v>
      </c>
      <c r="AF907" s="26">
        <v>0.99564270152505452</v>
      </c>
      <c r="AG907" s="26">
        <v>0.96752681936793272</v>
      </c>
      <c r="AH907" s="28">
        <v>0.92</v>
      </c>
      <c r="AI907" s="26">
        <v>0</v>
      </c>
      <c r="AJ907" s="26">
        <v>0</v>
      </c>
      <c r="AK907" s="26">
        <v>0</v>
      </c>
      <c r="AL907" s="26">
        <v>0</v>
      </c>
      <c r="AM907" s="25">
        <v>0.99</v>
      </c>
      <c r="AN907" s="30">
        <v>1</v>
      </c>
      <c r="AO907" s="30">
        <v>1</v>
      </c>
      <c r="AP907" s="30">
        <v>1</v>
      </c>
      <c r="AQ907" s="30">
        <v>1</v>
      </c>
      <c r="AR907" s="50">
        <v>6.5641848892985799E-2</v>
      </c>
      <c r="AS907" s="34">
        <v>0</v>
      </c>
      <c r="AT907" s="34">
        <v>0</v>
      </c>
      <c r="AU907" s="34">
        <v>0</v>
      </c>
      <c r="AV907" s="34">
        <v>0</v>
      </c>
      <c r="AW907" s="10"/>
      <c r="AX907" s="8"/>
    </row>
    <row r="908" spans="1:50">
      <c r="A908" s="7"/>
      <c r="B908" s="10"/>
      <c r="C908" s="69" t="s">
        <v>944</v>
      </c>
      <c r="D908" s="23" t="s">
        <v>23</v>
      </c>
      <c r="E908" s="74" t="s">
        <v>953</v>
      </c>
      <c r="F908" s="75" t="s">
        <v>953</v>
      </c>
      <c r="G908" s="75" t="s">
        <v>953</v>
      </c>
      <c r="H908" s="75" t="s">
        <v>953</v>
      </c>
      <c r="I908" s="25">
        <v>0.9</v>
      </c>
      <c r="J908" s="26">
        <v>0.75</v>
      </c>
      <c r="K908" s="26">
        <v>0.83333333333333337</v>
      </c>
      <c r="L908" s="27">
        <v>0.90476190476190477</v>
      </c>
      <c r="M908" s="26">
        <v>0.82781456953642385</v>
      </c>
      <c r="N908" s="28">
        <v>0.9</v>
      </c>
      <c r="O908" s="26">
        <v>0.85804020100502509</v>
      </c>
      <c r="P908" s="26">
        <v>0.90072102052135328</v>
      </c>
      <c r="Q908" s="26">
        <v>0.88710417622762738</v>
      </c>
      <c r="R908" s="26">
        <v>0.8277099236641221</v>
      </c>
      <c r="S908" s="28">
        <v>0.9</v>
      </c>
      <c r="T908" s="26">
        <v>0.90766331658291455</v>
      </c>
      <c r="U908" s="26">
        <v>0.90904048807542981</v>
      </c>
      <c r="V908" s="26">
        <v>0.9132629646626893</v>
      </c>
      <c r="W908" s="26">
        <v>0.9115267175572519</v>
      </c>
      <c r="X908" s="28">
        <v>0.92</v>
      </c>
      <c r="Y908" s="28">
        <v>0.91584158415841588</v>
      </c>
      <c r="Z908" s="28">
        <v>0.88916876574307302</v>
      </c>
      <c r="AA908" s="28">
        <v>0.94432989690721647</v>
      </c>
      <c r="AB908" s="28">
        <v>0.908675799086758</v>
      </c>
      <c r="AC908" s="28">
        <v>0.92</v>
      </c>
      <c r="AD908" s="26">
        <v>0.9274509803921569</v>
      </c>
      <c r="AE908" s="26">
        <v>0.89400584795321636</v>
      </c>
      <c r="AF908" s="26">
        <v>0.94796954314720816</v>
      </c>
      <c r="AG908" s="26">
        <v>0.88883688275216477</v>
      </c>
      <c r="AH908" s="28">
        <v>0.92</v>
      </c>
      <c r="AI908" s="26">
        <v>0.93539581437670605</v>
      </c>
      <c r="AJ908" s="26">
        <v>0.93090909090909091</v>
      </c>
      <c r="AK908" s="26">
        <v>0.96021021021021025</v>
      </c>
      <c r="AL908" s="26">
        <v>0.93544935805991436</v>
      </c>
      <c r="AM908" s="25">
        <v>0.99</v>
      </c>
      <c r="AN908" s="30">
        <v>1</v>
      </c>
      <c r="AO908" s="30">
        <v>1</v>
      </c>
      <c r="AP908" s="30">
        <v>1</v>
      </c>
      <c r="AQ908" s="30">
        <v>1</v>
      </c>
      <c r="AR908" s="50">
        <v>6.5641848892985799E-2</v>
      </c>
      <c r="AS908" s="34">
        <v>0</v>
      </c>
      <c r="AT908" s="34">
        <v>0.05</v>
      </c>
      <c r="AU908" s="34">
        <v>0</v>
      </c>
      <c r="AV908" s="34">
        <v>2.8776978417266189E-2</v>
      </c>
      <c r="AW908" s="10"/>
      <c r="AX908" s="8"/>
    </row>
    <row r="909" spans="1:50">
      <c r="A909" s="7"/>
      <c r="B909" s="10"/>
      <c r="C909" s="69" t="s">
        <v>944</v>
      </c>
      <c r="D909" s="23" t="s">
        <v>23</v>
      </c>
      <c r="E909" s="72" t="s">
        <v>954</v>
      </c>
      <c r="F909" s="73" t="s">
        <v>954</v>
      </c>
      <c r="G909" s="73" t="s">
        <v>954</v>
      </c>
      <c r="H909" s="73" t="s">
        <v>954</v>
      </c>
      <c r="I909" s="25">
        <v>0.9</v>
      </c>
      <c r="J909" s="26">
        <v>0</v>
      </c>
      <c r="K909" s="26">
        <v>0</v>
      </c>
      <c r="L909" s="27">
        <v>0</v>
      </c>
      <c r="M909" s="26">
        <v>0</v>
      </c>
      <c r="N909" s="28">
        <v>0.9</v>
      </c>
      <c r="O909" s="26">
        <v>0</v>
      </c>
      <c r="P909" s="26">
        <v>0</v>
      </c>
      <c r="Q909" s="26">
        <v>0</v>
      </c>
      <c r="R909" s="26">
        <v>0</v>
      </c>
      <c r="S909" s="28">
        <v>0.9</v>
      </c>
      <c r="T909" s="26">
        <v>0</v>
      </c>
      <c r="U909" s="26">
        <v>0</v>
      </c>
      <c r="V909" s="26">
        <v>0</v>
      </c>
      <c r="W909" s="26">
        <v>0</v>
      </c>
      <c r="X909" s="28">
        <v>0.92</v>
      </c>
      <c r="Y909" s="28">
        <v>0</v>
      </c>
      <c r="Z909" s="28">
        <v>0</v>
      </c>
      <c r="AA909" s="28">
        <v>0</v>
      </c>
      <c r="AB909" s="28">
        <v>0</v>
      </c>
      <c r="AC909" s="28">
        <v>0.92</v>
      </c>
      <c r="AD909" s="26">
        <v>1</v>
      </c>
      <c r="AE909" s="26">
        <v>1</v>
      </c>
      <c r="AF909" s="26">
        <v>0.99404761904761907</v>
      </c>
      <c r="AG909" s="26">
        <v>0.88607594936708856</v>
      </c>
      <c r="AH909" s="28">
        <v>0.92</v>
      </c>
      <c r="AI909" s="26">
        <v>0</v>
      </c>
      <c r="AJ909" s="26">
        <v>0</v>
      </c>
      <c r="AK909" s="26">
        <v>0</v>
      </c>
      <c r="AL909" s="26">
        <v>0</v>
      </c>
      <c r="AM909" s="25">
        <v>0.99</v>
      </c>
      <c r="AN909" s="30">
        <v>0</v>
      </c>
      <c r="AO909" s="30">
        <v>1</v>
      </c>
      <c r="AP909" s="30">
        <v>1</v>
      </c>
      <c r="AQ909" s="30">
        <v>1</v>
      </c>
      <c r="AR909" s="50">
        <v>6.5641848892985799E-2</v>
      </c>
      <c r="AS909" s="34">
        <v>0</v>
      </c>
      <c r="AT909" s="34">
        <v>0</v>
      </c>
      <c r="AU909" s="34">
        <v>0</v>
      </c>
      <c r="AV909" s="34">
        <v>0</v>
      </c>
      <c r="AW909" s="10"/>
      <c r="AX909" s="8"/>
    </row>
    <row r="910" spans="1:50">
      <c r="A910" s="7"/>
      <c r="B910" s="10"/>
      <c r="C910" s="69" t="s">
        <v>944</v>
      </c>
      <c r="D910" s="23" t="s">
        <v>23</v>
      </c>
      <c r="E910" s="72" t="s">
        <v>955</v>
      </c>
      <c r="F910" s="73" t="s">
        <v>955</v>
      </c>
      <c r="G910" s="73" t="s">
        <v>955</v>
      </c>
      <c r="H910" s="73" t="s">
        <v>955</v>
      </c>
      <c r="I910" s="25">
        <v>0.9</v>
      </c>
      <c r="J910" s="26">
        <v>0.72222222222222221</v>
      </c>
      <c r="K910" s="26">
        <v>0.88888888888888884</v>
      </c>
      <c r="L910" s="27">
        <v>0.94736842105263153</v>
      </c>
      <c r="M910" s="26">
        <v>0.76870748299319724</v>
      </c>
      <c r="N910" s="28">
        <v>0.9</v>
      </c>
      <c r="O910" s="26">
        <v>0.85219899062725302</v>
      </c>
      <c r="P910" s="26">
        <v>0.86966731898238747</v>
      </c>
      <c r="Q910" s="26">
        <v>0.88964451313755799</v>
      </c>
      <c r="R910" s="26">
        <v>0.79777871899854114</v>
      </c>
      <c r="S910" s="28">
        <v>0.9</v>
      </c>
      <c r="T910" s="26">
        <v>0.82408074981975488</v>
      </c>
      <c r="U910" s="26">
        <v>0.85636007827788652</v>
      </c>
      <c r="V910" s="26">
        <v>0.79814528593508505</v>
      </c>
      <c r="W910" s="26">
        <v>0.74516447832839194</v>
      </c>
      <c r="X910" s="28">
        <v>0.92</v>
      </c>
      <c r="Y910" s="28">
        <v>0</v>
      </c>
      <c r="Z910" s="28">
        <v>0</v>
      </c>
      <c r="AA910" s="28">
        <v>0</v>
      </c>
      <c r="AB910" s="28">
        <v>0</v>
      </c>
      <c r="AC910" s="28">
        <v>0.92</v>
      </c>
      <c r="AD910" s="26">
        <v>0.99847792998477924</v>
      </c>
      <c r="AE910" s="26">
        <v>0.90811724915445324</v>
      </c>
      <c r="AF910" s="26">
        <v>0.91122994652406419</v>
      </c>
      <c r="AG910" s="26">
        <v>0.94085183146823215</v>
      </c>
      <c r="AH910" s="28">
        <v>0.92</v>
      </c>
      <c r="AI910" s="26">
        <v>0.94736842105263153</v>
      </c>
      <c r="AJ910" s="26">
        <v>0.96516634050880623</v>
      </c>
      <c r="AK910" s="26">
        <v>0.96537867078825346</v>
      </c>
      <c r="AL910" s="26">
        <v>0.94612778771054862</v>
      </c>
      <c r="AM910" s="25">
        <v>0.99</v>
      </c>
      <c r="AN910" s="30">
        <v>1</v>
      </c>
      <c r="AO910" s="30">
        <v>1</v>
      </c>
      <c r="AP910" s="30">
        <v>1</v>
      </c>
      <c r="AQ910" s="30">
        <v>1</v>
      </c>
      <c r="AR910" s="50">
        <v>6.5641848892985799E-2</v>
      </c>
      <c r="AS910" s="34">
        <v>0</v>
      </c>
      <c r="AT910" s="34">
        <v>0.15</v>
      </c>
      <c r="AU910" s="34">
        <v>0.10526315789473684</v>
      </c>
      <c r="AV910" s="34">
        <v>4.5454545454545456E-2</v>
      </c>
      <c r="AW910" s="10"/>
      <c r="AX910" s="8"/>
    </row>
    <row r="911" spans="1:50">
      <c r="A911" s="7"/>
      <c r="B911" s="10"/>
      <c r="C911" s="69" t="s">
        <v>944</v>
      </c>
      <c r="D911" s="23" t="s">
        <v>23</v>
      </c>
      <c r="E911" s="72" t="s">
        <v>956</v>
      </c>
      <c r="F911" s="73" t="s">
        <v>956</v>
      </c>
      <c r="G911" s="73" t="s">
        <v>956</v>
      </c>
      <c r="H911" s="73" t="s">
        <v>956</v>
      </c>
      <c r="I911" s="25">
        <v>0.9</v>
      </c>
      <c r="J911" s="26">
        <v>0.86206896551724133</v>
      </c>
      <c r="K911" s="26">
        <v>0.93333333333333335</v>
      </c>
      <c r="L911" s="27">
        <v>0.90625</v>
      </c>
      <c r="M911" s="26">
        <v>0.875</v>
      </c>
      <c r="N911" s="28">
        <v>0.9</v>
      </c>
      <c r="O911" s="26">
        <v>0.96768820786142573</v>
      </c>
      <c r="P911" s="26">
        <v>0.96775312066574204</v>
      </c>
      <c r="Q911" s="26">
        <v>0.97523219814241491</v>
      </c>
      <c r="R911" s="26">
        <v>0.9747600274254371</v>
      </c>
      <c r="S911" s="28">
        <v>0.9</v>
      </c>
      <c r="T911" s="26">
        <v>0.90939373750832775</v>
      </c>
      <c r="U911" s="26">
        <v>0.90533980582524276</v>
      </c>
      <c r="V911" s="26">
        <v>0.90880945679707292</v>
      </c>
      <c r="W911" s="26">
        <v>0.9023397326019883</v>
      </c>
      <c r="X911" s="28">
        <v>0.92</v>
      </c>
      <c r="Y911" s="28">
        <v>0</v>
      </c>
      <c r="Z911" s="28">
        <v>0</v>
      </c>
      <c r="AA911" s="28">
        <v>1</v>
      </c>
      <c r="AB911" s="28">
        <v>1</v>
      </c>
      <c r="AC911" s="28">
        <v>0.92</v>
      </c>
      <c r="AD911" s="26">
        <v>0.99941554646405606</v>
      </c>
      <c r="AE911" s="26">
        <v>0.99076638965835639</v>
      </c>
      <c r="AF911" s="26">
        <v>0.99933510638297873</v>
      </c>
      <c r="AG911" s="26">
        <v>0.99814986123959293</v>
      </c>
      <c r="AH911" s="28">
        <v>0.92</v>
      </c>
      <c r="AI911" s="26">
        <v>0.95036642238507663</v>
      </c>
      <c r="AJ911" s="26">
        <v>0.92998266897746962</v>
      </c>
      <c r="AK911" s="26">
        <v>0.95075970737197524</v>
      </c>
      <c r="AL911" s="26">
        <v>0.94211157768446308</v>
      </c>
      <c r="AM911" s="25">
        <v>0.99</v>
      </c>
      <c r="AN911" s="30">
        <v>1</v>
      </c>
      <c r="AO911" s="30">
        <v>1</v>
      </c>
      <c r="AP911" s="30">
        <v>1</v>
      </c>
      <c r="AQ911" s="30">
        <v>1</v>
      </c>
      <c r="AR911" s="50">
        <v>6.5641848892985799E-2</v>
      </c>
      <c r="AS911" s="34">
        <v>0.26315789473684209</v>
      </c>
      <c r="AT911" s="34">
        <v>0.2857142857142857</v>
      </c>
      <c r="AU911" s="34">
        <v>5.5555555555555552E-2</v>
      </c>
      <c r="AV911" s="34">
        <v>0.11764705882352941</v>
      </c>
      <c r="AW911" s="10"/>
      <c r="AX911" s="8"/>
    </row>
    <row r="912" spans="1:50">
      <c r="A912" s="7"/>
      <c r="B912" s="10"/>
      <c r="C912" s="69" t="s">
        <v>944</v>
      </c>
      <c r="D912" s="23" t="s">
        <v>23</v>
      </c>
      <c r="E912" s="76" t="s">
        <v>957</v>
      </c>
      <c r="F912" s="77" t="s">
        <v>957</v>
      </c>
      <c r="G912" s="77" t="s">
        <v>957</v>
      </c>
      <c r="H912" s="77" t="s">
        <v>957</v>
      </c>
      <c r="I912" s="25">
        <v>0.9</v>
      </c>
      <c r="J912" s="26">
        <v>1</v>
      </c>
      <c r="K912" s="26">
        <v>0.84210526315789469</v>
      </c>
      <c r="L912" s="27">
        <v>0.94736842105263153</v>
      </c>
      <c r="M912" s="26">
        <v>0.92307692307692313</v>
      </c>
      <c r="N912" s="28">
        <v>0.9</v>
      </c>
      <c r="O912" s="26">
        <v>0.89535452322738385</v>
      </c>
      <c r="P912" s="26">
        <v>0.87045570916538662</v>
      </c>
      <c r="Q912" s="26">
        <v>0.75484936029715233</v>
      </c>
      <c r="R912" s="26">
        <v>0.83110717224789521</v>
      </c>
      <c r="S912" s="28">
        <v>0.9</v>
      </c>
      <c r="T912" s="26">
        <v>0.87726161369193156</v>
      </c>
      <c r="U912" s="26">
        <v>0.91039426523297495</v>
      </c>
      <c r="V912" s="26">
        <v>0.83408997111019401</v>
      </c>
      <c r="W912" s="26">
        <v>0.84060264607203894</v>
      </c>
      <c r="X912" s="28">
        <v>0.92</v>
      </c>
      <c r="Y912" s="28">
        <v>0</v>
      </c>
      <c r="Z912" s="28">
        <v>0</v>
      </c>
      <c r="AA912" s="28">
        <v>0</v>
      </c>
      <c r="AB912" s="28">
        <v>0</v>
      </c>
      <c r="AC912" s="28">
        <v>0.92</v>
      </c>
      <c r="AD912" s="26">
        <v>0.99743040685224837</v>
      </c>
      <c r="AE912" s="26">
        <v>0.9993220338983051</v>
      </c>
      <c r="AF912" s="26">
        <v>0.99960285941223193</v>
      </c>
      <c r="AG912" s="26">
        <v>0.99848739495798322</v>
      </c>
      <c r="AH912" s="28">
        <v>0.92</v>
      </c>
      <c r="AI912" s="26">
        <v>0.93258426966292129</v>
      </c>
      <c r="AJ912" s="26">
        <v>0.94276954522227896</v>
      </c>
      <c r="AK912" s="26">
        <v>0.91714756801319042</v>
      </c>
      <c r="AL912" s="26">
        <v>0.93614869136426859</v>
      </c>
      <c r="AM912" s="25">
        <v>0.99</v>
      </c>
      <c r="AN912" s="30">
        <v>1</v>
      </c>
      <c r="AO912" s="30">
        <v>1</v>
      </c>
      <c r="AP912" s="30">
        <v>1</v>
      </c>
      <c r="AQ912" s="30">
        <v>1</v>
      </c>
      <c r="AR912" s="50">
        <v>6.5641848892985799E-2</v>
      </c>
      <c r="AS912" s="34">
        <v>0.25</v>
      </c>
      <c r="AT912" s="34">
        <v>0.1</v>
      </c>
      <c r="AU912" s="34">
        <v>0</v>
      </c>
      <c r="AV912" s="34">
        <v>9.375E-2</v>
      </c>
      <c r="AW912" s="10"/>
      <c r="AX912" s="8"/>
    </row>
    <row r="913" spans="1:50">
      <c r="A913" s="7"/>
      <c r="B913" s="10"/>
      <c r="C913" s="69" t="s">
        <v>944</v>
      </c>
      <c r="D913" s="23" t="s">
        <v>23</v>
      </c>
      <c r="E913" s="72" t="s">
        <v>958</v>
      </c>
      <c r="F913" s="73" t="s">
        <v>958</v>
      </c>
      <c r="G913" s="73" t="s">
        <v>958</v>
      </c>
      <c r="H913" s="73" t="s">
        <v>958</v>
      </c>
      <c r="I913" s="25">
        <v>0.9</v>
      </c>
      <c r="J913" s="26">
        <v>0.875</v>
      </c>
      <c r="K913" s="26">
        <v>0.89473684210526316</v>
      </c>
      <c r="L913" s="27">
        <v>0.85365853658536583</v>
      </c>
      <c r="M913" s="26">
        <v>0.89523809523809528</v>
      </c>
      <c r="N913" s="28">
        <v>0.9</v>
      </c>
      <c r="O913" s="26">
        <v>0.93559477423790971</v>
      </c>
      <c r="P913" s="26">
        <v>0.9216851899715689</v>
      </c>
      <c r="Q913" s="26">
        <v>0.92381997804610316</v>
      </c>
      <c r="R913" s="26">
        <v>0.91650973006905212</v>
      </c>
      <c r="S913" s="28">
        <v>0.9</v>
      </c>
      <c r="T913" s="26">
        <v>0.93949117579647035</v>
      </c>
      <c r="U913" s="26">
        <v>0.92711294908245023</v>
      </c>
      <c r="V913" s="26">
        <v>0.93347969264544461</v>
      </c>
      <c r="W913" s="26">
        <v>0.91611325866455218</v>
      </c>
      <c r="X913" s="28">
        <v>0.92</v>
      </c>
      <c r="Y913" s="28">
        <v>0</v>
      </c>
      <c r="Z913" s="28">
        <v>0</v>
      </c>
      <c r="AA913" s="28">
        <v>0</v>
      </c>
      <c r="AB913" s="28">
        <v>0</v>
      </c>
      <c r="AC913" s="28">
        <v>0.92</v>
      </c>
      <c r="AD913" s="26">
        <v>0.99710284886528244</v>
      </c>
      <c r="AE913" s="26">
        <v>0.99793956043956045</v>
      </c>
      <c r="AF913" s="26">
        <v>0.98680274502903398</v>
      </c>
      <c r="AG913" s="26">
        <v>0.9952843218499664</v>
      </c>
      <c r="AH913" s="28">
        <v>0.92</v>
      </c>
      <c r="AI913" s="26">
        <v>0.96103598441439375</v>
      </c>
      <c r="AJ913" s="26">
        <v>0.96124031007751942</v>
      </c>
      <c r="AK913" s="26">
        <v>0.97233809001097693</v>
      </c>
      <c r="AL913" s="26">
        <v>0.95761339984802929</v>
      </c>
      <c r="AM913" s="25">
        <v>0.99</v>
      </c>
      <c r="AN913" s="30">
        <v>1</v>
      </c>
      <c r="AO913" s="30">
        <v>1</v>
      </c>
      <c r="AP913" s="30">
        <v>1</v>
      </c>
      <c r="AQ913" s="30">
        <v>1</v>
      </c>
      <c r="AR913" s="50">
        <v>6.5641848892985799E-2</v>
      </c>
      <c r="AS913" s="34">
        <v>0</v>
      </c>
      <c r="AT913" s="34">
        <v>0</v>
      </c>
      <c r="AU913" s="34">
        <v>5.8823529411764705E-2</v>
      </c>
      <c r="AV913" s="34">
        <v>4.0983606557377046E-2</v>
      </c>
      <c r="AW913" s="10"/>
      <c r="AX913" s="8"/>
    </row>
    <row r="914" spans="1:50">
      <c r="A914" s="7"/>
      <c r="B914" s="10"/>
      <c r="C914" s="69" t="s">
        <v>944</v>
      </c>
      <c r="D914" s="23" t="s">
        <v>23</v>
      </c>
      <c r="E914" s="76" t="s">
        <v>959</v>
      </c>
      <c r="F914" s="77" t="s">
        <v>959</v>
      </c>
      <c r="G914" s="77" t="s">
        <v>959</v>
      </c>
      <c r="H914" s="77" t="s">
        <v>959</v>
      </c>
      <c r="I914" s="25">
        <v>0.9</v>
      </c>
      <c r="J914" s="26">
        <v>1</v>
      </c>
      <c r="K914" s="26">
        <v>0.9</v>
      </c>
      <c r="L914" s="27">
        <v>0.75</v>
      </c>
      <c r="M914" s="26">
        <v>0.91666666666666663</v>
      </c>
      <c r="N914" s="28">
        <v>0.9</v>
      </c>
      <c r="O914" s="26">
        <v>0.82125603864734298</v>
      </c>
      <c r="P914" s="26">
        <v>0.85604606525911708</v>
      </c>
      <c r="Q914" s="26">
        <v>0.95005257623554151</v>
      </c>
      <c r="R914" s="26">
        <v>0.91913430736776314</v>
      </c>
      <c r="S914" s="28">
        <v>0.9</v>
      </c>
      <c r="T914" s="26">
        <v>0.875</v>
      </c>
      <c r="U914" s="26">
        <v>0.80038387715930903</v>
      </c>
      <c r="V914" s="26">
        <v>0.90220820189274453</v>
      </c>
      <c r="W914" s="26">
        <v>0.87991249316352838</v>
      </c>
      <c r="X914" s="28">
        <v>0.92</v>
      </c>
      <c r="Y914" s="28">
        <v>0</v>
      </c>
      <c r="Z914" s="28">
        <v>0</v>
      </c>
      <c r="AA914" s="28">
        <v>0</v>
      </c>
      <c r="AB914" s="28">
        <v>0</v>
      </c>
      <c r="AC914" s="28">
        <v>0.92</v>
      </c>
      <c r="AD914" s="26">
        <v>1</v>
      </c>
      <c r="AE914" s="26">
        <v>0.974609375</v>
      </c>
      <c r="AF914" s="26">
        <v>1</v>
      </c>
      <c r="AG914" s="26">
        <v>0.99548095545513238</v>
      </c>
      <c r="AH914" s="28">
        <v>0.92</v>
      </c>
      <c r="AI914" s="26">
        <v>0.92874396135265702</v>
      </c>
      <c r="AJ914" s="26">
        <v>0.85860524632117718</v>
      </c>
      <c r="AK914" s="26">
        <v>0.94216614090431128</v>
      </c>
      <c r="AL914" s="26">
        <v>0.93601562500000002</v>
      </c>
      <c r="AM914" s="25">
        <v>0.99</v>
      </c>
      <c r="AN914" s="30">
        <v>1</v>
      </c>
      <c r="AO914" s="30">
        <v>1</v>
      </c>
      <c r="AP914" s="30">
        <v>1</v>
      </c>
      <c r="AQ914" s="30">
        <v>1</v>
      </c>
      <c r="AR914" s="50">
        <v>6.5641848892985799E-2</v>
      </c>
      <c r="AS914" s="34">
        <v>0</v>
      </c>
      <c r="AT914" s="34">
        <v>0</v>
      </c>
      <c r="AU914" s="34">
        <v>0</v>
      </c>
      <c r="AV914" s="34">
        <v>1.6666666666666666E-2</v>
      </c>
      <c r="AW914" s="10"/>
      <c r="AX914" s="8"/>
    </row>
    <row r="915" spans="1:50">
      <c r="A915" s="7"/>
      <c r="B915" s="10"/>
      <c r="C915" s="69" t="s">
        <v>944</v>
      </c>
      <c r="D915" s="23" t="s">
        <v>23</v>
      </c>
      <c r="E915" s="72" t="s">
        <v>960</v>
      </c>
      <c r="F915" s="73" t="s">
        <v>960</v>
      </c>
      <c r="G915" s="73" t="s">
        <v>960</v>
      </c>
      <c r="H915" s="73" t="s">
        <v>960</v>
      </c>
      <c r="I915" s="25">
        <v>0.9</v>
      </c>
      <c r="J915" s="26">
        <v>0.77777777777777779</v>
      </c>
      <c r="K915" s="26">
        <v>0.81818181818181823</v>
      </c>
      <c r="L915" s="27">
        <v>0.80952380952380953</v>
      </c>
      <c r="M915" s="26">
        <v>0.81132075471698117</v>
      </c>
      <c r="N915" s="28">
        <v>0.9</v>
      </c>
      <c r="O915" s="26">
        <v>0.92564427545416139</v>
      </c>
      <c r="P915" s="26">
        <v>0.96979707409155258</v>
      </c>
      <c r="Q915" s="26">
        <v>0.898311048557354</v>
      </c>
      <c r="R915" s="26">
        <v>0.92954332617198254</v>
      </c>
      <c r="S915" s="28">
        <v>0.9</v>
      </c>
      <c r="T915" s="26">
        <v>0.85255597803126315</v>
      </c>
      <c r="U915" s="26">
        <v>0.90089664936290703</v>
      </c>
      <c r="V915" s="26">
        <v>0.86558761435608722</v>
      </c>
      <c r="W915" s="26">
        <v>0.84278080758001428</v>
      </c>
      <c r="X915" s="28">
        <v>0.92</v>
      </c>
      <c r="Y915" s="28">
        <v>0</v>
      </c>
      <c r="Z915" s="28">
        <v>0</v>
      </c>
      <c r="AA915" s="28">
        <v>0</v>
      </c>
      <c r="AB915" s="28">
        <v>0</v>
      </c>
      <c r="AC915" s="28">
        <v>0.92</v>
      </c>
      <c r="AD915" s="26">
        <v>0.99674569967456994</v>
      </c>
      <c r="AE915" s="26">
        <v>0.99359795134443019</v>
      </c>
      <c r="AF915" s="26">
        <v>0.99558390578999023</v>
      </c>
      <c r="AG915" s="26">
        <v>0.99230726037396821</v>
      </c>
      <c r="AH915" s="28">
        <v>0.92</v>
      </c>
      <c r="AI915" s="26">
        <v>0.91297000422475705</v>
      </c>
      <c r="AJ915" s="26">
        <v>0.9466729589428976</v>
      </c>
      <c r="AK915" s="26">
        <v>0.94405348346235041</v>
      </c>
      <c r="AL915" s="26">
        <v>0.94354172404296333</v>
      </c>
      <c r="AM915" s="25">
        <v>0.99</v>
      </c>
      <c r="AN915" s="30">
        <v>1</v>
      </c>
      <c r="AO915" s="30">
        <v>1</v>
      </c>
      <c r="AP915" s="30">
        <v>1</v>
      </c>
      <c r="AQ915" s="30">
        <v>1</v>
      </c>
      <c r="AR915" s="50">
        <v>6.5641848892985799E-2</v>
      </c>
      <c r="AS915" s="34">
        <v>0</v>
      </c>
      <c r="AT915" s="34">
        <v>0</v>
      </c>
      <c r="AU915" s="34">
        <v>0</v>
      </c>
      <c r="AV915" s="34">
        <v>3.1088082901554404E-2</v>
      </c>
      <c r="AW915" s="10"/>
      <c r="AX915" s="8"/>
    </row>
    <row r="916" spans="1:50">
      <c r="A916" s="7"/>
      <c r="B916" s="10"/>
      <c r="C916" s="69" t="s">
        <v>944</v>
      </c>
      <c r="D916" s="23" t="s">
        <v>23</v>
      </c>
      <c r="E916" s="72" t="s">
        <v>961</v>
      </c>
      <c r="F916" s="73" t="s">
        <v>961</v>
      </c>
      <c r="G916" s="73" t="s">
        <v>961</v>
      </c>
      <c r="H916" s="73" t="s">
        <v>961</v>
      </c>
      <c r="I916" s="25">
        <v>0.9</v>
      </c>
      <c r="J916" s="26">
        <v>0.87096774193548387</v>
      </c>
      <c r="K916" s="26">
        <v>0.8125</v>
      </c>
      <c r="L916" s="27">
        <v>0.86206896551724133</v>
      </c>
      <c r="M916" s="26">
        <v>0.82730923694779113</v>
      </c>
      <c r="N916" s="28">
        <v>0.9</v>
      </c>
      <c r="O916" s="26">
        <v>0.91100452970956569</v>
      </c>
      <c r="P916" s="26">
        <v>0.93838862559241709</v>
      </c>
      <c r="Q916" s="26">
        <v>0.88377098579423163</v>
      </c>
      <c r="R916" s="26">
        <v>0.89766110406297783</v>
      </c>
      <c r="S916" s="28">
        <v>0.9</v>
      </c>
      <c r="T916" s="26">
        <v>0.90274447108979483</v>
      </c>
      <c r="U916" s="26">
        <v>0.92491893240209533</v>
      </c>
      <c r="V916" s="26">
        <v>0.90400344382264308</v>
      </c>
      <c r="W916" s="26">
        <v>0.90345141667479911</v>
      </c>
      <c r="X916" s="28">
        <v>0.92</v>
      </c>
      <c r="Y916" s="28">
        <v>0</v>
      </c>
      <c r="Z916" s="28">
        <v>0</v>
      </c>
      <c r="AA916" s="28">
        <v>0</v>
      </c>
      <c r="AB916" s="28">
        <v>1</v>
      </c>
      <c r="AC916" s="28">
        <v>0.92</v>
      </c>
      <c r="AD916" s="26">
        <v>0.99874619380261509</v>
      </c>
      <c r="AE916" s="26">
        <v>0.97124214596423397</v>
      </c>
      <c r="AF916" s="26">
        <v>0.99487874679921673</v>
      </c>
      <c r="AG916" s="26">
        <v>0.99395694032765791</v>
      </c>
      <c r="AH916" s="28">
        <v>0.92</v>
      </c>
      <c r="AI916" s="26">
        <v>0.95017319477751128</v>
      </c>
      <c r="AJ916" s="26">
        <v>0.96109725685785541</v>
      </c>
      <c r="AK916" s="26">
        <v>0.95415411106328019</v>
      </c>
      <c r="AL916" s="26">
        <v>0.95052532283771918</v>
      </c>
      <c r="AM916" s="25">
        <v>0.99</v>
      </c>
      <c r="AN916" s="30">
        <v>1</v>
      </c>
      <c r="AO916" s="30">
        <v>1</v>
      </c>
      <c r="AP916" s="30">
        <v>1</v>
      </c>
      <c r="AQ916" s="30">
        <v>1</v>
      </c>
      <c r="AR916" s="50">
        <v>6.5641848892985799E-2</v>
      </c>
      <c r="AS916" s="34">
        <v>0.19047619047619047</v>
      </c>
      <c r="AT916" s="34">
        <v>7.1428571428571425E-2</v>
      </c>
      <c r="AU916" s="34">
        <v>3.8461538461538464E-2</v>
      </c>
      <c r="AV916" s="34">
        <v>4.4198895027624308E-2</v>
      </c>
      <c r="AW916" s="10"/>
      <c r="AX916" s="8"/>
    </row>
    <row r="917" spans="1:50">
      <c r="A917" s="7"/>
      <c r="B917" s="10"/>
      <c r="C917" s="69" t="s">
        <v>944</v>
      </c>
      <c r="D917" s="23" t="s">
        <v>23</v>
      </c>
      <c r="E917" s="72" t="s">
        <v>962</v>
      </c>
      <c r="F917" s="73" t="s">
        <v>962</v>
      </c>
      <c r="G917" s="73" t="s">
        <v>962</v>
      </c>
      <c r="H917" s="73" t="s">
        <v>962</v>
      </c>
      <c r="I917" s="25">
        <v>0.9</v>
      </c>
      <c r="J917" s="26">
        <v>0.94594594594594594</v>
      </c>
      <c r="K917" s="26">
        <v>0.94594594594594594</v>
      </c>
      <c r="L917" s="27">
        <v>0.94444444444444442</v>
      </c>
      <c r="M917" s="26">
        <v>0.94964028776978415</v>
      </c>
      <c r="N917" s="28">
        <v>0.9</v>
      </c>
      <c r="O917" s="26">
        <v>0.92756473287446739</v>
      </c>
      <c r="P917" s="26">
        <v>0.90438871473354232</v>
      </c>
      <c r="Q917" s="26">
        <v>0.92738996355480796</v>
      </c>
      <c r="R917" s="26">
        <v>0.92992339804644752</v>
      </c>
      <c r="S917" s="28">
        <v>0.9</v>
      </c>
      <c r="T917" s="26">
        <v>0.89151098000655526</v>
      </c>
      <c r="U917" s="26">
        <v>0.85642633228840126</v>
      </c>
      <c r="V917" s="26">
        <v>0.88701990468180547</v>
      </c>
      <c r="W917" s="26">
        <v>0.88501600940299108</v>
      </c>
      <c r="X917" s="28">
        <v>0.92</v>
      </c>
      <c r="Y917" s="28">
        <v>0.86702127659574468</v>
      </c>
      <c r="Z917" s="28">
        <v>0.87567567567567572</v>
      </c>
      <c r="AA917" s="28">
        <v>0.83203732503888028</v>
      </c>
      <c r="AB917" s="28">
        <v>0.85829086632693063</v>
      </c>
      <c r="AC917" s="28">
        <v>0.92</v>
      </c>
      <c r="AD917" s="26">
        <v>0.99855072463768113</v>
      </c>
      <c r="AE917" s="26">
        <v>0.9979897660818714</v>
      </c>
      <c r="AF917" s="26">
        <v>0.98929254302103253</v>
      </c>
      <c r="AG917" s="26">
        <v>0.98171021377672207</v>
      </c>
      <c r="AH917" s="28">
        <v>0.92</v>
      </c>
      <c r="AI917" s="26">
        <v>0.94054203539823011</v>
      </c>
      <c r="AJ917" s="26">
        <v>0.94327143220554566</v>
      </c>
      <c r="AK917" s="26">
        <v>0.93968178579909756</v>
      </c>
      <c r="AL917" s="26">
        <v>0.93753987709459685</v>
      </c>
      <c r="AM917" s="25">
        <v>0.99</v>
      </c>
      <c r="AN917" s="30">
        <v>1</v>
      </c>
      <c r="AO917" s="30">
        <v>1</v>
      </c>
      <c r="AP917" s="30">
        <v>1</v>
      </c>
      <c r="AQ917" s="30">
        <v>1</v>
      </c>
      <c r="AR917" s="50">
        <v>6.5641848892985799E-2</v>
      </c>
      <c r="AS917" s="34">
        <v>0.33333333333333331</v>
      </c>
      <c r="AT917" s="34">
        <v>0</v>
      </c>
      <c r="AU917" s="34">
        <v>7.1428571428571425E-2</v>
      </c>
      <c r="AV917" s="34">
        <v>0.1111111111111111</v>
      </c>
      <c r="AW917" s="10"/>
      <c r="AX917" s="8"/>
    </row>
    <row r="918" spans="1:50">
      <c r="A918" s="7"/>
      <c r="B918" s="10"/>
      <c r="C918" s="69" t="s">
        <v>944</v>
      </c>
      <c r="D918" s="23" t="s">
        <v>23</v>
      </c>
      <c r="E918" s="72" t="s">
        <v>963</v>
      </c>
      <c r="F918" s="73" t="s">
        <v>963</v>
      </c>
      <c r="G918" s="73" t="s">
        <v>963</v>
      </c>
      <c r="H918" s="73" t="s">
        <v>963</v>
      </c>
      <c r="I918" s="25">
        <v>0.9</v>
      </c>
      <c r="J918" s="26">
        <v>0.83333333333333337</v>
      </c>
      <c r="K918" s="26">
        <v>0.83333333333333337</v>
      </c>
      <c r="L918" s="27">
        <v>0.8</v>
      </c>
      <c r="M918" s="26">
        <v>0.90909090909090906</v>
      </c>
      <c r="N918" s="28">
        <v>0.9</v>
      </c>
      <c r="O918" s="26">
        <v>0.97663551401869164</v>
      </c>
      <c r="P918" s="26">
        <v>0.8925619834710744</v>
      </c>
      <c r="Q918" s="26">
        <v>0.96419437340153458</v>
      </c>
      <c r="R918" s="26">
        <v>0.92139822325222098</v>
      </c>
      <c r="S918" s="28">
        <v>0.9</v>
      </c>
      <c r="T918" s="26">
        <v>0.91277258566978192</v>
      </c>
      <c r="U918" s="26">
        <v>0.90578512396694211</v>
      </c>
      <c r="V918" s="26">
        <v>0.88746803069053704</v>
      </c>
      <c r="W918" s="26">
        <v>0.85554268057164928</v>
      </c>
      <c r="X918" s="28">
        <v>0.92</v>
      </c>
      <c r="Y918" s="28">
        <v>0</v>
      </c>
      <c r="Z918" s="28">
        <v>0</v>
      </c>
      <c r="AA918" s="28">
        <v>0</v>
      </c>
      <c r="AB918" s="28">
        <v>0</v>
      </c>
      <c r="AC918" s="28">
        <v>0.92</v>
      </c>
      <c r="AD918" s="26">
        <v>0.99358059914407992</v>
      </c>
      <c r="AE918" s="26">
        <v>0.9978813559322034</v>
      </c>
      <c r="AF918" s="26">
        <v>0.98692810457516345</v>
      </c>
      <c r="AG918" s="26">
        <v>0.99634985259020081</v>
      </c>
      <c r="AH918" s="28">
        <v>0.92</v>
      </c>
      <c r="AI918" s="26">
        <v>0.9719626168224299</v>
      </c>
      <c r="AJ918" s="26">
        <v>0.95881383855024716</v>
      </c>
      <c r="AK918" s="26">
        <v>0.95785440613026818</v>
      </c>
      <c r="AL918" s="26">
        <v>0.95504534053636891</v>
      </c>
      <c r="AM918" s="25">
        <v>0.99</v>
      </c>
      <c r="AN918" s="30">
        <v>1</v>
      </c>
      <c r="AO918" s="30">
        <v>1</v>
      </c>
      <c r="AP918" s="30">
        <v>1</v>
      </c>
      <c r="AQ918" s="30">
        <v>1</v>
      </c>
      <c r="AR918" s="50">
        <v>6.5641848892985799E-2</v>
      </c>
      <c r="AS918" s="34">
        <v>0</v>
      </c>
      <c r="AT918" s="34">
        <v>0</v>
      </c>
      <c r="AU918" s="34">
        <v>0</v>
      </c>
      <c r="AV918" s="34">
        <v>0</v>
      </c>
      <c r="AW918" s="10"/>
      <c r="AX918" s="8"/>
    </row>
    <row r="919" spans="1:50">
      <c r="A919" s="7"/>
      <c r="B919" s="10"/>
      <c r="C919" s="69" t="s">
        <v>944</v>
      </c>
      <c r="D919" s="23" t="s">
        <v>23</v>
      </c>
      <c r="E919" s="72" t="s">
        <v>964</v>
      </c>
      <c r="F919" s="73" t="s">
        <v>964</v>
      </c>
      <c r="G919" s="73" t="s">
        <v>964</v>
      </c>
      <c r="H919" s="73" t="s">
        <v>964</v>
      </c>
      <c r="I919" s="25">
        <v>0.9</v>
      </c>
      <c r="J919" s="26">
        <v>0.88888888888888884</v>
      </c>
      <c r="K919" s="26">
        <v>0.91891891891891897</v>
      </c>
      <c r="L919" s="27">
        <v>0.97297297297297303</v>
      </c>
      <c r="M919" s="26">
        <v>0.92708333333333337</v>
      </c>
      <c r="N919" s="28">
        <v>0.9</v>
      </c>
      <c r="O919" s="26">
        <v>0.95745296671490598</v>
      </c>
      <c r="P919" s="26">
        <v>0.95952306244116725</v>
      </c>
      <c r="Q919" s="26">
        <v>0.95165063685989082</v>
      </c>
      <c r="R919" s="26">
        <v>0.95753461642303395</v>
      </c>
      <c r="S919" s="28">
        <v>0.9</v>
      </c>
      <c r="T919" s="26">
        <v>0.92272069464544137</v>
      </c>
      <c r="U919" s="26">
        <v>0.91590837778475054</v>
      </c>
      <c r="V919" s="26">
        <v>0.90746035872108133</v>
      </c>
      <c r="W919" s="26">
        <v>0.90893662976819534</v>
      </c>
      <c r="X919" s="28">
        <v>0.92</v>
      </c>
      <c r="Y919" s="28">
        <v>0</v>
      </c>
      <c r="Z919" s="28">
        <v>0</v>
      </c>
      <c r="AA919" s="28">
        <v>0</v>
      </c>
      <c r="AB919" s="28">
        <v>0</v>
      </c>
      <c r="AC919" s="28">
        <v>0.92</v>
      </c>
      <c r="AD919" s="26">
        <v>0.99891481280520888</v>
      </c>
      <c r="AE919" s="26">
        <v>0.99759201926384589</v>
      </c>
      <c r="AF919" s="26">
        <v>0.99767209843698035</v>
      </c>
      <c r="AG919" s="26">
        <v>0.99611069558713539</v>
      </c>
      <c r="AH919" s="28">
        <v>0.92</v>
      </c>
      <c r="AI919" s="26">
        <v>0.94819102749638207</v>
      </c>
      <c r="AJ919" s="26">
        <v>0.94446187637276435</v>
      </c>
      <c r="AK919" s="26">
        <v>0.94281258123212897</v>
      </c>
      <c r="AL919" s="26">
        <v>0.94280314717679725</v>
      </c>
      <c r="AM919" s="25">
        <v>0.99</v>
      </c>
      <c r="AN919" s="30">
        <v>1</v>
      </c>
      <c r="AO919" s="30">
        <v>1</v>
      </c>
      <c r="AP919" s="30">
        <v>1</v>
      </c>
      <c r="AQ919" s="30">
        <v>1</v>
      </c>
      <c r="AR919" s="50">
        <v>6.5641848892985799E-2</v>
      </c>
      <c r="AS919" s="34">
        <v>0</v>
      </c>
      <c r="AT919" s="34">
        <v>0.1</v>
      </c>
      <c r="AU919" s="34">
        <v>8.3333333333333329E-2</v>
      </c>
      <c r="AV919" s="34">
        <v>4.7058823529411764E-2</v>
      </c>
      <c r="AW919" s="10"/>
      <c r="AX919" s="8"/>
    </row>
    <row r="920" spans="1:50">
      <c r="A920" s="7"/>
      <c r="B920" s="10"/>
      <c r="C920" s="69" t="s">
        <v>944</v>
      </c>
      <c r="D920" s="23" t="s">
        <v>23</v>
      </c>
      <c r="E920" s="76" t="s">
        <v>965</v>
      </c>
      <c r="F920" s="77" t="s">
        <v>965</v>
      </c>
      <c r="G920" s="77" t="s">
        <v>965</v>
      </c>
      <c r="H920" s="77" t="s">
        <v>965</v>
      </c>
      <c r="I920" s="25">
        <v>0.9</v>
      </c>
      <c r="J920" s="26">
        <v>0.88235294117647056</v>
      </c>
      <c r="K920" s="26">
        <v>0.80952380952380953</v>
      </c>
      <c r="L920" s="27">
        <v>0.9375</v>
      </c>
      <c r="M920" s="26">
        <v>0.86764705882352944</v>
      </c>
      <c r="N920" s="28">
        <v>0.9</v>
      </c>
      <c r="O920" s="26">
        <v>0.89738430583501005</v>
      </c>
      <c r="P920" s="26">
        <v>0.95264765784114058</v>
      </c>
      <c r="Q920" s="26">
        <v>0.95147313691507795</v>
      </c>
      <c r="R920" s="26">
        <v>0.93383947939262468</v>
      </c>
      <c r="S920" s="28">
        <v>0.9</v>
      </c>
      <c r="T920" s="26">
        <v>0.823943661971831</v>
      </c>
      <c r="U920" s="26">
        <v>0.89460285132382888</v>
      </c>
      <c r="V920" s="26">
        <v>0.89731369150779894</v>
      </c>
      <c r="W920" s="26">
        <v>0.79532984560418529</v>
      </c>
      <c r="X920" s="28">
        <v>0.92</v>
      </c>
      <c r="Y920" s="28">
        <v>0</v>
      </c>
      <c r="Z920" s="28">
        <v>0</v>
      </c>
      <c r="AA920" s="28">
        <v>0</v>
      </c>
      <c r="AB920" s="28">
        <v>0</v>
      </c>
      <c r="AC920" s="28">
        <v>0.92</v>
      </c>
      <c r="AD920" s="26">
        <v>0.9853181076672104</v>
      </c>
      <c r="AE920" s="26">
        <v>0.81769911504424775</v>
      </c>
      <c r="AF920" s="26">
        <v>0.99437751004016062</v>
      </c>
      <c r="AG920" s="26">
        <v>0.96796218487394958</v>
      </c>
      <c r="AH920" s="28">
        <v>0.92</v>
      </c>
      <c r="AI920" s="26">
        <v>0.90191146881287731</v>
      </c>
      <c r="AJ920" s="26">
        <v>0.94908350305498979</v>
      </c>
      <c r="AK920" s="26">
        <v>0.95580589254766035</v>
      </c>
      <c r="AL920" s="26">
        <v>0.93161520796121455</v>
      </c>
      <c r="AM920" s="25">
        <v>0.99</v>
      </c>
      <c r="AN920" s="30">
        <v>1</v>
      </c>
      <c r="AO920" s="30">
        <v>1</v>
      </c>
      <c r="AP920" s="30">
        <v>1</v>
      </c>
      <c r="AQ920" s="30">
        <v>1</v>
      </c>
      <c r="AR920" s="50">
        <v>6.5641848892985799E-2</v>
      </c>
      <c r="AS920" s="34">
        <v>0</v>
      </c>
      <c r="AT920" s="34">
        <v>0</v>
      </c>
      <c r="AU920" s="34">
        <v>5.8823529411764705E-2</v>
      </c>
      <c r="AV920" s="34">
        <v>5.3333333333333337E-2</v>
      </c>
      <c r="AW920" s="10"/>
      <c r="AX920" s="8"/>
    </row>
    <row r="921" spans="1:50">
      <c r="A921" s="7"/>
      <c r="B921" s="10"/>
      <c r="C921" s="69" t="s">
        <v>944</v>
      </c>
      <c r="D921" s="23" t="s">
        <v>23</v>
      </c>
      <c r="E921" s="72" t="s">
        <v>966</v>
      </c>
      <c r="F921" s="73" t="s">
        <v>966</v>
      </c>
      <c r="G921" s="73" t="s">
        <v>966</v>
      </c>
      <c r="H921" s="73" t="s">
        <v>966</v>
      </c>
      <c r="I921" s="25">
        <v>0.9</v>
      </c>
      <c r="J921" s="26">
        <v>0.93333333333333335</v>
      </c>
      <c r="K921" s="26">
        <v>0.86363636363636365</v>
      </c>
      <c r="L921" s="27">
        <v>0.88888888888888884</v>
      </c>
      <c r="M921" s="26">
        <v>0.88100208768267219</v>
      </c>
      <c r="N921" s="28">
        <v>0.9</v>
      </c>
      <c r="O921" s="26">
        <v>0.90149586250795677</v>
      </c>
      <c r="P921" s="26">
        <v>0.93920848633210929</v>
      </c>
      <c r="Q921" s="26">
        <v>0.93156209227849607</v>
      </c>
      <c r="R921" s="26">
        <v>0.90065857487460277</v>
      </c>
      <c r="S921" s="28">
        <v>0.9</v>
      </c>
      <c r="T921" s="26">
        <v>0.84468491406747293</v>
      </c>
      <c r="U921" s="26">
        <v>0.89120087039303686</v>
      </c>
      <c r="V921" s="26">
        <v>0.82718538726129764</v>
      </c>
      <c r="W921" s="26">
        <v>0.84153999310793737</v>
      </c>
      <c r="X921" s="28">
        <v>0.92</v>
      </c>
      <c r="Y921" s="28">
        <v>0</v>
      </c>
      <c r="Z921" s="28">
        <v>0</v>
      </c>
      <c r="AA921" s="28">
        <v>0.5</v>
      </c>
      <c r="AB921" s="28">
        <v>0.5</v>
      </c>
      <c r="AC921" s="28">
        <v>0.92</v>
      </c>
      <c r="AD921" s="26">
        <v>0.99755650580329869</v>
      </c>
      <c r="AE921" s="26">
        <v>0.99613302397525139</v>
      </c>
      <c r="AF921" s="26">
        <v>0.9683153013910355</v>
      </c>
      <c r="AG921" s="26">
        <v>0.98058707680765267</v>
      </c>
      <c r="AH921" s="28">
        <v>0.92</v>
      </c>
      <c r="AI921" s="26">
        <v>0.91120305537873969</v>
      </c>
      <c r="AJ921" s="26">
        <v>0.94641642866857068</v>
      </c>
      <c r="AK921" s="26">
        <v>0.9433179177042571</v>
      </c>
      <c r="AL921" s="26">
        <v>0.92911019220460989</v>
      </c>
      <c r="AM921" s="25">
        <v>0.99</v>
      </c>
      <c r="AN921" s="30">
        <v>1</v>
      </c>
      <c r="AO921" s="30">
        <v>1</v>
      </c>
      <c r="AP921" s="30">
        <v>1</v>
      </c>
      <c r="AQ921" s="30">
        <v>1</v>
      </c>
      <c r="AR921" s="50">
        <v>6.5641848892985799E-2</v>
      </c>
      <c r="AS921" s="34">
        <v>0.10714285714285714</v>
      </c>
      <c r="AT921" s="34">
        <v>0</v>
      </c>
      <c r="AU921" s="34">
        <v>-4.6511627906976744E-2</v>
      </c>
      <c r="AV921" s="34">
        <v>3.3088235294117647E-2</v>
      </c>
      <c r="AW921" s="10"/>
      <c r="AX921" s="8"/>
    </row>
    <row r="922" spans="1:50">
      <c r="A922" s="7"/>
      <c r="B922" s="10"/>
      <c r="C922" s="69" t="s">
        <v>944</v>
      </c>
      <c r="D922" s="23" t="s">
        <v>23</v>
      </c>
      <c r="E922" s="72" t="s">
        <v>967</v>
      </c>
      <c r="F922" s="73" t="s">
        <v>967</v>
      </c>
      <c r="G922" s="73" t="s">
        <v>967</v>
      </c>
      <c r="H922" s="73" t="s">
        <v>967</v>
      </c>
      <c r="I922" s="25">
        <v>0.9</v>
      </c>
      <c r="J922" s="26">
        <v>0.97560975609756095</v>
      </c>
      <c r="K922" s="26">
        <v>1</v>
      </c>
      <c r="L922" s="27">
        <v>1</v>
      </c>
      <c r="M922" s="26">
        <v>0.9942196531791907</v>
      </c>
      <c r="N922" s="28">
        <v>0.9</v>
      </c>
      <c r="O922" s="26">
        <v>0.98253176043557167</v>
      </c>
      <c r="P922" s="26">
        <v>0.98034076015727389</v>
      </c>
      <c r="Q922" s="26">
        <v>0.97427073090789906</v>
      </c>
      <c r="R922" s="26">
        <v>0.97912683655029731</v>
      </c>
      <c r="S922" s="28">
        <v>0.9</v>
      </c>
      <c r="T922" s="26">
        <v>0.93398366606170602</v>
      </c>
      <c r="U922" s="26">
        <v>0.94289458902827183</v>
      </c>
      <c r="V922" s="26">
        <v>0.9480498197312357</v>
      </c>
      <c r="W922" s="26">
        <v>0.93934473456773959</v>
      </c>
      <c r="X922" s="28">
        <v>0.92</v>
      </c>
      <c r="Y922" s="28">
        <v>0</v>
      </c>
      <c r="Z922" s="28">
        <v>0</v>
      </c>
      <c r="AA922" s="28">
        <v>0</v>
      </c>
      <c r="AB922" s="28">
        <v>1</v>
      </c>
      <c r="AC922" s="28">
        <v>0.92</v>
      </c>
      <c r="AD922" s="26">
        <v>0.99153439153439149</v>
      </c>
      <c r="AE922" s="26">
        <v>0.99226305609284338</v>
      </c>
      <c r="AF922" s="26">
        <v>0.99317738791423005</v>
      </c>
      <c r="AG922" s="26">
        <v>0.98860730062776103</v>
      </c>
      <c r="AH922" s="28">
        <v>0.92</v>
      </c>
      <c r="AI922" s="26">
        <v>0.9754990925589837</v>
      </c>
      <c r="AJ922" s="26">
        <v>0.98333645384759405</v>
      </c>
      <c r="AK922" s="26">
        <v>0.98197312356604394</v>
      </c>
      <c r="AL922" s="26">
        <v>0.97590676967395573</v>
      </c>
      <c r="AM922" s="25">
        <v>0.99</v>
      </c>
      <c r="AN922" s="30">
        <v>1</v>
      </c>
      <c r="AO922" s="30">
        <v>1</v>
      </c>
      <c r="AP922" s="30">
        <v>1</v>
      </c>
      <c r="AQ922" s="30">
        <v>1</v>
      </c>
      <c r="AR922" s="50">
        <v>6.5641848892985799E-2</v>
      </c>
      <c r="AS922" s="34">
        <v>5.2631578947368418E-2</v>
      </c>
      <c r="AT922" s="34">
        <v>7.6923076923076927E-2</v>
      </c>
      <c r="AU922" s="34">
        <v>7.1428571428571425E-2</v>
      </c>
      <c r="AV922" s="34">
        <v>5.9405940594059403E-2</v>
      </c>
      <c r="AW922" s="10"/>
      <c r="AX922" s="8"/>
    </row>
    <row r="923" spans="1:50">
      <c r="A923" s="7"/>
      <c r="B923" s="10"/>
      <c r="C923" s="69" t="s">
        <v>944</v>
      </c>
      <c r="D923" s="23" t="s">
        <v>23</v>
      </c>
      <c r="E923" s="72" t="s">
        <v>968</v>
      </c>
      <c r="F923" s="73" t="s">
        <v>968</v>
      </c>
      <c r="G923" s="73" t="s">
        <v>968</v>
      </c>
      <c r="H923" s="73" t="s">
        <v>968</v>
      </c>
      <c r="I923" s="25">
        <v>0.9</v>
      </c>
      <c r="J923" s="26">
        <v>0.94594594594594594</v>
      </c>
      <c r="K923" s="26">
        <v>0.97058823529411764</v>
      </c>
      <c r="L923" s="27">
        <v>0.94444444444444442</v>
      </c>
      <c r="M923" s="26">
        <v>0.96785714285714286</v>
      </c>
      <c r="N923" s="28">
        <v>0.9</v>
      </c>
      <c r="O923" s="26">
        <v>0.93286713286713285</v>
      </c>
      <c r="P923" s="26">
        <v>0.95164681149264185</v>
      </c>
      <c r="Q923" s="26">
        <v>0.95212435233160619</v>
      </c>
      <c r="R923" s="26">
        <v>0.94254362050163576</v>
      </c>
      <c r="S923" s="28">
        <v>0.9</v>
      </c>
      <c r="T923" s="26">
        <v>0.92923076923076919</v>
      </c>
      <c r="U923" s="26">
        <v>0.92782060266292921</v>
      </c>
      <c r="V923" s="26">
        <v>0.89056994818652846</v>
      </c>
      <c r="W923" s="26">
        <v>0.90652262813522355</v>
      </c>
      <c r="X923" s="28">
        <v>0.92</v>
      </c>
      <c r="Y923" s="28">
        <v>0</v>
      </c>
      <c r="Z923" s="28">
        <v>0</v>
      </c>
      <c r="AA923" s="28">
        <v>0</v>
      </c>
      <c r="AB923" s="28">
        <v>0</v>
      </c>
      <c r="AC923" s="28">
        <v>0.92</v>
      </c>
      <c r="AD923" s="26">
        <v>0.99646643109540634</v>
      </c>
      <c r="AE923" s="26">
        <v>0.98634053367217278</v>
      </c>
      <c r="AF923" s="26">
        <v>0.99219725343320853</v>
      </c>
      <c r="AG923" s="26">
        <v>0.98459827446751147</v>
      </c>
      <c r="AH923" s="28">
        <v>0.92</v>
      </c>
      <c r="AI923" s="26">
        <v>0.95888111888111893</v>
      </c>
      <c r="AJ923" s="26">
        <v>0.9710415693601121</v>
      </c>
      <c r="AK923" s="26">
        <v>0.96622461665975967</v>
      </c>
      <c r="AL923" s="26">
        <v>0.95713360820526805</v>
      </c>
      <c r="AM923" s="25">
        <v>0.99</v>
      </c>
      <c r="AN923" s="30">
        <v>1</v>
      </c>
      <c r="AO923" s="30">
        <v>1</v>
      </c>
      <c r="AP923" s="30">
        <v>1</v>
      </c>
      <c r="AQ923" s="30">
        <v>1</v>
      </c>
      <c r="AR923" s="50">
        <v>6.5641848892985799E-2</v>
      </c>
      <c r="AS923" s="34">
        <v>0.1</v>
      </c>
      <c r="AT923" s="34">
        <v>0</v>
      </c>
      <c r="AU923" s="34">
        <v>0.1111111111111111</v>
      </c>
      <c r="AV923" s="34">
        <v>3.4482758620689655E-2</v>
      </c>
      <c r="AW923" s="10"/>
      <c r="AX923" s="8"/>
    </row>
    <row r="924" spans="1:50">
      <c r="A924" s="7"/>
      <c r="B924" s="10"/>
      <c r="C924" s="69" t="s">
        <v>944</v>
      </c>
      <c r="D924" s="23" t="s">
        <v>23</v>
      </c>
      <c r="E924" s="76" t="s">
        <v>969</v>
      </c>
      <c r="F924" s="77" t="s">
        <v>969</v>
      </c>
      <c r="G924" s="77" t="s">
        <v>969</v>
      </c>
      <c r="H924" s="77" t="s">
        <v>969</v>
      </c>
      <c r="I924" s="25">
        <v>0.9</v>
      </c>
      <c r="J924" s="26">
        <v>0.8666666666666667</v>
      </c>
      <c r="K924" s="26">
        <v>0.89583333333333337</v>
      </c>
      <c r="L924" s="27">
        <v>0.93617021276595747</v>
      </c>
      <c r="M924" s="26">
        <v>0.92022792022792022</v>
      </c>
      <c r="N924" s="28">
        <v>0.9</v>
      </c>
      <c r="O924" s="26">
        <v>0.94349271286116088</v>
      </c>
      <c r="P924" s="26">
        <v>0.95464270432178011</v>
      </c>
      <c r="Q924" s="26">
        <v>0.94855433698903291</v>
      </c>
      <c r="R924" s="26">
        <v>0.94436034477432107</v>
      </c>
      <c r="S924" s="28">
        <v>0.9</v>
      </c>
      <c r="T924" s="26">
        <v>0.91996931731015086</v>
      </c>
      <c r="U924" s="26">
        <v>0.91313649978605049</v>
      </c>
      <c r="V924" s="26">
        <v>0.91006979062811566</v>
      </c>
      <c r="W924" s="26">
        <v>0.90571225555315271</v>
      </c>
      <c r="X924" s="28">
        <v>0.92</v>
      </c>
      <c r="Y924" s="28">
        <v>0</v>
      </c>
      <c r="Z924" s="28">
        <v>0</v>
      </c>
      <c r="AA924" s="28">
        <v>0</v>
      </c>
      <c r="AB924" s="28">
        <v>0</v>
      </c>
      <c r="AC924" s="28">
        <v>0.92</v>
      </c>
      <c r="AD924" s="26">
        <v>0.99852071005917165</v>
      </c>
      <c r="AE924" s="26">
        <v>0.86433649289099523</v>
      </c>
      <c r="AF924" s="26">
        <v>0.97498669505055879</v>
      </c>
      <c r="AG924" s="26">
        <v>0.92727534562211977</v>
      </c>
      <c r="AH924" s="28">
        <v>0.92</v>
      </c>
      <c r="AI924" s="26">
        <v>0.96855024290462799</v>
      </c>
      <c r="AJ924" s="26">
        <v>0.97218656397090286</v>
      </c>
      <c r="AK924" s="26">
        <v>0.97387836490528412</v>
      </c>
      <c r="AL924" s="26">
        <v>0.96984769378108682</v>
      </c>
      <c r="AM924" s="25">
        <v>0.99</v>
      </c>
      <c r="AN924" s="30">
        <v>1</v>
      </c>
      <c r="AO924" s="30">
        <v>1</v>
      </c>
      <c r="AP924" s="30">
        <v>1</v>
      </c>
      <c r="AQ924" s="30">
        <v>1</v>
      </c>
      <c r="AR924" s="50">
        <v>6.5641848892985799E-2</v>
      </c>
      <c r="AS924" s="34">
        <v>4.3478260869565216E-2</v>
      </c>
      <c r="AT924" s="34">
        <v>0.05</v>
      </c>
      <c r="AU924" s="34">
        <v>4.7619047619047616E-2</v>
      </c>
      <c r="AV924" s="34">
        <v>2.564102564102564E-2</v>
      </c>
      <c r="AW924" s="10"/>
      <c r="AX924" s="8"/>
    </row>
    <row r="925" spans="1:50">
      <c r="A925" s="7"/>
      <c r="B925" s="10"/>
      <c r="C925" s="69" t="s">
        <v>944</v>
      </c>
      <c r="D925" s="23" t="s">
        <v>23</v>
      </c>
      <c r="E925" s="72" t="s">
        <v>970</v>
      </c>
      <c r="F925" s="73" t="s">
        <v>970</v>
      </c>
      <c r="G925" s="73" t="s">
        <v>970</v>
      </c>
      <c r="H925" s="73" t="s">
        <v>970</v>
      </c>
      <c r="I925" s="25">
        <v>0.9</v>
      </c>
      <c r="J925" s="26">
        <v>0.98571428571428577</v>
      </c>
      <c r="K925" s="26">
        <v>0.98630136986301364</v>
      </c>
      <c r="L925" s="27">
        <v>1</v>
      </c>
      <c r="M925" s="26">
        <v>0.98007246376811596</v>
      </c>
      <c r="N925" s="28">
        <v>0.9</v>
      </c>
      <c r="O925" s="26">
        <v>0.97461768879079302</v>
      </c>
      <c r="P925" s="26">
        <v>0.97597751086123175</v>
      </c>
      <c r="Q925" s="26">
        <v>0.98379124037245658</v>
      </c>
      <c r="R925" s="26">
        <v>0.9784785423772091</v>
      </c>
      <c r="S925" s="28">
        <v>0.9</v>
      </c>
      <c r="T925" s="26">
        <v>0.95885227810184459</v>
      </c>
      <c r="U925" s="26">
        <v>0.95668285203168923</v>
      </c>
      <c r="V925" s="26">
        <v>0.95137372111736984</v>
      </c>
      <c r="W925" s="26">
        <v>0.95413011362600086</v>
      </c>
      <c r="X925" s="28">
        <v>0.92</v>
      </c>
      <c r="Y925" s="28">
        <v>1</v>
      </c>
      <c r="Z925" s="28">
        <v>0</v>
      </c>
      <c r="AA925" s="28">
        <v>0</v>
      </c>
      <c r="AB925" s="28">
        <v>1</v>
      </c>
      <c r="AC925" s="28">
        <v>0.92</v>
      </c>
      <c r="AD925" s="26">
        <v>0.98469012218460183</v>
      </c>
      <c r="AE925" s="26">
        <v>0.98596031448895549</v>
      </c>
      <c r="AF925" s="26">
        <v>0.98934056007226734</v>
      </c>
      <c r="AG925" s="26">
        <v>0.98062964213369341</v>
      </c>
      <c r="AH925" s="28">
        <v>0.92</v>
      </c>
      <c r="AI925" s="26">
        <v>0.98534278959810873</v>
      </c>
      <c r="AJ925" s="26">
        <v>0.98658318425760283</v>
      </c>
      <c r="AK925" s="26">
        <v>0.98735486837567532</v>
      </c>
      <c r="AL925" s="26">
        <v>0.9856660891766208</v>
      </c>
      <c r="AM925" s="25">
        <v>0.99</v>
      </c>
      <c r="AN925" s="30">
        <v>1</v>
      </c>
      <c r="AO925" s="30">
        <v>1</v>
      </c>
      <c r="AP925" s="30">
        <v>1</v>
      </c>
      <c r="AQ925" s="30">
        <v>1</v>
      </c>
      <c r="AR925" s="50">
        <v>6.5641848892985799E-2</v>
      </c>
      <c r="AS925" s="34">
        <v>6.8965517241379309E-2</v>
      </c>
      <c r="AT925" s="34">
        <v>0</v>
      </c>
      <c r="AU925" s="34">
        <v>4.7619047619047616E-2</v>
      </c>
      <c r="AV925" s="34">
        <v>3.3018867924528301E-2</v>
      </c>
      <c r="AW925" s="10"/>
      <c r="AX925" s="8"/>
    </row>
    <row r="926" spans="1:50">
      <c r="A926" s="7"/>
      <c r="B926" s="10"/>
      <c r="C926" s="69" t="s">
        <v>944</v>
      </c>
      <c r="D926" s="23" t="s">
        <v>23</v>
      </c>
      <c r="E926" s="72" t="s">
        <v>971</v>
      </c>
      <c r="F926" s="73" t="s">
        <v>971</v>
      </c>
      <c r="G926" s="73" t="s">
        <v>971</v>
      </c>
      <c r="H926" s="73" t="s">
        <v>971</v>
      </c>
      <c r="I926" s="25">
        <v>0.9</v>
      </c>
      <c r="J926" s="26">
        <v>0.95918367346938771</v>
      </c>
      <c r="K926" s="26">
        <v>1</v>
      </c>
      <c r="L926" s="27">
        <v>0.98</v>
      </c>
      <c r="M926" s="26">
        <v>0.98181818181818181</v>
      </c>
      <c r="N926" s="28">
        <v>0.9</v>
      </c>
      <c r="O926" s="26">
        <v>0.96228185400638022</v>
      </c>
      <c r="P926" s="26">
        <v>0.95609133003353031</v>
      </c>
      <c r="Q926" s="26">
        <v>0.96584861028976932</v>
      </c>
      <c r="R926" s="26">
        <v>0.94709737827715357</v>
      </c>
      <c r="S926" s="28">
        <v>0.9</v>
      </c>
      <c r="T926" s="26">
        <v>0.9598423719271908</v>
      </c>
      <c r="U926" s="26">
        <v>0.94443557400606737</v>
      </c>
      <c r="V926" s="26">
        <v>0.9241573033707865</v>
      </c>
      <c r="W926" s="26">
        <v>0.91376404494382024</v>
      </c>
      <c r="X926" s="28">
        <v>0.92</v>
      </c>
      <c r="Y926" s="28">
        <v>0</v>
      </c>
      <c r="Z926" s="28">
        <v>0</v>
      </c>
      <c r="AA926" s="28">
        <v>0</v>
      </c>
      <c r="AB926" s="28">
        <v>0</v>
      </c>
      <c r="AC926" s="28">
        <v>0.92</v>
      </c>
      <c r="AD926" s="26">
        <v>0.98708528167446008</v>
      </c>
      <c r="AE926" s="26">
        <v>0.74237025561580172</v>
      </c>
      <c r="AF926" s="26">
        <v>0.77972465581977468</v>
      </c>
      <c r="AG926" s="26">
        <v>0.71739782527184104</v>
      </c>
      <c r="AH926" s="28">
        <v>0.92</v>
      </c>
      <c r="AI926" s="26">
        <v>0.98780487804878048</v>
      </c>
      <c r="AJ926" s="26">
        <v>0.98691141260973658</v>
      </c>
      <c r="AK926" s="26">
        <v>0.98019216555801925</v>
      </c>
      <c r="AL926" s="26">
        <v>0.96995015095134451</v>
      </c>
      <c r="AM926" s="25">
        <v>0.99</v>
      </c>
      <c r="AN926" s="30">
        <v>1</v>
      </c>
      <c r="AO926" s="30">
        <v>1</v>
      </c>
      <c r="AP926" s="30">
        <v>1</v>
      </c>
      <c r="AQ926" s="30">
        <v>1</v>
      </c>
      <c r="AR926" s="50">
        <v>6.5641848892985799E-2</v>
      </c>
      <c r="AS926" s="34">
        <v>0</v>
      </c>
      <c r="AT926" s="34">
        <v>6.25E-2</v>
      </c>
      <c r="AU926" s="34">
        <v>0</v>
      </c>
      <c r="AV926" s="34">
        <v>2.9069767441860465E-2</v>
      </c>
      <c r="AW926" s="10"/>
      <c r="AX926" s="8"/>
    </row>
    <row r="927" spans="1:50">
      <c r="A927" s="7"/>
      <c r="B927" s="10"/>
      <c r="C927" s="69" t="s">
        <v>944</v>
      </c>
      <c r="D927" s="23" t="s">
        <v>23</v>
      </c>
      <c r="E927" s="72" t="s">
        <v>972</v>
      </c>
      <c r="F927" s="73" t="s">
        <v>972</v>
      </c>
      <c r="G927" s="73" t="s">
        <v>972</v>
      </c>
      <c r="H927" s="73" t="s">
        <v>972</v>
      </c>
      <c r="I927" s="25">
        <v>0.9</v>
      </c>
      <c r="J927" s="26">
        <v>1</v>
      </c>
      <c r="K927" s="26">
        <v>1</v>
      </c>
      <c r="L927" s="27">
        <v>1</v>
      </c>
      <c r="M927" s="26">
        <v>0.99248120300751874</v>
      </c>
      <c r="N927" s="28">
        <v>0.9</v>
      </c>
      <c r="O927" s="26">
        <v>0.98773743688386628</v>
      </c>
      <c r="P927" s="26">
        <v>0.9897750511247444</v>
      </c>
      <c r="Q927" s="26">
        <v>0.99172576832151305</v>
      </c>
      <c r="R927" s="26">
        <v>0.98577753924594125</v>
      </c>
      <c r="S927" s="28">
        <v>0.9</v>
      </c>
      <c r="T927" s="26">
        <v>0.96225054099543161</v>
      </c>
      <c r="U927" s="26">
        <v>0.96430563301728944</v>
      </c>
      <c r="V927" s="26">
        <v>0.95845997973657548</v>
      </c>
      <c r="W927" s="26">
        <v>0.95558835368308059</v>
      </c>
      <c r="X927" s="28">
        <v>0.92</v>
      </c>
      <c r="Y927" s="28">
        <v>0</v>
      </c>
      <c r="Z927" s="28">
        <v>0</v>
      </c>
      <c r="AA927" s="28">
        <v>0</v>
      </c>
      <c r="AB927" s="28">
        <v>0.8571428571428571</v>
      </c>
      <c r="AC927" s="28">
        <v>0.92</v>
      </c>
      <c r="AD927" s="26">
        <v>0.99150268336314851</v>
      </c>
      <c r="AE927" s="26">
        <v>0.99505766062602963</v>
      </c>
      <c r="AF927" s="26">
        <v>0.98898898898898902</v>
      </c>
      <c r="AG927" s="26">
        <v>0.98805906498214191</v>
      </c>
      <c r="AH927" s="28">
        <v>0.92</v>
      </c>
      <c r="AI927" s="26">
        <v>0.98292858860302956</v>
      </c>
      <c r="AJ927" s="26">
        <v>0.98958914296337608</v>
      </c>
      <c r="AK927" s="26">
        <v>0.99121918270854437</v>
      </c>
      <c r="AL927" s="26">
        <v>0.98779244473062888</v>
      </c>
      <c r="AM927" s="25">
        <v>0.99</v>
      </c>
      <c r="AN927" s="30">
        <v>1</v>
      </c>
      <c r="AO927" s="30">
        <v>1</v>
      </c>
      <c r="AP927" s="30">
        <v>1</v>
      </c>
      <c r="AQ927" s="30">
        <v>1</v>
      </c>
      <c r="AR927" s="50">
        <v>6.5641848892985799E-2</v>
      </c>
      <c r="AS927" s="34">
        <v>7.6923076923076927E-2</v>
      </c>
      <c r="AT927" s="34">
        <v>0</v>
      </c>
      <c r="AU927" s="34">
        <v>0</v>
      </c>
      <c r="AV927" s="34">
        <v>2.7027027027027029E-2</v>
      </c>
      <c r="AW927" s="10"/>
      <c r="AX927" s="8"/>
    </row>
    <row r="928" spans="1:50">
      <c r="A928" s="7"/>
      <c r="B928" s="10"/>
      <c r="C928" s="69" t="s">
        <v>944</v>
      </c>
      <c r="D928" s="23" t="s">
        <v>23</v>
      </c>
      <c r="E928" s="72" t="s">
        <v>973</v>
      </c>
      <c r="F928" s="73" t="s">
        <v>973</v>
      </c>
      <c r="G928" s="73" t="s">
        <v>973</v>
      </c>
      <c r="H928" s="73" t="s">
        <v>973</v>
      </c>
      <c r="I928" s="25">
        <v>0.9</v>
      </c>
      <c r="J928" s="26">
        <v>0.97872340425531912</v>
      </c>
      <c r="K928" s="26">
        <v>0.95744680851063835</v>
      </c>
      <c r="L928" s="27">
        <v>1</v>
      </c>
      <c r="M928" s="26">
        <v>0.97820163487738421</v>
      </c>
      <c r="N928" s="28">
        <v>0.9</v>
      </c>
      <c r="O928" s="26">
        <v>0.91069626639757817</v>
      </c>
      <c r="P928" s="26">
        <v>0.92350400987045034</v>
      </c>
      <c r="Q928" s="26">
        <v>0.9434101382488479</v>
      </c>
      <c r="R928" s="26">
        <v>0.94379833520278644</v>
      </c>
      <c r="S928" s="28">
        <v>0.9</v>
      </c>
      <c r="T928" s="26">
        <v>0.92003027245206859</v>
      </c>
      <c r="U928" s="26">
        <v>0.92083076290355748</v>
      </c>
      <c r="V928" s="26">
        <v>0.93953917050691249</v>
      </c>
      <c r="W928" s="26">
        <v>0.92599917350492944</v>
      </c>
      <c r="X928" s="28">
        <v>0.92</v>
      </c>
      <c r="Y928" s="28">
        <v>0</v>
      </c>
      <c r="Z928" s="28">
        <v>0</v>
      </c>
      <c r="AA928" s="28">
        <v>0</v>
      </c>
      <c r="AB928" s="28">
        <v>0</v>
      </c>
      <c r="AC928" s="28">
        <v>0.92</v>
      </c>
      <c r="AD928" s="26">
        <v>0.92098092643051777</v>
      </c>
      <c r="AE928" s="26">
        <v>0.9854368932038835</v>
      </c>
      <c r="AF928" s="26">
        <v>0.98482758620689659</v>
      </c>
      <c r="AG928" s="26">
        <v>0.97734680573663624</v>
      </c>
      <c r="AH928" s="28">
        <v>0.92</v>
      </c>
      <c r="AI928" s="26">
        <v>0.94325346784363173</v>
      </c>
      <c r="AJ928" s="26">
        <v>0.96195763931729383</v>
      </c>
      <c r="AK928" s="26">
        <v>0.96775382347521655</v>
      </c>
      <c r="AL928" s="26">
        <v>0.95661413139720208</v>
      </c>
      <c r="AM928" s="25">
        <v>0.99</v>
      </c>
      <c r="AN928" s="30">
        <v>1</v>
      </c>
      <c r="AO928" s="30">
        <v>1</v>
      </c>
      <c r="AP928" s="30">
        <v>1</v>
      </c>
      <c r="AQ928" s="30">
        <v>1</v>
      </c>
      <c r="AR928" s="50">
        <v>6.5641848892985799E-2</v>
      </c>
      <c r="AS928" s="34">
        <v>0</v>
      </c>
      <c r="AT928" s="34">
        <v>0.16666666666666666</v>
      </c>
      <c r="AU928" s="34">
        <v>0.1</v>
      </c>
      <c r="AV928" s="34">
        <v>6.4516129032258063E-2</v>
      </c>
      <c r="AW928" s="10"/>
      <c r="AX928" s="8"/>
    </row>
    <row r="929" spans="1:50">
      <c r="A929" s="7"/>
      <c r="B929" s="10"/>
      <c r="C929" s="69" t="s">
        <v>944</v>
      </c>
      <c r="D929" s="23" t="s">
        <v>23</v>
      </c>
      <c r="E929" s="72" t="s">
        <v>974</v>
      </c>
      <c r="F929" s="73" t="s">
        <v>974</v>
      </c>
      <c r="G929" s="73" t="s">
        <v>974</v>
      </c>
      <c r="H929" s="73" t="s">
        <v>974</v>
      </c>
      <c r="I929" s="25">
        <v>0.9</v>
      </c>
      <c r="J929" s="26">
        <v>0.97435897435897434</v>
      </c>
      <c r="K929" s="26">
        <v>0.92500000000000004</v>
      </c>
      <c r="L929" s="27">
        <v>1</v>
      </c>
      <c r="M929" s="26">
        <v>0.95398773006134974</v>
      </c>
      <c r="N929" s="28">
        <v>0.9</v>
      </c>
      <c r="O929" s="26">
        <v>0.94752402069475239</v>
      </c>
      <c r="P929" s="26">
        <v>0.87374872318692542</v>
      </c>
      <c r="Q929" s="26">
        <v>0.97940110623688725</v>
      </c>
      <c r="R929" s="26">
        <v>0.95546821902426049</v>
      </c>
      <c r="S929" s="28">
        <v>0.9</v>
      </c>
      <c r="T929" s="26">
        <v>0.90293175659029312</v>
      </c>
      <c r="U929" s="26">
        <v>0.90091930541368748</v>
      </c>
      <c r="V929" s="26">
        <v>0.92637802784665269</v>
      </c>
      <c r="W929" s="26">
        <v>0.92136757188026364</v>
      </c>
      <c r="X929" s="28">
        <v>0.92</v>
      </c>
      <c r="Y929" s="28">
        <v>0</v>
      </c>
      <c r="Z929" s="28">
        <v>0.5</v>
      </c>
      <c r="AA929" s="28">
        <v>0</v>
      </c>
      <c r="AB929" s="28">
        <v>0.5</v>
      </c>
      <c r="AC929" s="28">
        <v>0.92</v>
      </c>
      <c r="AD929" s="26">
        <v>0.99418168168168164</v>
      </c>
      <c r="AE929" s="26">
        <v>0.99030590262817753</v>
      </c>
      <c r="AF929" s="26">
        <v>0.99056147144240081</v>
      </c>
      <c r="AG929" s="26">
        <v>0.9727179946730391</v>
      </c>
      <c r="AH929" s="28">
        <v>0.92</v>
      </c>
      <c r="AI929" s="26">
        <v>0.97019704433497533</v>
      </c>
      <c r="AJ929" s="26">
        <v>0.97672519395671697</v>
      </c>
      <c r="AK929" s="26">
        <v>0.98016781083142634</v>
      </c>
      <c r="AL929" s="26">
        <v>0.97423929098966022</v>
      </c>
      <c r="AM929" s="25">
        <v>0.99</v>
      </c>
      <c r="AN929" s="30">
        <v>1</v>
      </c>
      <c r="AO929" s="30">
        <v>1</v>
      </c>
      <c r="AP929" s="30">
        <v>1</v>
      </c>
      <c r="AQ929" s="30">
        <v>1</v>
      </c>
      <c r="AR929" s="50">
        <v>6.5641848892985799E-2</v>
      </c>
      <c r="AS929" s="34">
        <v>5.2631578947368418E-2</v>
      </c>
      <c r="AT929" s="34">
        <v>0.05</v>
      </c>
      <c r="AU929" s="34">
        <v>-6.6666666666666666E-2</v>
      </c>
      <c r="AV929" s="34">
        <v>5.4054054054054057E-2</v>
      </c>
      <c r="AW929" s="10"/>
      <c r="AX929" s="8"/>
    </row>
    <row r="930" spans="1:50">
      <c r="A930" s="7"/>
      <c r="B930" s="10"/>
      <c r="C930" s="69" t="s">
        <v>944</v>
      </c>
      <c r="D930" s="23" t="s">
        <v>23</v>
      </c>
      <c r="E930" s="72" t="s">
        <v>975</v>
      </c>
      <c r="F930" s="73" t="s">
        <v>975</v>
      </c>
      <c r="G930" s="73" t="s">
        <v>975</v>
      </c>
      <c r="H930" s="73" t="s">
        <v>975</v>
      </c>
      <c r="I930" s="25">
        <v>0.9</v>
      </c>
      <c r="J930" s="26">
        <v>1</v>
      </c>
      <c r="K930" s="26">
        <v>1</v>
      </c>
      <c r="L930" s="27">
        <v>1</v>
      </c>
      <c r="M930" s="26">
        <v>0.99479166666666663</v>
      </c>
      <c r="N930" s="28">
        <v>0.9</v>
      </c>
      <c r="O930" s="26">
        <v>0.97882736156351791</v>
      </c>
      <c r="P930" s="26">
        <v>0.98127700432069132</v>
      </c>
      <c r="Q930" s="26">
        <v>0.97226688102893888</v>
      </c>
      <c r="R930" s="26">
        <v>0.9742503475210168</v>
      </c>
      <c r="S930" s="28">
        <v>0.9</v>
      </c>
      <c r="T930" s="26">
        <v>0.94299674267100975</v>
      </c>
      <c r="U930" s="26">
        <v>0.93759001440230438</v>
      </c>
      <c r="V930" s="26">
        <v>0.91921221864951763</v>
      </c>
      <c r="W930" s="26">
        <v>0.92678890580525586</v>
      </c>
      <c r="X930" s="28">
        <v>0.92</v>
      </c>
      <c r="Y930" s="28">
        <v>0.9125475285171103</v>
      </c>
      <c r="Z930" s="28">
        <v>0.938101788170564</v>
      </c>
      <c r="AA930" s="28">
        <v>0.9285714285714286</v>
      </c>
      <c r="AB930" s="28">
        <v>0.91800535475234268</v>
      </c>
      <c r="AC930" s="28">
        <v>0.92</v>
      </c>
      <c r="AD930" s="26">
        <v>0.99587798845836772</v>
      </c>
      <c r="AE930" s="26">
        <v>0.99702970297029703</v>
      </c>
      <c r="AF930" s="26">
        <v>0.99098196392785576</v>
      </c>
      <c r="AG930" s="26">
        <v>0.9948004836759371</v>
      </c>
      <c r="AH930" s="28">
        <v>0.92</v>
      </c>
      <c r="AI930" s="26">
        <v>0.95861486486486491</v>
      </c>
      <c r="AJ930" s="26">
        <v>0.96654804270462635</v>
      </c>
      <c r="AK930" s="26">
        <v>0.96067917783735479</v>
      </c>
      <c r="AL930" s="26">
        <v>0.95518353409845391</v>
      </c>
      <c r="AM930" s="25">
        <v>0.99</v>
      </c>
      <c r="AN930" s="30">
        <v>1</v>
      </c>
      <c r="AO930" s="30">
        <v>1</v>
      </c>
      <c r="AP930" s="30">
        <v>1</v>
      </c>
      <c r="AQ930" s="30">
        <v>1</v>
      </c>
      <c r="AR930" s="50">
        <v>6.5641848892985799E-2</v>
      </c>
      <c r="AS930" s="34">
        <v>0</v>
      </c>
      <c r="AT930" s="34">
        <v>0</v>
      </c>
      <c r="AU930" s="34">
        <v>0.33333333333333331</v>
      </c>
      <c r="AV930" s="34">
        <v>8.9285714285714288E-2</v>
      </c>
      <c r="AW930" s="10"/>
      <c r="AX930" s="8"/>
    </row>
    <row r="931" spans="1:50">
      <c r="A931" s="7"/>
      <c r="B931" s="10"/>
      <c r="C931" s="69" t="s">
        <v>944</v>
      </c>
      <c r="D931" s="23" t="s">
        <v>23</v>
      </c>
      <c r="E931" s="72" t="s">
        <v>976</v>
      </c>
      <c r="F931" s="73" t="s">
        <v>976</v>
      </c>
      <c r="G931" s="73" t="s">
        <v>976</v>
      </c>
      <c r="H931" s="73" t="s">
        <v>976</v>
      </c>
      <c r="I931" s="25">
        <v>0.9</v>
      </c>
      <c r="J931" s="26">
        <v>0.97297297297297303</v>
      </c>
      <c r="K931" s="26">
        <v>0.94871794871794868</v>
      </c>
      <c r="L931" s="27">
        <v>0.9</v>
      </c>
      <c r="M931" s="26">
        <v>0.94117647058823528</v>
      </c>
      <c r="N931" s="28">
        <v>0.9</v>
      </c>
      <c r="O931" s="26">
        <v>0.94387170675830467</v>
      </c>
      <c r="P931" s="26">
        <v>0.97933649289099522</v>
      </c>
      <c r="Q931" s="26">
        <v>0.93216669673462027</v>
      </c>
      <c r="R931" s="26">
        <v>0.96129212697524824</v>
      </c>
      <c r="S931" s="28">
        <v>0.9</v>
      </c>
      <c r="T931" s="26">
        <v>0.89324169530355102</v>
      </c>
      <c r="U931" s="26">
        <v>0.92341232227488157</v>
      </c>
      <c r="V931" s="26">
        <v>0.90528594623849901</v>
      </c>
      <c r="W931" s="26">
        <v>0.91629142777233952</v>
      </c>
      <c r="X931" s="28">
        <v>0.92</v>
      </c>
      <c r="Y931" s="28">
        <v>0</v>
      </c>
      <c r="Z931" s="28">
        <v>0</v>
      </c>
      <c r="AA931" s="28">
        <v>0</v>
      </c>
      <c r="AB931" s="28">
        <v>1</v>
      </c>
      <c r="AC931" s="28">
        <v>0.92</v>
      </c>
      <c r="AD931" s="26">
        <v>0.99729729729729732</v>
      </c>
      <c r="AE931" s="26">
        <v>0.99770754871458978</v>
      </c>
      <c r="AF931" s="26">
        <v>0.99565419835480362</v>
      </c>
      <c r="AG931" s="26">
        <v>0.9959360705629362</v>
      </c>
      <c r="AH931" s="28">
        <v>0.92</v>
      </c>
      <c r="AI931" s="26">
        <v>0.95715922107674689</v>
      </c>
      <c r="AJ931" s="26">
        <v>0.97327014218009478</v>
      </c>
      <c r="AK931" s="26">
        <v>0.96337723254555296</v>
      </c>
      <c r="AL931" s="26">
        <v>0.96490295877845522</v>
      </c>
      <c r="AM931" s="25">
        <v>0.99</v>
      </c>
      <c r="AN931" s="30">
        <v>1</v>
      </c>
      <c r="AO931" s="30">
        <v>1</v>
      </c>
      <c r="AP931" s="30">
        <v>1</v>
      </c>
      <c r="AQ931" s="30">
        <v>1</v>
      </c>
      <c r="AR931" s="50">
        <v>6.5641848892985799E-2</v>
      </c>
      <c r="AS931" s="34">
        <v>6.25E-2</v>
      </c>
      <c r="AT931" s="34">
        <v>0</v>
      </c>
      <c r="AU931" s="34">
        <v>5.5555555555555552E-2</v>
      </c>
      <c r="AV931" s="34">
        <v>5.6818181818181816E-2</v>
      </c>
      <c r="AW931" s="10"/>
      <c r="AX931" s="8"/>
    </row>
    <row r="932" spans="1:50">
      <c r="A932" s="7"/>
      <c r="B932" s="10"/>
      <c r="C932" s="69" t="s">
        <v>944</v>
      </c>
      <c r="D932" s="23" t="s">
        <v>23</v>
      </c>
      <c r="E932" s="76" t="s">
        <v>977</v>
      </c>
      <c r="F932" s="77" t="s">
        <v>977</v>
      </c>
      <c r="G932" s="77" t="s">
        <v>977</v>
      </c>
      <c r="H932" s="77" t="s">
        <v>977</v>
      </c>
      <c r="I932" s="25">
        <v>0.9</v>
      </c>
      <c r="J932" s="26">
        <v>1</v>
      </c>
      <c r="K932" s="26">
        <v>1</v>
      </c>
      <c r="L932" s="27">
        <v>0.9642857142857143</v>
      </c>
      <c r="M932" s="26">
        <v>0.995</v>
      </c>
      <c r="N932" s="28">
        <v>0.9</v>
      </c>
      <c r="O932" s="26">
        <v>0.98196114708603144</v>
      </c>
      <c r="P932" s="26">
        <v>0.99100939926440534</v>
      </c>
      <c r="Q932" s="26">
        <v>0.98567848191908347</v>
      </c>
      <c r="R932" s="26">
        <v>0.98823047195221925</v>
      </c>
      <c r="S932" s="28">
        <v>0.9</v>
      </c>
      <c r="T932" s="26">
        <v>0.95420906567992603</v>
      </c>
      <c r="U932" s="26">
        <v>0.95790764201062528</v>
      </c>
      <c r="V932" s="26">
        <v>0.93949158610812744</v>
      </c>
      <c r="W932" s="26">
        <v>0.94413865792247331</v>
      </c>
      <c r="X932" s="28">
        <v>0.92</v>
      </c>
      <c r="Y932" s="28">
        <v>0.94553376906318087</v>
      </c>
      <c r="Z932" s="28">
        <v>0.93511450381679384</v>
      </c>
      <c r="AA932" s="28">
        <v>0.95956873315363878</v>
      </c>
      <c r="AB932" s="28">
        <v>0.94352023002669949</v>
      </c>
      <c r="AC932" s="28">
        <v>0.92</v>
      </c>
      <c r="AD932" s="26">
        <v>0.99358700299273195</v>
      </c>
      <c r="AE932" s="26">
        <v>0.99359347699475831</v>
      </c>
      <c r="AF932" s="26">
        <v>0.99344262295081964</v>
      </c>
      <c r="AG932" s="26">
        <v>0.98878147750328205</v>
      </c>
      <c r="AH932" s="28">
        <v>0.92</v>
      </c>
      <c r="AI932" s="26">
        <v>0.978634109118657</v>
      </c>
      <c r="AJ932" s="26">
        <v>0.98485358465163242</v>
      </c>
      <c r="AK932" s="26">
        <v>0.98557284299858561</v>
      </c>
      <c r="AL932" s="26">
        <v>0.98017952339727521</v>
      </c>
      <c r="AM932" s="25">
        <v>0.99</v>
      </c>
      <c r="AN932" s="30">
        <v>1</v>
      </c>
      <c r="AO932" s="30">
        <v>1</v>
      </c>
      <c r="AP932" s="30">
        <v>1</v>
      </c>
      <c r="AQ932" s="30">
        <v>1</v>
      </c>
      <c r="AR932" s="50">
        <v>6.5641848892985799E-2</v>
      </c>
      <c r="AS932" s="34">
        <v>0.1111111111111111</v>
      </c>
      <c r="AT932" s="34">
        <v>0</v>
      </c>
      <c r="AU932" s="34">
        <v>0</v>
      </c>
      <c r="AV932" s="34">
        <v>6.5789473684210523E-2</v>
      </c>
      <c r="AW932" s="10"/>
      <c r="AX932" s="8"/>
    </row>
    <row r="933" spans="1:50">
      <c r="A933" s="7"/>
      <c r="B933" s="10"/>
      <c r="C933" s="69" t="s">
        <v>944</v>
      </c>
      <c r="D933" s="23" t="s">
        <v>23</v>
      </c>
      <c r="E933" s="72" t="s">
        <v>978</v>
      </c>
      <c r="F933" s="73" t="s">
        <v>978</v>
      </c>
      <c r="G933" s="73" t="s">
        <v>978</v>
      </c>
      <c r="H933" s="73" t="s">
        <v>978</v>
      </c>
      <c r="I933" s="25">
        <v>0.9</v>
      </c>
      <c r="J933" s="26">
        <v>0.95652173913043481</v>
      </c>
      <c r="K933" s="26">
        <v>0.95238095238095233</v>
      </c>
      <c r="L933" s="27">
        <v>0.95744680851063835</v>
      </c>
      <c r="M933" s="26">
        <v>0.94508670520231219</v>
      </c>
      <c r="N933" s="28">
        <v>0.9</v>
      </c>
      <c r="O933" s="26">
        <v>0.97335534072152796</v>
      </c>
      <c r="P933" s="26">
        <v>0.92648134601316756</v>
      </c>
      <c r="Q933" s="26">
        <v>0.9606105366814377</v>
      </c>
      <c r="R933" s="26">
        <v>0.95688754180602009</v>
      </c>
      <c r="S933" s="28">
        <v>0.9</v>
      </c>
      <c r="T933" s="26">
        <v>0.9356283895307711</v>
      </c>
      <c r="U933" s="26">
        <v>0.91550841258229698</v>
      </c>
      <c r="V933" s="26">
        <v>0.94682422451994097</v>
      </c>
      <c r="W933" s="26">
        <v>0.93159489966555187</v>
      </c>
      <c r="X933" s="28">
        <v>0.92</v>
      </c>
      <c r="Y933" s="28">
        <v>0</v>
      </c>
      <c r="Z933" s="28">
        <v>0</v>
      </c>
      <c r="AA933" s="28">
        <v>0</v>
      </c>
      <c r="AB933" s="28">
        <v>0</v>
      </c>
      <c r="AC933" s="28">
        <v>0.92</v>
      </c>
      <c r="AD933" s="26">
        <v>0.9921428571428571</v>
      </c>
      <c r="AE933" s="26">
        <v>0.98955365622032287</v>
      </c>
      <c r="AF933" s="26">
        <v>0.99289099526066349</v>
      </c>
      <c r="AG933" s="26">
        <v>0.98363235757003464</v>
      </c>
      <c r="AH933" s="28">
        <v>0.92</v>
      </c>
      <c r="AI933" s="26">
        <v>0.95592740985152014</v>
      </c>
      <c r="AJ933" s="26">
        <v>0.94095063985374772</v>
      </c>
      <c r="AK933" s="26">
        <v>0.97209913014935168</v>
      </c>
      <c r="AL933" s="26">
        <v>0.95464639339551172</v>
      </c>
      <c r="AM933" s="25">
        <v>0.99</v>
      </c>
      <c r="AN933" s="30">
        <v>1</v>
      </c>
      <c r="AO933" s="30">
        <v>1</v>
      </c>
      <c r="AP933" s="30">
        <v>1</v>
      </c>
      <c r="AQ933" s="30">
        <v>1</v>
      </c>
      <c r="AR933" s="50">
        <v>6.5641848892985799E-2</v>
      </c>
      <c r="AS933" s="34">
        <v>8.3333333333333329E-2</v>
      </c>
      <c r="AT933" s="34">
        <v>7.6923076923076927E-2</v>
      </c>
      <c r="AU933" s="34">
        <v>7.1428571428571425E-2</v>
      </c>
      <c r="AV933" s="34">
        <v>0.08</v>
      </c>
      <c r="AW933" s="10"/>
      <c r="AX933" s="8"/>
    </row>
    <row r="934" spans="1:50">
      <c r="A934" s="7"/>
      <c r="B934" s="10"/>
      <c r="C934" s="69" t="s">
        <v>944</v>
      </c>
      <c r="D934" s="23" t="s">
        <v>23</v>
      </c>
      <c r="E934" s="72" t="s">
        <v>22</v>
      </c>
      <c r="F934" s="73" t="s">
        <v>22</v>
      </c>
      <c r="G934" s="73" t="s">
        <v>22</v>
      </c>
      <c r="H934" s="73" t="s">
        <v>22</v>
      </c>
      <c r="I934" s="25">
        <v>0.9</v>
      </c>
      <c r="J934" s="26">
        <v>0.89189189189189189</v>
      </c>
      <c r="K934" s="26">
        <v>0.86842105263157898</v>
      </c>
      <c r="L934" s="27">
        <v>0.82499999999999996</v>
      </c>
      <c r="M934" s="26">
        <v>0.81506849315068497</v>
      </c>
      <c r="N934" s="28">
        <v>0.9</v>
      </c>
      <c r="O934" s="26">
        <v>0.95380029806259314</v>
      </c>
      <c r="P934" s="26">
        <v>0.94248683677602263</v>
      </c>
      <c r="Q934" s="26">
        <v>0.9113420972179761</v>
      </c>
      <c r="R934" s="26">
        <v>0.90997406032246575</v>
      </c>
      <c r="S934" s="28">
        <v>0.9</v>
      </c>
      <c r="T934" s="26">
        <v>0.89567809239940388</v>
      </c>
      <c r="U934" s="26">
        <v>0.91778047792628592</v>
      </c>
      <c r="V934" s="26">
        <v>0.88168755732191995</v>
      </c>
      <c r="W934" s="26">
        <v>0.88444127969075836</v>
      </c>
      <c r="X934" s="28">
        <v>0.92</v>
      </c>
      <c r="Y934" s="28">
        <v>0.87906137184115518</v>
      </c>
      <c r="Z934" s="28">
        <v>0.92433234421364985</v>
      </c>
      <c r="AA934" s="28">
        <v>0.87809523809523804</v>
      </c>
      <c r="AB934" s="28">
        <v>0.86294724075197093</v>
      </c>
      <c r="AC934" s="28">
        <v>0.92</v>
      </c>
      <c r="AD934" s="26">
        <v>0.99710982658959535</v>
      </c>
      <c r="AE934" s="26">
        <v>0.99572710440108247</v>
      </c>
      <c r="AF934" s="26">
        <v>0.99488079567061571</v>
      </c>
      <c r="AG934" s="26">
        <v>0.96363814085333077</v>
      </c>
      <c r="AH934" s="28">
        <v>0.92</v>
      </c>
      <c r="AI934" s="26">
        <v>0.93452748610253245</v>
      </c>
      <c r="AJ934" s="26">
        <v>0.9548346055979644</v>
      </c>
      <c r="AK934" s="26">
        <v>0.95759810376613119</v>
      </c>
      <c r="AL934" s="26">
        <v>0.93324665827001996</v>
      </c>
      <c r="AM934" s="25">
        <v>0.99</v>
      </c>
      <c r="AN934" s="30">
        <v>1</v>
      </c>
      <c r="AO934" s="30">
        <v>1</v>
      </c>
      <c r="AP934" s="30">
        <v>1</v>
      </c>
      <c r="AQ934" s="30">
        <v>1</v>
      </c>
      <c r="AR934" s="50">
        <v>6.5641848892985799E-2</v>
      </c>
      <c r="AS934" s="34">
        <v>0</v>
      </c>
      <c r="AT934" s="34">
        <v>4.7619047619047616E-2</v>
      </c>
      <c r="AU934" s="34">
        <v>0.17142857142857143</v>
      </c>
      <c r="AV934" s="34">
        <v>5.5970149253731345E-2</v>
      </c>
      <c r="AW934" s="10"/>
      <c r="AX934" s="8"/>
    </row>
    <row r="935" spans="1:50">
      <c r="A935" s="7"/>
      <c r="B935" s="10"/>
      <c r="C935" s="69" t="s">
        <v>944</v>
      </c>
      <c r="D935" s="23" t="s">
        <v>23</v>
      </c>
      <c r="E935" s="72" t="s">
        <v>979</v>
      </c>
      <c r="F935" s="73" t="s">
        <v>979</v>
      </c>
      <c r="G935" s="73" t="s">
        <v>979</v>
      </c>
      <c r="H935" s="73" t="s">
        <v>979</v>
      </c>
      <c r="I935" s="25">
        <v>0.9</v>
      </c>
      <c r="J935" s="26">
        <v>0.875</v>
      </c>
      <c r="K935" s="26">
        <v>0.96</v>
      </c>
      <c r="L935" s="27">
        <v>0.92592592592592593</v>
      </c>
      <c r="M935" s="26">
        <v>0.95454545454545459</v>
      </c>
      <c r="N935" s="28">
        <v>0.9</v>
      </c>
      <c r="O935" s="26">
        <v>0.85499999999999998</v>
      </c>
      <c r="P935" s="26">
        <v>0.88115942028985506</v>
      </c>
      <c r="Q935" s="26">
        <v>0.90370751802265703</v>
      </c>
      <c r="R935" s="26">
        <v>0.90059373875494786</v>
      </c>
      <c r="S935" s="28">
        <v>0.9</v>
      </c>
      <c r="T935" s="26">
        <v>0.80625000000000002</v>
      </c>
      <c r="U935" s="26">
        <v>0.87536231884057969</v>
      </c>
      <c r="V935" s="26">
        <v>0.88516992790937177</v>
      </c>
      <c r="W935" s="26">
        <v>0.84688736955739474</v>
      </c>
      <c r="X935" s="28">
        <v>0.92</v>
      </c>
      <c r="Y935" s="28">
        <v>0.91666666666666663</v>
      </c>
      <c r="Z935" s="28">
        <v>0.90304709141274242</v>
      </c>
      <c r="AA935" s="28">
        <v>0.95428571428571429</v>
      </c>
      <c r="AB935" s="28">
        <v>0.91495106311171115</v>
      </c>
      <c r="AC935" s="28">
        <v>0.92</v>
      </c>
      <c r="AD935" s="26">
        <v>0.99338235294117649</v>
      </c>
      <c r="AE935" s="26">
        <v>0.98763396537510306</v>
      </c>
      <c r="AF935" s="26">
        <v>0.99661672305461579</v>
      </c>
      <c r="AG935" s="26">
        <v>0.97322131793121558</v>
      </c>
      <c r="AH935" s="28">
        <v>0.92</v>
      </c>
      <c r="AI935" s="26">
        <v>0.91987829614604466</v>
      </c>
      <c r="AJ935" s="26">
        <v>0.93681792073520964</v>
      </c>
      <c r="AK935" s="26">
        <v>0.96771378708551481</v>
      </c>
      <c r="AL935" s="26">
        <v>0.93770864407983523</v>
      </c>
      <c r="AM935" s="25">
        <v>0.99</v>
      </c>
      <c r="AN935" s="30">
        <v>1</v>
      </c>
      <c r="AO935" s="30">
        <v>1</v>
      </c>
      <c r="AP935" s="30">
        <v>1</v>
      </c>
      <c r="AQ935" s="30">
        <v>1</v>
      </c>
      <c r="AR935" s="50">
        <v>6.5641848892985799E-2</v>
      </c>
      <c r="AS935" s="34">
        <v>0</v>
      </c>
      <c r="AT935" s="34">
        <v>0</v>
      </c>
      <c r="AU935" s="34">
        <v>0.14285714285714285</v>
      </c>
      <c r="AV935" s="34">
        <v>7.8651685393258425E-2</v>
      </c>
      <c r="AW935" s="10"/>
      <c r="AX935" s="8"/>
    </row>
    <row r="936" spans="1:50">
      <c r="A936" s="7"/>
      <c r="B936" s="10"/>
      <c r="C936" s="69" t="s">
        <v>944</v>
      </c>
      <c r="D936" s="23" t="s">
        <v>23</v>
      </c>
      <c r="E936" s="72" t="s">
        <v>980</v>
      </c>
      <c r="F936" s="73" t="s">
        <v>980</v>
      </c>
      <c r="G936" s="73" t="s">
        <v>980</v>
      </c>
      <c r="H936" s="73" t="s">
        <v>980</v>
      </c>
      <c r="I936" s="25">
        <v>0.9</v>
      </c>
      <c r="J936" s="26">
        <v>0</v>
      </c>
      <c r="K936" s="26">
        <v>0</v>
      </c>
      <c r="L936" s="27">
        <v>0</v>
      </c>
      <c r="M936" s="26">
        <v>0</v>
      </c>
      <c r="N936" s="28">
        <v>0.9</v>
      </c>
      <c r="O936" s="26">
        <v>0</v>
      </c>
      <c r="P936" s="26">
        <v>0</v>
      </c>
      <c r="Q936" s="26">
        <v>0</v>
      </c>
      <c r="R936" s="26">
        <v>0</v>
      </c>
      <c r="S936" s="28">
        <v>0.9</v>
      </c>
      <c r="T936" s="26">
        <v>1</v>
      </c>
      <c r="U936" s="26">
        <v>0</v>
      </c>
      <c r="V936" s="26">
        <v>0</v>
      </c>
      <c r="W936" s="26">
        <v>1</v>
      </c>
      <c r="X936" s="28">
        <v>0.92</v>
      </c>
      <c r="Y936" s="28">
        <v>0</v>
      </c>
      <c r="Z936" s="28">
        <v>0</v>
      </c>
      <c r="AA936" s="28">
        <v>0</v>
      </c>
      <c r="AB936" s="28">
        <v>0</v>
      </c>
      <c r="AC936" s="28">
        <v>0.92</v>
      </c>
      <c r="AD936" s="26">
        <v>1</v>
      </c>
      <c r="AE936" s="26">
        <v>1</v>
      </c>
      <c r="AF936" s="26">
        <v>1</v>
      </c>
      <c r="AG936" s="26">
        <v>0.99949212798374809</v>
      </c>
      <c r="AH936" s="28">
        <v>0.92</v>
      </c>
      <c r="AI936" s="26">
        <v>1</v>
      </c>
      <c r="AJ936" s="26">
        <v>0</v>
      </c>
      <c r="AK936" s="26">
        <v>0</v>
      </c>
      <c r="AL936" s="26">
        <v>1</v>
      </c>
      <c r="AM936" s="25">
        <v>0.99</v>
      </c>
      <c r="AN936" s="30">
        <v>1</v>
      </c>
      <c r="AO936" s="30">
        <v>1</v>
      </c>
      <c r="AP936" s="30">
        <v>1</v>
      </c>
      <c r="AQ936" s="30">
        <v>1</v>
      </c>
      <c r="AR936" s="50">
        <v>6.5641848892985799E-2</v>
      </c>
      <c r="AS936" s="34">
        <v>0</v>
      </c>
      <c r="AT936" s="34">
        <v>0</v>
      </c>
      <c r="AU936" s="34">
        <v>0</v>
      </c>
      <c r="AV936" s="34">
        <v>0</v>
      </c>
      <c r="AW936" s="10"/>
      <c r="AX936" s="8"/>
    </row>
    <row r="937" spans="1:50">
      <c r="A937" s="7"/>
      <c r="B937" s="10"/>
      <c r="C937" s="69" t="s">
        <v>944</v>
      </c>
      <c r="D937" s="23" t="s">
        <v>23</v>
      </c>
      <c r="E937" s="76" t="s">
        <v>981</v>
      </c>
      <c r="F937" s="77" t="s">
        <v>981</v>
      </c>
      <c r="G937" s="77" t="s">
        <v>981</v>
      </c>
      <c r="H937" s="77" t="s">
        <v>981</v>
      </c>
      <c r="I937" s="25">
        <v>0.9</v>
      </c>
      <c r="J937" s="26">
        <v>0.7931034482758621</v>
      </c>
      <c r="K937" s="26">
        <v>0.7142857142857143</v>
      </c>
      <c r="L937" s="27">
        <v>0.80645161290322576</v>
      </c>
      <c r="M937" s="26">
        <v>0.78632478632478631</v>
      </c>
      <c r="N937" s="28">
        <v>0.9</v>
      </c>
      <c r="O937" s="26">
        <v>0.84366925064599485</v>
      </c>
      <c r="P937" s="26">
        <v>0.85963213939980643</v>
      </c>
      <c r="Q937" s="26">
        <v>0.88876362269823372</v>
      </c>
      <c r="R937" s="26">
        <v>0.88563959143968873</v>
      </c>
      <c r="S937" s="28">
        <v>0.9</v>
      </c>
      <c r="T937" s="26">
        <v>0.8527131782945736</v>
      </c>
      <c r="U937" s="26">
        <v>0.87221684414327205</v>
      </c>
      <c r="V937" s="26">
        <v>0.88162344983089069</v>
      </c>
      <c r="W937" s="26">
        <v>0.85299124513618674</v>
      </c>
      <c r="X937" s="28">
        <v>0.92</v>
      </c>
      <c r="Y937" s="28">
        <v>0.92233009708737868</v>
      </c>
      <c r="Z937" s="28">
        <v>0.91610738255033553</v>
      </c>
      <c r="AA937" s="28">
        <v>0.91485148514851489</v>
      </c>
      <c r="AB937" s="28">
        <v>0.89706217262582555</v>
      </c>
      <c r="AC937" s="28">
        <v>0.92</v>
      </c>
      <c r="AD937" s="26">
        <v>0.99563874250408868</v>
      </c>
      <c r="AE937" s="26">
        <v>0.99639021748939627</v>
      </c>
      <c r="AF937" s="26">
        <v>0.99520013713893885</v>
      </c>
      <c r="AG937" s="26">
        <v>0.99088751567257749</v>
      </c>
      <c r="AH937" s="28">
        <v>0.92</v>
      </c>
      <c r="AI937" s="26">
        <v>0.93443778639407826</v>
      </c>
      <c r="AJ937" s="26">
        <v>0.94928625093914354</v>
      </c>
      <c r="AK937" s="26">
        <v>0.95642563940637826</v>
      </c>
      <c r="AL937" s="26">
        <v>0.93412656527371296</v>
      </c>
      <c r="AM937" s="25">
        <v>0.99</v>
      </c>
      <c r="AN937" s="30">
        <v>0.9983948635634029</v>
      </c>
      <c r="AO937" s="30">
        <v>1</v>
      </c>
      <c r="AP937" s="30">
        <v>1</v>
      </c>
      <c r="AQ937" s="30">
        <v>0.99957956695396255</v>
      </c>
      <c r="AR937" s="50">
        <v>6.5641848892985799E-2</v>
      </c>
      <c r="AS937" s="34">
        <v>0.05</v>
      </c>
      <c r="AT937" s="34">
        <v>0.08</v>
      </c>
      <c r="AU937" s="34">
        <v>0.1</v>
      </c>
      <c r="AV937" s="34">
        <v>6.4981949458483748E-2</v>
      </c>
      <c r="AW937" s="10"/>
      <c r="AX937" s="8"/>
    </row>
    <row r="938" spans="1:50">
      <c r="A938" s="7"/>
      <c r="B938" s="10"/>
      <c r="C938" s="69" t="s">
        <v>944</v>
      </c>
      <c r="D938" s="23" t="s">
        <v>23</v>
      </c>
      <c r="E938" s="76" t="s">
        <v>982</v>
      </c>
      <c r="F938" s="77" t="s">
        <v>982</v>
      </c>
      <c r="G938" s="77" t="s">
        <v>982</v>
      </c>
      <c r="H938" s="77" t="s">
        <v>982</v>
      </c>
      <c r="I938" s="25">
        <v>0.9</v>
      </c>
      <c r="J938" s="26">
        <v>1</v>
      </c>
      <c r="K938" s="26">
        <v>0.83333333333333337</v>
      </c>
      <c r="L938" s="27">
        <v>0.95652173913043481</v>
      </c>
      <c r="M938" s="26">
        <v>0.94512195121951215</v>
      </c>
      <c r="N938" s="28">
        <v>0.9</v>
      </c>
      <c r="O938" s="26">
        <v>0.93826405867970664</v>
      </c>
      <c r="P938" s="26">
        <v>0.88069956277326666</v>
      </c>
      <c r="Q938" s="26">
        <v>0.94530493707647634</v>
      </c>
      <c r="R938" s="26">
        <v>0.92795196797865243</v>
      </c>
      <c r="S938" s="28">
        <v>0.9</v>
      </c>
      <c r="T938" s="26">
        <v>0.89669926650366749</v>
      </c>
      <c r="U938" s="26">
        <v>0.89069331667707685</v>
      </c>
      <c r="V938" s="26">
        <v>0.89157792836398841</v>
      </c>
      <c r="W938" s="26">
        <v>0.90068378919279524</v>
      </c>
      <c r="X938" s="28">
        <v>0.92</v>
      </c>
      <c r="Y938" s="28">
        <v>0.87570621468926557</v>
      </c>
      <c r="Z938" s="28">
        <v>0.80376344086021501</v>
      </c>
      <c r="AA938" s="28">
        <v>0.92923076923076919</v>
      </c>
      <c r="AB938" s="28">
        <v>0.88516428808496517</v>
      </c>
      <c r="AC938" s="28">
        <v>0.92</v>
      </c>
      <c r="AD938" s="26">
        <v>0.98892988929889303</v>
      </c>
      <c r="AE938" s="26">
        <v>0.99151989562948462</v>
      </c>
      <c r="AF938" s="26">
        <v>0.99293286219081267</v>
      </c>
      <c r="AG938" s="26">
        <v>0.98316591617596116</v>
      </c>
      <c r="AH938" s="28">
        <v>0.92</v>
      </c>
      <c r="AI938" s="26">
        <v>0.925777331995988</v>
      </c>
      <c r="AJ938" s="26">
        <v>0.91687785098834262</v>
      </c>
      <c r="AK938" s="26">
        <v>0.95836802664446297</v>
      </c>
      <c r="AL938" s="26">
        <v>0.94166112956810633</v>
      </c>
      <c r="AM938" s="25">
        <v>0.99</v>
      </c>
      <c r="AN938" s="30">
        <v>1</v>
      </c>
      <c r="AO938" s="30">
        <v>1</v>
      </c>
      <c r="AP938" s="30">
        <v>1</v>
      </c>
      <c r="AQ938" s="30">
        <v>1</v>
      </c>
      <c r="AR938" s="50">
        <v>6.5641848892985799E-2</v>
      </c>
      <c r="AS938" s="34">
        <v>3.5714285714285712E-2</v>
      </c>
      <c r="AT938" s="34">
        <v>0</v>
      </c>
      <c r="AU938" s="34">
        <v>3.5714285714285712E-2</v>
      </c>
      <c r="AV938" s="34">
        <v>-8.2987551867219917E-3</v>
      </c>
      <c r="AW938" s="10"/>
      <c r="AX938" s="8"/>
    </row>
    <row r="939" spans="1:50">
      <c r="A939" s="7"/>
      <c r="B939" s="10"/>
      <c r="C939" s="69" t="s">
        <v>944</v>
      </c>
      <c r="D939" s="23" t="s">
        <v>23</v>
      </c>
      <c r="E939" s="72" t="s">
        <v>983</v>
      </c>
      <c r="F939" s="73" t="s">
        <v>983</v>
      </c>
      <c r="G939" s="73" t="s">
        <v>983</v>
      </c>
      <c r="H939" s="73" t="s">
        <v>983</v>
      </c>
      <c r="I939" s="25">
        <v>0.9</v>
      </c>
      <c r="J939" s="26">
        <v>0</v>
      </c>
      <c r="K939" s="26">
        <v>0</v>
      </c>
      <c r="L939" s="27">
        <v>0</v>
      </c>
      <c r="M939" s="26">
        <v>0</v>
      </c>
      <c r="N939" s="28">
        <v>0.9</v>
      </c>
      <c r="O939" s="26">
        <v>0</v>
      </c>
      <c r="P939" s="26">
        <v>0</v>
      </c>
      <c r="Q939" s="26">
        <v>0</v>
      </c>
      <c r="R939" s="26">
        <v>0</v>
      </c>
      <c r="S939" s="28">
        <v>0.9</v>
      </c>
      <c r="T939" s="26">
        <v>0</v>
      </c>
      <c r="U939" s="26">
        <v>0</v>
      </c>
      <c r="V939" s="26">
        <v>0</v>
      </c>
      <c r="W939" s="26">
        <v>0</v>
      </c>
      <c r="X939" s="28">
        <v>0.92</v>
      </c>
      <c r="Y939" s="28">
        <v>0</v>
      </c>
      <c r="Z939" s="28">
        <v>0</v>
      </c>
      <c r="AA939" s="28">
        <v>0</v>
      </c>
      <c r="AB939" s="28">
        <v>0</v>
      </c>
      <c r="AC939" s="28">
        <v>0.92</v>
      </c>
      <c r="AD939" s="26">
        <v>1</v>
      </c>
      <c r="AE939" s="26">
        <v>1</v>
      </c>
      <c r="AF939" s="26">
        <v>1</v>
      </c>
      <c r="AG939" s="26">
        <v>0.99156118143459915</v>
      </c>
      <c r="AH939" s="28">
        <v>0.92</v>
      </c>
      <c r="AI939" s="26">
        <v>0</v>
      </c>
      <c r="AJ939" s="26">
        <v>0</v>
      </c>
      <c r="AK939" s="26">
        <v>0</v>
      </c>
      <c r="AL939" s="26">
        <v>0</v>
      </c>
      <c r="AM939" s="25">
        <v>0.99</v>
      </c>
      <c r="AN939" s="30">
        <v>1</v>
      </c>
      <c r="AO939" s="30">
        <v>1</v>
      </c>
      <c r="AP939" s="30">
        <v>1</v>
      </c>
      <c r="AQ939" s="30">
        <v>1</v>
      </c>
      <c r="AR939" s="50">
        <v>6.5641848892985799E-2</v>
      </c>
      <c r="AS939" s="34">
        <v>0</v>
      </c>
      <c r="AT939" s="34">
        <v>0</v>
      </c>
      <c r="AU939" s="34">
        <v>0</v>
      </c>
      <c r="AV939" s="34">
        <v>0</v>
      </c>
      <c r="AW939" s="10"/>
      <c r="AX939" s="8"/>
    </row>
    <row r="940" spans="1:50">
      <c r="A940" s="7"/>
      <c r="B940" s="10"/>
      <c r="C940" s="69" t="s">
        <v>944</v>
      </c>
      <c r="D940" s="23" t="s">
        <v>23</v>
      </c>
      <c r="E940" s="72" t="s">
        <v>984</v>
      </c>
      <c r="F940" s="73" t="s">
        <v>984</v>
      </c>
      <c r="G940" s="73" t="s">
        <v>984</v>
      </c>
      <c r="H940" s="73" t="s">
        <v>984</v>
      </c>
      <c r="I940" s="25">
        <v>0.9</v>
      </c>
      <c r="J940" s="26">
        <v>0</v>
      </c>
      <c r="K940" s="26">
        <v>0</v>
      </c>
      <c r="L940" s="27">
        <v>0</v>
      </c>
      <c r="M940" s="26">
        <v>0</v>
      </c>
      <c r="N940" s="28">
        <v>0.9</v>
      </c>
      <c r="O940" s="26">
        <v>0</v>
      </c>
      <c r="P940" s="26">
        <v>0</v>
      </c>
      <c r="Q940" s="26">
        <v>0</v>
      </c>
      <c r="R940" s="26">
        <v>0</v>
      </c>
      <c r="S940" s="28">
        <v>0.9</v>
      </c>
      <c r="T940" s="26">
        <v>0</v>
      </c>
      <c r="U940" s="26">
        <v>0</v>
      </c>
      <c r="V940" s="26">
        <v>0</v>
      </c>
      <c r="W940" s="26">
        <v>0</v>
      </c>
      <c r="X940" s="28">
        <v>0.92</v>
      </c>
      <c r="Y940" s="28">
        <v>0</v>
      </c>
      <c r="Z940" s="28">
        <v>0</v>
      </c>
      <c r="AA940" s="28">
        <v>0</v>
      </c>
      <c r="AB940" s="28">
        <v>0</v>
      </c>
      <c r="AC940" s="28">
        <v>0.92</v>
      </c>
      <c r="AD940" s="26">
        <v>1</v>
      </c>
      <c r="AE940" s="26">
        <v>1</v>
      </c>
      <c r="AF940" s="26">
        <v>0.99851851851851847</v>
      </c>
      <c r="AG940" s="26">
        <v>0.99941804073714835</v>
      </c>
      <c r="AH940" s="28">
        <v>0.92</v>
      </c>
      <c r="AI940" s="26">
        <v>0</v>
      </c>
      <c r="AJ940" s="26">
        <v>0</v>
      </c>
      <c r="AK940" s="26">
        <v>0</v>
      </c>
      <c r="AL940" s="26">
        <v>0</v>
      </c>
      <c r="AM940" s="25">
        <v>0.99</v>
      </c>
      <c r="AN940" s="30">
        <v>1</v>
      </c>
      <c r="AO940" s="30">
        <v>1</v>
      </c>
      <c r="AP940" s="30">
        <v>1</v>
      </c>
      <c r="AQ940" s="30">
        <v>1</v>
      </c>
      <c r="AR940" s="50">
        <v>6.5641848892985799E-2</v>
      </c>
      <c r="AS940" s="34">
        <v>0</v>
      </c>
      <c r="AT940" s="34">
        <v>0</v>
      </c>
      <c r="AU940" s="34">
        <v>0</v>
      </c>
      <c r="AV940" s="34">
        <v>0</v>
      </c>
      <c r="AW940" s="10"/>
      <c r="AX940" s="8"/>
    </row>
    <row r="941" spans="1:50">
      <c r="A941" s="7"/>
      <c r="B941" s="10"/>
      <c r="C941" s="69" t="s">
        <v>944</v>
      </c>
      <c r="D941" s="23" t="s">
        <v>23</v>
      </c>
      <c r="E941" s="72" t="s">
        <v>985</v>
      </c>
      <c r="F941" s="73" t="s">
        <v>985</v>
      </c>
      <c r="G941" s="73" t="s">
        <v>985</v>
      </c>
      <c r="H941" s="73" t="s">
        <v>985</v>
      </c>
      <c r="I941" s="25">
        <v>0.9</v>
      </c>
      <c r="J941" s="26">
        <v>0.84210526315789469</v>
      </c>
      <c r="K941" s="26">
        <v>0.95</v>
      </c>
      <c r="L941" s="27">
        <v>1</v>
      </c>
      <c r="M941" s="26">
        <v>0.92666666666666664</v>
      </c>
      <c r="N941" s="28">
        <v>0.9</v>
      </c>
      <c r="O941" s="26">
        <v>0.96558915537017731</v>
      </c>
      <c r="P941" s="26">
        <v>0.96202531645569622</v>
      </c>
      <c r="Q941" s="26">
        <v>0.96043478260869564</v>
      </c>
      <c r="R941" s="26">
        <v>0.95948198486985514</v>
      </c>
      <c r="S941" s="28">
        <v>0.9</v>
      </c>
      <c r="T941" s="26">
        <v>0.9384775808133472</v>
      </c>
      <c r="U941" s="26">
        <v>0.92616033755274263</v>
      </c>
      <c r="V941" s="26">
        <v>0.93173913043478263</v>
      </c>
      <c r="W941" s="26">
        <v>0.92133606872675988</v>
      </c>
      <c r="X941" s="28">
        <v>0.92</v>
      </c>
      <c r="Y941" s="28">
        <v>0.95053003533568903</v>
      </c>
      <c r="Z941" s="28">
        <v>0.96280087527352298</v>
      </c>
      <c r="AA941" s="28">
        <v>0.97073170731707314</v>
      </c>
      <c r="AB941" s="28">
        <v>0.95752155860747368</v>
      </c>
      <c r="AC941" s="28">
        <v>0.92</v>
      </c>
      <c r="AD941" s="26">
        <v>0.99857142857142855</v>
      </c>
      <c r="AE941" s="26">
        <v>0.99836266884977487</v>
      </c>
      <c r="AF941" s="26">
        <v>0.99609425856008327</v>
      </c>
      <c r="AG941" s="26">
        <v>0.99335170292525077</v>
      </c>
      <c r="AH941" s="28">
        <v>0.92</v>
      </c>
      <c r="AI941" s="26">
        <v>0.971830985915493</v>
      </c>
      <c r="AJ941" s="26">
        <v>0.97577560560985976</v>
      </c>
      <c r="AK941" s="26">
        <v>0.98230088495575218</v>
      </c>
      <c r="AL941" s="26">
        <v>0.97362942401110342</v>
      </c>
      <c r="AM941" s="25">
        <v>0.99</v>
      </c>
      <c r="AN941" s="30">
        <v>1</v>
      </c>
      <c r="AO941" s="30">
        <v>1</v>
      </c>
      <c r="AP941" s="30">
        <v>1</v>
      </c>
      <c r="AQ941" s="30">
        <v>1</v>
      </c>
      <c r="AR941" s="50">
        <v>6.5641848892985799E-2</v>
      </c>
      <c r="AS941" s="34">
        <v>0.2</v>
      </c>
      <c r="AT941" s="34">
        <v>0</v>
      </c>
      <c r="AU941" s="34">
        <v>0</v>
      </c>
      <c r="AV941" s="34">
        <v>3.7735849056603772E-2</v>
      </c>
      <c r="AW941" s="10"/>
      <c r="AX941" s="8"/>
    </row>
    <row r="942" spans="1:50">
      <c r="A942" s="7"/>
      <c r="B942" s="10"/>
      <c r="C942" s="69" t="s">
        <v>944</v>
      </c>
      <c r="D942" s="23" t="s">
        <v>23</v>
      </c>
      <c r="E942" s="72" t="s">
        <v>986</v>
      </c>
      <c r="F942" s="73" t="s">
        <v>986</v>
      </c>
      <c r="G942" s="73" t="s">
        <v>986</v>
      </c>
      <c r="H942" s="73" t="s">
        <v>986</v>
      </c>
      <c r="I942" s="25">
        <v>0.9</v>
      </c>
      <c r="J942" s="26">
        <v>1</v>
      </c>
      <c r="K942" s="26">
        <v>1</v>
      </c>
      <c r="L942" s="27">
        <v>1</v>
      </c>
      <c r="M942" s="26">
        <v>0.9869565217391304</v>
      </c>
      <c r="N942" s="28">
        <v>0.9</v>
      </c>
      <c r="O942" s="26">
        <v>0.96238865061035961</v>
      </c>
      <c r="P942" s="26">
        <v>0.97788461538461535</v>
      </c>
      <c r="Q942" s="26">
        <v>0.93178641319541511</v>
      </c>
      <c r="R942" s="26">
        <v>0.94236322798010586</v>
      </c>
      <c r="S942" s="28">
        <v>0.9</v>
      </c>
      <c r="T942" s="26">
        <v>0.90465193005608713</v>
      </c>
      <c r="U942" s="26">
        <v>0.91346153846153844</v>
      </c>
      <c r="V942" s="26">
        <v>0.92787251887056188</v>
      </c>
      <c r="W942" s="26">
        <v>0.90101074923792712</v>
      </c>
      <c r="X942" s="28">
        <v>0.92</v>
      </c>
      <c r="Y942" s="28">
        <v>0.94619666048237472</v>
      </c>
      <c r="Z942" s="28">
        <v>0.94399999999999995</v>
      </c>
      <c r="AA942" s="28">
        <v>0.96434359805510539</v>
      </c>
      <c r="AB942" s="28">
        <v>0.94711246200607901</v>
      </c>
      <c r="AC942" s="28">
        <v>0.92</v>
      </c>
      <c r="AD942" s="26">
        <v>0.99983684124653283</v>
      </c>
      <c r="AE942" s="26">
        <v>0.99946323134728932</v>
      </c>
      <c r="AF942" s="26">
        <v>0.99514213745951785</v>
      </c>
      <c r="AG942" s="26">
        <v>0.99858836815358554</v>
      </c>
      <c r="AH942" s="28">
        <v>0.92</v>
      </c>
      <c r="AI942" s="26">
        <v>0.97422969187675068</v>
      </c>
      <c r="AJ942" s="26">
        <v>0.96821705426356586</v>
      </c>
      <c r="AK942" s="26">
        <v>0.97854077253218885</v>
      </c>
      <c r="AL942" s="26">
        <v>0.97180929422793627</v>
      </c>
      <c r="AM942" s="25">
        <v>0.99</v>
      </c>
      <c r="AN942" s="30">
        <v>1</v>
      </c>
      <c r="AO942" s="30">
        <v>1</v>
      </c>
      <c r="AP942" s="30">
        <v>1</v>
      </c>
      <c r="AQ942" s="30">
        <v>1</v>
      </c>
      <c r="AR942" s="50">
        <v>6.5641848892985799E-2</v>
      </c>
      <c r="AS942" s="34">
        <v>6.25E-2</v>
      </c>
      <c r="AT942" s="34">
        <v>5.5555555555555552E-2</v>
      </c>
      <c r="AU942" s="34">
        <v>7.1428571428571425E-2</v>
      </c>
      <c r="AV942" s="34">
        <v>0.04</v>
      </c>
      <c r="AW942" s="10"/>
      <c r="AX942" s="8"/>
    </row>
    <row r="943" spans="1:50">
      <c r="A943" s="7"/>
      <c r="B943" s="10"/>
      <c r="C943" s="69" t="s">
        <v>944</v>
      </c>
      <c r="D943" s="23" t="s">
        <v>23</v>
      </c>
      <c r="E943" s="72" t="s">
        <v>987</v>
      </c>
      <c r="F943" s="73" t="s">
        <v>987</v>
      </c>
      <c r="G943" s="73" t="s">
        <v>987</v>
      </c>
      <c r="H943" s="73" t="s">
        <v>987</v>
      </c>
      <c r="I943" s="25">
        <v>0.9</v>
      </c>
      <c r="J943" s="26">
        <v>1</v>
      </c>
      <c r="K943" s="26">
        <v>0.95744680851063835</v>
      </c>
      <c r="L943" s="27">
        <v>0.98</v>
      </c>
      <c r="M943" s="26">
        <v>0.95844875346260383</v>
      </c>
      <c r="N943" s="28">
        <v>0.9</v>
      </c>
      <c r="O943" s="26">
        <v>0.93678756476683933</v>
      </c>
      <c r="P943" s="26">
        <v>0.94879356568364615</v>
      </c>
      <c r="Q943" s="26">
        <v>0.94808377896613194</v>
      </c>
      <c r="R943" s="26">
        <v>0.9304780040667463</v>
      </c>
      <c r="S943" s="28">
        <v>0.9</v>
      </c>
      <c r="T943" s="26">
        <v>0.90388601036269434</v>
      </c>
      <c r="U943" s="26">
        <v>0.92225201072386054</v>
      </c>
      <c r="V943" s="26">
        <v>0.90775401069518713</v>
      </c>
      <c r="W943" s="26">
        <v>0.88935868056676237</v>
      </c>
      <c r="X943" s="28">
        <v>0.92</v>
      </c>
      <c r="Y943" s="28">
        <v>0.84615384615384615</v>
      </c>
      <c r="Z943" s="28">
        <v>0.90878754171301446</v>
      </c>
      <c r="AA943" s="28">
        <v>0.89769820971867009</v>
      </c>
      <c r="AB943" s="28">
        <v>0.85187560115421612</v>
      </c>
      <c r="AC943" s="28">
        <v>0.92</v>
      </c>
      <c r="AD943" s="26">
        <v>0.99929078014184403</v>
      </c>
      <c r="AE943" s="26">
        <v>0.99722735674676521</v>
      </c>
      <c r="AF943" s="26">
        <v>0.99872827469266634</v>
      </c>
      <c r="AG943" s="26">
        <v>0.99791307977252575</v>
      </c>
      <c r="AH943" s="28">
        <v>0.92</v>
      </c>
      <c r="AI943" s="26">
        <v>0.94100493494840731</v>
      </c>
      <c r="AJ943" s="26">
        <v>0.95982721382289415</v>
      </c>
      <c r="AK943" s="26">
        <v>0.96376399165243787</v>
      </c>
      <c r="AL943" s="26">
        <v>0.94679165211785876</v>
      </c>
      <c r="AM943" s="25">
        <v>0.99</v>
      </c>
      <c r="AN943" s="30">
        <v>1</v>
      </c>
      <c r="AO943" s="30">
        <v>1</v>
      </c>
      <c r="AP943" s="30">
        <v>1</v>
      </c>
      <c r="AQ943" s="30">
        <v>1</v>
      </c>
      <c r="AR943" s="50">
        <v>6.5641848892985799E-2</v>
      </c>
      <c r="AS943" s="34">
        <v>0.1111111111111111</v>
      </c>
      <c r="AT943" s="34">
        <v>4.7619047619047616E-2</v>
      </c>
      <c r="AU943" s="34">
        <v>0</v>
      </c>
      <c r="AV943" s="34">
        <v>6.1538461538461542E-2</v>
      </c>
      <c r="AW943" s="10"/>
      <c r="AX943" s="8"/>
    </row>
    <row r="944" spans="1:50">
      <c r="A944" s="7"/>
      <c r="B944" s="10"/>
      <c r="C944" s="69" t="s">
        <v>944</v>
      </c>
      <c r="D944" s="23" t="s">
        <v>23</v>
      </c>
      <c r="E944" s="72" t="s">
        <v>988</v>
      </c>
      <c r="F944" s="73" t="s">
        <v>988</v>
      </c>
      <c r="G944" s="73" t="s">
        <v>988</v>
      </c>
      <c r="H944" s="73" t="s">
        <v>988</v>
      </c>
      <c r="I944" s="25">
        <v>0.9</v>
      </c>
      <c r="J944" s="26">
        <v>1</v>
      </c>
      <c r="K944" s="26">
        <v>0.95454545454545459</v>
      </c>
      <c r="L944" s="27">
        <v>1</v>
      </c>
      <c r="M944" s="26">
        <v>0.98734177215189878</v>
      </c>
      <c r="N944" s="28">
        <v>0.9</v>
      </c>
      <c r="O944" s="26">
        <v>0.92425847457627119</v>
      </c>
      <c r="P944" s="26">
        <v>0.95934959349593496</v>
      </c>
      <c r="Q944" s="26">
        <v>0.96848646249445181</v>
      </c>
      <c r="R944" s="26">
        <v>0.94860609365414761</v>
      </c>
      <c r="S944" s="28">
        <v>0.9</v>
      </c>
      <c r="T944" s="26">
        <v>0.90783898305084743</v>
      </c>
      <c r="U944" s="26">
        <v>0.93604336043360437</v>
      </c>
      <c r="V944" s="26">
        <v>0.94007989347536614</v>
      </c>
      <c r="W944" s="26">
        <v>0.92631722445641063</v>
      </c>
      <c r="X944" s="28">
        <v>0.92</v>
      </c>
      <c r="Y944" s="28">
        <v>0.78913738019169333</v>
      </c>
      <c r="Z944" s="28">
        <v>0.75358851674641147</v>
      </c>
      <c r="AA944" s="28">
        <v>0.81515151515151518</v>
      </c>
      <c r="AB944" s="28">
        <v>0.7591006423982869</v>
      </c>
      <c r="AC944" s="28">
        <v>0.92</v>
      </c>
      <c r="AD944" s="26">
        <v>0.9990503323836657</v>
      </c>
      <c r="AE944" s="26">
        <v>0.99943566591422117</v>
      </c>
      <c r="AF944" s="26">
        <v>0.99855421686746992</v>
      </c>
      <c r="AG944" s="26">
        <v>0.99917213271349425</v>
      </c>
      <c r="AH944" s="28">
        <v>0.92</v>
      </c>
      <c r="AI944" s="26">
        <v>0.94595821980018169</v>
      </c>
      <c r="AJ944" s="26">
        <v>0.93857711003093236</v>
      </c>
      <c r="AK944" s="26">
        <v>0.95780100658149436</v>
      </c>
      <c r="AL944" s="26">
        <v>0.93911650263218127</v>
      </c>
      <c r="AM944" s="25">
        <v>0.99</v>
      </c>
      <c r="AN944" s="30">
        <v>1</v>
      </c>
      <c r="AO944" s="30">
        <v>1</v>
      </c>
      <c r="AP944" s="30">
        <v>1</v>
      </c>
      <c r="AQ944" s="30">
        <v>1</v>
      </c>
      <c r="AR944" s="50">
        <v>6.5641848892985799E-2</v>
      </c>
      <c r="AS944" s="34">
        <v>0</v>
      </c>
      <c r="AT944" s="34">
        <v>0</v>
      </c>
      <c r="AU944" s="34">
        <v>0</v>
      </c>
      <c r="AV944" s="34">
        <v>1.7241379310344827E-2</v>
      </c>
      <c r="AW944" s="10"/>
      <c r="AX944" s="8"/>
    </row>
    <row r="945" spans="1:50">
      <c r="A945" s="7"/>
      <c r="B945" s="10"/>
      <c r="C945" s="69" t="s">
        <v>944</v>
      </c>
      <c r="D945" s="23" t="s">
        <v>23</v>
      </c>
      <c r="E945" s="72" t="s">
        <v>989</v>
      </c>
      <c r="F945" s="73" t="s">
        <v>989</v>
      </c>
      <c r="G945" s="73" t="s">
        <v>989</v>
      </c>
      <c r="H945" s="73" t="s">
        <v>989</v>
      </c>
      <c r="I945" s="25">
        <v>0.9</v>
      </c>
      <c r="J945" s="26">
        <v>0.89189189189189189</v>
      </c>
      <c r="K945" s="26">
        <v>0.89473684210526316</v>
      </c>
      <c r="L945" s="27">
        <v>0.94736842105263153</v>
      </c>
      <c r="M945" s="26">
        <v>0.88474576271186445</v>
      </c>
      <c r="N945" s="28">
        <v>0.9</v>
      </c>
      <c r="O945" s="26">
        <v>0.95774647887323938</v>
      </c>
      <c r="P945" s="26">
        <v>0.95316351684470013</v>
      </c>
      <c r="Q945" s="26">
        <v>0.94784995425434582</v>
      </c>
      <c r="R945" s="26">
        <v>0.94898613313539593</v>
      </c>
      <c r="S945" s="28">
        <v>0.9</v>
      </c>
      <c r="T945" s="26">
        <v>0.90985915492957747</v>
      </c>
      <c r="U945" s="26">
        <v>0.93590797041906326</v>
      </c>
      <c r="V945" s="26">
        <v>0.93252516010978959</v>
      </c>
      <c r="W945" s="26">
        <v>0.92381659300246299</v>
      </c>
      <c r="X945" s="28">
        <v>0.92</v>
      </c>
      <c r="Y945" s="28">
        <v>0.79042904290429039</v>
      </c>
      <c r="Z945" s="28">
        <v>0.85063559322033899</v>
      </c>
      <c r="AA945" s="28">
        <v>0.89717223650385602</v>
      </c>
      <c r="AB945" s="28">
        <v>0.84526279391424619</v>
      </c>
      <c r="AC945" s="28">
        <v>0.92</v>
      </c>
      <c r="AD945" s="26">
        <v>0.99960380348652933</v>
      </c>
      <c r="AE945" s="26">
        <v>0.99917576756645377</v>
      </c>
      <c r="AF945" s="26">
        <v>0.99954535121618548</v>
      </c>
      <c r="AG945" s="26">
        <v>0.99891301722263826</v>
      </c>
      <c r="AH945" s="28">
        <v>0.92</v>
      </c>
      <c r="AI945" s="26">
        <v>0.93528987250420981</v>
      </c>
      <c r="AJ945" s="26">
        <v>0.95018490319773763</v>
      </c>
      <c r="AK945" s="26">
        <v>0.9691322073383809</v>
      </c>
      <c r="AL945" s="26">
        <v>0.95173717930625723</v>
      </c>
      <c r="AM945" s="25">
        <v>0.99</v>
      </c>
      <c r="AN945" s="30">
        <v>1</v>
      </c>
      <c r="AO945" s="30">
        <v>1</v>
      </c>
      <c r="AP945" s="30">
        <v>1</v>
      </c>
      <c r="AQ945" s="30">
        <v>1</v>
      </c>
      <c r="AR945" s="50">
        <v>6.5641848892985799E-2</v>
      </c>
      <c r="AS945" s="34">
        <v>0</v>
      </c>
      <c r="AT945" s="34">
        <v>0</v>
      </c>
      <c r="AU945" s="34">
        <v>0</v>
      </c>
      <c r="AV945" s="34">
        <v>5.9880239520958084E-2</v>
      </c>
      <c r="AW945" s="10"/>
      <c r="AX945" s="8"/>
    </row>
    <row r="946" spans="1:50">
      <c r="A946" s="7"/>
      <c r="B946" s="10"/>
      <c r="C946" s="69" t="s">
        <v>944</v>
      </c>
      <c r="D946" s="23" t="s">
        <v>23</v>
      </c>
      <c r="E946" s="72" t="s">
        <v>990</v>
      </c>
      <c r="F946" s="73" t="s">
        <v>990</v>
      </c>
      <c r="G946" s="73" t="s">
        <v>990</v>
      </c>
      <c r="H946" s="73" t="s">
        <v>990</v>
      </c>
      <c r="I946" s="25">
        <v>0.9</v>
      </c>
      <c r="J946" s="26">
        <v>0.95833333333333337</v>
      </c>
      <c r="K946" s="26">
        <v>1</v>
      </c>
      <c r="L946" s="27">
        <v>1</v>
      </c>
      <c r="M946" s="26">
        <v>0.99004975124378114</v>
      </c>
      <c r="N946" s="28">
        <v>0.9</v>
      </c>
      <c r="O946" s="26">
        <v>0.98371335504885993</v>
      </c>
      <c r="P946" s="26">
        <v>0.98499624906226557</v>
      </c>
      <c r="Q946" s="26">
        <v>0.97022405660377353</v>
      </c>
      <c r="R946" s="26">
        <v>0.98285465622280244</v>
      </c>
      <c r="S946" s="28">
        <v>0.9</v>
      </c>
      <c r="T946" s="26">
        <v>0.95222584147665579</v>
      </c>
      <c r="U946" s="26">
        <v>0.95761440360090022</v>
      </c>
      <c r="V946" s="26">
        <v>0.95106132075471694</v>
      </c>
      <c r="W946" s="26">
        <v>0.95970409051349004</v>
      </c>
      <c r="X946" s="28">
        <v>0.92</v>
      </c>
      <c r="Y946" s="28">
        <v>0.97908745247148288</v>
      </c>
      <c r="Z946" s="28">
        <v>0.98397863818424569</v>
      </c>
      <c r="AA946" s="28">
        <v>0.97670549084858571</v>
      </c>
      <c r="AB946" s="28">
        <v>0.97986154814348647</v>
      </c>
      <c r="AC946" s="28">
        <v>0.92</v>
      </c>
      <c r="AD946" s="26">
        <v>0.98802706923477357</v>
      </c>
      <c r="AE946" s="26">
        <v>0.99304034025003218</v>
      </c>
      <c r="AF946" s="26">
        <v>0.97493074792243772</v>
      </c>
      <c r="AG946" s="26">
        <v>0.98673979011252999</v>
      </c>
      <c r="AH946" s="28">
        <v>0.92</v>
      </c>
      <c r="AI946" s="26">
        <v>0.98754556500607538</v>
      </c>
      <c r="AJ946" s="26">
        <v>0.99034523112931538</v>
      </c>
      <c r="AK946" s="26">
        <v>0.98723084626940416</v>
      </c>
      <c r="AL946" s="26">
        <v>0.98915588860467629</v>
      </c>
      <c r="AM946" s="25">
        <v>0.99</v>
      </c>
      <c r="AN946" s="30">
        <v>1</v>
      </c>
      <c r="AO946" s="30">
        <v>1</v>
      </c>
      <c r="AP946" s="30">
        <v>1</v>
      </c>
      <c r="AQ946" s="30">
        <v>1</v>
      </c>
      <c r="AR946" s="50">
        <v>6.5641848892985799E-2</v>
      </c>
      <c r="AS946" s="34">
        <v>0</v>
      </c>
      <c r="AT946" s="34">
        <v>3.7037037037037035E-2</v>
      </c>
      <c r="AU946" s="34">
        <v>0.05</v>
      </c>
      <c r="AV946" s="34">
        <v>2.34375E-2</v>
      </c>
      <c r="AW946" s="10"/>
      <c r="AX946" s="8"/>
    </row>
    <row r="947" spans="1:50">
      <c r="A947" s="7"/>
      <c r="B947" s="10"/>
      <c r="C947" s="69" t="s">
        <v>944</v>
      </c>
      <c r="D947" s="23" t="s">
        <v>23</v>
      </c>
      <c r="E947" s="72" t="s">
        <v>991</v>
      </c>
      <c r="F947" s="73" t="s">
        <v>991</v>
      </c>
      <c r="G947" s="73" t="s">
        <v>991</v>
      </c>
      <c r="H947" s="73" t="s">
        <v>991</v>
      </c>
      <c r="I947" s="25">
        <v>0.9</v>
      </c>
      <c r="J947" s="26">
        <v>1</v>
      </c>
      <c r="K947" s="26">
        <v>0.93103448275862066</v>
      </c>
      <c r="L947" s="27">
        <v>0.94117647058823528</v>
      </c>
      <c r="M947" s="26">
        <v>0.90946502057613166</v>
      </c>
      <c r="N947" s="28">
        <v>0.9</v>
      </c>
      <c r="O947" s="26">
        <v>0.95393985534830605</v>
      </c>
      <c r="P947" s="26">
        <v>0.96409409822534053</v>
      </c>
      <c r="Q947" s="26">
        <v>0.95374293785310738</v>
      </c>
      <c r="R947" s="26">
        <v>0.91596394300668804</v>
      </c>
      <c r="S947" s="28">
        <v>0.9</v>
      </c>
      <c r="T947" s="26">
        <v>0.94366197183098588</v>
      </c>
      <c r="U947" s="26">
        <v>0.94758563763929016</v>
      </c>
      <c r="V947" s="26">
        <v>0.94774011299435024</v>
      </c>
      <c r="W947" s="26">
        <v>0.89992245807889892</v>
      </c>
      <c r="X947" s="28">
        <v>0.92</v>
      </c>
      <c r="Y947" s="28">
        <v>0.89223057644110271</v>
      </c>
      <c r="Z947" s="28">
        <v>0.91157556270096463</v>
      </c>
      <c r="AA947" s="28">
        <v>0.90583804143126179</v>
      </c>
      <c r="AB947" s="28">
        <v>0.84281650071123759</v>
      </c>
      <c r="AC947" s="28">
        <v>0.92</v>
      </c>
      <c r="AD947" s="26">
        <v>0.99175557710960238</v>
      </c>
      <c r="AE947" s="26">
        <v>1</v>
      </c>
      <c r="AF947" s="26">
        <v>0.99847250509164964</v>
      </c>
      <c r="AG947" s="26">
        <v>0.99613899613899615</v>
      </c>
      <c r="AH947" s="28">
        <v>0.92</v>
      </c>
      <c r="AI947" s="26">
        <v>0.96794448116325182</v>
      </c>
      <c r="AJ947" s="26">
        <v>0.96551724137931039</v>
      </c>
      <c r="AK947" s="26">
        <v>0.96491228070175439</v>
      </c>
      <c r="AL947" s="26">
        <v>0.94527823602784367</v>
      </c>
      <c r="AM947" s="25">
        <v>0.99</v>
      </c>
      <c r="AN947" s="30">
        <v>1</v>
      </c>
      <c r="AO947" s="30">
        <v>1</v>
      </c>
      <c r="AP947" s="30">
        <v>1</v>
      </c>
      <c r="AQ947" s="30">
        <v>1</v>
      </c>
      <c r="AR947" s="50">
        <v>6.5641848892985799E-2</v>
      </c>
      <c r="AS947" s="34">
        <v>0</v>
      </c>
      <c r="AT947" s="34">
        <v>0</v>
      </c>
      <c r="AU947" s="34">
        <v>0</v>
      </c>
      <c r="AV947" s="34">
        <v>3.6764705882352942E-2</v>
      </c>
      <c r="AW947" s="10"/>
      <c r="AX947" s="8"/>
    </row>
    <row r="948" spans="1:50">
      <c r="A948" s="7"/>
      <c r="B948" s="10"/>
      <c r="C948" s="69" t="s">
        <v>944</v>
      </c>
      <c r="D948" s="23" t="s">
        <v>23</v>
      </c>
      <c r="E948" s="72" t="s">
        <v>992</v>
      </c>
      <c r="F948" s="73" t="s">
        <v>992</v>
      </c>
      <c r="G948" s="73" t="s">
        <v>992</v>
      </c>
      <c r="H948" s="73" t="s">
        <v>992</v>
      </c>
      <c r="I948" s="25">
        <v>0.9</v>
      </c>
      <c r="J948" s="26">
        <v>0.70833333333333337</v>
      </c>
      <c r="K948" s="26">
        <v>0.93103448275862066</v>
      </c>
      <c r="L948" s="27">
        <v>1</v>
      </c>
      <c r="M948" s="26">
        <v>0.82857142857142863</v>
      </c>
      <c r="N948" s="28">
        <v>0.9</v>
      </c>
      <c r="O948" s="26">
        <v>0.95474711623779951</v>
      </c>
      <c r="P948" s="26">
        <v>0.96028985507246378</v>
      </c>
      <c r="Q948" s="26">
        <v>0.96635787420770358</v>
      </c>
      <c r="R948" s="26">
        <v>0.92142152719075798</v>
      </c>
      <c r="S948" s="28">
        <v>0.9</v>
      </c>
      <c r="T948" s="26">
        <v>0.8598047914818101</v>
      </c>
      <c r="U948" s="26">
        <v>0.91565217391304343</v>
      </c>
      <c r="V948" s="26">
        <v>0.91711360312042911</v>
      </c>
      <c r="W948" s="26">
        <v>0.89165962242885322</v>
      </c>
      <c r="X948" s="28">
        <v>0.92</v>
      </c>
      <c r="Y948" s="28">
        <v>0.90669014084507038</v>
      </c>
      <c r="Z948" s="28">
        <v>0.91561181434599159</v>
      </c>
      <c r="AA948" s="28">
        <v>0.91334250343878953</v>
      </c>
      <c r="AB948" s="28">
        <v>0.9130508474576271</v>
      </c>
      <c r="AC948" s="28">
        <v>0.92</v>
      </c>
      <c r="AD948" s="26">
        <v>0.99674392935982337</v>
      </c>
      <c r="AE948" s="26">
        <v>0.97721132385762954</v>
      </c>
      <c r="AF948" s="26">
        <v>0.99459255533199198</v>
      </c>
      <c r="AG948" s="26">
        <v>0.99270067448502153</v>
      </c>
      <c r="AH948" s="28">
        <v>0.92</v>
      </c>
      <c r="AI948" s="26">
        <v>0.93874968362439892</v>
      </c>
      <c r="AJ948" s="26">
        <v>0.95270577535243295</v>
      </c>
      <c r="AK948" s="26">
        <v>0.9625258799171843</v>
      </c>
      <c r="AL948" s="26">
        <v>0.95355549724481758</v>
      </c>
      <c r="AM948" s="25">
        <v>0.99</v>
      </c>
      <c r="AN948" s="30">
        <v>1</v>
      </c>
      <c r="AO948" s="30">
        <v>1</v>
      </c>
      <c r="AP948" s="30">
        <v>1</v>
      </c>
      <c r="AQ948" s="30">
        <v>1</v>
      </c>
      <c r="AR948" s="50">
        <v>6.5641848892985799E-2</v>
      </c>
      <c r="AS948" s="34">
        <v>0.08</v>
      </c>
      <c r="AT948" s="34">
        <v>0.26315789473684209</v>
      </c>
      <c r="AU948" s="34">
        <v>5.2631578947368418E-2</v>
      </c>
      <c r="AV948" s="34">
        <v>7.4712643678160925E-2</v>
      </c>
      <c r="AW948" s="10"/>
      <c r="AX948" s="8"/>
    </row>
    <row r="949" spans="1:50">
      <c r="A949" s="7"/>
      <c r="B949" s="10"/>
      <c r="C949" s="69" t="s">
        <v>944</v>
      </c>
      <c r="D949" s="23" t="s">
        <v>23</v>
      </c>
      <c r="E949" s="72" t="s">
        <v>993</v>
      </c>
      <c r="F949" s="73" t="s">
        <v>993</v>
      </c>
      <c r="G949" s="73" t="s">
        <v>993</v>
      </c>
      <c r="H949" s="73" t="s">
        <v>993</v>
      </c>
      <c r="I949" s="25">
        <v>0.9</v>
      </c>
      <c r="J949" s="26">
        <v>0.83333333333333337</v>
      </c>
      <c r="K949" s="26">
        <v>0.83333333333333337</v>
      </c>
      <c r="L949" s="27">
        <v>1</v>
      </c>
      <c r="M949" s="26">
        <v>0.91346153846153844</v>
      </c>
      <c r="N949" s="28">
        <v>0.9</v>
      </c>
      <c r="O949" s="26">
        <v>0.94311570782159015</v>
      </c>
      <c r="P949" s="26">
        <v>0.94518622628250171</v>
      </c>
      <c r="Q949" s="26">
        <v>0.95732036736898973</v>
      </c>
      <c r="R949" s="26">
        <v>0.94874908914257949</v>
      </c>
      <c r="S949" s="28">
        <v>0.9</v>
      </c>
      <c r="T949" s="26">
        <v>0.91531997414350352</v>
      </c>
      <c r="U949" s="26">
        <v>0.92199578355586786</v>
      </c>
      <c r="V949" s="26">
        <v>0.9205834683954619</v>
      </c>
      <c r="W949" s="26">
        <v>0.92275929074568863</v>
      </c>
      <c r="X949" s="28">
        <v>0.92</v>
      </c>
      <c r="Y949" s="28">
        <v>0.88771929824561402</v>
      </c>
      <c r="Z949" s="28">
        <v>0.94502617801047117</v>
      </c>
      <c r="AA949" s="28">
        <v>0.95176848874598075</v>
      </c>
      <c r="AB949" s="28">
        <v>0.92528271405492735</v>
      </c>
      <c r="AC949" s="28">
        <v>0.92</v>
      </c>
      <c r="AD949" s="26">
        <v>0.98005698005698005</v>
      </c>
      <c r="AE949" s="26">
        <v>0.8762626262626263</v>
      </c>
      <c r="AF949" s="26">
        <v>0.88473520249221183</v>
      </c>
      <c r="AG949" s="26">
        <v>0.90339425587467359</v>
      </c>
      <c r="AH949" s="28">
        <v>0.92</v>
      </c>
      <c r="AI949" s="26">
        <v>0.95251091703056767</v>
      </c>
      <c r="AJ949" s="26">
        <v>0.96509695290858721</v>
      </c>
      <c r="AK949" s="26">
        <v>0.97363552266419984</v>
      </c>
      <c r="AL949" s="26">
        <v>0.96014028461590339</v>
      </c>
      <c r="AM949" s="25">
        <v>0.99</v>
      </c>
      <c r="AN949" s="30">
        <v>1</v>
      </c>
      <c r="AO949" s="30">
        <v>1</v>
      </c>
      <c r="AP949" s="30">
        <v>1</v>
      </c>
      <c r="AQ949" s="30">
        <v>1</v>
      </c>
      <c r="AR949" s="50">
        <v>6.5641848892985799E-2</v>
      </c>
      <c r="AS949" s="34">
        <v>0.25</v>
      </c>
      <c r="AT949" s="34">
        <v>0</v>
      </c>
      <c r="AU949" s="34">
        <v>0</v>
      </c>
      <c r="AV949" s="34">
        <v>6.8965517241379309E-2</v>
      </c>
      <c r="AW949" s="10"/>
      <c r="AX949" s="8"/>
    </row>
    <row r="950" spans="1:50">
      <c r="A950" s="7"/>
      <c r="B950" s="10"/>
      <c r="C950" s="69" t="s">
        <v>944</v>
      </c>
      <c r="D950" s="23" t="s">
        <v>23</v>
      </c>
      <c r="E950" s="72" t="s">
        <v>994</v>
      </c>
      <c r="F950" s="73" t="s">
        <v>994</v>
      </c>
      <c r="G950" s="73" t="s">
        <v>994</v>
      </c>
      <c r="H950" s="73" t="s">
        <v>994</v>
      </c>
      <c r="I950" s="25">
        <v>0.9</v>
      </c>
      <c r="J950" s="26">
        <v>1</v>
      </c>
      <c r="K950" s="26">
        <v>0.89473684210526316</v>
      </c>
      <c r="L950" s="27">
        <v>1</v>
      </c>
      <c r="M950" s="26">
        <v>0.93421052631578949</v>
      </c>
      <c r="N950" s="28">
        <v>0.9</v>
      </c>
      <c r="O950" s="26">
        <v>0.98067632850241548</v>
      </c>
      <c r="P950" s="26">
        <v>0.98140043763676144</v>
      </c>
      <c r="Q950" s="26">
        <v>0.96486605182257357</v>
      </c>
      <c r="R950" s="26">
        <v>0.95032747552039432</v>
      </c>
      <c r="S950" s="28">
        <v>0.9</v>
      </c>
      <c r="T950" s="26">
        <v>0.94793344068706387</v>
      </c>
      <c r="U950" s="26">
        <v>0.94638949671772432</v>
      </c>
      <c r="V950" s="26">
        <v>0.94729907773386035</v>
      </c>
      <c r="W950" s="26">
        <v>0.93028986447052719</v>
      </c>
      <c r="X950" s="28">
        <v>0.92</v>
      </c>
      <c r="Y950" s="28">
        <v>0.94311377245508987</v>
      </c>
      <c r="Z950" s="28">
        <v>0.97470817120622566</v>
      </c>
      <c r="AA950" s="28">
        <v>0.97841726618705038</v>
      </c>
      <c r="AB950" s="28">
        <v>0.96577831617201693</v>
      </c>
      <c r="AC950" s="28">
        <v>0.92</v>
      </c>
      <c r="AD950" s="26">
        <v>0.99647887323943662</v>
      </c>
      <c r="AE950" s="26">
        <v>0.99846288976723763</v>
      </c>
      <c r="AF950" s="26">
        <v>0.99583043780403058</v>
      </c>
      <c r="AG950" s="26">
        <v>0.99782031842304775</v>
      </c>
      <c r="AH950" s="28">
        <v>0.92</v>
      </c>
      <c r="AI950" s="26">
        <v>0.97861692447679705</v>
      </c>
      <c r="AJ950" s="26">
        <v>0.98292058070025623</v>
      </c>
      <c r="AK950" s="26">
        <v>0.98552338530066819</v>
      </c>
      <c r="AL950" s="26">
        <v>0.98232215338602857</v>
      </c>
      <c r="AM950" s="25">
        <v>0.99</v>
      </c>
      <c r="AN950" s="30">
        <v>1</v>
      </c>
      <c r="AO950" s="30">
        <v>1</v>
      </c>
      <c r="AP950" s="30">
        <v>1</v>
      </c>
      <c r="AQ950" s="30">
        <v>1</v>
      </c>
      <c r="AR950" s="50">
        <v>6.5641848892985799E-2</v>
      </c>
      <c r="AS950" s="34">
        <v>0</v>
      </c>
      <c r="AT950" s="34">
        <v>8.3333333333333329E-2</v>
      </c>
      <c r="AU950" s="34">
        <v>0</v>
      </c>
      <c r="AV950" s="34">
        <v>5.1948051948051951E-2</v>
      </c>
      <c r="AW950" s="10"/>
      <c r="AX950" s="8"/>
    </row>
    <row r="951" spans="1:50">
      <c r="A951" s="7"/>
      <c r="B951" s="10"/>
      <c r="C951" s="69" t="s">
        <v>944</v>
      </c>
      <c r="D951" s="23" t="s">
        <v>23</v>
      </c>
      <c r="E951" s="72" t="s">
        <v>995</v>
      </c>
      <c r="F951" s="73" t="s">
        <v>995</v>
      </c>
      <c r="G951" s="73" t="s">
        <v>995</v>
      </c>
      <c r="H951" s="73" t="s">
        <v>995</v>
      </c>
      <c r="I951" s="25">
        <v>0.9</v>
      </c>
      <c r="J951" s="26">
        <v>1</v>
      </c>
      <c r="K951" s="26">
        <v>0.97297297297297303</v>
      </c>
      <c r="L951" s="27">
        <v>0.97368421052631582</v>
      </c>
      <c r="M951" s="26">
        <v>0.94295302013422821</v>
      </c>
      <c r="N951" s="28">
        <v>0.9</v>
      </c>
      <c r="O951" s="26">
        <v>0.92236286919831223</v>
      </c>
      <c r="P951" s="26">
        <v>0.92161687170474516</v>
      </c>
      <c r="Q951" s="26">
        <v>0.836196682464455</v>
      </c>
      <c r="R951" s="26">
        <v>0.90008938325553678</v>
      </c>
      <c r="S951" s="28">
        <v>0.9</v>
      </c>
      <c r="T951" s="26">
        <v>0.91097046413502114</v>
      </c>
      <c r="U951" s="26">
        <v>0.90404217926186292</v>
      </c>
      <c r="V951" s="26">
        <v>0.88566350710900477</v>
      </c>
      <c r="W951" s="26">
        <v>0.89909623597179467</v>
      </c>
      <c r="X951" s="28">
        <v>0.92</v>
      </c>
      <c r="Y951" s="28">
        <v>0.94701986754966883</v>
      </c>
      <c r="Z951" s="28">
        <v>0.67757774140752869</v>
      </c>
      <c r="AA951" s="28">
        <v>0.70925110132158586</v>
      </c>
      <c r="AB951" s="28">
        <v>0.71700083542188808</v>
      </c>
      <c r="AC951" s="28">
        <v>0.92</v>
      </c>
      <c r="AD951" s="26">
        <v>0.99673558215451574</v>
      </c>
      <c r="AE951" s="26">
        <v>0.9899553571428571</v>
      </c>
      <c r="AF951" s="26">
        <v>0.99001248439450684</v>
      </c>
      <c r="AG951" s="26">
        <v>0.98974849644614549</v>
      </c>
      <c r="AH951" s="28">
        <v>0.92</v>
      </c>
      <c r="AI951" s="26">
        <v>0.95147006730428618</v>
      </c>
      <c r="AJ951" s="26">
        <v>0.90885416666666663</v>
      </c>
      <c r="AK951" s="26">
        <v>0.91348286911510967</v>
      </c>
      <c r="AL951" s="26">
        <v>0.90504653401797175</v>
      </c>
      <c r="AM951" s="25">
        <v>0.99</v>
      </c>
      <c r="AN951" s="30">
        <v>1</v>
      </c>
      <c r="AO951" s="30">
        <v>1</v>
      </c>
      <c r="AP951" s="30">
        <v>1</v>
      </c>
      <c r="AQ951" s="30">
        <v>1</v>
      </c>
      <c r="AR951" s="50">
        <v>6.5641848892985799E-2</v>
      </c>
      <c r="AS951" s="34">
        <v>0</v>
      </c>
      <c r="AT951" s="34">
        <v>0.125</v>
      </c>
      <c r="AU951" s="34">
        <v>0</v>
      </c>
      <c r="AV951" s="34">
        <v>4.3010752688172046E-2</v>
      </c>
      <c r="AW951" s="10"/>
      <c r="AX951" s="8"/>
    </row>
    <row r="952" spans="1:50">
      <c r="A952" s="7"/>
      <c r="B952" s="10"/>
      <c r="C952" s="69" t="s">
        <v>944</v>
      </c>
      <c r="D952" s="23" t="s">
        <v>23</v>
      </c>
      <c r="E952" s="78" t="s">
        <v>996</v>
      </c>
      <c r="F952" s="79" t="s">
        <v>996</v>
      </c>
      <c r="G952" s="79" t="s">
        <v>996</v>
      </c>
      <c r="H952" s="79" t="s">
        <v>996</v>
      </c>
      <c r="I952" s="25">
        <v>0.9</v>
      </c>
      <c r="J952" s="26">
        <v>0.8125</v>
      </c>
      <c r="K952" s="26">
        <v>0.89473684210526316</v>
      </c>
      <c r="L952" s="27">
        <v>0.94736842105263153</v>
      </c>
      <c r="M952" s="26">
        <v>0.900709219858156</v>
      </c>
      <c r="N952" s="28">
        <v>0.9</v>
      </c>
      <c r="O952" s="26">
        <v>0.84656084656084651</v>
      </c>
      <c r="P952" s="26">
        <v>0.97230406599882147</v>
      </c>
      <c r="Q952" s="26">
        <v>0.93369890329012961</v>
      </c>
      <c r="R952" s="26">
        <v>0.88009918413053911</v>
      </c>
      <c r="S952" s="28">
        <v>0.9</v>
      </c>
      <c r="T952" s="26">
        <v>0.80026455026455023</v>
      </c>
      <c r="U952" s="26">
        <v>0.88332351208014137</v>
      </c>
      <c r="V952" s="26">
        <v>0.74327018943170486</v>
      </c>
      <c r="W952" s="26">
        <v>0.79275315949448089</v>
      </c>
      <c r="X952" s="28">
        <v>0.92</v>
      </c>
      <c r="Y952" s="28">
        <v>0</v>
      </c>
      <c r="Z952" s="28">
        <v>0</v>
      </c>
      <c r="AA952" s="28">
        <v>0</v>
      </c>
      <c r="AB952" s="28">
        <v>0</v>
      </c>
      <c r="AC952" s="28">
        <v>0.92</v>
      </c>
      <c r="AD952" s="26">
        <v>0.98058252427184467</v>
      </c>
      <c r="AE952" s="26">
        <v>0.99390243902439024</v>
      </c>
      <c r="AF952" s="26">
        <v>0.96491228070175439</v>
      </c>
      <c r="AG952" s="26">
        <v>0.98181818181818181</v>
      </c>
      <c r="AH952" s="28">
        <v>0.92</v>
      </c>
      <c r="AI952" s="26">
        <v>0.83278255122273626</v>
      </c>
      <c r="AJ952" s="26">
        <v>0.9428739693757362</v>
      </c>
      <c r="AK952" s="26">
        <v>0.93024414549078227</v>
      </c>
      <c r="AL952" s="26">
        <v>0.8724322596115418</v>
      </c>
      <c r="AM952" s="25">
        <v>0.99</v>
      </c>
      <c r="AN952" s="30">
        <v>0</v>
      </c>
      <c r="AO952" s="30">
        <v>1</v>
      </c>
      <c r="AP952" s="30">
        <v>1</v>
      </c>
      <c r="AQ952" s="30">
        <v>1</v>
      </c>
      <c r="AR952" s="50">
        <v>6.5641848892985799E-2</v>
      </c>
      <c r="AS952" s="34">
        <v>0</v>
      </c>
      <c r="AT952" s="34">
        <v>0</v>
      </c>
      <c r="AU952" s="34">
        <v>0</v>
      </c>
      <c r="AV952" s="34">
        <v>0.10526315789473684</v>
      </c>
      <c r="AW952" s="10"/>
      <c r="AX952" s="8"/>
    </row>
    <row r="953" spans="1:50">
      <c r="A953" s="7"/>
      <c r="B953" s="10"/>
      <c r="C953" s="69" t="s">
        <v>944</v>
      </c>
      <c r="D953" s="23" t="s">
        <v>23</v>
      </c>
      <c r="E953" s="72" t="s">
        <v>997</v>
      </c>
      <c r="F953" s="73" t="s">
        <v>997</v>
      </c>
      <c r="G953" s="73" t="s">
        <v>997</v>
      </c>
      <c r="H953" s="73" t="s">
        <v>997</v>
      </c>
      <c r="I953" s="25">
        <v>0.9</v>
      </c>
      <c r="J953" s="26">
        <v>0.95833333333333337</v>
      </c>
      <c r="K953" s="26">
        <v>1</v>
      </c>
      <c r="L953" s="27">
        <v>0.9642857142857143</v>
      </c>
      <c r="M953" s="26">
        <v>0.9563106796116505</v>
      </c>
      <c r="N953" s="28">
        <v>0.9</v>
      </c>
      <c r="O953" s="26">
        <v>0.97759771210676838</v>
      </c>
      <c r="P953" s="26">
        <v>0.98309642719938528</v>
      </c>
      <c r="Q953" s="26">
        <v>0.98510494245091407</v>
      </c>
      <c r="R953" s="26">
        <v>0.97626973048426935</v>
      </c>
      <c r="S953" s="28">
        <v>0.9</v>
      </c>
      <c r="T953" s="26">
        <v>0.89132507149666351</v>
      </c>
      <c r="U953" s="26">
        <v>0.89243180945063394</v>
      </c>
      <c r="V953" s="26">
        <v>0.9319566689234936</v>
      </c>
      <c r="W953" s="26">
        <v>0.90964243530548694</v>
      </c>
      <c r="X953" s="28">
        <v>0.92</v>
      </c>
      <c r="Y953" s="28">
        <v>0</v>
      </c>
      <c r="Z953" s="28">
        <v>0</v>
      </c>
      <c r="AA953" s="28">
        <v>0</v>
      </c>
      <c r="AB953" s="28">
        <v>0</v>
      </c>
      <c r="AC953" s="28">
        <v>0.92</v>
      </c>
      <c r="AD953" s="26">
        <v>0.97787610619469023</v>
      </c>
      <c r="AE953" s="26">
        <v>0.98331346841477951</v>
      </c>
      <c r="AF953" s="26">
        <v>0.97782963827304548</v>
      </c>
      <c r="AG953" s="26">
        <v>0.98678904185787786</v>
      </c>
      <c r="AH953" s="28">
        <v>0.92</v>
      </c>
      <c r="AI953" s="26">
        <v>0.95996186844613918</v>
      </c>
      <c r="AJ953" s="26">
        <v>0.9684978870533999</v>
      </c>
      <c r="AK953" s="26">
        <v>0.976303317535545</v>
      </c>
      <c r="AL953" s="26">
        <v>0.96725359673609623</v>
      </c>
      <c r="AM953" s="25">
        <v>0.99</v>
      </c>
      <c r="AN953" s="30">
        <v>1</v>
      </c>
      <c r="AO953" s="30">
        <v>1</v>
      </c>
      <c r="AP953" s="30">
        <v>1</v>
      </c>
      <c r="AQ953" s="30">
        <v>1</v>
      </c>
      <c r="AR953" s="50">
        <v>6.5641848892985799E-2</v>
      </c>
      <c r="AS953" s="34">
        <v>8.3333333333333329E-2</v>
      </c>
      <c r="AT953" s="34">
        <v>0</v>
      </c>
      <c r="AU953" s="34">
        <v>0</v>
      </c>
      <c r="AV953" s="34">
        <v>4.4444444444444446E-2</v>
      </c>
      <c r="AW953" s="10"/>
      <c r="AX953" s="8"/>
    </row>
    <row r="954" spans="1:50">
      <c r="A954" s="7"/>
      <c r="B954" s="10"/>
      <c r="C954" s="69" t="s">
        <v>944</v>
      </c>
      <c r="D954" s="23" t="s">
        <v>23</v>
      </c>
      <c r="E954" s="74" t="s">
        <v>998</v>
      </c>
      <c r="F954" s="75" t="s">
        <v>998</v>
      </c>
      <c r="G954" s="75" t="s">
        <v>998</v>
      </c>
      <c r="H954" s="75" t="s">
        <v>998</v>
      </c>
      <c r="I954" s="25">
        <v>0.9</v>
      </c>
      <c r="J954" s="26">
        <v>0.94230769230769229</v>
      </c>
      <c r="K954" s="26">
        <v>0.9642857142857143</v>
      </c>
      <c r="L954" s="27">
        <v>0.98305084745762716</v>
      </c>
      <c r="M954" s="26">
        <v>0.9569377990430622</v>
      </c>
      <c r="N954" s="28">
        <v>0.9</v>
      </c>
      <c r="O954" s="26">
        <v>0.93786163522012578</v>
      </c>
      <c r="P954" s="26">
        <v>0.93566322478157271</v>
      </c>
      <c r="Q954" s="26">
        <v>0.94104579630895424</v>
      </c>
      <c r="R954" s="26">
        <v>0.93308344955834499</v>
      </c>
      <c r="S954" s="28">
        <v>0.9</v>
      </c>
      <c r="T954" s="26">
        <v>0.90566037735849059</v>
      </c>
      <c r="U954" s="26">
        <v>0.91799046862589362</v>
      </c>
      <c r="V954" s="26">
        <v>0.91780587833219407</v>
      </c>
      <c r="W954" s="26">
        <v>0.91021617852161785</v>
      </c>
      <c r="X954" s="28">
        <v>0.92</v>
      </c>
      <c r="Y954" s="28">
        <v>0.82954545454545459</v>
      </c>
      <c r="Z954" s="28">
        <v>0.84889316650625601</v>
      </c>
      <c r="AA954" s="28">
        <v>0.86317567567567566</v>
      </c>
      <c r="AB954" s="28">
        <v>0.80238183848157796</v>
      </c>
      <c r="AC954" s="28">
        <v>0.92</v>
      </c>
      <c r="AD954" s="26">
        <v>0.99470748104706053</v>
      </c>
      <c r="AE954" s="26">
        <v>0.98618504435994925</v>
      </c>
      <c r="AF954" s="26">
        <v>0.8785502079619727</v>
      </c>
      <c r="AG954" s="26">
        <v>0.96666431444499334</v>
      </c>
      <c r="AH954" s="28">
        <v>0.92</v>
      </c>
      <c r="AI954" s="26">
        <v>0.93102750809061485</v>
      </c>
      <c r="AJ954" s="26">
        <v>0.94897119341563785</v>
      </c>
      <c r="AK954" s="26">
        <v>0.94584991472427515</v>
      </c>
      <c r="AL954" s="26">
        <v>0.92848062526484298</v>
      </c>
      <c r="AM954" s="25">
        <v>0.99</v>
      </c>
      <c r="AN954" s="30">
        <v>1</v>
      </c>
      <c r="AO954" s="30">
        <v>1</v>
      </c>
      <c r="AP954" s="30">
        <v>1</v>
      </c>
      <c r="AQ954" s="30">
        <v>1</v>
      </c>
      <c r="AR954" s="50">
        <v>6.5641848892985799E-2</v>
      </c>
      <c r="AS954" s="34">
        <v>9.0909090909090912E-2</v>
      </c>
      <c r="AT954" s="34">
        <v>4.1666666666666664E-2</v>
      </c>
      <c r="AU954" s="34">
        <v>0</v>
      </c>
      <c r="AV954" s="34">
        <v>3.1578947368421054E-2</v>
      </c>
      <c r="AW954" s="10"/>
      <c r="AX954" s="8"/>
    </row>
    <row r="955" spans="1:50">
      <c r="A955" s="7"/>
      <c r="B955" s="10"/>
      <c r="C955" s="69" t="s">
        <v>944</v>
      </c>
      <c r="D955" s="23" t="s">
        <v>23</v>
      </c>
      <c r="E955" s="72" t="s">
        <v>999</v>
      </c>
      <c r="F955" s="73" t="s">
        <v>999</v>
      </c>
      <c r="G955" s="73" t="s">
        <v>999</v>
      </c>
      <c r="H955" s="73" t="s">
        <v>999</v>
      </c>
      <c r="I955" s="25">
        <v>0.9</v>
      </c>
      <c r="J955" s="26">
        <v>1</v>
      </c>
      <c r="K955" s="26">
        <v>1</v>
      </c>
      <c r="L955" s="27">
        <v>1</v>
      </c>
      <c r="M955" s="26">
        <v>0.99236641221374045</v>
      </c>
      <c r="N955" s="28">
        <v>0.9</v>
      </c>
      <c r="O955" s="26">
        <v>0.97846268102487932</v>
      </c>
      <c r="P955" s="26">
        <v>0.93912511471397986</v>
      </c>
      <c r="Q955" s="26">
        <v>0.97687074829931975</v>
      </c>
      <c r="R955" s="26">
        <v>0.96613719671845</v>
      </c>
      <c r="S955" s="28">
        <v>0.9</v>
      </c>
      <c r="T955" s="26">
        <v>0.92684738210174522</v>
      </c>
      <c r="U955" s="26">
        <v>0.90792291220556742</v>
      </c>
      <c r="V955" s="26">
        <v>0.92707482993197277</v>
      </c>
      <c r="W955" s="26">
        <v>0.91865945191132836</v>
      </c>
      <c r="X955" s="28">
        <v>0.92</v>
      </c>
      <c r="Y955" s="28">
        <v>0</v>
      </c>
      <c r="Z955" s="28">
        <v>0</v>
      </c>
      <c r="AA955" s="28">
        <v>0</v>
      </c>
      <c r="AB955" s="28">
        <v>0.13333333333333333</v>
      </c>
      <c r="AC955" s="28">
        <v>0.92</v>
      </c>
      <c r="AD955" s="26">
        <v>1</v>
      </c>
      <c r="AE955" s="26">
        <v>0.94901960784313721</v>
      </c>
      <c r="AF955" s="26">
        <v>0.98347107438016534</v>
      </c>
      <c r="AG955" s="26">
        <v>0.98091900311526481</v>
      </c>
      <c r="AH955" s="28">
        <v>0.92</v>
      </c>
      <c r="AI955" s="26">
        <v>0.96325167037861914</v>
      </c>
      <c r="AJ955" s="26">
        <v>0.97155963302752291</v>
      </c>
      <c r="AK955" s="26">
        <v>0.97578231292517004</v>
      </c>
      <c r="AL955" s="26">
        <v>0.96816536566220401</v>
      </c>
      <c r="AM955" s="25">
        <v>0.99</v>
      </c>
      <c r="AN955" s="30">
        <v>1</v>
      </c>
      <c r="AO955" s="30">
        <v>1</v>
      </c>
      <c r="AP955" s="30">
        <v>1</v>
      </c>
      <c r="AQ955" s="30">
        <v>1</v>
      </c>
      <c r="AR955" s="50">
        <v>6.5641848892985799E-2</v>
      </c>
      <c r="AS955" s="34">
        <v>0.1</v>
      </c>
      <c r="AT955" s="34">
        <v>0</v>
      </c>
      <c r="AU955" s="34">
        <v>0</v>
      </c>
      <c r="AV955" s="34">
        <v>3.1746031746031744E-2</v>
      </c>
      <c r="AW955" s="10"/>
      <c r="AX955" s="8"/>
    </row>
    <row r="956" spans="1:50">
      <c r="A956" s="7"/>
      <c r="B956" s="10"/>
      <c r="C956" s="69" t="s">
        <v>944</v>
      </c>
      <c r="D956" s="23" t="s">
        <v>23</v>
      </c>
      <c r="E956" s="72" t="s">
        <v>1000</v>
      </c>
      <c r="F956" s="73" t="s">
        <v>1000</v>
      </c>
      <c r="G956" s="73" t="s">
        <v>1000</v>
      </c>
      <c r="H956" s="73" t="s">
        <v>1000</v>
      </c>
      <c r="I956" s="25">
        <v>0.9</v>
      </c>
      <c r="J956" s="26">
        <v>0.9285714285714286</v>
      </c>
      <c r="K956" s="26">
        <v>0.95454545454545459</v>
      </c>
      <c r="L956" s="27">
        <v>0.97916666666666663</v>
      </c>
      <c r="M956" s="26">
        <v>0.94929577464788728</v>
      </c>
      <c r="N956" s="28">
        <v>0.9</v>
      </c>
      <c r="O956" s="26">
        <v>0.95701565858151671</v>
      </c>
      <c r="P956" s="26">
        <v>0.90765432098765431</v>
      </c>
      <c r="Q956" s="26">
        <v>0.91242629395064423</v>
      </c>
      <c r="R956" s="26">
        <v>0.926981797854872</v>
      </c>
      <c r="S956" s="28">
        <v>0.9</v>
      </c>
      <c r="T956" s="26">
        <v>0.92416334049739024</v>
      </c>
      <c r="U956" s="26">
        <v>0.91037037037037039</v>
      </c>
      <c r="V956" s="26">
        <v>0.9307709106791876</v>
      </c>
      <c r="W956" s="26">
        <v>0.92212556335813856</v>
      </c>
      <c r="X956" s="28">
        <v>0.92</v>
      </c>
      <c r="Y956" s="28">
        <v>0</v>
      </c>
      <c r="Z956" s="28">
        <v>0</v>
      </c>
      <c r="AA956" s="28">
        <v>0</v>
      </c>
      <c r="AB956" s="28">
        <v>0.13333333333333333</v>
      </c>
      <c r="AC956" s="28">
        <v>0.92</v>
      </c>
      <c r="AD956" s="26">
        <v>0.99886621315192747</v>
      </c>
      <c r="AE956" s="26">
        <v>0.98467432950191569</v>
      </c>
      <c r="AF956" s="26">
        <v>0.98810939357907257</v>
      </c>
      <c r="AG956" s="26">
        <v>0.9884586746090841</v>
      </c>
      <c r="AH956" s="28">
        <v>0.92</v>
      </c>
      <c r="AI956" s="26">
        <v>0.95369518552591226</v>
      </c>
      <c r="AJ956" s="26">
        <v>0.95481481481481478</v>
      </c>
      <c r="AK956" s="26">
        <v>0.96593142607556237</v>
      </c>
      <c r="AL956" s="26">
        <v>0.95750549949369745</v>
      </c>
      <c r="AM956" s="25">
        <v>0.99</v>
      </c>
      <c r="AN956" s="30">
        <v>1</v>
      </c>
      <c r="AO956" s="30">
        <v>1</v>
      </c>
      <c r="AP956" s="30">
        <v>1</v>
      </c>
      <c r="AQ956" s="30">
        <v>1</v>
      </c>
      <c r="AR956" s="50">
        <v>6.5641848892985799E-2</v>
      </c>
      <c r="AS956" s="34">
        <v>0</v>
      </c>
      <c r="AT956" s="34">
        <v>0</v>
      </c>
      <c r="AU956" s="34">
        <v>7.1428571428571425E-2</v>
      </c>
      <c r="AV956" s="34">
        <v>1.6666666666666666E-2</v>
      </c>
      <c r="AW956" s="10"/>
      <c r="AX956" s="8"/>
    </row>
    <row r="957" spans="1:50">
      <c r="A957" s="7"/>
      <c r="B957" s="10"/>
      <c r="C957" s="69" t="s">
        <v>944</v>
      </c>
      <c r="D957" s="23" t="s">
        <v>23</v>
      </c>
      <c r="E957" s="72" t="s">
        <v>1001</v>
      </c>
      <c r="F957" s="73" t="s">
        <v>1001</v>
      </c>
      <c r="G957" s="73" t="s">
        <v>1001</v>
      </c>
      <c r="H957" s="73" t="s">
        <v>1001</v>
      </c>
      <c r="I957" s="25">
        <v>0.9</v>
      </c>
      <c r="J957" s="26">
        <v>0.95744680851063835</v>
      </c>
      <c r="K957" s="26">
        <v>0.94</v>
      </c>
      <c r="L957" s="27">
        <v>0.92452830188679247</v>
      </c>
      <c r="M957" s="26">
        <v>0.92111959287531808</v>
      </c>
      <c r="N957" s="28">
        <v>0.9</v>
      </c>
      <c r="O957" s="26">
        <v>0.90058616647127787</v>
      </c>
      <c r="P957" s="26">
        <v>0.88215550997575987</v>
      </c>
      <c r="Q957" s="26">
        <v>0.94099173553719007</v>
      </c>
      <c r="R957" s="26">
        <v>0.91483163171570303</v>
      </c>
      <c r="S957" s="28">
        <v>0.9</v>
      </c>
      <c r="T957" s="26">
        <v>0.87924970691676441</v>
      </c>
      <c r="U957" s="26">
        <v>0.87283236994219648</v>
      </c>
      <c r="V957" s="26">
        <v>0.91438016528925625</v>
      </c>
      <c r="W957" s="26">
        <v>0.89701057715020605</v>
      </c>
      <c r="X957" s="28">
        <v>0.92</v>
      </c>
      <c r="Y957" s="28">
        <v>0</v>
      </c>
      <c r="Z957" s="28">
        <v>0</v>
      </c>
      <c r="AA957" s="28">
        <v>0</v>
      </c>
      <c r="AB957" s="28">
        <v>0</v>
      </c>
      <c r="AC957" s="28">
        <v>0.92</v>
      </c>
      <c r="AD957" s="26">
        <v>0.97630522088353411</v>
      </c>
      <c r="AE957" s="26">
        <v>0.98982300884955754</v>
      </c>
      <c r="AF957" s="26">
        <v>0.98183166481275497</v>
      </c>
      <c r="AG957" s="26">
        <v>0.96944444444444444</v>
      </c>
      <c r="AH957" s="28">
        <v>0.92</v>
      </c>
      <c r="AI957" s="26">
        <v>0.90110147644715255</v>
      </c>
      <c r="AJ957" s="26">
        <v>0.91702405370128659</v>
      </c>
      <c r="AK957" s="26">
        <v>0.96068714899240171</v>
      </c>
      <c r="AL957" s="26">
        <v>0.93311817800167929</v>
      </c>
      <c r="AM957" s="25">
        <v>0.99</v>
      </c>
      <c r="AN957" s="30">
        <v>1</v>
      </c>
      <c r="AO957" s="30">
        <v>1</v>
      </c>
      <c r="AP957" s="30">
        <v>1</v>
      </c>
      <c r="AQ957" s="30">
        <v>1</v>
      </c>
      <c r="AR957" s="50">
        <v>6.5641848892985799E-2</v>
      </c>
      <c r="AS957" s="34">
        <v>4.5454545454545456E-2</v>
      </c>
      <c r="AT957" s="34">
        <v>0</v>
      </c>
      <c r="AU957" s="34">
        <v>9.5238095238095233E-2</v>
      </c>
      <c r="AV957" s="34">
        <v>7.0921985815602842E-2</v>
      </c>
      <c r="AW957" s="10"/>
      <c r="AX957" s="8"/>
    </row>
    <row r="958" spans="1:50">
      <c r="A958" s="7"/>
      <c r="B958" s="10"/>
      <c r="C958" s="69" t="s">
        <v>944</v>
      </c>
      <c r="D958" s="23" t="s">
        <v>23</v>
      </c>
      <c r="E958" s="72" t="s">
        <v>1002</v>
      </c>
      <c r="F958" s="73" t="s">
        <v>1002</v>
      </c>
      <c r="G958" s="73" t="s">
        <v>1002</v>
      </c>
      <c r="H958" s="73" t="s">
        <v>1002</v>
      </c>
      <c r="I958" s="25">
        <v>0.9</v>
      </c>
      <c r="J958" s="26">
        <v>0.92105263157894735</v>
      </c>
      <c r="K958" s="26">
        <v>0.92105263157894735</v>
      </c>
      <c r="L958" s="27">
        <v>0.89473684210526316</v>
      </c>
      <c r="M958" s="26">
        <v>0.9178082191780822</v>
      </c>
      <c r="N958" s="28">
        <v>0.9</v>
      </c>
      <c r="O958" s="26">
        <v>0.96740937811772532</v>
      </c>
      <c r="P958" s="26">
        <v>0.96175599245892807</v>
      </c>
      <c r="Q958" s="26">
        <v>0.88055303717135092</v>
      </c>
      <c r="R958" s="26">
        <v>0.94008127077946069</v>
      </c>
      <c r="S958" s="28">
        <v>0.9</v>
      </c>
      <c r="T958" s="26">
        <v>0.93348852677086802</v>
      </c>
      <c r="U958" s="26">
        <v>0.93751683274979802</v>
      </c>
      <c r="V958" s="26">
        <v>0.90639165911151409</v>
      </c>
      <c r="W958" s="26">
        <v>0.92072404876246772</v>
      </c>
      <c r="X958" s="28">
        <v>0.92</v>
      </c>
      <c r="Y958" s="28">
        <v>0</v>
      </c>
      <c r="Z958" s="28">
        <v>0</v>
      </c>
      <c r="AA958" s="28">
        <v>1</v>
      </c>
      <c r="AB958" s="28">
        <v>0.1</v>
      </c>
      <c r="AC958" s="28">
        <v>0.92</v>
      </c>
      <c r="AD958" s="26">
        <v>0.98516320474777452</v>
      </c>
      <c r="AE958" s="26">
        <v>0.98834951456310682</v>
      </c>
      <c r="AF958" s="26">
        <v>0.98365122615803813</v>
      </c>
      <c r="AG958" s="26">
        <v>0.98412231696559838</v>
      </c>
      <c r="AH958" s="28">
        <v>0.92</v>
      </c>
      <c r="AI958" s="26">
        <v>0.96176861702127658</v>
      </c>
      <c r="AJ958" s="26">
        <v>0.97118233234581197</v>
      </c>
      <c r="AK958" s="26">
        <v>0.96850215273056872</v>
      </c>
      <c r="AL958" s="26">
        <v>0.96030280649926147</v>
      </c>
      <c r="AM958" s="25">
        <v>0.99</v>
      </c>
      <c r="AN958" s="30">
        <v>1</v>
      </c>
      <c r="AO958" s="30">
        <v>1</v>
      </c>
      <c r="AP958" s="30">
        <v>1</v>
      </c>
      <c r="AQ958" s="30">
        <v>1</v>
      </c>
      <c r="AR958" s="50">
        <v>6.5641848892985799E-2</v>
      </c>
      <c r="AS958" s="34">
        <v>0</v>
      </c>
      <c r="AT958" s="34">
        <v>0</v>
      </c>
      <c r="AU958" s="34">
        <v>8.3333333333333329E-2</v>
      </c>
      <c r="AV958" s="34">
        <v>4.6875E-2</v>
      </c>
      <c r="AW958" s="10"/>
      <c r="AX958" s="8"/>
    </row>
    <row r="959" spans="1:50">
      <c r="A959" s="7"/>
      <c r="B959" s="10"/>
      <c r="C959" s="69" t="s">
        <v>944</v>
      </c>
      <c r="D959" s="23" t="s">
        <v>23</v>
      </c>
      <c r="E959" s="80" t="s">
        <v>1003</v>
      </c>
      <c r="F959" s="81" t="s">
        <v>1003</v>
      </c>
      <c r="G959" s="81" t="s">
        <v>1003</v>
      </c>
      <c r="H959" s="81" t="s">
        <v>1003</v>
      </c>
      <c r="I959" s="25">
        <v>0.9</v>
      </c>
      <c r="J959" s="26">
        <v>0.92307692307692313</v>
      </c>
      <c r="K959" s="26">
        <v>0.89189189189189189</v>
      </c>
      <c r="L959" s="27">
        <v>1</v>
      </c>
      <c r="M959" s="26">
        <v>0.95253164556962022</v>
      </c>
      <c r="N959" s="28">
        <v>0.9</v>
      </c>
      <c r="O959" s="26">
        <v>0.98084072061767225</v>
      </c>
      <c r="P959" s="26">
        <v>0.94574811625403665</v>
      </c>
      <c r="Q959" s="26">
        <v>0.97278361627593646</v>
      </c>
      <c r="R959" s="26">
        <v>0.95932663783551952</v>
      </c>
      <c r="S959" s="28">
        <v>0.9</v>
      </c>
      <c r="T959" s="26">
        <v>0.92650843580211606</v>
      </c>
      <c r="U959" s="26">
        <v>0.90398277717976316</v>
      </c>
      <c r="V959" s="26">
        <v>0.9118835893290218</v>
      </c>
      <c r="W959" s="26">
        <v>0.91815290038957786</v>
      </c>
      <c r="X959" s="28">
        <v>0.92</v>
      </c>
      <c r="Y959" s="28">
        <v>0</v>
      </c>
      <c r="Z959" s="28">
        <v>0</v>
      </c>
      <c r="AA959" s="28">
        <v>1</v>
      </c>
      <c r="AB959" s="28">
        <v>7.6923076923076927E-2</v>
      </c>
      <c r="AC959" s="28">
        <v>0.92</v>
      </c>
      <c r="AD959" s="26">
        <v>0.98954703832752611</v>
      </c>
      <c r="AE959" s="26">
        <v>0.94219653179190754</v>
      </c>
      <c r="AF959" s="26">
        <v>0.94392523364485981</v>
      </c>
      <c r="AG959" s="26">
        <v>0.96186203028603479</v>
      </c>
      <c r="AH959" s="28">
        <v>0.92</v>
      </c>
      <c r="AI959" s="26">
        <v>0.965418691054587</v>
      </c>
      <c r="AJ959" s="26">
        <v>0.96427802883580804</v>
      </c>
      <c r="AK959" s="26">
        <v>0.96713362068965514</v>
      </c>
      <c r="AL959" s="26">
        <v>0.96352529294084022</v>
      </c>
      <c r="AM959" s="25">
        <v>0.99</v>
      </c>
      <c r="AN959" s="30">
        <v>1</v>
      </c>
      <c r="AO959" s="30">
        <v>1</v>
      </c>
      <c r="AP959" s="30">
        <v>1</v>
      </c>
      <c r="AQ959" s="30">
        <v>1</v>
      </c>
      <c r="AR959" s="50">
        <v>6.5641848892985799E-2</v>
      </c>
      <c r="AS959" s="34">
        <v>0</v>
      </c>
      <c r="AT959" s="34">
        <v>0</v>
      </c>
      <c r="AU959" s="34">
        <v>9.0909090909090912E-2</v>
      </c>
      <c r="AV959" s="34">
        <v>4.0540540540540543E-2</v>
      </c>
      <c r="AW959" s="10"/>
      <c r="AX959" s="8"/>
    </row>
    <row r="960" spans="1:50">
      <c r="A960" s="7"/>
      <c r="B960" s="10"/>
      <c r="C960" s="69" t="s">
        <v>944</v>
      </c>
      <c r="D960" s="23" t="s">
        <v>23</v>
      </c>
      <c r="E960" s="70" t="s">
        <v>1004</v>
      </c>
      <c r="F960" s="71" t="s">
        <v>1004</v>
      </c>
      <c r="G960" s="71" t="s">
        <v>1004</v>
      </c>
      <c r="H960" s="71" t="s">
        <v>1004</v>
      </c>
      <c r="I960" s="25">
        <v>0.9</v>
      </c>
      <c r="J960" s="26">
        <v>1</v>
      </c>
      <c r="K960" s="26">
        <v>1</v>
      </c>
      <c r="L960" s="27">
        <v>1</v>
      </c>
      <c r="M960" s="26">
        <v>0.95683453237410077</v>
      </c>
      <c r="N960" s="28">
        <v>0.9</v>
      </c>
      <c r="O960" s="26">
        <v>0.87952987267384919</v>
      </c>
      <c r="P960" s="26">
        <v>0.97978227060653189</v>
      </c>
      <c r="Q960" s="26">
        <v>0.98032786885245904</v>
      </c>
      <c r="R960" s="26">
        <v>0.96028195743527178</v>
      </c>
      <c r="S960" s="28">
        <v>0.9</v>
      </c>
      <c r="T960" s="26">
        <v>0.91625857002938293</v>
      </c>
      <c r="U960" s="26">
        <v>0.94971487817522027</v>
      </c>
      <c r="V960" s="26">
        <v>0.93770491803278688</v>
      </c>
      <c r="W960" s="26">
        <v>0.92686729022637926</v>
      </c>
      <c r="X960" s="28">
        <v>0.92</v>
      </c>
      <c r="Y960" s="28">
        <v>0</v>
      </c>
      <c r="Z960" s="28">
        <v>0</v>
      </c>
      <c r="AA960" s="28">
        <v>0</v>
      </c>
      <c r="AB960" s="28">
        <v>0</v>
      </c>
      <c r="AC960" s="28">
        <v>0.92</v>
      </c>
      <c r="AD960" s="26">
        <v>1</v>
      </c>
      <c r="AE960" s="26">
        <v>0.99736147757255933</v>
      </c>
      <c r="AF960" s="26">
        <v>1</v>
      </c>
      <c r="AG960" s="26">
        <v>0.99366336633663366</v>
      </c>
      <c r="AH960" s="28">
        <v>0.92</v>
      </c>
      <c r="AI960" s="26">
        <v>0.92899118511263468</v>
      </c>
      <c r="AJ960" s="26">
        <v>0.96163815448418866</v>
      </c>
      <c r="AK960" s="26">
        <v>0.95368852459016396</v>
      </c>
      <c r="AL960" s="26">
        <v>0.94306628710858076</v>
      </c>
      <c r="AM960" s="25">
        <v>0.99</v>
      </c>
      <c r="AN960" s="30">
        <v>1</v>
      </c>
      <c r="AO960" s="30">
        <v>1</v>
      </c>
      <c r="AP960" s="30">
        <v>1</v>
      </c>
      <c r="AQ960" s="30">
        <v>1</v>
      </c>
      <c r="AR960" s="50">
        <v>6.5641848892985799E-2</v>
      </c>
      <c r="AS960" s="34">
        <v>5.8823529411764705E-2</v>
      </c>
      <c r="AT960" s="34">
        <v>0.05</v>
      </c>
      <c r="AU960" s="34">
        <v>0.05</v>
      </c>
      <c r="AV960" s="34">
        <v>4.4117647058823532E-2</v>
      </c>
      <c r="AW960" s="10"/>
      <c r="AX960" s="8"/>
    </row>
    <row r="961" spans="1:50">
      <c r="A961" s="7"/>
      <c r="B961" s="10"/>
      <c r="C961" s="69" t="s">
        <v>944</v>
      </c>
      <c r="D961" s="23" t="s">
        <v>23</v>
      </c>
      <c r="E961" s="70" t="s">
        <v>1005</v>
      </c>
      <c r="F961" s="71" t="s">
        <v>1005</v>
      </c>
      <c r="G961" s="71" t="s">
        <v>1005</v>
      </c>
      <c r="H961" s="71" t="s">
        <v>1005</v>
      </c>
      <c r="I961" s="25">
        <v>0.9</v>
      </c>
      <c r="J961" s="26">
        <v>1</v>
      </c>
      <c r="K961" s="26">
        <v>0.94117647058823528</v>
      </c>
      <c r="L961" s="27">
        <v>1</v>
      </c>
      <c r="M961" s="26">
        <v>0.96799999999999997</v>
      </c>
      <c r="N961" s="28">
        <v>0.9</v>
      </c>
      <c r="O961" s="26">
        <v>0.98879551820728295</v>
      </c>
      <c r="P961" s="26">
        <v>0.97644287396937579</v>
      </c>
      <c r="Q961" s="26">
        <v>0.96570898980537534</v>
      </c>
      <c r="R961" s="26">
        <v>0.97377274812662484</v>
      </c>
      <c r="S961" s="28">
        <v>0.9</v>
      </c>
      <c r="T961" s="26">
        <v>0.91204481792717085</v>
      </c>
      <c r="U961" s="26">
        <v>0.94817432273262658</v>
      </c>
      <c r="V961" s="26">
        <v>0.94068582020389246</v>
      </c>
      <c r="W961" s="26">
        <v>0.93110567365040531</v>
      </c>
      <c r="X961" s="28">
        <v>0.92</v>
      </c>
      <c r="Y961" s="28">
        <v>0</v>
      </c>
      <c r="Z961" s="28">
        <v>0</v>
      </c>
      <c r="AA961" s="28">
        <v>0</v>
      </c>
      <c r="AB961" s="28">
        <v>0</v>
      </c>
      <c r="AC961" s="28">
        <v>0.92</v>
      </c>
      <c r="AD961" s="26">
        <v>1</v>
      </c>
      <c r="AE961" s="26">
        <v>0.99</v>
      </c>
      <c r="AF961" s="26">
        <v>1</v>
      </c>
      <c r="AG961" s="26">
        <v>0.99751552795031051</v>
      </c>
      <c r="AH961" s="28">
        <v>0.92</v>
      </c>
      <c r="AI961" s="26">
        <v>0.96470588235294119</v>
      </c>
      <c r="AJ961" s="26">
        <v>0.97820965842167251</v>
      </c>
      <c r="AK961" s="26">
        <v>0.99073215940685821</v>
      </c>
      <c r="AL961" s="26">
        <v>0.97308456950604072</v>
      </c>
      <c r="AM961" s="25">
        <v>0.99</v>
      </c>
      <c r="AN961" s="30">
        <v>1</v>
      </c>
      <c r="AO961" s="30">
        <v>1</v>
      </c>
      <c r="AP961" s="30">
        <v>1</v>
      </c>
      <c r="AQ961" s="30">
        <v>1</v>
      </c>
      <c r="AR961" s="50">
        <v>6.5641848892985799E-2</v>
      </c>
      <c r="AS961" s="34">
        <v>0</v>
      </c>
      <c r="AT961" s="34">
        <v>0</v>
      </c>
      <c r="AU961" s="34">
        <v>0.1111111111111111</v>
      </c>
      <c r="AV961" s="34">
        <v>3.8461538461538464E-2</v>
      </c>
      <c r="AW961" s="10"/>
      <c r="AX961" s="8"/>
    </row>
    <row r="962" spans="1:50">
      <c r="A962" s="7"/>
      <c r="B962" s="10"/>
      <c r="C962" s="69" t="s">
        <v>944</v>
      </c>
      <c r="D962" s="23" t="s">
        <v>23</v>
      </c>
      <c r="E962" s="70" t="s">
        <v>1006</v>
      </c>
      <c r="F962" s="71" t="s">
        <v>1006</v>
      </c>
      <c r="G962" s="71" t="s">
        <v>1006</v>
      </c>
      <c r="H962" s="71" t="s">
        <v>1006</v>
      </c>
      <c r="I962" s="25">
        <v>0.9</v>
      </c>
      <c r="J962" s="26">
        <v>0.9</v>
      </c>
      <c r="K962" s="26">
        <v>0.93181818181818177</v>
      </c>
      <c r="L962" s="27">
        <v>0.95454545454545459</v>
      </c>
      <c r="M962" s="26">
        <v>0.91411042944785281</v>
      </c>
      <c r="N962" s="28">
        <v>0.9</v>
      </c>
      <c r="O962" s="26">
        <v>0.9538497763126913</v>
      </c>
      <c r="P962" s="26">
        <v>0.92673126920349802</v>
      </c>
      <c r="Q962" s="26">
        <v>0.89687220732797135</v>
      </c>
      <c r="R962" s="26">
        <v>0.92913811756220699</v>
      </c>
      <c r="S962" s="28">
        <v>0.9</v>
      </c>
      <c r="T962" s="26">
        <v>0.92206263244643283</v>
      </c>
      <c r="U962" s="26">
        <v>0.93783975419522569</v>
      </c>
      <c r="V962" s="26">
        <v>0.93726541554959786</v>
      </c>
      <c r="W962" s="26">
        <v>0.93382618103137394</v>
      </c>
      <c r="X962" s="28">
        <v>0.92</v>
      </c>
      <c r="Y962" s="28">
        <v>0</v>
      </c>
      <c r="Z962" s="28">
        <v>0</v>
      </c>
      <c r="AA962" s="28">
        <v>0</v>
      </c>
      <c r="AB962" s="28">
        <v>0</v>
      </c>
      <c r="AC962" s="28">
        <v>0.92</v>
      </c>
      <c r="AD962" s="26">
        <v>0.99254658385093164</v>
      </c>
      <c r="AE962" s="26">
        <v>0.99685110211425998</v>
      </c>
      <c r="AF962" s="26">
        <v>0.99689078896230077</v>
      </c>
      <c r="AG962" s="26">
        <v>0.99434536755110914</v>
      </c>
      <c r="AH962" s="28">
        <v>0.92</v>
      </c>
      <c r="AI962" s="26">
        <v>0.94232580037664782</v>
      </c>
      <c r="AJ962" s="26">
        <v>0.95367525407705034</v>
      </c>
      <c r="AK962" s="26">
        <v>0.96085790884718503</v>
      </c>
      <c r="AL962" s="26">
        <v>0.95201033715968508</v>
      </c>
      <c r="AM962" s="25">
        <v>0.99</v>
      </c>
      <c r="AN962" s="30">
        <v>1</v>
      </c>
      <c r="AO962" s="30">
        <v>1</v>
      </c>
      <c r="AP962" s="30">
        <v>1</v>
      </c>
      <c r="AQ962" s="30">
        <v>1</v>
      </c>
      <c r="AR962" s="50">
        <v>6.5641848892985799E-2</v>
      </c>
      <c r="AS962" s="34">
        <v>0</v>
      </c>
      <c r="AT962" s="34">
        <v>3.3333333333333333E-2</v>
      </c>
      <c r="AU962" s="34">
        <v>0</v>
      </c>
      <c r="AV962" s="34">
        <v>0.03</v>
      </c>
      <c r="AW962" s="10"/>
      <c r="AX962" s="8"/>
    </row>
    <row r="963" spans="1:50">
      <c r="A963" s="7"/>
      <c r="B963" s="10"/>
      <c r="C963" s="69" t="s">
        <v>944</v>
      </c>
      <c r="D963" s="23" t="s">
        <v>23</v>
      </c>
      <c r="E963" s="72" t="s">
        <v>1007</v>
      </c>
      <c r="F963" s="73" t="s">
        <v>1007</v>
      </c>
      <c r="G963" s="73" t="s">
        <v>1007</v>
      </c>
      <c r="H963" s="73" t="s">
        <v>1007</v>
      </c>
      <c r="I963" s="25">
        <v>0.9</v>
      </c>
      <c r="J963" s="26">
        <v>0.78947368421052633</v>
      </c>
      <c r="K963" s="26">
        <v>0.76190476190476186</v>
      </c>
      <c r="L963" s="27">
        <v>0.76190476190476186</v>
      </c>
      <c r="M963" s="26">
        <v>0.82758620689655171</v>
      </c>
      <c r="N963" s="28">
        <v>0.9</v>
      </c>
      <c r="O963" s="26">
        <v>0.98429693076374014</v>
      </c>
      <c r="P963" s="26">
        <v>0.99022556390977445</v>
      </c>
      <c r="Q963" s="26">
        <v>0.99607403252944471</v>
      </c>
      <c r="R963" s="26">
        <v>0.99235488437942421</v>
      </c>
      <c r="S963" s="28">
        <v>0.9</v>
      </c>
      <c r="T963" s="26">
        <v>0.92219842969307642</v>
      </c>
      <c r="U963" s="26">
        <v>0.93834586466165415</v>
      </c>
      <c r="V963" s="26">
        <v>0.91979809310151428</v>
      </c>
      <c r="W963" s="26">
        <v>0.89485606418121755</v>
      </c>
      <c r="X963" s="28">
        <v>0.92</v>
      </c>
      <c r="Y963" s="28">
        <v>0</v>
      </c>
      <c r="Z963" s="28">
        <v>0</v>
      </c>
      <c r="AA963" s="28">
        <v>0</v>
      </c>
      <c r="AB963" s="28">
        <v>0</v>
      </c>
      <c r="AC963" s="28">
        <v>0.92</v>
      </c>
      <c r="AD963" s="26">
        <v>0.92907801418439717</v>
      </c>
      <c r="AE963" s="26">
        <v>1</v>
      </c>
      <c r="AF963" s="26">
        <v>0.96575342465753422</v>
      </c>
      <c r="AG963" s="26">
        <v>0.98365679264555672</v>
      </c>
      <c r="AH963" s="28">
        <v>0.92</v>
      </c>
      <c r="AI963" s="26">
        <v>0.94789436117059245</v>
      </c>
      <c r="AJ963" s="26">
        <v>0.97293233082706765</v>
      </c>
      <c r="AK963" s="26">
        <v>0.97251822770611329</v>
      </c>
      <c r="AL963" s="26">
        <v>0.93289287399716847</v>
      </c>
      <c r="AM963" s="25">
        <v>0.99</v>
      </c>
      <c r="AN963" s="30">
        <v>1</v>
      </c>
      <c r="AO963" s="30">
        <v>1</v>
      </c>
      <c r="AP963" s="30">
        <v>1</v>
      </c>
      <c r="AQ963" s="30">
        <v>1</v>
      </c>
      <c r="AR963" s="50">
        <v>6.5641848892985799E-2</v>
      </c>
      <c r="AS963" s="34">
        <v>0</v>
      </c>
      <c r="AT963" s="34">
        <v>9.0909090909090912E-2</v>
      </c>
      <c r="AU963" s="34">
        <v>0</v>
      </c>
      <c r="AV963" s="34">
        <v>1.4285714285714285E-2</v>
      </c>
      <c r="AW963" s="10"/>
      <c r="AX963" s="8"/>
    </row>
    <row r="964" spans="1:50">
      <c r="A964" s="7"/>
      <c r="B964" s="10"/>
      <c r="C964" s="69" t="s">
        <v>944</v>
      </c>
      <c r="D964" s="23" t="s">
        <v>23</v>
      </c>
      <c r="E964" s="72" t="s">
        <v>1008</v>
      </c>
      <c r="F964" s="73" t="s">
        <v>1008</v>
      </c>
      <c r="G964" s="73" t="s">
        <v>1008</v>
      </c>
      <c r="H964" s="73" t="s">
        <v>1008</v>
      </c>
      <c r="I964" s="25">
        <v>0.9</v>
      </c>
      <c r="J964" s="26">
        <v>0.73684210526315785</v>
      </c>
      <c r="K964" s="26">
        <v>0.80487804878048785</v>
      </c>
      <c r="L964" s="27">
        <v>0.80952380952380953</v>
      </c>
      <c r="M964" s="26">
        <v>0.8</v>
      </c>
      <c r="N964" s="28">
        <v>0.9</v>
      </c>
      <c r="O964" s="26">
        <v>0.9673455056179775</v>
      </c>
      <c r="P964" s="26">
        <v>0.98063127690100427</v>
      </c>
      <c r="Q964" s="26">
        <v>0.8796692329626461</v>
      </c>
      <c r="R964" s="26">
        <v>0.90166623499956833</v>
      </c>
      <c r="S964" s="28">
        <v>0.9</v>
      </c>
      <c r="T964" s="26">
        <v>0.8346207865168539</v>
      </c>
      <c r="U964" s="26">
        <v>0.91068866571018647</v>
      </c>
      <c r="V964" s="26">
        <v>0.85970915312232676</v>
      </c>
      <c r="W964" s="26">
        <v>0.84455667789001121</v>
      </c>
      <c r="X964" s="28">
        <v>0.92</v>
      </c>
      <c r="Y964" s="28">
        <v>0.92959999999999998</v>
      </c>
      <c r="Z964" s="28">
        <v>0.93786127167630062</v>
      </c>
      <c r="AA964" s="28">
        <v>0.94135802469135799</v>
      </c>
      <c r="AB964" s="28">
        <v>0.90589833139309273</v>
      </c>
      <c r="AC964" s="28">
        <v>0.92</v>
      </c>
      <c r="AD964" s="26">
        <v>0.99949469429004545</v>
      </c>
      <c r="AE964" s="26">
        <v>0.99827251133664441</v>
      </c>
      <c r="AF964" s="26">
        <v>0.99947492780257285</v>
      </c>
      <c r="AG964" s="26">
        <v>0.99842820253733022</v>
      </c>
      <c r="AH964" s="28">
        <v>0.92</v>
      </c>
      <c r="AI964" s="26">
        <v>0.94817160955945867</v>
      </c>
      <c r="AJ964" s="26">
        <v>0.9695402298850575</v>
      </c>
      <c r="AK964" s="26">
        <v>0.97208182912154029</v>
      </c>
      <c r="AL964" s="26">
        <v>0.9470710779986582</v>
      </c>
      <c r="AM964" s="25">
        <v>0.99</v>
      </c>
      <c r="AN964" s="30">
        <v>1</v>
      </c>
      <c r="AO964" s="30">
        <v>1</v>
      </c>
      <c r="AP964" s="30">
        <v>1</v>
      </c>
      <c r="AQ964" s="30">
        <v>1</v>
      </c>
      <c r="AR964" s="50">
        <v>6.5641848892985799E-2</v>
      </c>
      <c r="AS964" s="34">
        <v>0</v>
      </c>
      <c r="AT964" s="34">
        <v>8.6956521739130432E-2</v>
      </c>
      <c r="AU964" s="34">
        <v>0</v>
      </c>
      <c r="AV964" s="34">
        <v>2.9411764705882353E-2</v>
      </c>
      <c r="AW964" s="10"/>
      <c r="AX964" s="8"/>
    </row>
    <row r="965" spans="1:50">
      <c r="A965" s="7"/>
      <c r="B965" s="10"/>
      <c r="C965" s="69" t="s">
        <v>944</v>
      </c>
      <c r="D965" s="23" t="s">
        <v>23</v>
      </c>
      <c r="E965" s="72" t="s">
        <v>1009</v>
      </c>
      <c r="F965" s="73" t="s">
        <v>1009</v>
      </c>
      <c r="G965" s="73" t="s">
        <v>1009</v>
      </c>
      <c r="H965" s="73" t="s">
        <v>1009</v>
      </c>
      <c r="I965" s="25">
        <v>0.9</v>
      </c>
      <c r="J965" s="26">
        <v>0.8</v>
      </c>
      <c r="K965" s="26">
        <v>0.79069767441860461</v>
      </c>
      <c r="L965" s="27">
        <v>0.79166666666666663</v>
      </c>
      <c r="M965" s="26">
        <v>0.81428571428571428</v>
      </c>
      <c r="N965" s="28">
        <v>0.9</v>
      </c>
      <c r="O965" s="26">
        <v>0.98667825079640892</v>
      </c>
      <c r="P965" s="26">
        <v>0.99562043795620436</v>
      </c>
      <c r="Q965" s="26">
        <v>0.97636452241715399</v>
      </c>
      <c r="R965" s="26">
        <v>0.97823539854429253</v>
      </c>
      <c r="S965" s="28">
        <v>0.9</v>
      </c>
      <c r="T965" s="26">
        <v>0.79582971329278884</v>
      </c>
      <c r="U965" s="26">
        <v>0.86656934306569344</v>
      </c>
      <c r="V965" s="26">
        <v>0.84064327485380119</v>
      </c>
      <c r="W965" s="26">
        <v>0.83632167583880701</v>
      </c>
      <c r="X965" s="28">
        <v>0.92</v>
      </c>
      <c r="Y965" s="28">
        <v>0.85753803596127243</v>
      </c>
      <c r="Z965" s="28">
        <v>0.90450054884742037</v>
      </c>
      <c r="AA965" s="28">
        <v>0.88137755102040816</v>
      </c>
      <c r="AB965" s="28">
        <v>0.87365678931943991</v>
      </c>
      <c r="AC965" s="28">
        <v>0.92</v>
      </c>
      <c r="AD965" s="26">
        <v>0.99701670644391405</v>
      </c>
      <c r="AE965" s="26">
        <v>0.9974811083123426</v>
      </c>
      <c r="AF965" s="26">
        <v>0.99580822635577682</v>
      </c>
      <c r="AG965" s="26">
        <v>0.99474262397991209</v>
      </c>
      <c r="AH965" s="28">
        <v>0.92</v>
      </c>
      <c r="AI965" s="26">
        <v>0.94061302681992343</v>
      </c>
      <c r="AJ965" s="26">
        <v>0.95779520295202947</v>
      </c>
      <c r="AK965" s="26">
        <v>0.95846972176759415</v>
      </c>
      <c r="AL965" s="26">
        <v>0.94951614783723914</v>
      </c>
      <c r="AM965" s="25">
        <v>0.99</v>
      </c>
      <c r="AN965" s="30">
        <v>1</v>
      </c>
      <c r="AO965" s="30">
        <v>1</v>
      </c>
      <c r="AP965" s="30">
        <v>1</v>
      </c>
      <c r="AQ965" s="30">
        <v>1</v>
      </c>
      <c r="AR965" s="50">
        <v>6.5641848892985799E-2</v>
      </c>
      <c r="AS965" s="34">
        <v>0</v>
      </c>
      <c r="AT965" s="34">
        <v>7.6923076923076927E-2</v>
      </c>
      <c r="AU965" s="34">
        <v>0</v>
      </c>
      <c r="AV965" s="34">
        <v>4.8913043478260872E-2</v>
      </c>
      <c r="AW965" s="10"/>
      <c r="AX965" s="8"/>
    </row>
    <row r="966" spans="1:50">
      <c r="A966" s="7"/>
      <c r="B966" s="10"/>
      <c r="C966" s="69" t="s">
        <v>944</v>
      </c>
      <c r="D966" s="23" t="s">
        <v>23</v>
      </c>
      <c r="E966" s="72" t="s">
        <v>1010</v>
      </c>
      <c r="F966" s="73" t="s">
        <v>1010</v>
      </c>
      <c r="G966" s="73" t="s">
        <v>1010</v>
      </c>
      <c r="H966" s="73" t="s">
        <v>1010</v>
      </c>
      <c r="I966" s="25">
        <v>0.9</v>
      </c>
      <c r="J966" s="26">
        <v>0.65</v>
      </c>
      <c r="K966" s="26">
        <v>0.8</v>
      </c>
      <c r="L966" s="27">
        <v>0.8571428571428571</v>
      </c>
      <c r="M966" s="26">
        <v>0.80864197530864201</v>
      </c>
      <c r="N966" s="28">
        <v>0.9</v>
      </c>
      <c r="O966" s="26">
        <v>0.90453586497890293</v>
      </c>
      <c r="P966" s="26">
        <v>0.87730061349693256</v>
      </c>
      <c r="Q966" s="26">
        <v>0.91582194799471128</v>
      </c>
      <c r="R966" s="26">
        <v>0.90230432298609786</v>
      </c>
      <c r="S966" s="28">
        <v>0.9</v>
      </c>
      <c r="T966" s="26">
        <v>0.91086497890295359</v>
      </c>
      <c r="U966" s="26">
        <v>0.86298568507157469</v>
      </c>
      <c r="V966" s="26">
        <v>0.92022917584839137</v>
      </c>
      <c r="W966" s="26">
        <v>0.88960832857233541</v>
      </c>
      <c r="X966" s="28">
        <v>0.92</v>
      </c>
      <c r="Y966" s="28">
        <v>0.88961038961038963</v>
      </c>
      <c r="Z966" s="28">
        <v>0.89830508474576276</v>
      </c>
      <c r="AA966" s="28">
        <v>0.9308035714285714</v>
      </c>
      <c r="AB966" s="28">
        <v>0.88605310647073987</v>
      </c>
      <c r="AC966" s="28">
        <v>0.92</v>
      </c>
      <c r="AD966" s="26">
        <v>0.99673735725938006</v>
      </c>
      <c r="AE966" s="26">
        <v>0.99625766382673775</v>
      </c>
      <c r="AF966" s="26">
        <v>0.99828294139604334</v>
      </c>
      <c r="AG966" s="26">
        <v>0.97886181892743307</v>
      </c>
      <c r="AH966" s="28">
        <v>0.92</v>
      </c>
      <c r="AI966" s="26">
        <v>0.94493858534519271</v>
      </c>
      <c r="AJ966" s="26">
        <v>0.94974479780133492</v>
      </c>
      <c r="AK966" s="26">
        <v>0.97134459955914765</v>
      </c>
      <c r="AL966" s="26">
        <v>0.94852230530545811</v>
      </c>
      <c r="AM966" s="25">
        <v>0.99</v>
      </c>
      <c r="AN966" s="30">
        <v>1</v>
      </c>
      <c r="AO966" s="30">
        <v>1</v>
      </c>
      <c r="AP966" s="30">
        <v>1</v>
      </c>
      <c r="AQ966" s="30">
        <v>1</v>
      </c>
      <c r="AR966" s="50">
        <v>6.5641848892985799E-2</v>
      </c>
      <c r="AS966" s="34">
        <v>0</v>
      </c>
      <c r="AT966" s="34">
        <v>0.1111111111111111</v>
      </c>
      <c r="AU966" s="34">
        <v>0</v>
      </c>
      <c r="AV966" s="34">
        <v>4.0322580645161289E-2</v>
      </c>
      <c r="AW966" s="10"/>
      <c r="AX966" s="8"/>
    </row>
    <row r="967" spans="1:50">
      <c r="A967" s="7"/>
      <c r="B967" s="10"/>
      <c r="C967" s="69" t="s">
        <v>944</v>
      </c>
      <c r="D967" s="23" t="s">
        <v>23</v>
      </c>
      <c r="E967" s="72" t="s">
        <v>1011</v>
      </c>
      <c r="F967" s="73" t="s">
        <v>1011</v>
      </c>
      <c r="G967" s="73" t="s">
        <v>1011</v>
      </c>
      <c r="H967" s="73" t="s">
        <v>1011</v>
      </c>
      <c r="I967" s="25">
        <v>0.9</v>
      </c>
      <c r="J967" s="26">
        <v>0.84848484848484851</v>
      </c>
      <c r="K967" s="26">
        <v>1</v>
      </c>
      <c r="L967" s="27">
        <v>0.8125</v>
      </c>
      <c r="M967" s="26">
        <v>0.85283018867924532</v>
      </c>
      <c r="N967" s="28">
        <v>0.9</v>
      </c>
      <c r="O967" s="26">
        <v>0.85433206765619607</v>
      </c>
      <c r="P967" s="26">
        <v>0.92468619246861927</v>
      </c>
      <c r="Q967" s="26">
        <v>0.83372365339578458</v>
      </c>
      <c r="R967" s="26">
        <v>0.89469618949536556</v>
      </c>
      <c r="S967" s="28">
        <v>0.9</v>
      </c>
      <c r="T967" s="26">
        <v>0.88505350362443902</v>
      </c>
      <c r="U967" s="26">
        <v>0.89225941422594146</v>
      </c>
      <c r="V967" s="26">
        <v>0.88612412177985944</v>
      </c>
      <c r="W967" s="26">
        <v>0.88486955029179537</v>
      </c>
      <c r="X967" s="28">
        <v>0.92</v>
      </c>
      <c r="Y967" s="28">
        <v>0.8881889763779528</v>
      </c>
      <c r="Z967" s="28">
        <v>0.91366906474820142</v>
      </c>
      <c r="AA967" s="28">
        <v>0.89972144846796653</v>
      </c>
      <c r="AB967" s="28">
        <v>0.89384328358208953</v>
      </c>
      <c r="AC967" s="28">
        <v>0.92</v>
      </c>
      <c r="AD967" s="26">
        <v>0.99788774894387444</v>
      </c>
      <c r="AE967" s="26">
        <v>0.98561621444916636</v>
      </c>
      <c r="AF967" s="26">
        <v>0.99716070414537195</v>
      </c>
      <c r="AG967" s="26">
        <v>0.99042539380301198</v>
      </c>
      <c r="AH967" s="28">
        <v>0.92</v>
      </c>
      <c r="AI967" s="26">
        <v>0.95639864099660254</v>
      </c>
      <c r="AJ967" s="26">
        <v>0.94304152637485972</v>
      </c>
      <c r="AK967" s="26">
        <v>0.95742622157716495</v>
      </c>
      <c r="AL967" s="26">
        <v>0.95266664341274543</v>
      </c>
      <c r="AM967" s="25">
        <v>0.99</v>
      </c>
      <c r="AN967" s="30">
        <v>1</v>
      </c>
      <c r="AO967" s="30">
        <v>1</v>
      </c>
      <c r="AP967" s="30">
        <v>1</v>
      </c>
      <c r="AQ967" s="30">
        <v>1</v>
      </c>
      <c r="AR967" s="50">
        <v>6.5641848892985799E-2</v>
      </c>
      <c r="AS967" s="34">
        <v>3.4482758620689655E-2</v>
      </c>
      <c r="AT967" s="34">
        <v>0</v>
      </c>
      <c r="AU967" s="34">
        <v>0</v>
      </c>
      <c r="AV967" s="34">
        <v>6.8000000000000005E-2</v>
      </c>
      <c r="AW967" s="10"/>
      <c r="AX967" s="8"/>
    </row>
    <row r="968" spans="1:50">
      <c r="A968" s="7"/>
      <c r="B968" s="10"/>
      <c r="C968" s="69" t="s">
        <v>944</v>
      </c>
      <c r="D968" s="23" t="s">
        <v>23</v>
      </c>
      <c r="E968" s="72" t="s">
        <v>1012</v>
      </c>
      <c r="F968" s="73" t="s">
        <v>1012</v>
      </c>
      <c r="G968" s="73" t="s">
        <v>1012</v>
      </c>
      <c r="H968" s="73" t="s">
        <v>1012</v>
      </c>
      <c r="I968" s="25">
        <v>0.9</v>
      </c>
      <c r="J968" s="26">
        <v>0.94117647058823528</v>
      </c>
      <c r="K968" s="26">
        <v>0.94736842105263153</v>
      </c>
      <c r="L968" s="27">
        <v>0.85</v>
      </c>
      <c r="M968" s="26">
        <v>0.90849673202614378</v>
      </c>
      <c r="N968" s="28">
        <v>0.9</v>
      </c>
      <c r="O968" s="26">
        <v>0.97167266187050361</v>
      </c>
      <c r="P968" s="26">
        <v>0.98074339453649795</v>
      </c>
      <c r="Q968" s="26">
        <v>0.98498718418161846</v>
      </c>
      <c r="R968" s="26">
        <v>0.97740816989923074</v>
      </c>
      <c r="S968" s="28">
        <v>0.9</v>
      </c>
      <c r="T968" s="26">
        <v>0.91681654676258995</v>
      </c>
      <c r="U968" s="26">
        <v>0.90058217644424543</v>
      </c>
      <c r="V968" s="26">
        <v>0.87220798242402053</v>
      </c>
      <c r="W968" s="26">
        <v>0.89944739408386609</v>
      </c>
      <c r="X968" s="28">
        <v>0.92</v>
      </c>
      <c r="Y968" s="28">
        <v>0.96409335727109513</v>
      </c>
      <c r="Z968" s="28">
        <v>0.96960486322188455</v>
      </c>
      <c r="AA968" s="28">
        <v>0.94555353901996375</v>
      </c>
      <c r="AB968" s="28">
        <v>0.95223144202736043</v>
      </c>
      <c r="AC968" s="28">
        <v>0.92</v>
      </c>
      <c r="AD968" s="26">
        <v>0.99406688241639696</v>
      </c>
      <c r="AE968" s="26">
        <v>0.9762870514820593</v>
      </c>
      <c r="AF968" s="26">
        <v>0.97095917690009959</v>
      </c>
      <c r="AG968" s="26">
        <v>0.9724208482520329</v>
      </c>
      <c r="AH968" s="28">
        <v>0.92</v>
      </c>
      <c r="AI968" s="26">
        <v>0.9759079467817332</v>
      </c>
      <c r="AJ968" s="26">
        <v>0.98166724316845377</v>
      </c>
      <c r="AK968" s="26">
        <v>0.97471054235222421</v>
      </c>
      <c r="AL968" s="26">
        <v>0.97477854867565561</v>
      </c>
      <c r="AM968" s="25">
        <v>0.99</v>
      </c>
      <c r="AN968" s="30">
        <v>1</v>
      </c>
      <c r="AO968" s="30">
        <v>1</v>
      </c>
      <c r="AP968" s="30">
        <v>1</v>
      </c>
      <c r="AQ968" s="30">
        <v>1</v>
      </c>
      <c r="AR968" s="50">
        <v>6.5641848892985799E-2</v>
      </c>
      <c r="AS968" s="34">
        <v>7.6923076923076927E-2</v>
      </c>
      <c r="AT968" s="34">
        <v>0</v>
      </c>
      <c r="AU968" s="34">
        <v>0</v>
      </c>
      <c r="AV968" s="34">
        <v>2.6548672566371681E-2</v>
      </c>
      <c r="AW968" s="10"/>
      <c r="AX968" s="8"/>
    </row>
    <row r="969" spans="1:50">
      <c r="A969" s="7"/>
      <c r="B969" s="10"/>
      <c r="C969" s="69" t="s">
        <v>944</v>
      </c>
      <c r="D969" s="23" t="s">
        <v>23</v>
      </c>
      <c r="E969" s="72" t="s">
        <v>1013</v>
      </c>
      <c r="F969" s="73" t="s">
        <v>1013</v>
      </c>
      <c r="G969" s="73" t="s">
        <v>1013</v>
      </c>
      <c r="H969" s="73" t="s">
        <v>1013</v>
      </c>
      <c r="I969" s="25">
        <v>0.9</v>
      </c>
      <c r="J969" s="26">
        <v>0</v>
      </c>
      <c r="K969" s="26">
        <v>0</v>
      </c>
      <c r="L969" s="27">
        <v>0</v>
      </c>
      <c r="M969" s="26">
        <v>0</v>
      </c>
      <c r="N969" s="28">
        <v>0.9</v>
      </c>
      <c r="O969" s="26">
        <v>0</v>
      </c>
      <c r="P969" s="26">
        <v>0</v>
      </c>
      <c r="Q969" s="26">
        <v>0</v>
      </c>
      <c r="R969" s="26">
        <v>0</v>
      </c>
      <c r="S969" s="28">
        <v>0.9</v>
      </c>
      <c r="T969" s="26">
        <v>0</v>
      </c>
      <c r="U969" s="26">
        <v>0</v>
      </c>
      <c r="V969" s="26">
        <v>0</v>
      </c>
      <c r="W969" s="26">
        <v>0</v>
      </c>
      <c r="X969" s="28">
        <v>0.92</v>
      </c>
      <c r="Y969" s="28">
        <v>0</v>
      </c>
      <c r="Z969" s="28">
        <v>0</v>
      </c>
      <c r="AA969" s="28">
        <v>0</v>
      </c>
      <c r="AB969" s="28">
        <v>0</v>
      </c>
      <c r="AC969" s="28">
        <v>0.92</v>
      </c>
      <c r="AD969" s="26">
        <v>0</v>
      </c>
      <c r="AE969" s="26">
        <v>0</v>
      </c>
      <c r="AF969" s="26">
        <v>0</v>
      </c>
      <c r="AG969" s="26">
        <v>0</v>
      </c>
      <c r="AH969" s="28">
        <v>0.92</v>
      </c>
      <c r="AI969" s="26">
        <v>0</v>
      </c>
      <c r="AJ969" s="26">
        <v>0</v>
      </c>
      <c r="AK969" s="26">
        <v>0</v>
      </c>
      <c r="AL969" s="26">
        <v>0</v>
      </c>
      <c r="AM969" s="25">
        <v>0.99</v>
      </c>
      <c r="AN969" s="30">
        <v>0</v>
      </c>
      <c r="AO969" s="30">
        <v>0</v>
      </c>
      <c r="AP969" s="30">
        <v>0</v>
      </c>
      <c r="AQ969" s="30">
        <v>0</v>
      </c>
      <c r="AR969" s="50">
        <v>6.5641848892985799E-2</v>
      </c>
      <c r="AS969" s="34">
        <v>0</v>
      </c>
      <c r="AT969" s="34">
        <v>0</v>
      </c>
      <c r="AU969" s="34">
        <v>0</v>
      </c>
      <c r="AV969" s="34">
        <v>0</v>
      </c>
      <c r="AW969" s="10"/>
      <c r="AX969" s="8"/>
    </row>
    <row r="970" spans="1:50">
      <c r="A970" s="7"/>
      <c r="B970" s="10"/>
      <c r="C970" s="69" t="s">
        <v>944</v>
      </c>
      <c r="D970" s="23" t="s">
        <v>23</v>
      </c>
      <c r="E970" s="72" t="s">
        <v>1014</v>
      </c>
      <c r="F970" s="73" t="s">
        <v>1014</v>
      </c>
      <c r="G970" s="73" t="s">
        <v>1014</v>
      </c>
      <c r="H970" s="73" t="s">
        <v>1014</v>
      </c>
      <c r="I970" s="25">
        <v>0.9</v>
      </c>
      <c r="J970" s="26">
        <v>0.8</v>
      </c>
      <c r="K970" s="26">
        <v>0.93103448275862066</v>
      </c>
      <c r="L970" s="27">
        <v>0.96666666666666667</v>
      </c>
      <c r="M970" s="26">
        <v>0.892018779342723</v>
      </c>
      <c r="N970" s="28">
        <v>0.9</v>
      </c>
      <c r="O970" s="26">
        <v>0.83233308327081768</v>
      </c>
      <c r="P970" s="26">
        <v>0.86648177496038037</v>
      </c>
      <c r="Q970" s="26">
        <v>0.82282184655396617</v>
      </c>
      <c r="R970" s="26">
        <v>0.86111111111111116</v>
      </c>
      <c r="S970" s="28">
        <v>0.9</v>
      </c>
      <c r="T970" s="26">
        <v>0.88109527381845465</v>
      </c>
      <c r="U970" s="26">
        <v>0.91759112519809827</v>
      </c>
      <c r="V970" s="26">
        <v>0.89531859557867355</v>
      </c>
      <c r="W970" s="26">
        <v>0.89452214452214451</v>
      </c>
      <c r="X970" s="28">
        <v>0.92</v>
      </c>
      <c r="Y970" s="28">
        <v>0.92704626334519569</v>
      </c>
      <c r="Z970" s="28">
        <v>0.96205962059620598</v>
      </c>
      <c r="AA970" s="28">
        <v>0.93130990415335468</v>
      </c>
      <c r="AB970" s="28">
        <v>0.93918646798227945</v>
      </c>
      <c r="AC970" s="28">
        <v>0.92</v>
      </c>
      <c r="AD970" s="26">
        <v>0.92529002320185616</v>
      </c>
      <c r="AE970" s="26">
        <v>0.58746174840790666</v>
      </c>
      <c r="AF970" s="26">
        <v>0.77350993377483446</v>
      </c>
      <c r="AG970" s="26">
        <v>0.58088065860862648</v>
      </c>
      <c r="AH970" s="28">
        <v>0.92</v>
      </c>
      <c r="AI970" s="26">
        <v>0.97149938042131345</v>
      </c>
      <c r="AJ970" s="26">
        <v>0.98160637645616189</v>
      </c>
      <c r="AK970" s="26">
        <v>0.97352782279848726</v>
      </c>
      <c r="AL970" s="26">
        <v>0.97606476592749036</v>
      </c>
      <c r="AM970" s="25">
        <v>0.99</v>
      </c>
      <c r="AN970" s="30">
        <v>1</v>
      </c>
      <c r="AO970" s="30">
        <v>1</v>
      </c>
      <c r="AP970" s="30">
        <v>1</v>
      </c>
      <c r="AQ970" s="30">
        <v>1</v>
      </c>
      <c r="AR970" s="50">
        <v>6.5641848892985799E-2</v>
      </c>
      <c r="AS970" s="34">
        <v>0</v>
      </c>
      <c r="AT970" s="34">
        <v>0</v>
      </c>
      <c r="AU970" s="34">
        <v>0</v>
      </c>
      <c r="AV970" s="34">
        <v>2.097902097902098E-2</v>
      </c>
      <c r="AW970" s="10"/>
      <c r="AX970" s="8"/>
    </row>
    <row r="971" spans="1:50">
      <c r="A971" s="7"/>
      <c r="B971" s="10"/>
      <c r="C971" s="69" t="s">
        <v>944</v>
      </c>
      <c r="D971" s="23" t="s">
        <v>23</v>
      </c>
      <c r="E971" s="72" t="s">
        <v>1015</v>
      </c>
      <c r="F971" s="73" t="s">
        <v>1015</v>
      </c>
      <c r="G971" s="73" t="s">
        <v>1015</v>
      </c>
      <c r="H971" s="73" t="s">
        <v>1015</v>
      </c>
      <c r="I971" s="25">
        <v>0.9</v>
      </c>
      <c r="J971" s="26">
        <v>0</v>
      </c>
      <c r="K971" s="26">
        <v>0</v>
      </c>
      <c r="L971" s="27">
        <v>0</v>
      </c>
      <c r="M971" s="26">
        <v>0</v>
      </c>
      <c r="N971" s="28">
        <v>0.9</v>
      </c>
      <c r="O971" s="26">
        <v>0</v>
      </c>
      <c r="P971" s="26">
        <v>0</v>
      </c>
      <c r="Q971" s="26">
        <v>0</v>
      </c>
      <c r="R971" s="26">
        <v>0</v>
      </c>
      <c r="S971" s="28">
        <v>0.9</v>
      </c>
      <c r="T971" s="26">
        <v>0</v>
      </c>
      <c r="U971" s="26">
        <v>0</v>
      </c>
      <c r="V971" s="26">
        <v>0</v>
      </c>
      <c r="W971" s="26">
        <v>0</v>
      </c>
      <c r="X971" s="28">
        <v>0.92</v>
      </c>
      <c r="Y971" s="28">
        <v>0</v>
      </c>
      <c r="Z971" s="28">
        <v>0</v>
      </c>
      <c r="AA971" s="28">
        <v>0</v>
      </c>
      <c r="AB971" s="28">
        <v>0</v>
      </c>
      <c r="AC971" s="28">
        <v>0.92</v>
      </c>
      <c r="AD971" s="26">
        <v>0</v>
      </c>
      <c r="AE971" s="26">
        <v>0</v>
      </c>
      <c r="AF971" s="26">
        <v>0</v>
      </c>
      <c r="AG971" s="26">
        <v>0</v>
      </c>
      <c r="AH971" s="28">
        <v>0.92</v>
      </c>
      <c r="AI971" s="26">
        <v>0</v>
      </c>
      <c r="AJ971" s="26">
        <v>0</v>
      </c>
      <c r="AK971" s="26">
        <v>0</v>
      </c>
      <c r="AL971" s="26">
        <v>0</v>
      </c>
      <c r="AM971" s="25">
        <v>0.99</v>
      </c>
      <c r="AN971" s="30">
        <v>0</v>
      </c>
      <c r="AO971" s="30">
        <v>0</v>
      </c>
      <c r="AP971" s="30">
        <v>0</v>
      </c>
      <c r="AQ971" s="30">
        <v>0</v>
      </c>
      <c r="AR971" s="50">
        <v>6.5641848892985799E-2</v>
      </c>
      <c r="AS971" s="34">
        <v>0</v>
      </c>
      <c r="AT971" s="34">
        <v>0</v>
      </c>
      <c r="AU971" s="34">
        <v>0</v>
      </c>
      <c r="AV971" s="34">
        <v>0</v>
      </c>
      <c r="AW971" s="10"/>
      <c r="AX971" s="8"/>
    </row>
    <row r="972" spans="1:50">
      <c r="A972" s="7"/>
      <c r="B972" s="10"/>
      <c r="C972" s="69" t="s">
        <v>944</v>
      </c>
      <c r="D972" s="23" t="s">
        <v>23</v>
      </c>
      <c r="E972" s="72" t="s">
        <v>1016</v>
      </c>
      <c r="F972" s="73" t="s">
        <v>1016</v>
      </c>
      <c r="G972" s="73" t="s">
        <v>1016</v>
      </c>
      <c r="H972" s="73" t="s">
        <v>1016</v>
      </c>
      <c r="I972" s="25">
        <v>0.9</v>
      </c>
      <c r="J972" s="26">
        <v>0.82608695652173914</v>
      </c>
      <c r="K972" s="26">
        <v>0.90476190476190477</v>
      </c>
      <c r="L972" s="27">
        <v>0.81818181818181823</v>
      </c>
      <c r="M972" s="26">
        <v>0.86033519553072624</v>
      </c>
      <c r="N972" s="28">
        <v>0.9</v>
      </c>
      <c r="O972" s="26">
        <v>0.86238938053097347</v>
      </c>
      <c r="P972" s="26">
        <v>0.8951473136915078</v>
      </c>
      <c r="Q972" s="26">
        <v>0.93204941860465118</v>
      </c>
      <c r="R972" s="26">
        <v>0.89738130721737275</v>
      </c>
      <c r="S972" s="28">
        <v>0.9</v>
      </c>
      <c r="T972" s="26">
        <v>0.84513274336283184</v>
      </c>
      <c r="U972" s="26">
        <v>0.8622183708838822</v>
      </c>
      <c r="V972" s="26">
        <v>0.81286337209302328</v>
      </c>
      <c r="W972" s="26">
        <v>0.84687034277198214</v>
      </c>
      <c r="X972" s="28">
        <v>0.92</v>
      </c>
      <c r="Y972" s="28">
        <v>0.84175824175824177</v>
      </c>
      <c r="Z972" s="28">
        <v>0.92567567567567566</v>
      </c>
      <c r="AA972" s="28">
        <v>0.86583184257602863</v>
      </c>
      <c r="AB972" s="28">
        <v>0.88188046302858492</v>
      </c>
      <c r="AC972" s="28">
        <v>0.92</v>
      </c>
      <c r="AD972" s="26">
        <v>0.99702325581395346</v>
      </c>
      <c r="AE972" s="26">
        <v>0.99486740804106077</v>
      </c>
      <c r="AF972" s="26">
        <v>0.99379474940334134</v>
      </c>
      <c r="AG972" s="26">
        <v>0.98897543949261479</v>
      </c>
      <c r="AH972" s="28">
        <v>0.92</v>
      </c>
      <c r="AI972" s="26">
        <v>0.93593519882179677</v>
      </c>
      <c r="AJ972" s="26">
        <v>0.96208204067562908</v>
      </c>
      <c r="AK972" s="26">
        <v>0.93753771876885938</v>
      </c>
      <c r="AL972" s="26">
        <v>0.947937472861485</v>
      </c>
      <c r="AM972" s="25">
        <v>0.99</v>
      </c>
      <c r="AN972" s="30">
        <v>1</v>
      </c>
      <c r="AO972" s="30">
        <v>1</v>
      </c>
      <c r="AP972" s="30">
        <v>1</v>
      </c>
      <c r="AQ972" s="30">
        <v>1</v>
      </c>
      <c r="AR972" s="50">
        <v>6.5641848892985799E-2</v>
      </c>
      <c r="AS972" s="34">
        <v>8.3333333333333329E-2</v>
      </c>
      <c r="AT972" s="34">
        <v>5.8823529411764705E-2</v>
      </c>
      <c r="AU972" s="34">
        <v>9.5238095238095233E-2</v>
      </c>
      <c r="AV972" s="34">
        <v>4.7244094488188976E-2</v>
      </c>
      <c r="AW972" s="10"/>
      <c r="AX972" s="8"/>
    </row>
    <row r="973" spans="1:50">
      <c r="A973" s="7"/>
      <c r="B973" s="10"/>
      <c r="C973" s="69" t="s">
        <v>944</v>
      </c>
      <c r="D973" s="23" t="s">
        <v>23</v>
      </c>
      <c r="E973" s="72" t="s">
        <v>1017</v>
      </c>
      <c r="F973" s="73" t="s">
        <v>1017</v>
      </c>
      <c r="G973" s="73" t="s">
        <v>1017</v>
      </c>
      <c r="H973" s="73" t="s">
        <v>1017</v>
      </c>
      <c r="I973" s="25">
        <v>0.9</v>
      </c>
      <c r="J973" s="26">
        <v>0.77272727272727271</v>
      </c>
      <c r="K973" s="26">
        <v>0.90476190476190477</v>
      </c>
      <c r="L973" s="27">
        <v>0.8571428571428571</v>
      </c>
      <c r="M973" s="26">
        <v>0.86585365853658536</v>
      </c>
      <c r="N973" s="28">
        <v>0.9</v>
      </c>
      <c r="O973" s="26">
        <v>0.81703470031545744</v>
      </c>
      <c r="P973" s="26">
        <v>0.96576695194206719</v>
      </c>
      <c r="Q973" s="26">
        <v>0.91819160387513454</v>
      </c>
      <c r="R973" s="26">
        <v>0.9245143840668798</v>
      </c>
      <c r="S973" s="28">
        <v>0.9</v>
      </c>
      <c r="T973" s="26">
        <v>0.86182965299684544</v>
      </c>
      <c r="U973" s="26">
        <v>0.83870967741935487</v>
      </c>
      <c r="V973" s="26">
        <v>0.86813778256189456</v>
      </c>
      <c r="W973" s="26">
        <v>0.86878124743873453</v>
      </c>
      <c r="X973" s="28">
        <v>0.92</v>
      </c>
      <c r="Y973" s="28">
        <v>0.86075949367088611</v>
      </c>
      <c r="Z973" s="28">
        <v>0.85882352941176465</v>
      </c>
      <c r="AA973" s="28">
        <v>0.91111111111111109</v>
      </c>
      <c r="AB973" s="28">
        <v>0.90885159591971043</v>
      </c>
      <c r="AC973" s="28">
        <v>0.92</v>
      </c>
      <c r="AD973" s="26">
        <v>0.99964302712993813</v>
      </c>
      <c r="AE973" s="26">
        <v>0.99859681945743684</v>
      </c>
      <c r="AF973" s="26">
        <v>0.99857288481141693</v>
      </c>
      <c r="AG973" s="26">
        <v>0.99886931682932634</v>
      </c>
      <c r="AH973" s="28">
        <v>0.92</v>
      </c>
      <c r="AI973" s="26">
        <v>0.93740535083291265</v>
      </c>
      <c r="AJ973" s="26">
        <v>0.94498714652956295</v>
      </c>
      <c r="AK973" s="26">
        <v>0.97430117222723178</v>
      </c>
      <c r="AL973" s="26">
        <v>0.96056947907098811</v>
      </c>
      <c r="AM973" s="25">
        <v>0.99</v>
      </c>
      <c r="AN973" s="30">
        <v>1</v>
      </c>
      <c r="AO973" s="30">
        <v>1</v>
      </c>
      <c r="AP973" s="30">
        <v>1</v>
      </c>
      <c r="AQ973" s="30">
        <v>1</v>
      </c>
      <c r="AR973" s="50">
        <v>6.5641848892985799E-2</v>
      </c>
      <c r="AS973" s="34">
        <v>0</v>
      </c>
      <c r="AT973" s="34">
        <v>7.6923076923076927E-2</v>
      </c>
      <c r="AU973" s="34">
        <v>0</v>
      </c>
      <c r="AV973" s="34">
        <v>6.9306930693069313E-2</v>
      </c>
      <c r="AW973" s="10"/>
      <c r="AX973" s="8"/>
    </row>
    <row r="974" spans="1:50">
      <c r="A974" s="7"/>
      <c r="B974" s="10"/>
      <c r="C974" s="69" t="s">
        <v>944</v>
      </c>
      <c r="D974" s="23" t="s">
        <v>23</v>
      </c>
      <c r="E974" s="74" t="s">
        <v>1018</v>
      </c>
      <c r="F974" s="75" t="s">
        <v>1018</v>
      </c>
      <c r="G974" s="75" t="s">
        <v>1018</v>
      </c>
      <c r="H974" s="75" t="s">
        <v>1018</v>
      </c>
      <c r="I974" s="25">
        <v>0.9</v>
      </c>
      <c r="J974" s="26">
        <v>1</v>
      </c>
      <c r="K974" s="26">
        <v>0.93333333333333335</v>
      </c>
      <c r="L974" s="27">
        <v>0.93333333333333335</v>
      </c>
      <c r="M974" s="26">
        <v>0.84873949579831931</v>
      </c>
      <c r="N974" s="28">
        <v>0.9</v>
      </c>
      <c r="O974" s="26">
        <v>0.90196078431372551</v>
      </c>
      <c r="P974" s="26">
        <v>0.89668769716088326</v>
      </c>
      <c r="Q974" s="26">
        <v>0.92397302268546899</v>
      </c>
      <c r="R974" s="26">
        <v>0.90607201467323095</v>
      </c>
      <c r="S974" s="28">
        <v>0.9</v>
      </c>
      <c r="T974" s="26">
        <v>0.91584967320261434</v>
      </c>
      <c r="U974" s="26">
        <v>0.92113564668769721</v>
      </c>
      <c r="V974" s="26">
        <v>0.93010423053341507</v>
      </c>
      <c r="W974" s="26">
        <v>0.92595810406409884</v>
      </c>
      <c r="X974" s="28">
        <v>0.92</v>
      </c>
      <c r="Y974" s="28">
        <v>0.92331288343558282</v>
      </c>
      <c r="Z974" s="28">
        <v>0.92520775623268703</v>
      </c>
      <c r="AA974" s="28">
        <v>0.9088050314465409</v>
      </c>
      <c r="AB974" s="28">
        <v>0.93050193050193053</v>
      </c>
      <c r="AC974" s="28">
        <v>0.92</v>
      </c>
      <c r="AD974" s="26">
        <v>0.99950124688279307</v>
      </c>
      <c r="AE974" s="26">
        <v>0.99878640776699024</v>
      </c>
      <c r="AF974" s="26">
        <v>1</v>
      </c>
      <c r="AG974" s="26">
        <v>0.99974546611517656</v>
      </c>
      <c r="AH974" s="28">
        <v>0.92</v>
      </c>
      <c r="AI974" s="26">
        <v>0.96580645161290324</v>
      </c>
      <c r="AJ974" s="26">
        <v>0.97114794352363409</v>
      </c>
      <c r="AK974" s="26">
        <v>0.96564102564102561</v>
      </c>
      <c r="AL974" s="26">
        <v>0.97128300138953216</v>
      </c>
      <c r="AM974" s="25">
        <v>0.99</v>
      </c>
      <c r="AN974" s="30">
        <v>1</v>
      </c>
      <c r="AO974" s="30">
        <v>1</v>
      </c>
      <c r="AP974" s="30">
        <v>1</v>
      </c>
      <c r="AQ974" s="30">
        <v>1</v>
      </c>
      <c r="AR974" s="50">
        <v>6.5641848892985799E-2</v>
      </c>
      <c r="AS974" s="34">
        <v>0</v>
      </c>
      <c r="AT974" s="34">
        <v>0.16666666666666666</v>
      </c>
      <c r="AU974" s="34">
        <v>0.1</v>
      </c>
      <c r="AV974" s="34">
        <v>3.9473684210526314E-2</v>
      </c>
      <c r="AW974" s="10"/>
      <c r="AX974" s="8"/>
    </row>
    <row r="975" spans="1:50">
      <c r="A975" s="7"/>
      <c r="B975" s="10"/>
      <c r="C975" s="69" t="s">
        <v>944</v>
      </c>
      <c r="D975" s="23" t="s">
        <v>23</v>
      </c>
      <c r="E975" s="80" t="s">
        <v>1019</v>
      </c>
      <c r="F975" s="81" t="s">
        <v>1019</v>
      </c>
      <c r="G975" s="81" t="s">
        <v>1019</v>
      </c>
      <c r="H975" s="81" t="s">
        <v>1019</v>
      </c>
      <c r="I975" s="25">
        <v>0.9</v>
      </c>
      <c r="J975" s="26">
        <v>0.91666666666666663</v>
      </c>
      <c r="K975" s="26">
        <v>0.84615384615384615</v>
      </c>
      <c r="L975" s="27">
        <v>1</v>
      </c>
      <c r="M975" s="26">
        <v>0.89320388349514568</v>
      </c>
      <c r="N975" s="28">
        <v>0.9</v>
      </c>
      <c r="O975" s="26">
        <v>0.92983939137785288</v>
      </c>
      <c r="P975" s="26">
        <v>0.98659966499162477</v>
      </c>
      <c r="Q975" s="26">
        <v>0.99339498018494055</v>
      </c>
      <c r="R975" s="26">
        <v>0.97552447552447552</v>
      </c>
      <c r="S975" s="28">
        <v>0.9</v>
      </c>
      <c r="T975" s="26">
        <v>0.86052409129332208</v>
      </c>
      <c r="U975" s="26">
        <v>0.92211055276381915</v>
      </c>
      <c r="V975" s="26">
        <v>0.77741083223249674</v>
      </c>
      <c r="W975" s="26">
        <v>0.8407592407592408</v>
      </c>
      <c r="X975" s="28">
        <v>0.92</v>
      </c>
      <c r="Y975" s="28">
        <v>0.77844311377245512</v>
      </c>
      <c r="Z975" s="28">
        <v>0.92458100558659218</v>
      </c>
      <c r="AA975" s="28">
        <v>0.84023668639053251</v>
      </c>
      <c r="AB975" s="28">
        <v>0.87121799844840964</v>
      </c>
      <c r="AC975" s="28">
        <v>0.92</v>
      </c>
      <c r="AD975" s="26">
        <v>1</v>
      </c>
      <c r="AE975" s="26">
        <v>0.99924069855732722</v>
      </c>
      <c r="AF975" s="26">
        <v>0.9994944388270981</v>
      </c>
      <c r="AG975" s="26">
        <v>0.99957102257493702</v>
      </c>
      <c r="AH975" s="28">
        <v>0.92</v>
      </c>
      <c r="AI975" s="26">
        <v>0.93473961766644698</v>
      </c>
      <c r="AJ975" s="26">
        <v>0.96780424983902125</v>
      </c>
      <c r="AK975" s="26">
        <v>0.95302375809935203</v>
      </c>
      <c r="AL975" s="26">
        <v>0.95456711675933281</v>
      </c>
      <c r="AM975" s="25">
        <v>0.99</v>
      </c>
      <c r="AN975" s="30">
        <v>1</v>
      </c>
      <c r="AO975" s="30">
        <v>1</v>
      </c>
      <c r="AP975" s="30">
        <v>1</v>
      </c>
      <c r="AQ975" s="30">
        <v>1</v>
      </c>
      <c r="AR975" s="50">
        <v>6.5641848892985799E-2</v>
      </c>
      <c r="AS975" s="34">
        <v>0</v>
      </c>
      <c r="AT975" s="34">
        <v>0</v>
      </c>
      <c r="AU975" s="34">
        <v>0</v>
      </c>
      <c r="AV975" s="34">
        <v>0</v>
      </c>
      <c r="AW975" s="10"/>
      <c r="AX975" s="8"/>
    </row>
    <row r="976" spans="1:50">
      <c r="A976" s="7"/>
      <c r="B976" s="10"/>
      <c r="C976" s="69" t="s">
        <v>944</v>
      </c>
      <c r="D976" s="23" t="s">
        <v>23</v>
      </c>
      <c r="E976" s="70" t="s">
        <v>1020</v>
      </c>
      <c r="F976" s="71" t="s">
        <v>1020</v>
      </c>
      <c r="G976" s="71" t="s">
        <v>1020</v>
      </c>
      <c r="H976" s="71" t="s">
        <v>1020</v>
      </c>
      <c r="I976" s="25">
        <v>0.9</v>
      </c>
      <c r="J976" s="26">
        <v>0.91891891891891897</v>
      </c>
      <c r="K976" s="26">
        <v>0.94736842105263153</v>
      </c>
      <c r="L976" s="27">
        <v>0.94871794871794868</v>
      </c>
      <c r="M976" s="26">
        <v>0.92203389830508475</v>
      </c>
      <c r="N976" s="28">
        <v>0.9</v>
      </c>
      <c r="O976" s="26">
        <v>0.93875090426814567</v>
      </c>
      <c r="P976" s="26">
        <v>0.95481335952848723</v>
      </c>
      <c r="Q976" s="26">
        <v>0.89692307692307693</v>
      </c>
      <c r="R976" s="26">
        <v>0.9284871585443325</v>
      </c>
      <c r="S976" s="28">
        <v>0.9</v>
      </c>
      <c r="T976" s="26">
        <v>0.89462261876054983</v>
      </c>
      <c r="U976" s="26">
        <v>0.90520628683693516</v>
      </c>
      <c r="V976" s="26">
        <v>0.87931623931623937</v>
      </c>
      <c r="W976" s="26">
        <v>0.87811961157999818</v>
      </c>
      <c r="X976" s="28">
        <v>0.92</v>
      </c>
      <c r="Y976" s="28">
        <v>0</v>
      </c>
      <c r="Z976" s="28">
        <v>0</v>
      </c>
      <c r="AA976" s="28">
        <v>0</v>
      </c>
      <c r="AB976" s="28">
        <v>0</v>
      </c>
      <c r="AC976" s="28">
        <v>0.92</v>
      </c>
      <c r="AD976" s="26">
        <v>0.97990255785627289</v>
      </c>
      <c r="AE976" s="26">
        <v>0.97822248381400823</v>
      </c>
      <c r="AF976" s="26">
        <v>0.95179233621755255</v>
      </c>
      <c r="AG976" s="26">
        <v>0.97978227060653189</v>
      </c>
      <c r="AH976" s="28">
        <v>0.92</v>
      </c>
      <c r="AI976" s="26">
        <v>0.93465155534121047</v>
      </c>
      <c r="AJ976" s="26">
        <v>0.93393909626719052</v>
      </c>
      <c r="AK976" s="26">
        <v>0.95111111111111113</v>
      </c>
      <c r="AL976" s="26">
        <v>0.9298505656724545</v>
      </c>
      <c r="AM976" s="25">
        <v>0.99</v>
      </c>
      <c r="AN976" s="30">
        <v>1</v>
      </c>
      <c r="AO976" s="30">
        <v>1</v>
      </c>
      <c r="AP976" s="30">
        <v>1</v>
      </c>
      <c r="AQ976" s="30">
        <v>1</v>
      </c>
      <c r="AR976" s="50">
        <v>6.5641848892985799E-2</v>
      </c>
      <c r="AS976" s="34">
        <v>0.08</v>
      </c>
      <c r="AT976" s="34">
        <v>0</v>
      </c>
      <c r="AU976" s="34">
        <v>0</v>
      </c>
      <c r="AV976" s="34">
        <v>2.9702970297029702E-2</v>
      </c>
      <c r="AW976" s="10"/>
      <c r="AX976" s="8"/>
    </row>
    <row r="977" spans="1:50">
      <c r="A977" s="7"/>
      <c r="B977" s="10"/>
      <c r="C977" s="69" t="s">
        <v>944</v>
      </c>
      <c r="D977" s="23" t="s">
        <v>23</v>
      </c>
      <c r="E977" s="70" t="s">
        <v>1021</v>
      </c>
      <c r="F977" s="71" t="s">
        <v>1021</v>
      </c>
      <c r="G977" s="71" t="s">
        <v>1021</v>
      </c>
      <c r="H977" s="71" t="s">
        <v>1021</v>
      </c>
      <c r="I977" s="25">
        <v>0.9</v>
      </c>
      <c r="J977" s="26">
        <v>0.88636363636363635</v>
      </c>
      <c r="K977" s="26">
        <v>1</v>
      </c>
      <c r="L977" s="27">
        <v>0.97674418604651159</v>
      </c>
      <c r="M977" s="26">
        <v>0.95882352941176474</v>
      </c>
      <c r="N977" s="28">
        <v>0.9</v>
      </c>
      <c r="O977" s="26">
        <v>0.95789473684210524</v>
      </c>
      <c r="P977" s="26">
        <v>0.97901390644753472</v>
      </c>
      <c r="Q977" s="26">
        <v>0.86729604560028495</v>
      </c>
      <c r="R977" s="26">
        <v>0.94667656428814451</v>
      </c>
      <c r="S977" s="28">
        <v>0.9</v>
      </c>
      <c r="T977" s="26">
        <v>0.89904306220095698</v>
      </c>
      <c r="U977" s="26">
        <v>0.91681415929203536</v>
      </c>
      <c r="V977" s="26">
        <v>0.91930887068044176</v>
      </c>
      <c r="W977" s="26">
        <v>0.91222046951841884</v>
      </c>
      <c r="X977" s="28">
        <v>0.92</v>
      </c>
      <c r="Y977" s="28">
        <v>0</v>
      </c>
      <c r="Z977" s="28">
        <v>0</v>
      </c>
      <c r="AA977" s="28">
        <v>0</v>
      </c>
      <c r="AB977" s="28">
        <v>0</v>
      </c>
      <c r="AC977" s="28">
        <v>0.92</v>
      </c>
      <c r="AD977" s="26">
        <v>0.99344620425996721</v>
      </c>
      <c r="AE977" s="26">
        <v>0.99053627760252361</v>
      </c>
      <c r="AF977" s="26">
        <v>0.98697621744054365</v>
      </c>
      <c r="AG977" s="26">
        <v>0.9908452066275546</v>
      </c>
      <c r="AH977" s="28">
        <v>0.92</v>
      </c>
      <c r="AI977" s="26">
        <v>0.94138755980861244</v>
      </c>
      <c r="AJ977" s="26">
        <v>0.9512010113780025</v>
      </c>
      <c r="AK977" s="26">
        <v>0.95920912005700032</v>
      </c>
      <c r="AL977" s="26">
        <v>0.9483158578454115</v>
      </c>
      <c r="AM977" s="25">
        <v>0.99</v>
      </c>
      <c r="AN977" s="30">
        <v>1</v>
      </c>
      <c r="AO977" s="30">
        <v>1</v>
      </c>
      <c r="AP977" s="30">
        <v>1</v>
      </c>
      <c r="AQ977" s="30">
        <v>1</v>
      </c>
      <c r="AR977" s="50">
        <v>6.5641848892985799E-2</v>
      </c>
      <c r="AS977" s="34">
        <v>0</v>
      </c>
      <c r="AT977" s="34">
        <v>5.8823529411764705E-2</v>
      </c>
      <c r="AU977" s="34">
        <v>0</v>
      </c>
      <c r="AV977" s="34">
        <v>3.875968992248062E-2</v>
      </c>
      <c r="AW977" s="10"/>
      <c r="AX977" s="8"/>
    </row>
    <row r="978" spans="1:50">
      <c r="A978" s="7"/>
      <c r="B978" s="10"/>
      <c r="C978" s="69" t="s">
        <v>944</v>
      </c>
      <c r="D978" s="23" t="s">
        <v>23</v>
      </c>
      <c r="E978" s="72" t="s">
        <v>1022</v>
      </c>
      <c r="F978" s="73" t="s">
        <v>1022</v>
      </c>
      <c r="G978" s="73" t="s">
        <v>1022</v>
      </c>
      <c r="H978" s="73" t="s">
        <v>1022</v>
      </c>
      <c r="I978" s="25">
        <v>0.9</v>
      </c>
      <c r="J978" s="26">
        <v>0.9285714285714286</v>
      </c>
      <c r="K978" s="26">
        <v>0.96363636363636362</v>
      </c>
      <c r="L978" s="27">
        <v>0.96551724137931039</v>
      </c>
      <c r="M978" s="26">
        <v>0.94942528735632181</v>
      </c>
      <c r="N978" s="28">
        <v>0.9</v>
      </c>
      <c r="O978" s="26">
        <v>0.91354581673306778</v>
      </c>
      <c r="P978" s="26">
        <v>0.96069963290865901</v>
      </c>
      <c r="Q978" s="26">
        <v>0.94342881819490432</v>
      </c>
      <c r="R978" s="26">
        <v>0.92107894669367452</v>
      </c>
      <c r="S978" s="28">
        <v>0.9</v>
      </c>
      <c r="T978" s="26">
        <v>0.89282868525896419</v>
      </c>
      <c r="U978" s="26">
        <v>0.92614985964154606</v>
      </c>
      <c r="V978" s="26">
        <v>0.91564704188858503</v>
      </c>
      <c r="W978" s="26">
        <v>0.89784877310838185</v>
      </c>
      <c r="X978" s="28">
        <v>0.92</v>
      </c>
      <c r="Y978" s="28">
        <v>0</v>
      </c>
      <c r="Z978" s="28">
        <v>0</v>
      </c>
      <c r="AA978" s="28">
        <v>0</v>
      </c>
      <c r="AB978" s="28">
        <v>0</v>
      </c>
      <c r="AC978" s="28">
        <v>0.92</v>
      </c>
      <c r="AD978" s="26">
        <v>0.97089947089947093</v>
      </c>
      <c r="AE978" s="26">
        <v>0.91574074074074074</v>
      </c>
      <c r="AF978" s="26">
        <v>0.88513513513513509</v>
      </c>
      <c r="AG978" s="26">
        <v>0.95632289046421226</v>
      </c>
      <c r="AH978" s="28">
        <v>0.92</v>
      </c>
      <c r="AI978" s="26">
        <v>0.93310770455902847</v>
      </c>
      <c r="AJ978" s="26">
        <v>0.95443748650399485</v>
      </c>
      <c r="AK978" s="26">
        <v>0.95911904419173744</v>
      </c>
      <c r="AL978" s="26">
        <v>0.93985386488911682</v>
      </c>
      <c r="AM978" s="25">
        <v>0.99</v>
      </c>
      <c r="AN978" s="30">
        <v>1</v>
      </c>
      <c r="AO978" s="30">
        <v>1</v>
      </c>
      <c r="AP978" s="30">
        <v>1</v>
      </c>
      <c r="AQ978" s="30">
        <v>1</v>
      </c>
      <c r="AR978" s="50">
        <v>6.5641848892985799E-2</v>
      </c>
      <c r="AS978" s="34">
        <v>0.1875</v>
      </c>
      <c r="AT978" s="34">
        <v>1.9230769230769232E-2</v>
      </c>
      <c r="AU978" s="34">
        <v>0</v>
      </c>
      <c r="AV978" s="34">
        <v>5.6872037914691941E-2</v>
      </c>
      <c r="AW978" s="10"/>
      <c r="AX978" s="8"/>
    </row>
    <row r="979" spans="1:50">
      <c r="A979" s="7"/>
      <c r="B979" s="10"/>
      <c r="C979" s="69" t="s">
        <v>944</v>
      </c>
      <c r="D979" s="23" t="s">
        <v>23</v>
      </c>
      <c r="E979" s="72" t="s">
        <v>1023</v>
      </c>
      <c r="F979" s="73" t="s">
        <v>1023</v>
      </c>
      <c r="G979" s="73" t="s">
        <v>1023</v>
      </c>
      <c r="H979" s="73" t="s">
        <v>1023</v>
      </c>
      <c r="I979" s="25">
        <v>0.9</v>
      </c>
      <c r="J979" s="26">
        <v>0.967741935483871</v>
      </c>
      <c r="K979" s="26">
        <v>0.93548387096774188</v>
      </c>
      <c r="L979" s="27">
        <v>0.90909090909090906</v>
      </c>
      <c r="M979" s="26">
        <v>0.91428571428571426</v>
      </c>
      <c r="N979" s="28">
        <v>0.9</v>
      </c>
      <c r="O979" s="26">
        <v>0.89276228419654713</v>
      </c>
      <c r="P979" s="26">
        <v>0.92507418397626118</v>
      </c>
      <c r="Q979" s="26">
        <v>0.93060161061108482</v>
      </c>
      <c r="R979" s="26">
        <v>0.9110943522708228</v>
      </c>
      <c r="S979" s="28">
        <v>0.9</v>
      </c>
      <c r="T979" s="26">
        <v>0.91401062416998669</v>
      </c>
      <c r="U979" s="26">
        <v>0.92507418397626118</v>
      </c>
      <c r="V979" s="26">
        <v>0.91520606347702516</v>
      </c>
      <c r="W979" s="26">
        <v>0.91553544494720962</v>
      </c>
      <c r="X979" s="28">
        <v>0.92</v>
      </c>
      <c r="Y979" s="28">
        <v>0</v>
      </c>
      <c r="Z979" s="28">
        <v>0</v>
      </c>
      <c r="AA979" s="28">
        <v>0</v>
      </c>
      <c r="AB979" s="28">
        <v>0</v>
      </c>
      <c r="AC979" s="28">
        <v>0.92</v>
      </c>
      <c r="AD979" s="26">
        <v>0.99709133216986623</v>
      </c>
      <c r="AE979" s="26">
        <v>0.96518218623481777</v>
      </c>
      <c r="AF979" s="26">
        <v>0.98275862068965514</v>
      </c>
      <c r="AG979" s="26">
        <v>0.97655737704918033</v>
      </c>
      <c r="AH979" s="28">
        <v>0.92</v>
      </c>
      <c r="AI979" s="26">
        <v>0.95187520743445075</v>
      </c>
      <c r="AJ979" s="26">
        <v>0.95178041543026703</v>
      </c>
      <c r="AK979" s="26">
        <v>0.95641875888204642</v>
      </c>
      <c r="AL979" s="26">
        <v>0.95647802957315797</v>
      </c>
      <c r="AM979" s="25">
        <v>0.99</v>
      </c>
      <c r="AN979" s="30">
        <v>1</v>
      </c>
      <c r="AO979" s="30">
        <v>1</v>
      </c>
      <c r="AP979" s="30">
        <v>1</v>
      </c>
      <c r="AQ979" s="30">
        <v>1</v>
      </c>
      <c r="AR979" s="50">
        <v>6.5641848892985799E-2</v>
      </c>
      <c r="AS979" s="34">
        <v>0.05</v>
      </c>
      <c r="AT979" s="34">
        <v>0</v>
      </c>
      <c r="AU979" s="34">
        <v>0</v>
      </c>
      <c r="AV979" s="34">
        <v>2.7972027972027972E-2</v>
      </c>
      <c r="AW979" s="10"/>
      <c r="AX979" s="8"/>
    </row>
    <row r="980" spans="1:50">
      <c r="A980" s="7"/>
      <c r="B980" s="10"/>
      <c r="C980" s="69" t="s">
        <v>944</v>
      </c>
      <c r="D980" s="23" t="s">
        <v>23</v>
      </c>
      <c r="E980" s="72" t="s">
        <v>1024</v>
      </c>
      <c r="F980" s="73" t="s">
        <v>1024</v>
      </c>
      <c r="G980" s="73" t="s">
        <v>1024</v>
      </c>
      <c r="H980" s="73" t="s">
        <v>1024</v>
      </c>
      <c r="I980" s="25">
        <v>0.9</v>
      </c>
      <c r="J980" s="26">
        <v>0.89130434782608692</v>
      </c>
      <c r="K980" s="26">
        <v>0.9375</v>
      </c>
      <c r="L980" s="27">
        <v>0.94</v>
      </c>
      <c r="M980" s="26">
        <v>0.91397849462365588</v>
      </c>
      <c r="N980" s="28">
        <v>0.9</v>
      </c>
      <c r="O980" s="26">
        <v>0.89787485242030696</v>
      </c>
      <c r="P980" s="26">
        <v>0.95592556317335942</v>
      </c>
      <c r="Q980" s="26">
        <v>0.94382978723404254</v>
      </c>
      <c r="R980" s="26">
        <v>0.9418490566037736</v>
      </c>
      <c r="S980" s="28">
        <v>0.9</v>
      </c>
      <c r="T980" s="26">
        <v>0.89049586776859502</v>
      </c>
      <c r="U980" s="26">
        <v>0.92164544564152795</v>
      </c>
      <c r="V980" s="26">
        <v>0.89191489361702125</v>
      </c>
      <c r="W980" s="26">
        <v>0.89694339622641506</v>
      </c>
      <c r="X980" s="28">
        <v>0.92</v>
      </c>
      <c r="Y980" s="28">
        <v>0</v>
      </c>
      <c r="Z980" s="28">
        <v>0</v>
      </c>
      <c r="AA980" s="28">
        <v>0</v>
      </c>
      <c r="AB980" s="28">
        <v>0</v>
      </c>
      <c r="AC980" s="28">
        <v>0.92</v>
      </c>
      <c r="AD980" s="26">
        <v>0.96376350921805465</v>
      </c>
      <c r="AE980" s="26">
        <v>0.97570235383447224</v>
      </c>
      <c r="AF980" s="26">
        <v>0.97721724979658253</v>
      </c>
      <c r="AG980" s="26">
        <v>0.96800077339520496</v>
      </c>
      <c r="AH980" s="28">
        <v>0.92</v>
      </c>
      <c r="AI980" s="26">
        <v>0.95484061393152297</v>
      </c>
      <c r="AJ980" s="26">
        <v>0.96180215475024489</v>
      </c>
      <c r="AK980" s="26">
        <v>0.96702127659574466</v>
      </c>
      <c r="AL980" s="26">
        <v>0.95585405425800851</v>
      </c>
      <c r="AM980" s="25">
        <v>0.99</v>
      </c>
      <c r="AN980" s="30">
        <v>1</v>
      </c>
      <c r="AO980" s="30">
        <v>1</v>
      </c>
      <c r="AP980" s="30">
        <v>1</v>
      </c>
      <c r="AQ980" s="30">
        <v>1</v>
      </c>
      <c r="AR980" s="50">
        <v>6.5641848892985799E-2</v>
      </c>
      <c r="AS980" s="34">
        <v>5.5555555555555552E-2</v>
      </c>
      <c r="AT980" s="34">
        <v>0</v>
      </c>
      <c r="AU980" s="34">
        <v>0</v>
      </c>
      <c r="AV980" s="34">
        <v>2.3809523809523808E-2</v>
      </c>
      <c r="AW980" s="10"/>
      <c r="AX980" s="8"/>
    </row>
    <row r="981" spans="1:50">
      <c r="A981" s="7"/>
      <c r="B981" s="10"/>
      <c r="C981" s="69" t="s">
        <v>944</v>
      </c>
      <c r="D981" s="23" t="s">
        <v>23</v>
      </c>
      <c r="E981" s="72" t="s">
        <v>1025</v>
      </c>
      <c r="F981" s="73" t="s">
        <v>1025</v>
      </c>
      <c r="G981" s="73" t="s">
        <v>1025</v>
      </c>
      <c r="H981" s="73" t="s">
        <v>1025</v>
      </c>
      <c r="I981" s="25">
        <v>0.9</v>
      </c>
      <c r="J981" s="26">
        <v>0.89655172413793105</v>
      </c>
      <c r="K981" s="26">
        <v>0.96969696969696972</v>
      </c>
      <c r="L981" s="27">
        <v>0.87096774193548387</v>
      </c>
      <c r="M981" s="26">
        <v>0.94262295081967218</v>
      </c>
      <c r="N981" s="28">
        <v>0.9</v>
      </c>
      <c r="O981" s="26">
        <v>0.91718796544533809</v>
      </c>
      <c r="P981" s="26">
        <v>0.91269349845201242</v>
      </c>
      <c r="Q981" s="26">
        <v>0.90401505646173153</v>
      </c>
      <c r="R981" s="26">
        <v>0.91941322875028286</v>
      </c>
      <c r="S981" s="28">
        <v>0.9</v>
      </c>
      <c r="T981" s="26">
        <v>0.8954423592493298</v>
      </c>
      <c r="U981" s="26">
        <v>0.89504643962848296</v>
      </c>
      <c r="V981" s="26">
        <v>0.90652446675031373</v>
      </c>
      <c r="W981" s="26">
        <v>0.902368202730221</v>
      </c>
      <c r="X981" s="28">
        <v>0.92</v>
      </c>
      <c r="Y981" s="28">
        <v>0</v>
      </c>
      <c r="Z981" s="28">
        <v>0</v>
      </c>
      <c r="AA981" s="28">
        <v>0</v>
      </c>
      <c r="AB981" s="28">
        <v>0</v>
      </c>
      <c r="AC981" s="28">
        <v>0.92</v>
      </c>
      <c r="AD981" s="26">
        <v>0.96875</v>
      </c>
      <c r="AE981" s="26">
        <v>0.96822033898305082</v>
      </c>
      <c r="AF981" s="26">
        <v>0.97137014314928427</v>
      </c>
      <c r="AG981" s="26">
        <v>0.97655695003551979</v>
      </c>
      <c r="AH981" s="28">
        <v>0.92</v>
      </c>
      <c r="AI981" s="26">
        <v>0.94042299672326479</v>
      </c>
      <c r="AJ981" s="26">
        <v>0.95263157894736838</v>
      </c>
      <c r="AK981" s="26">
        <v>0.95190296946884145</v>
      </c>
      <c r="AL981" s="26">
        <v>0.95112937893585736</v>
      </c>
      <c r="AM981" s="25">
        <v>0.99</v>
      </c>
      <c r="AN981" s="30">
        <v>1</v>
      </c>
      <c r="AO981" s="30">
        <v>1</v>
      </c>
      <c r="AP981" s="30">
        <v>1</v>
      </c>
      <c r="AQ981" s="30">
        <v>1</v>
      </c>
      <c r="AR981" s="50">
        <v>6.5641848892985799E-2</v>
      </c>
      <c r="AS981" s="34">
        <v>7.6923076923076927E-2</v>
      </c>
      <c r="AT981" s="34">
        <v>0</v>
      </c>
      <c r="AU981" s="34">
        <v>0</v>
      </c>
      <c r="AV981" s="34">
        <v>2.7777777777777776E-2</v>
      </c>
      <c r="AW981" s="10"/>
      <c r="AX981" s="8"/>
    </row>
    <row r="982" spans="1:50">
      <c r="A982" s="7"/>
      <c r="B982" s="10"/>
      <c r="C982" s="69" t="s">
        <v>944</v>
      </c>
      <c r="D982" s="23" t="s">
        <v>23</v>
      </c>
      <c r="E982" s="72" t="s">
        <v>1026</v>
      </c>
      <c r="F982" s="73" t="s">
        <v>1026</v>
      </c>
      <c r="G982" s="73" t="s">
        <v>1026</v>
      </c>
      <c r="H982" s="73" t="s">
        <v>1026</v>
      </c>
      <c r="I982" s="25">
        <v>0.9</v>
      </c>
      <c r="J982" s="26">
        <v>0</v>
      </c>
      <c r="K982" s="26">
        <v>0</v>
      </c>
      <c r="L982" s="27">
        <v>0</v>
      </c>
      <c r="M982" s="26">
        <v>0</v>
      </c>
      <c r="N982" s="28">
        <v>0.9</v>
      </c>
      <c r="O982" s="26">
        <v>0</v>
      </c>
      <c r="P982" s="26">
        <v>0</v>
      </c>
      <c r="Q982" s="26">
        <v>0</v>
      </c>
      <c r="R982" s="26">
        <v>0</v>
      </c>
      <c r="S982" s="28">
        <v>0.9</v>
      </c>
      <c r="T982" s="26">
        <v>0</v>
      </c>
      <c r="U982" s="26">
        <v>0</v>
      </c>
      <c r="V982" s="26">
        <v>0</v>
      </c>
      <c r="W982" s="26">
        <v>0</v>
      </c>
      <c r="X982" s="28">
        <v>0.92</v>
      </c>
      <c r="Y982" s="28">
        <v>0</v>
      </c>
      <c r="Z982" s="28">
        <v>0</v>
      </c>
      <c r="AA982" s="28">
        <v>0</v>
      </c>
      <c r="AB982" s="28">
        <v>0</v>
      </c>
      <c r="AC982" s="28">
        <v>0.92</v>
      </c>
      <c r="AD982" s="26">
        <v>0.75103734439834025</v>
      </c>
      <c r="AE982" s="26">
        <v>0.83458646616541354</v>
      </c>
      <c r="AF982" s="26">
        <v>0.91772151898734178</v>
      </c>
      <c r="AG982" s="26">
        <v>0.91296545536114848</v>
      </c>
      <c r="AH982" s="28">
        <v>0.92</v>
      </c>
      <c r="AI982" s="26">
        <v>0</v>
      </c>
      <c r="AJ982" s="26">
        <v>0</v>
      </c>
      <c r="AK982" s="26">
        <v>0</v>
      </c>
      <c r="AL982" s="26">
        <v>0.33333333333333331</v>
      </c>
      <c r="AM982" s="25">
        <v>0.99</v>
      </c>
      <c r="AN982" s="30">
        <v>1</v>
      </c>
      <c r="AO982" s="30">
        <v>1</v>
      </c>
      <c r="AP982" s="30">
        <v>1</v>
      </c>
      <c r="AQ982" s="30">
        <v>1</v>
      </c>
      <c r="AR982" s="50">
        <v>6.5641848892985799E-2</v>
      </c>
      <c r="AS982" s="34">
        <v>0</v>
      </c>
      <c r="AT982" s="34">
        <v>0</v>
      </c>
      <c r="AU982" s="34">
        <v>0</v>
      </c>
      <c r="AV982" s="34">
        <v>0</v>
      </c>
      <c r="AW982" s="10"/>
      <c r="AX982" s="8"/>
    </row>
    <row r="983" spans="1:50">
      <c r="A983" s="7"/>
      <c r="B983" s="10"/>
      <c r="C983" s="69" t="s">
        <v>944</v>
      </c>
      <c r="D983" s="23" t="s">
        <v>23</v>
      </c>
      <c r="E983" s="72" t="s">
        <v>1027</v>
      </c>
      <c r="F983" s="73" t="s">
        <v>1027</v>
      </c>
      <c r="G983" s="73" t="s">
        <v>1027</v>
      </c>
      <c r="H983" s="73" t="s">
        <v>1027</v>
      </c>
      <c r="I983" s="25">
        <v>0.9</v>
      </c>
      <c r="J983" s="26">
        <v>0.87272727272727268</v>
      </c>
      <c r="K983" s="26">
        <v>0.95161290322580649</v>
      </c>
      <c r="L983" s="27">
        <v>0.98333333333333328</v>
      </c>
      <c r="M983" s="26">
        <v>0.90476190476190477</v>
      </c>
      <c r="N983" s="28">
        <v>0.9</v>
      </c>
      <c r="O983" s="26">
        <v>0.94398092967818836</v>
      </c>
      <c r="P983" s="26">
        <v>0.95641421947449767</v>
      </c>
      <c r="Q983" s="26">
        <v>0.95496991076986926</v>
      </c>
      <c r="R983" s="26">
        <v>0.94961910720200193</v>
      </c>
      <c r="S983" s="28">
        <v>0.9</v>
      </c>
      <c r="T983" s="26">
        <v>0.9258045292014303</v>
      </c>
      <c r="U983" s="26">
        <v>0.92859350850077282</v>
      </c>
      <c r="V983" s="26">
        <v>0.90122432039842293</v>
      </c>
      <c r="W983" s="26">
        <v>0.92109814889780295</v>
      </c>
      <c r="X983" s="28">
        <v>0.92</v>
      </c>
      <c r="Y983" s="28">
        <v>0</v>
      </c>
      <c r="Z983" s="28">
        <v>0</v>
      </c>
      <c r="AA983" s="28">
        <v>0</v>
      </c>
      <c r="AB983" s="28">
        <v>0</v>
      </c>
      <c r="AC983" s="28">
        <v>0.92</v>
      </c>
      <c r="AD983" s="26">
        <v>0.9944979367262724</v>
      </c>
      <c r="AE983" s="26">
        <v>0.96943765281173599</v>
      </c>
      <c r="AF983" s="26">
        <v>0.97842835130970729</v>
      </c>
      <c r="AG983" s="26">
        <v>0.97871409826505318</v>
      </c>
      <c r="AH983" s="28">
        <v>0.92</v>
      </c>
      <c r="AI983" s="26">
        <v>0.95144474232946086</v>
      </c>
      <c r="AJ983" s="26">
        <v>0.95795981452859347</v>
      </c>
      <c r="AK983" s="26">
        <v>0.96493048350280142</v>
      </c>
      <c r="AL983" s="26">
        <v>0.96091996320147199</v>
      </c>
      <c r="AM983" s="25">
        <v>0.99</v>
      </c>
      <c r="AN983" s="30">
        <v>1</v>
      </c>
      <c r="AO983" s="30">
        <v>1</v>
      </c>
      <c r="AP983" s="30">
        <v>1</v>
      </c>
      <c r="AQ983" s="30">
        <v>1</v>
      </c>
      <c r="AR983" s="50">
        <v>6.5641848892985799E-2</v>
      </c>
      <c r="AS983" s="34">
        <v>5.5555555555555552E-2</v>
      </c>
      <c r="AT983" s="34">
        <v>5.8823529411764705E-2</v>
      </c>
      <c r="AU983" s="34">
        <v>0</v>
      </c>
      <c r="AV983" s="34">
        <v>2.8776978417266189E-2</v>
      </c>
      <c r="AW983" s="10"/>
      <c r="AX983" s="8"/>
    </row>
    <row r="984" spans="1:50">
      <c r="A984" s="7"/>
      <c r="B984" s="10"/>
      <c r="C984" s="69" t="s">
        <v>944</v>
      </c>
      <c r="D984" s="23" t="s">
        <v>23</v>
      </c>
      <c r="E984" s="72" t="s">
        <v>1028</v>
      </c>
      <c r="F984" s="73" t="s">
        <v>1028</v>
      </c>
      <c r="G984" s="73" t="s">
        <v>1028</v>
      </c>
      <c r="H984" s="73" t="s">
        <v>1028</v>
      </c>
      <c r="I984" s="25">
        <v>0.9</v>
      </c>
      <c r="J984" s="26">
        <v>0.9821428571428571</v>
      </c>
      <c r="K984" s="26">
        <v>1</v>
      </c>
      <c r="L984" s="27">
        <v>1</v>
      </c>
      <c r="M984" s="26">
        <v>0.99557522123893805</v>
      </c>
      <c r="N984" s="28">
        <v>0.9</v>
      </c>
      <c r="O984" s="26">
        <v>0.95522388059701491</v>
      </c>
      <c r="P984" s="26">
        <v>0.96818452972758007</v>
      </c>
      <c r="Q984" s="26">
        <v>0.96173436071568497</v>
      </c>
      <c r="R984" s="26">
        <v>0.9610340863771788</v>
      </c>
      <c r="S984" s="28">
        <v>0.9</v>
      </c>
      <c r="T984" s="26">
        <v>0.9270522388059701</v>
      </c>
      <c r="U984" s="26">
        <v>0.94153907337442833</v>
      </c>
      <c r="V984" s="26">
        <v>0.91994253624134781</v>
      </c>
      <c r="W984" s="26">
        <v>0.92720576160649348</v>
      </c>
      <c r="X984" s="28">
        <v>0.92</v>
      </c>
      <c r="Y984" s="28">
        <v>0</v>
      </c>
      <c r="Z984" s="28">
        <v>0</v>
      </c>
      <c r="AA984" s="28">
        <v>0</v>
      </c>
      <c r="AB984" s="28">
        <v>0</v>
      </c>
      <c r="AC984" s="28">
        <v>0.92</v>
      </c>
      <c r="AD984" s="26">
        <v>0.99503504672897192</v>
      </c>
      <c r="AE984" s="26">
        <v>0.99528108329913834</v>
      </c>
      <c r="AF984" s="26">
        <v>0.99285288862418108</v>
      </c>
      <c r="AG984" s="26">
        <v>0.993108678448958</v>
      </c>
      <c r="AH984" s="28">
        <v>0.92</v>
      </c>
      <c r="AI984" s="26">
        <v>0.96623134328358207</v>
      </c>
      <c r="AJ984" s="26">
        <v>0.97514416384967195</v>
      </c>
      <c r="AK984" s="26">
        <v>0.98171846435100552</v>
      </c>
      <c r="AL984" s="26">
        <v>0.97318663789058835</v>
      </c>
      <c r="AM984" s="25">
        <v>0.99</v>
      </c>
      <c r="AN984" s="30">
        <v>1</v>
      </c>
      <c r="AO984" s="30">
        <v>1</v>
      </c>
      <c r="AP984" s="30">
        <v>1</v>
      </c>
      <c r="AQ984" s="30">
        <v>1</v>
      </c>
      <c r="AR984" s="50">
        <v>6.5641848892985799E-2</v>
      </c>
      <c r="AS984" s="34">
        <v>0</v>
      </c>
      <c r="AT984" s="34">
        <v>0.2</v>
      </c>
      <c r="AU984" s="34">
        <v>0</v>
      </c>
      <c r="AV984" s="34">
        <v>6.6037735849056603E-2</v>
      </c>
      <c r="AW984" s="10"/>
      <c r="AX984" s="8"/>
    </row>
    <row r="985" spans="1:50">
      <c r="A985" s="7"/>
      <c r="B985" s="10"/>
      <c r="C985" s="69" t="s">
        <v>944</v>
      </c>
      <c r="D985" s="23" t="s">
        <v>23</v>
      </c>
      <c r="E985" s="72" t="s">
        <v>1029</v>
      </c>
      <c r="F985" s="73" t="s">
        <v>1029</v>
      </c>
      <c r="G985" s="73" t="s">
        <v>1029</v>
      </c>
      <c r="H985" s="73" t="s">
        <v>1029</v>
      </c>
      <c r="I985" s="25">
        <v>0.9</v>
      </c>
      <c r="J985" s="26">
        <v>0.95833333333333337</v>
      </c>
      <c r="K985" s="26">
        <v>1</v>
      </c>
      <c r="L985" s="27">
        <v>1</v>
      </c>
      <c r="M985" s="26">
        <v>0.94472361809045224</v>
      </c>
      <c r="N985" s="28">
        <v>0.9</v>
      </c>
      <c r="O985" s="26">
        <v>0.94173228346456694</v>
      </c>
      <c r="P985" s="26">
        <v>0.97473404255319152</v>
      </c>
      <c r="Q985" s="26">
        <v>0.9836441893830703</v>
      </c>
      <c r="R985" s="26">
        <v>0.94850386350671578</v>
      </c>
      <c r="S985" s="28">
        <v>0.9</v>
      </c>
      <c r="T985" s="26">
        <v>0.93110236220472442</v>
      </c>
      <c r="U985" s="26">
        <v>0.94104609929078009</v>
      </c>
      <c r="V985" s="26">
        <v>0.90387374461979919</v>
      </c>
      <c r="W985" s="26">
        <v>0.91546958460820416</v>
      </c>
      <c r="X985" s="28">
        <v>0.92</v>
      </c>
      <c r="Y985" s="28">
        <v>0</v>
      </c>
      <c r="Z985" s="28">
        <v>0</v>
      </c>
      <c r="AA985" s="28">
        <v>0</v>
      </c>
      <c r="AB985" s="28">
        <v>0</v>
      </c>
      <c r="AC985" s="28">
        <v>0.92</v>
      </c>
      <c r="AD985" s="26">
        <v>0.97689768976897695</v>
      </c>
      <c r="AE985" s="26">
        <v>0.90869565217391302</v>
      </c>
      <c r="AF985" s="26">
        <v>0.92250922509225097</v>
      </c>
      <c r="AG985" s="26">
        <v>0.95856711264566252</v>
      </c>
      <c r="AH985" s="28">
        <v>0.92</v>
      </c>
      <c r="AI985" s="26">
        <v>0.96692913385826773</v>
      </c>
      <c r="AJ985" s="26">
        <v>0.96941489361702127</v>
      </c>
      <c r="AK985" s="26">
        <v>0.96987951807228912</v>
      </c>
      <c r="AL985" s="26">
        <v>0.9687824102883219</v>
      </c>
      <c r="AM985" s="25">
        <v>0.99</v>
      </c>
      <c r="AN985" s="30">
        <v>1</v>
      </c>
      <c r="AO985" s="30">
        <v>1</v>
      </c>
      <c r="AP985" s="30">
        <v>1</v>
      </c>
      <c r="AQ985" s="30">
        <v>1</v>
      </c>
      <c r="AR985" s="50">
        <v>6.5641848892985799E-2</v>
      </c>
      <c r="AS985" s="34">
        <v>0.15384615384615385</v>
      </c>
      <c r="AT985" s="34">
        <v>0</v>
      </c>
      <c r="AU985" s="34">
        <v>6.6666666666666666E-2</v>
      </c>
      <c r="AV985" s="34">
        <v>0.05</v>
      </c>
      <c r="AW985" s="10"/>
      <c r="AX985" s="8"/>
    </row>
    <row r="986" spans="1:50">
      <c r="A986" s="7"/>
      <c r="B986" s="10"/>
      <c r="C986" s="69" t="s">
        <v>944</v>
      </c>
      <c r="D986" s="23" t="s">
        <v>23</v>
      </c>
      <c r="E986" s="72" t="s">
        <v>1030</v>
      </c>
      <c r="F986" s="73" t="s">
        <v>1030</v>
      </c>
      <c r="G986" s="73" t="s">
        <v>1030</v>
      </c>
      <c r="H986" s="73" t="s">
        <v>1030</v>
      </c>
      <c r="I986" s="25">
        <v>0.9</v>
      </c>
      <c r="J986" s="26">
        <v>0.97058823529411764</v>
      </c>
      <c r="K986" s="26">
        <v>0.97222222222222221</v>
      </c>
      <c r="L986" s="27">
        <v>1</v>
      </c>
      <c r="M986" s="26">
        <v>0.94584837545126355</v>
      </c>
      <c r="N986" s="28">
        <v>0.9</v>
      </c>
      <c r="O986" s="26">
        <v>0.94874074074074077</v>
      </c>
      <c r="P986" s="26">
        <v>0.9576326002587322</v>
      </c>
      <c r="Q986" s="26">
        <v>0.92683433797547288</v>
      </c>
      <c r="R986" s="26">
        <v>0.94216105635112513</v>
      </c>
      <c r="S986" s="28">
        <v>0.9</v>
      </c>
      <c r="T986" s="26">
        <v>0.91318518518518521</v>
      </c>
      <c r="U986" s="26">
        <v>0.91946959896507119</v>
      </c>
      <c r="V986" s="26">
        <v>0.87778008729993762</v>
      </c>
      <c r="W986" s="26">
        <v>0.90079970243630281</v>
      </c>
      <c r="X986" s="28">
        <v>0.92</v>
      </c>
      <c r="Y986" s="28">
        <v>0</v>
      </c>
      <c r="Z986" s="28">
        <v>0</v>
      </c>
      <c r="AA986" s="28">
        <v>0</v>
      </c>
      <c r="AB986" s="28">
        <v>0</v>
      </c>
      <c r="AC986" s="28">
        <v>0.92</v>
      </c>
      <c r="AD986" s="26">
        <v>0.99115044247787609</v>
      </c>
      <c r="AE986" s="26">
        <v>0.9831223628691983</v>
      </c>
      <c r="AF986" s="26">
        <v>0.98333333333333328</v>
      </c>
      <c r="AG986" s="26">
        <v>0.98279980888676544</v>
      </c>
      <c r="AH986" s="28">
        <v>0.92</v>
      </c>
      <c r="AI986" s="26">
        <v>0.94666666666666666</v>
      </c>
      <c r="AJ986" s="26">
        <v>0.96280724450194044</v>
      </c>
      <c r="AK986" s="26">
        <v>0.96632716690916654</v>
      </c>
      <c r="AL986" s="26">
        <v>0.95759717314487636</v>
      </c>
      <c r="AM986" s="25">
        <v>0.99</v>
      </c>
      <c r="AN986" s="30">
        <v>1</v>
      </c>
      <c r="AO986" s="30">
        <v>1</v>
      </c>
      <c r="AP986" s="30">
        <v>1</v>
      </c>
      <c r="AQ986" s="30">
        <v>1</v>
      </c>
      <c r="AR986" s="50">
        <v>6.5641848892985799E-2</v>
      </c>
      <c r="AS986" s="34">
        <v>5.5555555555555552E-2</v>
      </c>
      <c r="AT986" s="34">
        <v>7.1428571428571425E-2</v>
      </c>
      <c r="AU986" s="34">
        <v>0</v>
      </c>
      <c r="AV986" s="34">
        <v>4.5871559633027525E-2</v>
      </c>
      <c r="AW986" s="10"/>
      <c r="AX986" s="8"/>
    </row>
    <row r="987" spans="1:50">
      <c r="A987" s="7"/>
      <c r="B987" s="10"/>
      <c r="C987" s="69" t="s">
        <v>944</v>
      </c>
      <c r="D987" s="23" t="s">
        <v>23</v>
      </c>
      <c r="E987" s="72" t="s">
        <v>1031</v>
      </c>
      <c r="F987" s="73" t="s">
        <v>1031</v>
      </c>
      <c r="G987" s="73" t="s">
        <v>1031</v>
      </c>
      <c r="H987" s="73" t="s">
        <v>1031</v>
      </c>
      <c r="I987" s="25">
        <v>0.9</v>
      </c>
      <c r="J987" s="26">
        <v>1</v>
      </c>
      <c r="K987" s="26">
        <v>0.96969696969696972</v>
      </c>
      <c r="L987" s="27">
        <v>0.94444444444444442</v>
      </c>
      <c r="M987" s="26">
        <v>0.93818181818181823</v>
      </c>
      <c r="N987" s="28">
        <v>0.9</v>
      </c>
      <c r="O987" s="26">
        <v>0.97137745974955281</v>
      </c>
      <c r="P987" s="26">
        <v>0.9555555555555556</v>
      </c>
      <c r="Q987" s="26">
        <v>0.97563352826510719</v>
      </c>
      <c r="R987" s="26">
        <v>0.96161968970839085</v>
      </c>
      <c r="S987" s="28">
        <v>0.9</v>
      </c>
      <c r="T987" s="26">
        <v>0.90983899821109127</v>
      </c>
      <c r="U987" s="26">
        <v>0.86432748538011694</v>
      </c>
      <c r="V987" s="26">
        <v>0.8971734892787524</v>
      </c>
      <c r="W987" s="26">
        <v>0.89147916497441315</v>
      </c>
      <c r="X987" s="28">
        <v>0.92</v>
      </c>
      <c r="Y987" s="28">
        <v>0</v>
      </c>
      <c r="Z987" s="28">
        <v>0</v>
      </c>
      <c r="AA987" s="28">
        <v>0</v>
      </c>
      <c r="AB987" s="28">
        <v>0</v>
      </c>
      <c r="AC987" s="28">
        <v>0.92</v>
      </c>
      <c r="AD987" s="26">
        <v>0.99323562570462232</v>
      </c>
      <c r="AE987" s="26">
        <v>0.96898079763663225</v>
      </c>
      <c r="AF987" s="26">
        <v>0.97598870056497178</v>
      </c>
      <c r="AG987" s="26">
        <v>0.98548597521200265</v>
      </c>
      <c r="AH987" s="28">
        <v>0.92</v>
      </c>
      <c r="AI987" s="26">
        <v>0.95563506261180675</v>
      </c>
      <c r="AJ987" s="26">
        <v>0.95409356725146199</v>
      </c>
      <c r="AK987" s="26">
        <v>0.97490864799025578</v>
      </c>
      <c r="AL987" s="26">
        <v>0.95991878172588829</v>
      </c>
      <c r="AM987" s="25">
        <v>0.99</v>
      </c>
      <c r="AN987" s="30">
        <v>1</v>
      </c>
      <c r="AO987" s="30">
        <v>1</v>
      </c>
      <c r="AP987" s="30">
        <v>1</v>
      </c>
      <c r="AQ987" s="30">
        <v>1</v>
      </c>
      <c r="AR987" s="50">
        <v>6.5641848892985799E-2</v>
      </c>
      <c r="AS987" s="34">
        <v>5.5555555555555552E-2</v>
      </c>
      <c r="AT987" s="34">
        <v>6.6666666666666666E-2</v>
      </c>
      <c r="AU987" s="34">
        <v>0</v>
      </c>
      <c r="AV987" s="34">
        <v>7.5187969924812026E-2</v>
      </c>
      <c r="AW987" s="10"/>
      <c r="AX987" s="8"/>
    </row>
    <row r="988" spans="1:50">
      <c r="A988" s="7"/>
      <c r="B988" s="10"/>
      <c r="C988" s="69" t="s">
        <v>944</v>
      </c>
      <c r="D988" s="23" t="s">
        <v>23</v>
      </c>
      <c r="E988" s="72" t="s">
        <v>1032</v>
      </c>
      <c r="F988" s="73" t="s">
        <v>1032</v>
      </c>
      <c r="G988" s="73" t="s">
        <v>1032</v>
      </c>
      <c r="H988" s="73" t="s">
        <v>1032</v>
      </c>
      <c r="I988" s="25">
        <v>0.9</v>
      </c>
      <c r="J988" s="26">
        <v>0.9285714285714286</v>
      </c>
      <c r="K988" s="26">
        <v>0.96666666666666667</v>
      </c>
      <c r="L988" s="27">
        <v>0.93103448275862066</v>
      </c>
      <c r="M988" s="26">
        <v>0.9144144144144144</v>
      </c>
      <c r="N988" s="28">
        <v>0.9</v>
      </c>
      <c r="O988" s="26">
        <v>0.98338108882521491</v>
      </c>
      <c r="P988" s="26">
        <v>0.97596153846153844</v>
      </c>
      <c r="Q988" s="26">
        <v>0.98197492163009403</v>
      </c>
      <c r="R988" s="26">
        <v>0.97408069458631252</v>
      </c>
      <c r="S988" s="28">
        <v>0.9</v>
      </c>
      <c r="T988" s="26">
        <v>0.9203438395415473</v>
      </c>
      <c r="U988" s="26">
        <v>0.92438811188811187</v>
      </c>
      <c r="V988" s="26">
        <v>0.91927899686520376</v>
      </c>
      <c r="W988" s="26">
        <v>0.9185393258426966</v>
      </c>
      <c r="X988" s="28">
        <v>0.92</v>
      </c>
      <c r="Y988" s="28">
        <v>0</v>
      </c>
      <c r="Z988" s="28">
        <v>0</v>
      </c>
      <c r="AA988" s="28">
        <v>0</v>
      </c>
      <c r="AB988" s="28">
        <v>0</v>
      </c>
      <c r="AC988" s="28">
        <v>0.92</v>
      </c>
      <c r="AD988" s="26">
        <v>0.99757281553398058</v>
      </c>
      <c r="AE988" s="26">
        <v>0.98202247191011238</v>
      </c>
      <c r="AF988" s="26">
        <v>0.99071925754060319</v>
      </c>
      <c r="AG988" s="26">
        <v>0.99240078806642273</v>
      </c>
      <c r="AH988" s="28">
        <v>0.92</v>
      </c>
      <c r="AI988" s="26">
        <v>0.95589919816723945</v>
      </c>
      <c r="AJ988" s="26">
        <v>0.95367132867132864</v>
      </c>
      <c r="AK988" s="26">
        <v>0.96394984326018807</v>
      </c>
      <c r="AL988" s="26">
        <v>0.95550590488349829</v>
      </c>
      <c r="AM988" s="25">
        <v>0.99</v>
      </c>
      <c r="AN988" s="30">
        <v>1</v>
      </c>
      <c r="AO988" s="30">
        <v>1</v>
      </c>
      <c r="AP988" s="30">
        <v>1</v>
      </c>
      <c r="AQ988" s="30">
        <v>1</v>
      </c>
      <c r="AR988" s="50">
        <v>6.5641848892985799E-2</v>
      </c>
      <c r="AS988" s="34">
        <v>0</v>
      </c>
      <c r="AT988" s="34">
        <v>0</v>
      </c>
      <c r="AU988" s="34">
        <v>0</v>
      </c>
      <c r="AV988" s="34">
        <v>7.5471698113207544E-2</v>
      </c>
      <c r="AW988" s="10"/>
      <c r="AX988" s="8"/>
    </row>
    <row r="989" spans="1:50">
      <c r="A989" s="7"/>
      <c r="B989" s="10"/>
      <c r="C989" s="69" t="s">
        <v>944</v>
      </c>
      <c r="D989" s="23" t="s">
        <v>23</v>
      </c>
      <c r="E989" s="72" t="s">
        <v>1033</v>
      </c>
      <c r="F989" s="73" t="s">
        <v>1033</v>
      </c>
      <c r="G989" s="73" t="s">
        <v>1033</v>
      </c>
      <c r="H989" s="73" t="s">
        <v>1033</v>
      </c>
      <c r="I989" s="25">
        <v>0.9</v>
      </c>
      <c r="J989" s="26">
        <v>0.91428571428571426</v>
      </c>
      <c r="K989" s="26">
        <v>0.97058823529411764</v>
      </c>
      <c r="L989" s="27">
        <v>0.97297297297297303</v>
      </c>
      <c r="M989" s="26">
        <v>0.93984962406015038</v>
      </c>
      <c r="N989" s="28">
        <v>0.9</v>
      </c>
      <c r="O989" s="26">
        <v>0.95431286549707606</v>
      </c>
      <c r="P989" s="26">
        <v>0.95263157894736838</v>
      </c>
      <c r="Q989" s="26">
        <v>0.96210070384407143</v>
      </c>
      <c r="R989" s="26">
        <v>0.95311956899548145</v>
      </c>
      <c r="S989" s="28">
        <v>0.9</v>
      </c>
      <c r="T989" s="26">
        <v>0.91081871345029242</v>
      </c>
      <c r="U989" s="26">
        <v>0.90959752321981424</v>
      </c>
      <c r="V989" s="26">
        <v>0.92420140768814296</v>
      </c>
      <c r="W989" s="26">
        <v>0.90836809176225231</v>
      </c>
      <c r="X989" s="28">
        <v>0.92</v>
      </c>
      <c r="Y989" s="28">
        <v>0</v>
      </c>
      <c r="Z989" s="28">
        <v>0</v>
      </c>
      <c r="AA989" s="28">
        <v>0</v>
      </c>
      <c r="AB989" s="28">
        <v>0</v>
      </c>
      <c r="AC989" s="28">
        <v>0.92</v>
      </c>
      <c r="AD989" s="26">
        <v>0.99468650371944745</v>
      </c>
      <c r="AE989" s="26">
        <v>0.98966704936854188</v>
      </c>
      <c r="AF989" s="26">
        <v>0.99047619047619051</v>
      </c>
      <c r="AG989" s="26">
        <v>0.99035961871750433</v>
      </c>
      <c r="AH989" s="28">
        <v>0.92</v>
      </c>
      <c r="AI989" s="26">
        <v>0.94117647058823528</v>
      </c>
      <c r="AJ989" s="26">
        <v>0.95634674922600615</v>
      </c>
      <c r="AK989" s="26">
        <v>0.9677855982674608</v>
      </c>
      <c r="AL989" s="26">
        <v>0.9503866539230168</v>
      </c>
      <c r="AM989" s="25">
        <v>0.99</v>
      </c>
      <c r="AN989" s="30">
        <v>1</v>
      </c>
      <c r="AO989" s="30">
        <v>1</v>
      </c>
      <c r="AP989" s="30">
        <v>1</v>
      </c>
      <c r="AQ989" s="30">
        <v>1</v>
      </c>
      <c r="AR989" s="50">
        <v>6.5641848892985799E-2</v>
      </c>
      <c r="AS989" s="34">
        <v>0</v>
      </c>
      <c r="AT989" s="34">
        <v>6.6666666666666666E-2</v>
      </c>
      <c r="AU989" s="34">
        <v>-0.1</v>
      </c>
      <c r="AV989" s="34">
        <v>8.4337349397590355E-2</v>
      </c>
      <c r="AW989" s="10"/>
      <c r="AX989" s="8"/>
    </row>
    <row r="990" spans="1:50">
      <c r="A990" s="7"/>
      <c r="B990" s="10"/>
      <c r="C990" s="69" t="s">
        <v>944</v>
      </c>
      <c r="D990" s="23" t="s">
        <v>23</v>
      </c>
      <c r="E990" s="76" t="s">
        <v>1034</v>
      </c>
      <c r="F990" s="77" t="s">
        <v>1034</v>
      </c>
      <c r="G990" s="77" t="s">
        <v>1034</v>
      </c>
      <c r="H990" s="77" t="s">
        <v>1034</v>
      </c>
      <c r="I990" s="25">
        <v>0.9</v>
      </c>
      <c r="J990" s="26">
        <v>0.96666666666666667</v>
      </c>
      <c r="K990" s="26">
        <v>0.967741935483871</v>
      </c>
      <c r="L990" s="27">
        <v>1</v>
      </c>
      <c r="M990" s="26">
        <v>0.96250000000000002</v>
      </c>
      <c r="N990" s="28">
        <v>0.9</v>
      </c>
      <c r="O990" s="26">
        <v>0.96178984414278534</v>
      </c>
      <c r="P990" s="26">
        <v>0.95765611633875103</v>
      </c>
      <c r="Q990" s="26">
        <v>0.96490579977835245</v>
      </c>
      <c r="R990" s="26">
        <v>0.96169924996926104</v>
      </c>
      <c r="S990" s="28">
        <v>0.9</v>
      </c>
      <c r="T990" s="26">
        <v>0.9321266968325792</v>
      </c>
      <c r="U990" s="26">
        <v>0.93926432848588537</v>
      </c>
      <c r="V990" s="26">
        <v>0.9346139637975619</v>
      </c>
      <c r="W990" s="26">
        <v>0.93569408582318947</v>
      </c>
      <c r="X990" s="28">
        <v>0.92</v>
      </c>
      <c r="Y990" s="28">
        <v>0.83855421686746989</v>
      </c>
      <c r="Z990" s="28">
        <v>0.90756302521008403</v>
      </c>
      <c r="AA990" s="28">
        <v>0.92700729927007297</v>
      </c>
      <c r="AB990" s="28">
        <v>0.89573934837092728</v>
      </c>
      <c r="AC990" s="28">
        <v>0.92</v>
      </c>
      <c r="AD990" s="26">
        <v>0.98498498498498499</v>
      </c>
      <c r="AE990" s="26">
        <v>0.9887640449438202</v>
      </c>
      <c r="AF990" s="26">
        <v>1</v>
      </c>
      <c r="AG990" s="26">
        <v>0.99135013162843177</v>
      </c>
      <c r="AH990" s="28">
        <v>0.92</v>
      </c>
      <c r="AI990" s="26">
        <v>0.93934358122143746</v>
      </c>
      <c r="AJ990" s="26">
        <v>0.97121535181236673</v>
      </c>
      <c r="AK990" s="26">
        <v>0.97695852534562211</v>
      </c>
      <c r="AL990" s="26">
        <v>0.96456245989832679</v>
      </c>
      <c r="AM990" s="25">
        <v>0.99</v>
      </c>
      <c r="AN990" s="30">
        <v>1</v>
      </c>
      <c r="AO990" s="30">
        <v>1</v>
      </c>
      <c r="AP990" s="30">
        <v>1</v>
      </c>
      <c r="AQ990" s="30">
        <v>1</v>
      </c>
      <c r="AR990" s="50">
        <v>6.5641848892985799E-2</v>
      </c>
      <c r="AS990" s="34">
        <v>0</v>
      </c>
      <c r="AT990" s="34">
        <v>4.5454545454545456E-2</v>
      </c>
      <c r="AU990" s="34">
        <v>0</v>
      </c>
      <c r="AV990" s="34">
        <v>2.1505376344086023E-2</v>
      </c>
      <c r="AW990" s="10"/>
      <c r="AX990" s="8"/>
    </row>
    <row r="991" spans="1:50">
      <c r="A991" s="7"/>
      <c r="B991" s="10"/>
      <c r="C991" s="69" t="s">
        <v>944</v>
      </c>
      <c r="D991" s="23" t="s">
        <v>23</v>
      </c>
      <c r="E991" s="72" t="s">
        <v>1035</v>
      </c>
      <c r="F991" s="73" t="s">
        <v>1035</v>
      </c>
      <c r="G991" s="73" t="s">
        <v>1035</v>
      </c>
      <c r="H991" s="73" t="s">
        <v>1035</v>
      </c>
      <c r="I991" s="25">
        <v>0.9</v>
      </c>
      <c r="J991" s="26">
        <v>0.97142857142857142</v>
      </c>
      <c r="K991" s="26">
        <v>0.97297297297297303</v>
      </c>
      <c r="L991" s="27">
        <v>0.97297297297297303</v>
      </c>
      <c r="M991" s="26">
        <v>0.95272727272727276</v>
      </c>
      <c r="N991" s="28">
        <v>0.9</v>
      </c>
      <c r="O991" s="26">
        <v>0.95185766614338041</v>
      </c>
      <c r="P991" s="26">
        <v>0.97177594442032134</v>
      </c>
      <c r="Q991" s="26">
        <v>0.96920152091254752</v>
      </c>
      <c r="R991" s="26">
        <v>0.96835016835016841</v>
      </c>
      <c r="S991" s="28">
        <v>0.9</v>
      </c>
      <c r="T991" s="26">
        <v>0.92203035060177918</v>
      </c>
      <c r="U991" s="26">
        <v>0.90316977854971781</v>
      </c>
      <c r="V991" s="26">
        <v>0.91216730038022809</v>
      </c>
      <c r="W991" s="26">
        <v>0.9176614631160086</v>
      </c>
      <c r="X991" s="28">
        <v>0.92</v>
      </c>
      <c r="Y991" s="28">
        <v>0.52061855670103097</v>
      </c>
      <c r="Z991" s="28">
        <v>0.54128440366972475</v>
      </c>
      <c r="AA991" s="28">
        <v>0.49391304347826087</v>
      </c>
      <c r="AB991" s="28">
        <v>0.38893159108378172</v>
      </c>
      <c r="AC991" s="28">
        <v>0.92</v>
      </c>
      <c r="AD991" s="26">
        <v>0.99137931034482762</v>
      </c>
      <c r="AE991" s="26">
        <v>1</v>
      </c>
      <c r="AF991" s="26">
        <v>0.98287671232876717</v>
      </c>
      <c r="AG991" s="26">
        <v>0.98707592891760909</v>
      </c>
      <c r="AH991" s="28">
        <v>0.92</v>
      </c>
      <c r="AI991" s="26">
        <v>0.87646802957807746</v>
      </c>
      <c r="AJ991" s="26">
        <v>0.89339174881343553</v>
      </c>
      <c r="AK991" s="26">
        <v>0.87772925764192145</v>
      </c>
      <c r="AL991" s="26">
        <v>0.84737388210879983</v>
      </c>
      <c r="AM991" s="25">
        <v>0.99</v>
      </c>
      <c r="AN991" s="30">
        <v>1</v>
      </c>
      <c r="AO991" s="30">
        <v>1</v>
      </c>
      <c r="AP991" s="30">
        <v>1</v>
      </c>
      <c r="AQ991" s="30">
        <v>1</v>
      </c>
      <c r="AR991" s="50">
        <v>6.5641848892985799E-2</v>
      </c>
      <c r="AS991" s="34">
        <v>0.21428571428571427</v>
      </c>
      <c r="AT991" s="34">
        <v>8.3333333333333329E-2</v>
      </c>
      <c r="AU991" s="34">
        <v>0.2</v>
      </c>
      <c r="AV991" s="34">
        <v>9.7560975609756101E-2</v>
      </c>
      <c r="AW991" s="10"/>
      <c r="AX991" s="8"/>
    </row>
    <row r="992" spans="1:50">
      <c r="A992" s="7"/>
      <c r="B992" s="10"/>
      <c r="C992" s="69" t="s">
        <v>944</v>
      </c>
      <c r="D992" s="23" t="s">
        <v>23</v>
      </c>
      <c r="E992" s="76" t="s">
        <v>1036</v>
      </c>
      <c r="F992" s="77" t="s">
        <v>1036</v>
      </c>
      <c r="G992" s="77" t="s">
        <v>1036</v>
      </c>
      <c r="H992" s="77" t="s">
        <v>1036</v>
      </c>
      <c r="I992" s="25">
        <v>0.9</v>
      </c>
      <c r="J992" s="26">
        <v>0.9285714285714286</v>
      </c>
      <c r="K992" s="26">
        <v>1</v>
      </c>
      <c r="L992" s="27">
        <v>1</v>
      </c>
      <c r="M992" s="26">
        <v>0.95639534883720934</v>
      </c>
      <c r="N992" s="28">
        <v>0.9</v>
      </c>
      <c r="O992" s="26">
        <v>0.98742891349895245</v>
      </c>
      <c r="P992" s="26">
        <v>0.98406182081622795</v>
      </c>
      <c r="Q992" s="26">
        <v>0.98207586494372656</v>
      </c>
      <c r="R992" s="26">
        <v>0.98111126430442575</v>
      </c>
      <c r="S992" s="28">
        <v>0.9</v>
      </c>
      <c r="T992" s="26">
        <v>0.92367554624363968</v>
      </c>
      <c r="U992" s="26">
        <v>0.89881671093938664</v>
      </c>
      <c r="V992" s="26">
        <v>0.92371821592330139</v>
      </c>
      <c r="W992" s="26">
        <v>0.92041224320970638</v>
      </c>
      <c r="X992" s="28">
        <v>0.92</v>
      </c>
      <c r="Y992" s="28">
        <v>0.89501312335958005</v>
      </c>
      <c r="Z992" s="28">
        <v>0.86556603773584906</v>
      </c>
      <c r="AA992" s="28">
        <v>0.91482649842271291</v>
      </c>
      <c r="AB992" s="28">
        <v>0.90449357029331023</v>
      </c>
      <c r="AC992" s="28">
        <v>0.92</v>
      </c>
      <c r="AD992" s="26">
        <v>0.99801587301587302</v>
      </c>
      <c r="AE992" s="26">
        <v>0.98871650211565587</v>
      </c>
      <c r="AF992" s="26">
        <v>0.98556304138594808</v>
      </c>
      <c r="AG992" s="26">
        <v>0.99092263920877932</v>
      </c>
      <c r="AH992" s="28">
        <v>0.92</v>
      </c>
      <c r="AI992" s="26">
        <v>0.9600389863547758</v>
      </c>
      <c r="AJ992" s="26">
        <v>0.95510122268991782</v>
      </c>
      <c r="AK992" s="26">
        <v>0.97078260869565214</v>
      </c>
      <c r="AL992" s="26">
        <v>0.96179318788958146</v>
      </c>
      <c r="AM992" s="25">
        <v>0.99</v>
      </c>
      <c r="AN992" s="30">
        <v>1</v>
      </c>
      <c r="AO992" s="30">
        <v>1</v>
      </c>
      <c r="AP992" s="30">
        <v>1</v>
      </c>
      <c r="AQ992" s="30">
        <v>1</v>
      </c>
      <c r="AR992" s="50">
        <v>6.5641848892985799E-2</v>
      </c>
      <c r="AS992" s="34">
        <v>6.25E-2</v>
      </c>
      <c r="AT992" s="34">
        <v>4.3478260869565216E-2</v>
      </c>
      <c r="AU992" s="34">
        <v>0</v>
      </c>
      <c r="AV992" s="34">
        <v>2.0942408376963352E-2</v>
      </c>
      <c r="AW992" s="10"/>
      <c r="AX992" s="8"/>
    </row>
    <row r="993" spans="1:50">
      <c r="A993" s="7"/>
      <c r="B993" s="10"/>
      <c r="C993" s="69" t="s">
        <v>944</v>
      </c>
      <c r="D993" s="23" t="s">
        <v>23</v>
      </c>
      <c r="E993" s="80" t="s">
        <v>1037</v>
      </c>
      <c r="F993" s="81" t="s">
        <v>1037</v>
      </c>
      <c r="G993" s="81" t="s">
        <v>1037</v>
      </c>
      <c r="H993" s="81" t="s">
        <v>1037</v>
      </c>
      <c r="I993" s="25">
        <v>0.9</v>
      </c>
      <c r="J993" s="26">
        <v>0.94285714285714284</v>
      </c>
      <c r="K993" s="26">
        <v>0.92307692307692313</v>
      </c>
      <c r="L993" s="27">
        <v>0.94736842105263153</v>
      </c>
      <c r="M993" s="26">
        <v>0.93684210526315792</v>
      </c>
      <c r="N993" s="28">
        <v>0.9</v>
      </c>
      <c r="O993" s="26">
        <v>0.98514115898959886</v>
      </c>
      <c r="P993" s="26">
        <v>0.98034865293185425</v>
      </c>
      <c r="Q993" s="26">
        <v>0.9857276555919513</v>
      </c>
      <c r="R993" s="26">
        <v>0.98224137236741438</v>
      </c>
      <c r="S993" s="28">
        <v>0.9</v>
      </c>
      <c r="T993" s="26">
        <v>0.95364041604754834</v>
      </c>
      <c r="U993" s="26">
        <v>0.9423137876386688</v>
      </c>
      <c r="V993" s="26">
        <v>0.9337856808610201</v>
      </c>
      <c r="W993" s="26">
        <v>0.94048242258285342</v>
      </c>
      <c r="X993" s="28">
        <v>0.92</v>
      </c>
      <c r="Y993" s="28">
        <v>0.94141145139813587</v>
      </c>
      <c r="Z993" s="28">
        <v>0.94815825375170537</v>
      </c>
      <c r="AA993" s="28">
        <v>0.9349112426035503</v>
      </c>
      <c r="AB993" s="28">
        <v>0.94296847325540201</v>
      </c>
      <c r="AC993" s="28">
        <v>0.92</v>
      </c>
      <c r="AD993" s="26">
        <v>0.98347578347578346</v>
      </c>
      <c r="AE993" s="26">
        <v>0.96523579201934706</v>
      </c>
      <c r="AF993" s="26">
        <v>0.98920863309352514</v>
      </c>
      <c r="AG993" s="26">
        <v>0.97031425568161223</v>
      </c>
      <c r="AH993" s="28">
        <v>0.92</v>
      </c>
      <c r="AI993" s="26">
        <v>0.97303206997084546</v>
      </c>
      <c r="AJ993" s="26">
        <v>0.97531499100025709</v>
      </c>
      <c r="AK993" s="26">
        <v>0.97535851343162994</v>
      </c>
      <c r="AL993" s="26">
        <v>0.97169006692035165</v>
      </c>
      <c r="AM993" s="25">
        <v>0.99</v>
      </c>
      <c r="AN993" s="30">
        <v>1</v>
      </c>
      <c r="AO993" s="30">
        <v>1</v>
      </c>
      <c r="AP993" s="30">
        <v>1</v>
      </c>
      <c r="AQ993" s="30">
        <v>1</v>
      </c>
      <c r="AR993" s="50">
        <v>6.5641848892985799E-2</v>
      </c>
      <c r="AS993" s="34">
        <v>3.0303030303030304E-2</v>
      </c>
      <c r="AT993" s="34">
        <v>2.0833333333333332E-2</v>
      </c>
      <c r="AU993" s="34">
        <v>2.2222222222222223E-2</v>
      </c>
      <c r="AV993" s="34">
        <v>2.865329512893983E-2</v>
      </c>
      <c r="AW993" s="10"/>
      <c r="AX993" s="8"/>
    </row>
    <row r="994" spans="1:50">
      <c r="A994" s="7"/>
      <c r="B994" s="10"/>
      <c r="C994" s="69" t="s">
        <v>944</v>
      </c>
      <c r="D994" s="23" t="s">
        <v>23</v>
      </c>
      <c r="E994" s="70" t="s">
        <v>1038</v>
      </c>
      <c r="F994" s="71" t="s">
        <v>1038</v>
      </c>
      <c r="G994" s="71" t="s">
        <v>1038</v>
      </c>
      <c r="H994" s="71" t="s">
        <v>1038</v>
      </c>
      <c r="I994" s="25">
        <v>0.9</v>
      </c>
      <c r="J994" s="26">
        <v>0.77272727272727271</v>
      </c>
      <c r="K994" s="26">
        <v>0.90909090909090906</v>
      </c>
      <c r="L994" s="27">
        <v>0.86956521739130432</v>
      </c>
      <c r="M994" s="26">
        <v>0.8497109826589595</v>
      </c>
      <c r="N994" s="28">
        <v>0.9</v>
      </c>
      <c r="O994" s="26">
        <v>0.90560640732265452</v>
      </c>
      <c r="P994" s="26">
        <v>0.94218942189421895</v>
      </c>
      <c r="Q994" s="26">
        <v>0.91276400367309463</v>
      </c>
      <c r="R994" s="26">
        <v>0.86207663232787368</v>
      </c>
      <c r="S994" s="28">
        <v>0.9</v>
      </c>
      <c r="T994" s="26">
        <v>0.89244851258581237</v>
      </c>
      <c r="U994" s="26">
        <v>0.92927429274292739</v>
      </c>
      <c r="V994" s="26">
        <v>0.90449954086317719</v>
      </c>
      <c r="W994" s="26">
        <v>0.8865337582450159</v>
      </c>
      <c r="X994" s="28">
        <v>0.92</v>
      </c>
      <c r="Y994" s="28">
        <v>0.72222222222222221</v>
      </c>
      <c r="Z994" s="28">
        <v>0.74456521739130432</v>
      </c>
      <c r="AA994" s="28">
        <v>0.87473002159827218</v>
      </c>
      <c r="AB994" s="28">
        <v>0.74275576581904201</v>
      </c>
      <c r="AC994" s="28">
        <v>0.92</v>
      </c>
      <c r="AD994" s="26">
        <v>0.98461538461538467</v>
      </c>
      <c r="AE994" s="26">
        <v>0.82828282828282829</v>
      </c>
      <c r="AF994" s="26">
        <v>0.82135523613963035</v>
      </c>
      <c r="AG994" s="26">
        <v>0.88482399234286935</v>
      </c>
      <c r="AH994" s="28">
        <v>0.92</v>
      </c>
      <c r="AI994" s="26">
        <v>0.90733772342427088</v>
      </c>
      <c r="AJ994" s="26">
        <v>0.93129388164493476</v>
      </c>
      <c r="AK994" s="26">
        <v>0.95948504354411213</v>
      </c>
      <c r="AL994" s="26">
        <v>0.92207869163308842</v>
      </c>
      <c r="AM994" s="25">
        <v>0.99</v>
      </c>
      <c r="AN994" s="30">
        <v>1</v>
      </c>
      <c r="AO994" s="30">
        <v>1</v>
      </c>
      <c r="AP994" s="30">
        <v>1</v>
      </c>
      <c r="AQ994" s="30">
        <v>1</v>
      </c>
      <c r="AR994" s="50">
        <v>6.5641848892985799E-2</v>
      </c>
      <c r="AS994" s="34">
        <v>0</v>
      </c>
      <c r="AT994" s="34">
        <v>0</v>
      </c>
      <c r="AU994" s="34">
        <v>4.3478260869565216E-2</v>
      </c>
      <c r="AV994" s="34">
        <v>1.2738853503184714E-2</v>
      </c>
      <c r="AW994" s="10"/>
      <c r="AX994" s="8"/>
    </row>
    <row r="995" spans="1:50">
      <c r="A995" s="7"/>
      <c r="B995" s="10"/>
      <c r="C995" s="69" t="s">
        <v>944</v>
      </c>
      <c r="D995" s="23" t="s">
        <v>23</v>
      </c>
      <c r="E995" s="70" t="s">
        <v>1039</v>
      </c>
      <c r="F995" s="71" t="s">
        <v>1039</v>
      </c>
      <c r="G995" s="71" t="s">
        <v>1039</v>
      </c>
      <c r="H995" s="71" t="s">
        <v>1039</v>
      </c>
      <c r="I995" s="25">
        <v>0.9</v>
      </c>
      <c r="J995" s="26">
        <v>0.90476190476190477</v>
      </c>
      <c r="K995" s="26">
        <v>0.8571428571428571</v>
      </c>
      <c r="L995" s="27">
        <v>1</v>
      </c>
      <c r="M995" s="26">
        <v>0.94512195121951215</v>
      </c>
      <c r="N995" s="28">
        <v>0.9</v>
      </c>
      <c r="O995" s="26">
        <v>0.97969264544456636</v>
      </c>
      <c r="P995" s="26">
        <v>0.94185408667032366</v>
      </c>
      <c r="Q995" s="26">
        <v>0.94730341704405108</v>
      </c>
      <c r="R995" s="26">
        <v>0.95401295204831549</v>
      </c>
      <c r="S995" s="28">
        <v>0.9</v>
      </c>
      <c r="T995" s="26">
        <v>0.94401756311745333</v>
      </c>
      <c r="U995" s="26">
        <v>0.92265496434448713</v>
      </c>
      <c r="V995" s="26">
        <v>0.87772745986002465</v>
      </c>
      <c r="W995" s="26">
        <v>0.90169540857163644</v>
      </c>
      <c r="X995" s="28">
        <v>0.92</v>
      </c>
      <c r="Y995" s="28">
        <v>0.93979057591623039</v>
      </c>
      <c r="Z995" s="28">
        <v>0.93540669856459335</v>
      </c>
      <c r="AA995" s="28">
        <v>0.94029850746268662</v>
      </c>
      <c r="AB995" s="28">
        <v>0.91587901701323249</v>
      </c>
      <c r="AC995" s="28">
        <v>0.92</v>
      </c>
      <c r="AD995" s="26">
        <v>0.78009828009828008</v>
      </c>
      <c r="AE995" s="26">
        <v>0.76672535211267601</v>
      </c>
      <c r="AF995" s="26">
        <v>0.79186767746381803</v>
      </c>
      <c r="AG995" s="26">
        <v>0.79498407643312097</v>
      </c>
      <c r="AH995" s="28">
        <v>0.92</v>
      </c>
      <c r="AI995" s="26">
        <v>0.96103307657453552</v>
      </c>
      <c r="AJ995" s="26">
        <v>0.96080178173719377</v>
      </c>
      <c r="AK995" s="26">
        <v>0.9692688096079124</v>
      </c>
      <c r="AL995" s="26">
        <v>0.95617506349300097</v>
      </c>
      <c r="AM995" s="25">
        <v>0.99</v>
      </c>
      <c r="AN995" s="30">
        <v>1</v>
      </c>
      <c r="AO995" s="30">
        <v>1</v>
      </c>
      <c r="AP995" s="30">
        <v>1</v>
      </c>
      <c r="AQ995" s="30">
        <v>1</v>
      </c>
      <c r="AR995" s="50">
        <v>6.5641848892985799E-2</v>
      </c>
      <c r="AS995" s="34">
        <v>5.2631578947368418E-2</v>
      </c>
      <c r="AT995" s="34">
        <v>3.8461538461538464E-2</v>
      </c>
      <c r="AU995" s="34">
        <v>7.407407407407407E-2</v>
      </c>
      <c r="AV995" s="34">
        <v>4.6875E-2</v>
      </c>
      <c r="AW995" s="10"/>
      <c r="AX995" s="8"/>
    </row>
    <row r="996" spans="1:50">
      <c r="A996" s="7"/>
      <c r="B996" s="10"/>
      <c r="C996" s="69" t="s">
        <v>944</v>
      </c>
      <c r="D996" s="23" t="s">
        <v>23</v>
      </c>
      <c r="E996" s="80" t="s">
        <v>1040</v>
      </c>
      <c r="F996" s="81" t="s">
        <v>1040</v>
      </c>
      <c r="G996" s="81" t="s">
        <v>1040</v>
      </c>
      <c r="H996" s="81" t="s">
        <v>1040</v>
      </c>
      <c r="I996" s="25">
        <v>0.9</v>
      </c>
      <c r="J996" s="26">
        <v>0.72727272727272729</v>
      </c>
      <c r="K996" s="26">
        <v>0.75</v>
      </c>
      <c r="L996" s="27">
        <v>0.72727272727272729</v>
      </c>
      <c r="M996" s="26">
        <v>0.73255813953488369</v>
      </c>
      <c r="N996" s="28">
        <v>0.9</v>
      </c>
      <c r="O996" s="26">
        <v>0.94383057090239408</v>
      </c>
      <c r="P996" s="26">
        <v>0.97050147492625372</v>
      </c>
      <c r="Q996" s="26">
        <v>0.94695340501792113</v>
      </c>
      <c r="R996" s="26">
        <v>0.93932038834951459</v>
      </c>
      <c r="S996" s="28">
        <v>0.9</v>
      </c>
      <c r="T996" s="26">
        <v>0.89963167587476978</v>
      </c>
      <c r="U996" s="26">
        <v>0.9213372664700098</v>
      </c>
      <c r="V996" s="26">
        <v>0.92903225806451617</v>
      </c>
      <c r="W996" s="26">
        <v>0.92169136433316301</v>
      </c>
      <c r="X996" s="28">
        <v>0.92</v>
      </c>
      <c r="Y996" s="28">
        <v>0.92664092664092668</v>
      </c>
      <c r="Z996" s="28">
        <v>0.8340248962655602</v>
      </c>
      <c r="AA996" s="28">
        <v>0.92165898617511521</v>
      </c>
      <c r="AB996" s="28">
        <v>0.87878787878787878</v>
      </c>
      <c r="AC996" s="28">
        <v>0.92</v>
      </c>
      <c r="AD996" s="26">
        <v>0.96100917431192656</v>
      </c>
      <c r="AE996" s="26">
        <v>0.82872928176795579</v>
      </c>
      <c r="AF996" s="26">
        <v>0.91898734177215191</v>
      </c>
      <c r="AG996" s="26">
        <v>0.85331632653061229</v>
      </c>
      <c r="AH996" s="28">
        <v>0.92</v>
      </c>
      <c r="AI996" s="26">
        <v>0.93903345724907061</v>
      </c>
      <c r="AJ996" s="26">
        <v>0.93879173290938001</v>
      </c>
      <c r="AK996" s="26">
        <v>0.97518610421836227</v>
      </c>
      <c r="AL996" s="26">
        <v>0.95169430425378509</v>
      </c>
      <c r="AM996" s="25">
        <v>0.99</v>
      </c>
      <c r="AN996" s="30">
        <v>1</v>
      </c>
      <c r="AO996" s="30">
        <v>1</v>
      </c>
      <c r="AP996" s="30">
        <v>1</v>
      </c>
      <c r="AQ996" s="30">
        <v>1</v>
      </c>
      <c r="AR996" s="50">
        <v>6.5641848892985799E-2</v>
      </c>
      <c r="AS996" s="34">
        <v>0.05</v>
      </c>
      <c r="AT996" s="34">
        <v>6.6666666666666666E-2</v>
      </c>
      <c r="AU996" s="34">
        <v>8.3333333333333329E-2</v>
      </c>
      <c r="AV996" s="34">
        <v>3.7383177570093455E-2</v>
      </c>
      <c r="AW996" s="10"/>
      <c r="AX996" s="8"/>
    </row>
    <row r="997" spans="1:50">
      <c r="A997" s="7"/>
      <c r="B997" s="10"/>
      <c r="C997" s="69" t="s">
        <v>944</v>
      </c>
      <c r="D997" s="23" t="s">
        <v>23</v>
      </c>
      <c r="E997" s="70" t="s">
        <v>1041</v>
      </c>
      <c r="F997" s="71" t="s">
        <v>1041</v>
      </c>
      <c r="G997" s="71" t="s">
        <v>1041</v>
      </c>
      <c r="H997" s="71" t="s">
        <v>1041</v>
      </c>
      <c r="I997" s="25">
        <v>0.9</v>
      </c>
      <c r="J997" s="26">
        <v>0</v>
      </c>
      <c r="K997" s="26">
        <v>0</v>
      </c>
      <c r="L997" s="27">
        <v>0</v>
      </c>
      <c r="M997" s="26">
        <v>0</v>
      </c>
      <c r="N997" s="28">
        <v>0.9</v>
      </c>
      <c r="O997" s="26">
        <v>0</v>
      </c>
      <c r="P997" s="26">
        <v>0</v>
      </c>
      <c r="Q997" s="26">
        <v>0</v>
      </c>
      <c r="R997" s="26">
        <v>0</v>
      </c>
      <c r="S997" s="28">
        <v>0.9</v>
      </c>
      <c r="T997" s="26">
        <v>0</v>
      </c>
      <c r="U997" s="26">
        <v>0</v>
      </c>
      <c r="V997" s="26">
        <v>0</v>
      </c>
      <c r="W997" s="26">
        <v>0</v>
      </c>
      <c r="X997" s="28">
        <v>0.92</v>
      </c>
      <c r="Y997" s="28">
        <v>0</v>
      </c>
      <c r="Z997" s="28">
        <v>0</v>
      </c>
      <c r="AA997" s="28">
        <v>0</v>
      </c>
      <c r="AB997" s="28">
        <v>0</v>
      </c>
      <c r="AC997" s="28">
        <v>0.92</v>
      </c>
      <c r="AD997" s="26">
        <v>0.9576271186440678</v>
      </c>
      <c r="AE997" s="26">
        <v>0.89549180327868849</v>
      </c>
      <c r="AF997" s="26">
        <v>0.80314960629921262</v>
      </c>
      <c r="AG997" s="26">
        <v>0.79514672686230248</v>
      </c>
      <c r="AH997" s="28">
        <v>0.92</v>
      </c>
      <c r="AI997" s="26">
        <v>0</v>
      </c>
      <c r="AJ997" s="26">
        <v>0</v>
      </c>
      <c r="AK997" s="26">
        <v>0</v>
      </c>
      <c r="AL997" s="26">
        <v>0</v>
      </c>
      <c r="AM997" s="25">
        <v>0.99</v>
      </c>
      <c r="AN997" s="30">
        <v>1</v>
      </c>
      <c r="AO997" s="30">
        <v>1</v>
      </c>
      <c r="AP997" s="30">
        <v>1</v>
      </c>
      <c r="AQ997" s="30">
        <v>1</v>
      </c>
      <c r="AR997" s="50">
        <v>6.5641848892985799E-2</v>
      </c>
      <c r="AS997" s="34">
        <v>0</v>
      </c>
      <c r="AT997" s="34">
        <v>0</v>
      </c>
      <c r="AU997" s="34">
        <v>0</v>
      </c>
      <c r="AV997" s="34">
        <v>0</v>
      </c>
      <c r="AW997" s="10"/>
      <c r="AX997" s="8"/>
    </row>
    <row r="998" spans="1:50">
      <c r="A998" s="7"/>
      <c r="B998" s="10"/>
      <c r="C998" s="69" t="s">
        <v>944</v>
      </c>
      <c r="D998" s="23" t="s">
        <v>23</v>
      </c>
      <c r="E998" s="70" t="s">
        <v>1042</v>
      </c>
      <c r="F998" s="71" t="s">
        <v>1042</v>
      </c>
      <c r="G998" s="71" t="s">
        <v>1042</v>
      </c>
      <c r="H998" s="71" t="s">
        <v>1042</v>
      </c>
      <c r="I998" s="25">
        <v>0.9</v>
      </c>
      <c r="J998" s="26">
        <v>0.93939393939393945</v>
      </c>
      <c r="K998" s="26">
        <v>0.88888888888888884</v>
      </c>
      <c r="L998" s="27">
        <v>0.86486486486486491</v>
      </c>
      <c r="M998" s="26">
        <v>0.78455284552845528</v>
      </c>
      <c r="N998" s="28">
        <v>0.9</v>
      </c>
      <c r="O998" s="26">
        <v>0.9165293794618341</v>
      </c>
      <c r="P998" s="26">
        <v>0.95633059788980068</v>
      </c>
      <c r="Q998" s="26">
        <v>0.95433281354421917</v>
      </c>
      <c r="R998" s="26">
        <v>0.93373147533731471</v>
      </c>
      <c r="S998" s="28">
        <v>0.9</v>
      </c>
      <c r="T998" s="26">
        <v>0.87589236683141136</v>
      </c>
      <c r="U998" s="26">
        <v>0.9009378663540446</v>
      </c>
      <c r="V998" s="26">
        <v>0.82312319002004897</v>
      </c>
      <c r="W998" s="26">
        <v>0.84658261446582617</v>
      </c>
      <c r="X998" s="28">
        <v>0.92</v>
      </c>
      <c r="Y998" s="28">
        <v>0.85114503816793896</v>
      </c>
      <c r="Z998" s="28">
        <v>0.87152777777777779</v>
      </c>
      <c r="AA998" s="28">
        <v>0.88325652841781876</v>
      </c>
      <c r="AB998" s="28">
        <v>0.88406635802469136</v>
      </c>
      <c r="AC998" s="28">
        <v>0.92</v>
      </c>
      <c r="AD998" s="26">
        <v>0.94832666806987997</v>
      </c>
      <c r="AE998" s="26">
        <v>0.89678581324466611</v>
      </c>
      <c r="AF998" s="26">
        <v>0.92826186131386856</v>
      </c>
      <c r="AG998" s="26">
        <v>0.91218558130322835</v>
      </c>
      <c r="AH998" s="28">
        <v>0.92</v>
      </c>
      <c r="AI998" s="26">
        <v>0.92283393501805056</v>
      </c>
      <c r="AJ998" s="26">
        <v>0.93152605749006778</v>
      </c>
      <c r="AK998" s="26">
        <v>0.95256609642301715</v>
      </c>
      <c r="AL998" s="26">
        <v>0.93339799547365021</v>
      </c>
      <c r="AM998" s="25">
        <v>0.99</v>
      </c>
      <c r="AN998" s="30">
        <v>1</v>
      </c>
      <c r="AO998" s="30">
        <v>1</v>
      </c>
      <c r="AP998" s="30">
        <v>1</v>
      </c>
      <c r="AQ998" s="30">
        <v>1</v>
      </c>
      <c r="AR998" s="50">
        <v>6.5641848892985799E-2</v>
      </c>
      <c r="AS998" s="34">
        <v>0</v>
      </c>
      <c r="AT998" s="34">
        <v>9.4339622641509441E-2</v>
      </c>
      <c r="AU998" s="34">
        <v>0</v>
      </c>
      <c r="AV998" s="34">
        <v>2.6737967914438502E-2</v>
      </c>
      <c r="AW998" s="10"/>
      <c r="AX998" s="8"/>
    </row>
    <row r="999" spans="1:50">
      <c r="A999" s="7"/>
      <c r="B999" s="10"/>
      <c r="C999" s="69" t="s">
        <v>944</v>
      </c>
      <c r="D999" s="23" t="s">
        <v>23</v>
      </c>
      <c r="E999" s="70" t="s">
        <v>1043</v>
      </c>
      <c r="F999" s="71" t="s">
        <v>1043</v>
      </c>
      <c r="G999" s="71" t="s">
        <v>1043</v>
      </c>
      <c r="H999" s="71" t="s">
        <v>1043</v>
      </c>
      <c r="I999" s="25">
        <v>0.9</v>
      </c>
      <c r="J999" s="26">
        <v>0</v>
      </c>
      <c r="K999" s="26">
        <v>0</v>
      </c>
      <c r="L999" s="27">
        <v>0</v>
      </c>
      <c r="M999" s="26">
        <v>0</v>
      </c>
      <c r="N999" s="28">
        <v>0.9</v>
      </c>
      <c r="O999" s="26">
        <v>0</v>
      </c>
      <c r="P999" s="26">
        <v>0</v>
      </c>
      <c r="Q999" s="26">
        <v>0</v>
      </c>
      <c r="R999" s="26">
        <v>0</v>
      </c>
      <c r="S999" s="28">
        <v>0.9</v>
      </c>
      <c r="T999" s="26">
        <v>0</v>
      </c>
      <c r="U999" s="26">
        <v>0</v>
      </c>
      <c r="V999" s="26">
        <v>0</v>
      </c>
      <c r="W999" s="26">
        <v>0</v>
      </c>
      <c r="X999" s="28">
        <v>0.92</v>
      </c>
      <c r="Y999" s="28">
        <v>0</v>
      </c>
      <c r="Z999" s="28">
        <v>0</v>
      </c>
      <c r="AA999" s="28">
        <v>0</v>
      </c>
      <c r="AB999" s="28">
        <v>0</v>
      </c>
      <c r="AC999" s="28">
        <v>0.92</v>
      </c>
      <c r="AD999" s="26">
        <v>0.77777777777777779</v>
      </c>
      <c r="AE999" s="26">
        <v>0.87333333333333329</v>
      </c>
      <c r="AF999" s="26">
        <v>0.94063926940639264</v>
      </c>
      <c r="AG999" s="26">
        <v>0.88563049853372433</v>
      </c>
      <c r="AH999" s="28">
        <v>0.92</v>
      </c>
      <c r="AI999" s="26">
        <v>0</v>
      </c>
      <c r="AJ999" s="26">
        <v>0</v>
      </c>
      <c r="AK999" s="26">
        <v>0</v>
      </c>
      <c r="AL999" s="26">
        <v>0</v>
      </c>
      <c r="AM999" s="25">
        <v>0.99</v>
      </c>
      <c r="AN999" s="30">
        <v>1</v>
      </c>
      <c r="AO999" s="30">
        <v>1</v>
      </c>
      <c r="AP999" s="30">
        <v>1</v>
      </c>
      <c r="AQ999" s="30">
        <v>1</v>
      </c>
      <c r="AR999" s="50">
        <v>6.5641848892985799E-2</v>
      </c>
      <c r="AS999" s="34">
        <v>0</v>
      </c>
      <c r="AT999" s="34">
        <v>0</v>
      </c>
      <c r="AU999" s="34">
        <v>0</v>
      </c>
      <c r="AV999" s="34">
        <v>0</v>
      </c>
      <c r="AW999" s="10"/>
      <c r="AX999" s="8"/>
    </row>
    <row r="1000" spans="1:50">
      <c r="A1000" s="7"/>
      <c r="B1000" s="10"/>
      <c r="C1000" s="69" t="s">
        <v>944</v>
      </c>
      <c r="D1000" s="23" t="s">
        <v>23</v>
      </c>
      <c r="E1000" s="70" t="s">
        <v>1044</v>
      </c>
      <c r="F1000" s="71" t="s">
        <v>1044</v>
      </c>
      <c r="G1000" s="71" t="s">
        <v>1044</v>
      </c>
      <c r="H1000" s="71" t="s">
        <v>1044</v>
      </c>
      <c r="I1000" s="25">
        <v>0.9</v>
      </c>
      <c r="J1000" s="26">
        <v>0</v>
      </c>
      <c r="K1000" s="26">
        <v>0</v>
      </c>
      <c r="L1000" s="27">
        <v>0</v>
      </c>
      <c r="M1000" s="26">
        <v>1</v>
      </c>
      <c r="N1000" s="28">
        <v>0.9</v>
      </c>
      <c r="O1000" s="26">
        <v>4.5454545454545452E-3</v>
      </c>
      <c r="P1000" s="26">
        <v>0.68512110726643594</v>
      </c>
      <c r="Q1000" s="26">
        <v>0.83823529411764708</v>
      </c>
      <c r="R1000" s="26">
        <v>0.43318707618667729</v>
      </c>
      <c r="S1000" s="28">
        <v>0.9</v>
      </c>
      <c r="T1000" s="26">
        <v>1</v>
      </c>
      <c r="U1000" s="26">
        <v>1</v>
      </c>
      <c r="V1000" s="26">
        <v>0.99632352941176472</v>
      </c>
      <c r="W1000" s="26">
        <v>0.95751894694854411</v>
      </c>
      <c r="X1000" s="28">
        <v>0.92</v>
      </c>
      <c r="Y1000" s="28">
        <v>1</v>
      </c>
      <c r="Z1000" s="28">
        <v>1</v>
      </c>
      <c r="AA1000" s="28">
        <v>1</v>
      </c>
      <c r="AB1000" s="28">
        <v>0.9622222222222222</v>
      </c>
      <c r="AC1000" s="28">
        <v>0.92</v>
      </c>
      <c r="AD1000" s="26">
        <v>1</v>
      </c>
      <c r="AE1000" s="26">
        <v>1</v>
      </c>
      <c r="AF1000" s="26">
        <v>0.98969072164948457</v>
      </c>
      <c r="AG1000" s="26">
        <v>0.95347129079644888</v>
      </c>
      <c r="AH1000" s="28">
        <v>0.92</v>
      </c>
      <c r="AI1000" s="26">
        <v>0.99655172413793103</v>
      </c>
      <c r="AJ1000" s="26">
        <v>0.99738219895287961</v>
      </c>
      <c r="AK1000" s="26">
        <v>0.99692307692307691</v>
      </c>
      <c r="AL1000" s="26">
        <v>0.98071798087474527</v>
      </c>
      <c r="AM1000" s="25">
        <v>0.99</v>
      </c>
      <c r="AN1000" s="30">
        <v>0</v>
      </c>
      <c r="AO1000" s="30">
        <v>0</v>
      </c>
      <c r="AP1000" s="30">
        <v>0</v>
      </c>
      <c r="AQ1000" s="30">
        <v>1</v>
      </c>
      <c r="AR1000" s="50">
        <v>6.5641848892985799E-2</v>
      </c>
      <c r="AS1000" s="34">
        <v>0</v>
      </c>
      <c r="AT1000" s="34">
        <v>0</v>
      </c>
      <c r="AU1000" s="34">
        <v>0</v>
      </c>
      <c r="AV1000" s="34">
        <v>4.7619047619047616E-2</v>
      </c>
      <c r="AW1000" s="10"/>
      <c r="AX1000" s="8"/>
    </row>
    <row r="1001" spans="1:50">
      <c r="A1001" s="7"/>
      <c r="B1001" s="10"/>
      <c r="C1001" s="69" t="s">
        <v>944</v>
      </c>
      <c r="D1001" s="23" t="s">
        <v>23</v>
      </c>
      <c r="E1001" s="70" t="s">
        <v>1045</v>
      </c>
      <c r="F1001" s="71" t="s">
        <v>1045</v>
      </c>
      <c r="G1001" s="71" t="s">
        <v>1045</v>
      </c>
      <c r="H1001" s="71" t="s">
        <v>1045</v>
      </c>
      <c r="I1001" s="25">
        <v>0.9</v>
      </c>
      <c r="J1001" s="26">
        <v>0.88235294117647056</v>
      </c>
      <c r="K1001" s="26">
        <v>0.9</v>
      </c>
      <c r="L1001" s="27">
        <v>0.90909090909090906</v>
      </c>
      <c r="M1001" s="26">
        <v>0.94</v>
      </c>
      <c r="N1001" s="28">
        <v>0.9</v>
      </c>
      <c r="O1001" s="26">
        <v>0.77687296416938112</v>
      </c>
      <c r="P1001" s="26">
        <v>0.91610455311973016</v>
      </c>
      <c r="Q1001" s="26">
        <v>0.77796725784447474</v>
      </c>
      <c r="R1001" s="26">
        <v>0.84735919351303968</v>
      </c>
      <c r="S1001" s="28">
        <v>0.9</v>
      </c>
      <c r="T1001" s="26">
        <v>0.91368078175895762</v>
      </c>
      <c r="U1001" s="26">
        <v>0.92706576728499157</v>
      </c>
      <c r="V1001" s="26">
        <v>0.92735334242837653</v>
      </c>
      <c r="W1001" s="26">
        <v>0.92121411352180582</v>
      </c>
      <c r="X1001" s="28">
        <v>0.92</v>
      </c>
      <c r="Y1001" s="28">
        <v>0.92033898305084749</v>
      </c>
      <c r="Z1001" s="28">
        <v>0.93392857142857144</v>
      </c>
      <c r="AA1001" s="28">
        <v>0.95677799607072689</v>
      </c>
      <c r="AB1001" s="28">
        <v>0.93410683012259199</v>
      </c>
      <c r="AC1001" s="28">
        <v>0.92</v>
      </c>
      <c r="AD1001" s="26">
        <v>0.94680293501048218</v>
      </c>
      <c r="AE1001" s="26">
        <v>0.98660840146602757</v>
      </c>
      <c r="AF1001" s="26">
        <v>0.97952127659574473</v>
      </c>
      <c r="AG1001" s="26">
        <v>0.97204832798498952</v>
      </c>
      <c r="AH1001" s="28">
        <v>0.92</v>
      </c>
      <c r="AI1001" s="26">
        <v>0.96199213630406288</v>
      </c>
      <c r="AJ1001" s="26">
        <v>0.96831345826235093</v>
      </c>
      <c r="AK1001" s="26">
        <v>0.98083067092651754</v>
      </c>
      <c r="AL1001" s="26">
        <v>0.96721383234843505</v>
      </c>
      <c r="AM1001" s="25">
        <v>0.99</v>
      </c>
      <c r="AN1001" s="30">
        <v>1</v>
      </c>
      <c r="AO1001" s="30">
        <v>1</v>
      </c>
      <c r="AP1001" s="30">
        <v>1</v>
      </c>
      <c r="AQ1001" s="30">
        <v>1</v>
      </c>
      <c r="AR1001" s="50">
        <v>6.5641848892985799E-2</v>
      </c>
      <c r="AS1001" s="34">
        <v>2.8169014084507043E-2</v>
      </c>
      <c r="AT1001" s="34">
        <v>1.7241379310344827E-2</v>
      </c>
      <c r="AU1001" s="34">
        <v>5.7692307692307696E-2</v>
      </c>
      <c r="AV1001" s="34">
        <v>2.4691358024691357E-2</v>
      </c>
      <c r="AW1001" s="10"/>
      <c r="AX1001" s="8"/>
    </row>
    <row r="1002" spans="1:50">
      <c r="A1002" s="7"/>
      <c r="B1002" s="10"/>
      <c r="C1002" s="69" t="s">
        <v>944</v>
      </c>
      <c r="D1002" s="23" t="s">
        <v>23</v>
      </c>
      <c r="E1002" s="80" t="s">
        <v>1046</v>
      </c>
      <c r="F1002" s="81" t="s">
        <v>1046</v>
      </c>
      <c r="G1002" s="81" t="s">
        <v>1046</v>
      </c>
      <c r="H1002" s="81" t="s">
        <v>1046</v>
      </c>
      <c r="I1002" s="25">
        <v>0.9</v>
      </c>
      <c r="J1002" s="26">
        <v>0</v>
      </c>
      <c r="K1002" s="26">
        <v>0</v>
      </c>
      <c r="L1002" s="27">
        <v>0</v>
      </c>
      <c r="M1002" s="26">
        <v>0</v>
      </c>
      <c r="N1002" s="28">
        <v>0.9</v>
      </c>
      <c r="O1002" s="26">
        <v>0</v>
      </c>
      <c r="P1002" s="26">
        <v>0</v>
      </c>
      <c r="Q1002" s="26">
        <v>0</v>
      </c>
      <c r="R1002" s="26">
        <v>0</v>
      </c>
      <c r="S1002" s="28">
        <v>0.9</v>
      </c>
      <c r="T1002" s="26">
        <v>0</v>
      </c>
      <c r="U1002" s="26">
        <v>0</v>
      </c>
      <c r="V1002" s="26">
        <v>0</v>
      </c>
      <c r="W1002" s="26">
        <v>0</v>
      </c>
      <c r="X1002" s="28">
        <v>0.92</v>
      </c>
      <c r="Y1002" s="28">
        <v>0</v>
      </c>
      <c r="Z1002" s="28">
        <v>0</v>
      </c>
      <c r="AA1002" s="28">
        <v>0</v>
      </c>
      <c r="AB1002" s="28">
        <v>0</v>
      </c>
      <c r="AC1002" s="28">
        <v>0.92</v>
      </c>
      <c r="AD1002" s="26">
        <v>0.98484848484848486</v>
      </c>
      <c r="AE1002" s="26">
        <v>0.90400000000000003</v>
      </c>
      <c r="AF1002" s="26">
        <v>0.94968553459119498</v>
      </c>
      <c r="AG1002" s="26">
        <v>0.93035943517329911</v>
      </c>
      <c r="AH1002" s="28">
        <v>0.92</v>
      </c>
      <c r="AI1002" s="26">
        <v>0</v>
      </c>
      <c r="AJ1002" s="26">
        <v>0</v>
      </c>
      <c r="AK1002" s="26">
        <v>0</v>
      </c>
      <c r="AL1002" s="26">
        <v>0</v>
      </c>
      <c r="AM1002" s="25">
        <v>0.99</v>
      </c>
      <c r="AN1002" s="30">
        <v>1</v>
      </c>
      <c r="AO1002" s="30">
        <v>1</v>
      </c>
      <c r="AP1002" s="30">
        <v>1</v>
      </c>
      <c r="AQ1002" s="30">
        <v>1</v>
      </c>
      <c r="AR1002" s="50">
        <v>6.5641848892985799E-2</v>
      </c>
      <c r="AS1002" s="34">
        <v>0</v>
      </c>
      <c r="AT1002" s="34">
        <v>0</v>
      </c>
      <c r="AU1002" s="34">
        <v>0</v>
      </c>
      <c r="AV1002" s="34">
        <v>0</v>
      </c>
      <c r="AW1002" s="10"/>
      <c r="AX1002" s="8"/>
    </row>
    <row r="1003" spans="1:50">
      <c r="A1003" s="7"/>
      <c r="B1003" s="10"/>
      <c r="C1003" s="69" t="s">
        <v>944</v>
      </c>
      <c r="D1003" s="23" t="s">
        <v>23</v>
      </c>
      <c r="E1003" s="80" t="s">
        <v>1047</v>
      </c>
      <c r="F1003" s="81" t="s">
        <v>1047</v>
      </c>
      <c r="G1003" s="81" t="s">
        <v>1047</v>
      </c>
      <c r="H1003" s="81" t="s">
        <v>1047</v>
      </c>
      <c r="I1003" s="25">
        <v>0.9</v>
      </c>
      <c r="J1003" s="26">
        <v>0.7142857142857143</v>
      </c>
      <c r="K1003" s="26">
        <v>0.76470588235294112</v>
      </c>
      <c r="L1003" s="27">
        <v>0.66666666666666663</v>
      </c>
      <c r="M1003" s="26">
        <v>0.75396825396825395</v>
      </c>
      <c r="N1003" s="28">
        <v>0.9</v>
      </c>
      <c r="O1003" s="26">
        <v>0.97859054415700264</v>
      </c>
      <c r="P1003" s="26">
        <v>0.98451113262342693</v>
      </c>
      <c r="Q1003" s="26">
        <v>0.9834368530020704</v>
      </c>
      <c r="R1003" s="26">
        <v>0.98358495087467046</v>
      </c>
      <c r="S1003" s="28">
        <v>0.9</v>
      </c>
      <c r="T1003" s="26">
        <v>0.82158786797502226</v>
      </c>
      <c r="U1003" s="26">
        <v>0.87899322362052279</v>
      </c>
      <c r="V1003" s="26">
        <v>0.88405797101449279</v>
      </c>
      <c r="W1003" s="26">
        <v>0.8614905343877306</v>
      </c>
      <c r="X1003" s="28">
        <v>0.92</v>
      </c>
      <c r="Y1003" s="28">
        <v>0.67782426778242677</v>
      </c>
      <c r="Z1003" s="28">
        <v>0.76706827309236947</v>
      </c>
      <c r="AA1003" s="28">
        <v>0.77859778597785978</v>
      </c>
      <c r="AB1003" s="28">
        <v>0.70330211927057662</v>
      </c>
      <c r="AC1003" s="28">
        <v>0.92</v>
      </c>
      <c r="AD1003" s="26">
        <v>0.99284180386542586</v>
      </c>
      <c r="AE1003" s="26">
        <v>0.79654178674351583</v>
      </c>
      <c r="AF1003" s="26">
        <v>0.97610513739546001</v>
      </c>
      <c r="AG1003" s="26">
        <v>0.91759530791788857</v>
      </c>
      <c r="AH1003" s="28">
        <v>0.92</v>
      </c>
      <c r="AI1003" s="26">
        <v>0.8970588235294118</v>
      </c>
      <c r="AJ1003" s="26">
        <v>0.92823712948517945</v>
      </c>
      <c r="AK1003" s="26">
        <v>0.94883720930232562</v>
      </c>
      <c r="AL1003" s="26">
        <v>0.90651503469545103</v>
      </c>
      <c r="AM1003" s="25">
        <v>0.99</v>
      </c>
      <c r="AN1003" s="30">
        <v>1</v>
      </c>
      <c r="AO1003" s="30">
        <v>1</v>
      </c>
      <c r="AP1003" s="30">
        <v>1</v>
      </c>
      <c r="AQ1003" s="30">
        <v>1</v>
      </c>
      <c r="AR1003" s="50">
        <v>6.5641848892985799E-2</v>
      </c>
      <c r="AS1003" s="34">
        <v>0.13333333333333333</v>
      </c>
      <c r="AT1003" s="34">
        <v>7.6923076923076927E-2</v>
      </c>
      <c r="AU1003" s="34">
        <v>0</v>
      </c>
      <c r="AV1003" s="34">
        <v>4.1666666666666664E-2</v>
      </c>
      <c r="AW1003" s="10"/>
      <c r="AX1003" s="8"/>
    </row>
    <row r="1004" spans="1:50">
      <c r="A1004" s="7"/>
      <c r="B1004" s="10"/>
      <c r="C1004" s="69" t="s">
        <v>944</v>
      </c>
      <c r="D1004" s="23" t="s">
        <v>23</v>
      </c>
      <c r="E1004" s="70" t="s">
        <v>1048</v>
      </c>
      <c r="F1004" s="71" t="s">
        <v>1048</v>
      </c>
      <c r="G1004" s="71" t="s">
        <v>1048</v>
      </c>
      <c r="H1004" s="71" t="s">
        <v>1048</v>
      </c>
      <c r="I1004" s="25">
        <v>0.9</v>
      </c>
      <c r="J1004" s="26">
        <v>1</v>
      </c>
      <c r="K1004" s="26">
        <v>0.96551724137931039</v>
      </c>
      <c r="L1004" s="27">
        <v>0.93333333333333335</v>
      </c>
      <c r="M1004" s="26">
        <v>0.9504504504504504</v>
      </c>
      <c r="N1004" s="28">
        <v>0.9</v>
      </c>
      <c r="O1004" s="26">
        <v>0.97820512820512817</v>
      </c>
      <c r="P1004" s="26">
        <v>0.97467902995720401</v>
      </c>
      <c r="Q1004" s="26">
        <v>0.96940376569037656</v>
      </c>
      <c r="R1004" s="26">
        <v>0.97329064715298419</v>
      </c>
      <c r="S1004" s="28">
        <v>0.9</v>
      </c>
      <c r="T1004" s="26">
        <v>0.91923076923076918</v>
      </c>
      <c r="U1004" s="26">
        <v>0.91833095577746082</v>
      </c>
      <c r="V1004" s="26">
        <v>0.90847280334728031</v>
      </c>
      <c r="W1004" s="26">
        <v>0.91941458952664079</v>
      </c>
      <c r="X1004" s="28">
        <v>0.92</v>
      </c>
      <c r="Y1004" s="28">
        <v>0.88685015290519875</v>
      </c>
      <c r="Z1004" s="28">
        <v>0.9107142857142857</v>
      </c>
      <c r="AA1004" s="28">
        <v>0.94290375203915167</v>
      </c>
      <c r="AB1004" s="28">
        <v>0.91987553481135742</v>
      </c>
      <c r="AC1004" s="28">
        <v>0.92</v>
      </c>
      <c r="AD1004" s="26">
        <v>0.90463692038495191</v>
      </c>
      <c r="AE1004" s="26">
        <v>0.96783844427823484</v>
      </c>
      <c r="AF1004" s="26">
        <v>0.96232339089481944</v>
      </c>
      <c r="AG1004" s="26">
        <v>0.92168735492986176</v>
      </c>
      <c r="AH1004" s="28">
        <v>0.92</v>
      </c>
      <c r="AI1004" s="26">
        <v>0.94727080021197674</v>
      </c>
      <c r="AJ1004" s="26">
        <v>0.95284646348476132</v>
      </c>
      <c r="AK1004" s="26">
        <v>0.9596574261888664</v>
      </c>
      <c r="AL1004" s="26">
        <v>0.95406425821735263</v>
      </c>
      <c r="AM1004" s="25">
        <v>0.99</v>
      </c>
      <c r="AN1004" s="30">
        <v>1</v>
      </c>
      <c r="AO1004" s="30">
        <v>1</v>
      </c>
      <c r="AP1004" s="30">
        <v>1</v>
      </c>
      <c r="AQ1004" s="30">
        <v>1</v>
      </c>
      <c r="AR1004" s="50">
        <v>6.5641848892985799E-2</v>
      </c>
      <c r="AS1004" s="34">
        <v>5.4054054054054057E-2</v>
      </c>
      <c r="AT1004" s="34">
        <v>6.9767441860465115E-2</v>
      </c>
      <c r="AU1004" s="34">
        <v>2.4390243902439025E-2</v>
      </c>
      <c r="AV1004" s="34">
        <v>3.0303030303030304E-2</v>
      </c>
      <c r="AW1004" s="10"/>
      <c r="AX1004" s="8"/>
    </row>
    <row r="1005" spans="1:50">
      <c r="A1005" s="7"/>
      <c r="B1005" s="10"/>
      <c r="C1005" s="69" t="s">
        <v>944</v>
      </c>
      <c r="D1005" s="23" t="s">
        <v>23</v>
      </c>
      <c r="E1005" s="70" t="s">
        <v>1049</v>
      </c>
      <c r="F1005" s="71" t="s">
        <v>1049</v>
      </c>
      <c r="G1005" s="71" t="s">
        <v>1049</v>
      </c>
      <c r="H1005" s="71" t="s">
        <v>1049</v>
      </c>
      <c r="I1005" s="25">
        <v>0.9</v>
      </c>
      <c r="J1005" s="26">
        <v>0.75</v>
      </c>
      <c r="K1005" s="26">
        <v>0.88235294117647056</v>
      </c>
      <c r="L1005" s="27">
        <v>0.875</v>
      </c>
      <c r="M1005" s="26">
        <v>0.83333333333333337</v>
      </c>
      <c r="N1005" s="28">
        <v>0.9</v>
      </c>
      <c r="O1005" s="26">
        <v>0.95924764890282133</v>
      </c>
      <c r="P1005" s="26">
        <v>0.91304347826086951</v>
      </c>
      <c r="Q1005" s="26">
        <v>0.94798572157062722</v>
      </c>
      <c r="R1005" s="26">
        <v>0.9511963375658633</v>
      </c>
      <c r="S1005" s="28">
        <v>0.9</v>
      </c>
      <c r="T1005" s="26">
        <v>0.91912225705329154</v>
      </c>
      <c r="U1005" s="26">
        <v>0.93305728088336781</v>
      </c>
      <c r="V1005" s="26">
        <v>0.88424273329933711</v>
      </c>
      <c r="W1005" s="26">
        <v>0.91629955947136565</v>
      </c>
      <c r="X1005" s="28">
        <v>0.92</v>
      </c>
      <c r="Y1005" s="28">
        <v>0</v>
      </c>
      <c r="Z1005" s="28">
        <v>0</v>
      </c>
      <c r="AA1005" s="28">
        <v>0</v>
      </c>
      <c r="AB1005" s="28">
        <v>0</v>
      </c>
      <c r="AC1005" s="28">
        <v>0.92</v>
      </c>
      <c r="AD1005" s="26">
        <v>0.93965517241379315</v>
      </c>
      <c r="AE1005" s="26">
        <v>0.97199999999999998</v>
      </c>
      <c r="AF1005" s="26">
        <v>0.97983870967741937</v>
      </c>
      <c r="AG1005" s="26">
        <v>0.96684118673647468</v>
      </c>
      <c r="AH1005" s="28">
        <v>0.92</v>
      </c>
      <c r="AI1005" s="26">
        <v>0.94482758620689655</v>
      </c>
      <c r="AJ1005" s="26">
        <v>0.96480331262939956</v>
      </c>
      <c r="AK1005" s="26">
        <v>0.96226415094339623</v>
      </c>
      <c r="AL1005" s="26">
        <v>0.95838010534496154</v>
      </c>
      <c r="AM1005" s="25">
        <v>0.99</v>
      </c>
      <c r="AN1005" s="30">
        <v>1</v>
      </c>
      <c r="AO1005" s="30">
        <v>1</v>
      </c>
      <c r="AP1005" s="30">
        <v>1</v>
      </c>
      <c r="AQ1005" s="30">
        <v>1</v>
      </c>
      <c r="AR1005" s="50">
        <v>6.5641848892985799E-2</v>
      </c>
      <c r="AS1005" s="34">
        <v>0</v>
      </c>
      <c r="AT1005" s="34">
        <v>0</v>
      </c>
      <c r="AU1005" s="34">
        <v>0.10526315789473684</v>
      </c>
      <c r="AV1005" s="34">
        <v>2.564102564102564E-2</v>
      </c>
      <c r="AW1005" s="10"/>
      <c r="AX1005" s="8"/>
    </row>
    <row r="1006" spans="1:50">
      <c r="A1006" s="7"/>
      <c r="B1006" s="10"/>
      <c r="C1006" s="69" t="s">
        <v>944</v>
      </c>
      <c r="D1006" s="23" t="s">
        <v>23</v>
      </c>
      <c r="E1006" s="80" t="s">
        <v>1050</v>
      </c>
      <c r="F1006" s="81" t="s">
        <v>1050</v>
      </c>
      <c r="G1006" s="81" t="s">
        <v>1050</v>
      </c>
      <c r="H1006" s="81" t="s">
        <v>1050</v>
      </c>
      <c r="I1006" s="25">
        <v>0.9</v>
      </c>
      <c r="J1006" s="26">
        <v>0.95454545454545459</v>
      </c>
      <c r="K1006" s="26">
        <v>1</v>
      </c>
      <c r="L1006" s="27">
        <v>0.90909090909090906</v>
      </c>
      <c r="M1006" s="26">
        <v>0.94915254237288138</v>
      </c>
      <c r="N1006" s="28">
        <v>0.9</v>
      </c>
      <c r="O1006" s="26">
        <v>0.95833333333333337</v>
      </c>
      <c r="P1006" s="26">
        <v>0.96389022628791521</v>
      </c>
      <c r="Q1006" s="26">
        <v>0.97763248451479701</v>
      </c>
      <c r="R1006" s="26">
        <v>0.97215128298674447</v>
      </c>
      <c r="S1006" s="28">
        <v>0.9</v>
      </c>
      <c r="T1006" s="26">
        <v>0.91714559386973182</v>
      </c>
      <c r="U1006" s="26">
        <v>0.93066923447279726</v>
      </c>
      <c r="V1006" s="26">
        <v>0.91225051617343422</v>
      </c>
      <c r="W1006" s="26">
        <v>0.92867566581539585</v>
      </c>
      <c r="X1006" s="28">
        <v>0.92</v>
      </c>
      <c r="Y1006" s="28">
        <v>0.84897959183673466</v>
      </c>
      <c r="Z1006" s="28">
        <v>0.90280777537796975</v>
      </c>
      <c r="AA1006" s="28">
        <v>0.85555555555555551</v>
      </c>
      <c r="AB1006" s="28">
        <v>0.88274111675126898</v>
      </c>
      <c r="AC1006" s="28">
        <v>0.92</v>
      </c>
      <c r="AD1006" s="26">
        <v>0.97937384898710866</v>
      </c>
      <c r="AE1006" s="26">
        <v>0.97690485590209242</v>
      </c>
      <c r="AF1006" s="26">
        <v>0.98675927935749941</v>
      </c>
      <c r="AG1006" s="26">
        <v>0.98612353307857004</v>
      </c>
      <c r="AH1006" s="28">
        <v>0.92</v>
      </c>
      <c r="AI1006" s="26">
        <v>0.93529639674544751</v>
      </c>
      <c r="AJ1006" s="26">
        <v>0.95472440944881887</v>
      </c>
      <c r="AK1006" s="26">
        <v>0.94280607685433426</v>
      </c>
      <c r="AL1006" s="26">
        <v>0.94968861864365228</v>
      </c>
      <c r="AM1006" s="25">
        <v>0.99</v>
      </c>
      <c r="AN1006" s="30">
        <v>1</v>
      </c>
      <c r="AO1006" s="30">
        <v>1</v>
      </c>
      <c r="AP1006" s="30">
        <v>1</v>
      </c>
      <c r="AQ1006" s="30">
        <v>0.99927693420101227</v>
      </c>
      <c r="AR1006" s="50">
        <v>6.5641848892985799E-2</v>
      </c>
      <c r="AS1006" s="34">
        <v>2.6315789473684209E-2</v>
      </c>
      <c r="AT1006" s="34">
        <v>0</v>
      </c>
      <c r="AU1006" s="34">
        <v>0</v>
      </c>
      <c r="AV1006" s="34">
        <v>6.7567567567567571E-2</v>
      </c>
      <c r="AW1006" s="10"/>
      <c r="AX1006" s="8"/>
    </row>
    <row r="1007" spans="1:50">
      <c r="A1007" s="7"/>
      <c r="B1007" s="10"/>
      <c r="C1007" s="69" t="s">
        <v>944</v>
      </c>
      <c r="D1007" s="23" t="s">
        <v>23</v>
      </c>
      <c r="E1007" s="70" t="s">
        <v>1051</v>
      </c>
      <c r="F1007" s="71" t="s">
        <v>1051</v>
      </c>
      <c r="G1007" s="71" t="s">
        <v>1051</v>
      </c>
      <c r="H1007" s="71" t="s">
        <v>1051</v>
      </c>
      <c r="I1007" s="25">
        <v>0.9</v>
      </c>
      <c r="J1007" s="26">
        <v>0.75</v>
      </c>
      <c r="K1007" s="26">
        <v>0.84615384615384615</v>
      </c>
      <c r="L1007" s="27">
        <v>0.76666666666666672</v>
      </c>
      <c r="M1007" s="26">
        <v>0.7927927927927928</v>
      </c>
      <c r="N1007" s="28">
        <v>0.9</v>
      </c>
      <c r="O1007" s="26">
        <v>0.84727954971857411</v>
      </c>
      <c r="P1007" s="26">
        <v>0.78102453102453107</v>
      </c>
      <c r="Q1007" s="26">
        <v>0.84829991281604189</v>
      </c>
      <c r="R1007" s="26">
        <v>0.8768777471863981</v>
      </c>
      <c r="S1007" s="28">
        <v>0.9</v>
      </c>
      <c r="T1007" s="26">
        <v>0.81538461538461537</v>
      </c>
      <c r="U1007" s="26">
        <v>0.82106782106782106</v>
      </c>
      <c r="V1007" s="26">
        <v>0.82941005521650679</v>
      </c>
      <c r="W1007" s="26">
        <v>0.83243974303241075</v>
      </c>
      <c r="X1007" s="28">
        <v>0.92</v>
      </c>
      <c r="Y1007" s="28">
        <v>0.81065918653576441</v>
      </c>
      <c r="Z1007" s="28">
        <v>0.77496274217585692</v>
      </c>
      <c r="AA1007" s="28">
        <v>0.83762057877813501</v>
      </c>
      <c r="AB1007" s="28">
        <v>0.77044753086419748</v>
      </c>
      <c r="AC1007" s="28">
        <v>0.92</v>
      </c>
      <c r="AD1007" s="26">
        <v>0.98331943286071721</v>
      </c>
      <c r="AE1007" s="26">
        <v>0.64931740614334466</v>
      </c>
      <c r="AF1007" s="26">
        <v>0.87739463601532564</v>
      </c>
      <c r="AG1007" s="26">
        <v>0.8625266421236194</v>
      </c>
      <c r="AH1007" s="28">
        <v>0.92</v>
      </c>
      <c r="AI1007" s="26">
        <v>0.90438129070455886</v>
      </c>
      <c r="AJ1007" s="26">
        <v>0.85187336625036303</v>
      </c>
      <c r="AK1007" s="26">
        <v>0.93822298793994585</v>
      </c>
      <c r="AL1007" s="26">
        <v>0.89319375772558718</v>
      </c>
      <c r="AM1007" s="25">
        <v>0.99</v>
      </c>
      <c r="AN1007" s="30">
        <v>1</v>
      </c>
      <c r="AO1007" s="30">
        <v>1</v>
      </c>
      <c r="AP1007" s="30">
        <v>1</v>
      </c>
      <c r="AQ1007" s="30">
        <v>1</v>
      </c>
      <c r="AR1007" s="50">
        <v>6.5641848892985799E-2</v>
      </c>
      <c r="AS1007" s="34">
        <v>9.0909090909090912E-2</v>
      </c>
      <c r="AT1007" s="34">
        <v>4.4444444444444446E-2</v>
      </c>
      <c r="AU1007" s="34">
        <v>4.5454545454545456E-2</v>
      </c>
      <c r="AV1007" s="34">
        <v>4.7945205479452052E-2</v>
      </c>
      <c r="AW1007" s="10"/>
      <c r="AX1007" s="8"/>
    </row>
    <row r="1008" spans="1:50">
      <c r="A1008" s="7"/>
      <c r="B1008" s="10"/>
      <c r="C1008" s="69" t="s">
        <v>944</v>
      </c>
      <c r="D1008" s="23" t="s">
        <v>23</v>
      </c>
      <c r="E1008" s="70" t="s">
        <v>1052</v>
      </c>
      <c r="F1008" s="71" t="s">
        <v>1052</v>
      </c>
      <c r="G1008" s="71" t="s">
        <v>1052</v>
      </c>
      <c r="H1008" s="71" t="s">
        <v>1052</v>
      </c>
      <c r="I1008" s="25">
        <v>0.9</v>
      </c>
      <c r="J1008" s="26">
        <v>0.96551724137931039</v>
      </c>
      <c r="K1008" s="26">
        <v>0.96551724137931039</v>
      </c>
      <c r="L1008" s="27">
        <v>0.93548387096774188</v>
      </c>
      <c r="M1008" s="26">
        <v>0.9023255813953488</v>
      </c>
      <c r="N1008" s="28">
        <v>0.9</v>
      </c>
      <c r="O1008" s="26">
        <v>0.98076923076923073</v>
      </c>
      <c r="P1008" s="26">
        <v>0.95120772946859899</v>
      </c>
      <c r="Q1008" s="26">
        <v>0.87001733102253032</v>
      </c>
      <c r="R1008" s="26">
        <v>0.94124693058633291</v>
      </c>
      <c r="S1008" s="28">
        <v>0.9</v>
      </c>
      <c r="T1008" s="26">
        <v>0.86225402504472271</v>
      </c>
      <c r="U1008" s="26">
        <v>0.88454106280193234</v>
      </c>
      <c r="V1008" s="26">
        <v>0.84991334488734838</v>
      </c>
      <c r="W1008" s="26">
        <v>0.83559920943882138</v>
      </c>
      <c r="X1008" s="28">
        <v>0.92</v>
      </c>
      <c r="Y1008" s="28">
        <v>0.83864915572232646</v>
      </c>
      <c r="Z1008" s="28">
        <v>0.76908396946564883</v>
      </c>
      <c r="AA1008" s="28">
        <v>0.7813121272365805</v>
      </c>
      <c r="AB1008" s="28">
        <v>0.68820562094643289</v>
      </c>
      <c r="AC1008" s="28">
        <v>0.92</v>
      </c>
      <c r="AD1008" s="26">
        <v>0.99438943894389442</v>
      </c>
      <c r="AE1008" s="26">
        <v>0.7014176018901358</v>
      </c>
      <c r="AF1008" s="26">
        <v>0.62528502660248286</v>
      </c>
      <c r="AG1008" s="26">
        <v>0.71494850143824817</v>
      </c>
      <c r="AH1008" s="28">
        <v>0.92</v>
      </c>
      <c r="AI1008" s="26">
        <v>0.90519105984138426</v>
      </c>
      <c r="AJ1008" s="26">
        <v>0.89761354888375677</v>
      </c>
      <c r="AK1008" s="26">
        <v>0.9282762691853601</v>
      </c>
      <c r="AL1008" s="26">
        <v>0.87102955971829632</v>
      </c>
      <c r="AM1008" s="25">
        <v>0.99</v>
      </c>
      <c r="AN1008" s="30">
        <v>1</v>
      </c>
      <c r="AO1008" s="30">
        <v>1</v>
      </c>
      <c r="AP1008" s="30">
        <v>1</v>
      </c>
      <c r="AQ1008" s="30">
        <v>1</v>
      </c>
      <c r="AR1008" s="50">
        <v>6.5641848892985799E-2</v>
      </c>
      <c r="AS1008" s="34">
        <v>4.2553191489361701E-2</v>
      </c>
      <c r="AT1008" s="34">
        <v>2.7777777777777776E-2</v>
      </c>
      <c r="AU1008" s="34">
        <v>2.8571428571428571E-2</v>
      </c>
      <c r="AV1008" s="34">
        <v>3.2258064516129031E-2</v>
      </c>
      <c r="AW1008" s="10"/>
      <c r="AX1008" s="8"/>
    </row>
    <row r="1009" spans="1:50">
      <c r="A1009" s="7"/>
      <c r="B1009" s="10"/>
      <c r="C1009" s="69" t="s">
        <v>944</v>
      </c>
      <c r="D1009" s="23" t="s">
        <v>23</v>
      </c>
      <c r="E1009" s="70" t="s">
        <v>1053</v>
      </c>
      <c r="F1009" s="71" t="s">
        <v>1053</v>
      </c>
      <c r="G1009" s="71" t="s">
        <v>1053</v>
      </c>
      <c r="H1009" s="71" t="s">
        <v>1053</v>
      </c>
      <c r="I1009" s="25">
        <v>0.9</v>
      </c>
      <c r="J1009" s="26">
        <v>0.7857142857142857</v>
      </c>
      <c r="K1009" s="26">
        <v>0.7857142857142857</v>
      </c>
      <c r="L1009" s="27">
        <v>0.8</v>
      </c>
      <c r="M1009" s="26">
        <v>0.78761061946902655</v>
      </c>
      <c r="N1009" s="28">
        <v>0.9</v>
      </c>
      <c r="O1009" s="26">
        <v>0.83223443223443228</v>
      </c>
      <c r="P1009" s="26">
        <v>0.83210059171597628</v>
      </c>
      <c r="Q1009" s="26">
        <v>0.80736543909348446</v>
      </c>
      <c r="R1009" s="26">
        <v>0.83250585480093675</v>
      </c>
      <c r="S1009" s="28">
        <v>0.9</v>
      </c>
      <c r="T1009" s="26">
        <v>0.86080586080586086</v>
      </c>
      <c r="U1009" s="26">
        <v>0.81360946745562135</v>
      </c>
      <c r="V1009" s="26">
        <v>0.85269121813031157</v>
      </c>
      <c r="W1009" s="26">
        <v>0.84861826697892273</v>
      </c>
      <c r="X1009" s="28">
        <v>0.92</v>
      </c>
      <c r="Y1009" s="28">
        <v>0.83283582089552244</v>
      </c>
      <c r="Z1009" s="28">
        <v>0.8498498498498499</v>
      </c>
      <c r="AA1009" s="28">
        <v>0.80691642651296835</v>
      </c>
      <c r="AB1009" s="28">
        <v>0.85900783289817229</v>
      </c>
      <c r="AC1009" s="28">
        <v>0.92</v>
      </c>
      <c r="AD1009" s="26">
        <v>0.97843256379100851</v>
      </c>
      <c r="AE1009" s="26">
        <v>0.91428571428571426</v>
      </c>
      <c r="AF1009" s="26">
        <v>0.95222734254992325</v>
      </c>
      <c r="AG1009" s="26">
        <v>0.86175765542839466</v>
      </c>
      <c r="AH1009" s="28">
        <v>0.92</v>
      </c>
      <c r="AI1009" s="26">
        <v>0.90058823529411769</v>
      </c>
      <c r="AJ1009" s="26">
        <v>0.91038575667655786</v>
      </c>
      <c r="AK1009" s="26">
        <v>0.87926136363636365</v>
      </c>
      <c r="AL1009" s="26">
        <v>0.90438754117999398</v>
      </c>
      <c r="AM1009" s="25">
        <v>0.99</v>
      </c>
      <c r="AN1009" s="30">
        <v>1</v>
      </c>
      <c r="AO1009" s="30">
        <v>1</v>
      </c>
      <c r="AP1009" s="30">
        <v>1</v>
      </c>
      <c r="AQ1009" s="30">
        <v>1</v>
      </c>
      <c r="AR1009" s="50">
        <v>6.5641848892985799E-2</v>
      </c>
      <c r="AS1009" s="34">
        <v>0</v>
      </c>
      <c r="AT1009" s="34">
        <v>7.407407407407407E-2</v>
      </c>
      <c r="AU1009" s="34">
        <v>0</v>
      </c>
      <c r="AV1009" s="34">
        <v>1.8779342723004695E-2</v>
      </c>
      <c r="AW1009" s="10"/>
      <c r="AX1009" s="8"/>
    </row>
    <row r="1010" spans="1:50">
      <c r="A1010" s="7"/>
      <c r="B1010" s="10"/>
      <c r="C1010" s="69" t="s">
        <v>944</v>
      </c>
      <c r="D1010" s="23" t="s">
        <v>23</v>
      </c>
      <c r="E1010" s="70" t="s">
        <v>1054</v>
      </c>
      <c r="F1010" s="71" t="s">
        <v>1054</v>
      </c>
      <c r="G1010" s="71" t="s">
        <v>1054</v>
      </c>
      <c r="H1010" s="71" t="s">
        <v>1054</v>
      </c>
      <c r="I1010" s="25">
        <v>0.9</v>
      </c>
      <c r="J1010" s="26">
        <v>0.75</v>
      </c>
      <c r="K1010" s="26">
        <v>0.66666666666666663</v>
      </c>
      <c r="L1010" s="27">
        <v>0.625</v>
      </c>
      <c r="M1010" s="26">
        <v>0.74242424242424243</v>
      </c>
      <c r="N1010" s="28">
        <v>0.9</v>
      </c>
      <c r="O1010" s="26">
        <v>0.40472673559822747</v>
      </c>
      <c r="P1010" s="26">
        <v>0.36085626911314983</v>
      </c>
      <c r="Q1010" s="26">
        <v>0.30395480225988702</v>
      </c>
      <c r="R1010" s="26">
        <v>0.49467776272498548</v>
      </c>
      <c r="S1010" s="28">
        <v>0.9</v>
      </c>
      <c r="T1010" s="26">
        <v>0.85524372230428358</v>
      </c>
      <c r="U1010" s="26">
        <v>0.92201834862385323</v>
      </c>
      <c r="V1010" s="26">
        <v>0.81581920903954808</v>
      </c>
      <c r="W1010" s="26">
        <v>0.85542868202051481</v>
      </c>
      <c r="X1010" s="28">
        <v>0.92</v>
      </c>
      <c r="Y1010" s="28">
        <v>0</v>
      </c>
      <c r="Z1010" s="28">
        <v>0</v>
      </c>
      <c r="AA1010" s="28">
        <v>0</v>
      </c>
      <c r="AB1010" s="28">
        <v>0</v>
      </c>
      <c r="AC1010" s="28">
        <v>0.92</v>
      </c>
      <c r="AD1010" s="26">
        <v>0.9285714285714286</v>
      </c>
      <c r="AE1010" s="26">
        <v>0.8867924528301887</v>
      </c>
      <c r="AF1010" s="26">
        <v>0.93939393939393945</v>
      </c>
      <c r="AG1010" s="26">
        <v>0.88713910761154857</v>
      </c>
      <c r="AH1010" s="28">
        <v>0.92</v>
      </c>
      <c r="AI1010" s="26">
        <v>0.94542772861356927</v>
      </c>
      <c r="AJ1010" s="26">
        <v>0.97553516819571862</v>
      </c>
      <c r="AK1010" s="26">
        <v>0.94915254237288138</v>
      </c>
      <c r="AL1010" s="26">
        <v>0.94698142414860687</v>
      </c>
      <c r="AM1010" s="25">
        <v>0.99</v>
      </c>
      <c r="AN1010" s="30">
        <v>0</v>
      </c>
      <c r="AO1010" s="30">
        <v>1</v>
      </c>
      <c r="AP1010" s="30">
        <v>1</v>
      </c>
      <c r="AQ1010" s="30">
        <v>1</v>
      </c>
      <c r="AR1010" s="50">
        <v>6.5641848892985799E-2</v>
      </c>
      <c r="AS1010" s="34">
        <v>0</v>
      </c>
      <c r="AT1010" s="34">
        <v>-0.16666666666666666</v>
      </c>
      <c r="AU1010" s="34">
        <v>0</v>
      </c>
      <c r="AV1010" s="34">
        <v>-0.02</v>
      </c>
      <c r="AW1010" s="10"/>
      <c r="AX1010" s="8"/>
    </row>
    <row r="1011" spans="1:50">
      <c r="A1011" s="7"/>
      <c r="B1011" s="10"/>
      <c r="C1011" s="69" t="s">
        <v>944</v>
      </c>
      <c r="D1011" s="23" t="s">
        <v>23</v>
      </c>
      <c r="E1011" s="72" t="s">
        <v>1055</v>
      </c>
      <c r="F1011" s="73" t="s">
        <v>1055</v>
      </c>
      <c r="G1011" s="73" t="s">
        <v>1055</v>
      </c>
      <c r="H1011" s="73" t="s">
        <v>1055</v>
      </c>
      <c r="I1011" s="25">
        <v>0.9</v>
      </c>
      <c r="J1011" s="26">
        <v>0.73913043478260865</v>
      </c>
      <c r="K1011" s="26">
        <v>0.88461538461538458</v>
      </c>
      <c r="L1011" s="27">
        <v>0.88</v>
      </c>
      <c r="M1011" s="26">
        <v>0.8393782383419689</v>
      </c>
      <c r="N1011" s="28">
        <v>0.9</v>
      </c>
      <c r="O1011" s="26">
        <v>0.82717770034843208</v>
      </c>
      <c r="P1011" s="26">
        <v>0.97341309405117982</v>
      </c>
      <c r="Q1011" s="26">
        <v>0.98153679065978816</v>
      </c>
      <c r="R1011" s="26">
        <v>0.91702395964691041</v>
      </c>
      <c r="S1011" s="28">
        <v>0.9</v>
      </c>
      <c r="T1011" s="26">
        <v>0.88048780487804879</v>
      </c>
      <c r="U1011" s="26">
        <v>0.9232303090727817</v>
      </c>
      <c r="V1011" s="26">
        <v>0.89899538419766489</v>
      </c>
      <c r="W1011" s="26">
        <v>0.89066834804539718</v>
      </c>
      <c r="X1011" s="28">
        <v>0.92</v>
      </c>
      <c r="Y1011" s="28">
        <v>0.92380952380952386</v>
      </c>
      <c r="Z1011" s="28">
        <v>0.96447793326157161</v>
      </c>
      <c r="AA1011" s="28">
        <v>0.96324655436447171</v>
      </c>
      <c r="AB1011" s="28">
        <v>0.93887117944871556</v>
      </c>
      <c r="AC1011" s="28">
        <v>0.92</v>
      </c>
      <c r="AD1011" s="26">
        <v>0.99709954366153608</v>
      </c>
      <c r="AE1011" s="26">
        <v>0.9952489958104781</v>
      </c>
      <c r="AF1011" s="26">
        <v>0.99869446199199829</v>
      </c>
      <c r="AG1011" s="26">
        <v>0.99633007224418724</v>
      </c>
      <c r="AH1011" s="28">
        <v>0.92</v>
      </c>
      <c r="AI1011" s="26">
        <v>0.94576077647730517</v>
      </c>
      <c r="AJ1011" s="26">
        <v>0.9726027397260274</v>
      </c>
      <c r="AK1011" s="26">
        <v>0.97211981566820271</v>
      </c>
      <c r="AL1011" s="26">
        <v>0.95784599554107352</v>
      </c>
      <c r="AM1011" s="25">
        <v>0.99</v>
      </c>
      <c r="AN1011" s="30">
        <v>1</v>
      </c>
      <c r="AO1011" s="30">
        <v>1</v>
      </c>
      <c r="AP1011" s="30">
        <v>1</v>
      </c>
      <c r="AQ1011" s="30">
        <v>1</v>
      </c>
      <c r="AR1011" s="50">
        <v>6.5641848892985799E-2</v>
      </c>
      <c r="AS1011" s="34">
        <v>7.407407407407407E-2</v>
      </c>
      <c r="AT1011" s="34">
        <v>3.8461538461538464E-2</v>
      </c>
      <c r="AU1011" s="34">
        <v>3.5714285714285712E-2</v>
      </c>
      <c r="AV1011" s="34">
        <v>3.8834951456310676E-2</v>
      </c>
      <c r="AW1011" s="10"/>
      <c r="AX1011" s="8"/>
    </row>
    <row r="1012" spans="1:50">
      <c r="A1012" s="7"/>
      <c r="B1012" s="10"/>
      <c r="C1012" s="69" t="s">
        <v>944</v>
      </c>
      <c r="D1012" s="23" t="s">
        <v>23</v>
      </c>
      <c r="E1012" s="72" t="s">
        <v>1056</v>
      </c>
      <c r="F1012" s="73" t="s">
        <v>1056</v>
      </c>
      <c r="G1012" s="73" t="s">
        <v>1056</v>
      </c>
      <c r="H1012" s="73" t="s">
        <v>1056</v>
      </c>
      <c r="I1012" s="25">
        <v>0.9</v>
      </c>
      <c r="J1012" s="26">
        <v>0</v>
      </c>
      <c r="K1012" s="26">
        <v>0</v>
      </c>
      <c r="L1012" s="27">
        <v>0</v>
      </c>
      <c r="M1012" s="26">
        <v>0</v>
      </c>
      <c r="N1012" s="28">
        <v>0.9</v>
      </c>
      <c r="O1012" s="26">
        <v>0</v>
      </c>
      <c r="P1012" s="26">
        <v>0</v>
      </c>
      <c r="Q1012" s="26">
        <v>0</v>
      </c>
      <c r="R1012" s="26">
        <v>0</v>
      </c>
      <c r="S1012" s="28">
        <v>0.9</v>
      </c>
      <c r="T1012" s="26">
        <v>0</v>
      </c>
      <c r="U1012" s="26">
        <v>0</v>
      </c>
      <c r="V1012" s="26">
        <v>0</v>
      </c>
      <c r="W1012" s="26">
        <v>0</v>
      </c>
      <c r="X1012" s="28">
        <v>0.92</v>
      </c>
      <c r="Y1012" s="28">
        <v>0</v>
      </c>
      <c r="Z1012" s="28">
        <v>0</v>
      </c>
      <c r="AA1012" s="28">
        <v>0</v>
      </c>
      <c r="AB1012" s="28">
        <v>0</v>
      </c>
      <c r="AC1012" s="28">
        <v>0.92</v>
      </c>
      <c r="AD1012" s="26">
        <v>0</v>
      </c>
      <c r="AE1012" s="26">
        <v>0</v>
      </c>
      <c r="AF1012" s="26">
        <v>0</v>
      </c>
      <c r="AG1012" s="26">
        <v>0</v>
      </c>
      <c r="AH1012" s="28">
        <v>0.92</v>
      </c>
      <c r="AI1012" s="26">
        <v>0</v>
      </c>
      <c r="AJ1012" s="26">
        <v>0</v>
      </c>
      <c r="AK1012" s="26">
        <v>0</v>
      </c>
      <c r="AL1012" s="26">
        <v>0</v>
      </c>
      <c r="AM1012" s="25">
        <v>0.99</v>
      </c>
      <c r="AN1012" s="30">
        <v>0</v>
      </c>
      <c r="AO1012" s="30">
        <v>0</v>
      </c>
      <c r="AP1012" s="30">
        <v>0</v>
      </c>
      <c r="AQ1012" s="30">
        <v>0</v>
      </c>
      <c r="AR1012" s="50">
        <v>6.5641848892985799E-2</v>
      </c>
      <c r="AS1012" s="34">
        <v>0</v>
      </c>
      <c r="AT1012" s="34">
        <v>0</v>
      </c>
      <c r="AU1012" s="34">
        <v>0</v>
      </c>
      <c r="AV1012" s="34">
        <v>0</v>
      </c>
      <c r="AW1012" s="10"/>
      <c r="AX1012" s="8"/>
    </row>
    <row r="1013" spans="1:50">
      <c r="A1013" s="7"/>
      <c r="B1013" s="10"/>
      <c r="C1013" s="69" t="s">
        <v>944</v>
      </c>
      <c r="D1013" s="23" t="s">
        <v>23</v>
      </c>
      <c r="E1013" s="74" t="s">
        <v>1057</v>
      </c>
      <c r="F1013" s="75" t="s">
        <v>1057</v>
      </c>
      <c r="G1013" s="75" t="s">
        <v>1057</v>
      </c>
      <c r="H1013" s="75" t="s">
        <v>1057</v>
      </c>
      <c r="I1013" s="25">
        <v>0.9</v>
      </c>
      <c r="J1013" s="26">
        <v>0</v>
      </c>
      <c r="K1013" s="26">
        <v>0</v>
      </c>
      <c r="L1013" s="27">
        <v>0</v>
      </c>
      <c r="M1013" s="26">
        <v>0</v>
      </c>
      <c r="N1013" s="28">
        <v>0.9</v>
      </c>
      <c r="O1013" s="26">
        <v>0</v>
      </c>
      <c r="P1013" s="26">
        <v>0</v>
      </c>
      <c r="Q1013" s="26">
        <v>0</v>
      </c>
      <c r="R1013" s="26">
        <v>0</v>
      </c>
      <c r="S1013" s="28">
        <v>0.9</v>
      </c>
      <c r="T1013" s="26">
        <v>0</v>
      </c>
      <c r="U1013" s="26">
        <v>0</v>
      </c>
      <c r="V1013" s="26">
        <v>1</v>
      </c>
      <c r="W1013" s="26">
        <v>1</v>
      </c>
      <c r="X1013" s="28">
        <v>0.92</v>
      </c>
      <c r="Y1013" s="28">
        <v>0</v>
      </c>
      <c r="Z1013" s="28">
        <v>0</v>
      </c>
      <c r="AA1013" s="28">
        <v>0</v>
      </c>
      <c r="AB1013" s="28">
        <v>0</v>
      </c>
      <c r="AC1013" s="28">
        <v>0.92</v>
      </c>
      <c r="AD1013" s="26">
        <v>1</v>
      </c>
      <c r="AE1013" s="26">
        <v>0.9923371647509579</v>
      </c>
      <c r="AF1013" s="26">
        <v>0.98867924528301887</v>
      </c>
      <c r="AG1013" s="26">
        <v>0.99126471705279151</v>
      </c>
      <c r="AH1013" s="28">
        <v>0.92</v>
      </c>
      <c r="AI1013" s="26">
        <v>0</v>
      </c>
      <c r="AJ1013" s="26">
        <v>0</v>
      </c>
      <c r="AK1013" s="26">
        <v>1</v>
      </c>
      <c r="AL1013" s="26">
        <v>1</v>
      </c>
      <c r="AM1013" s="25">
        <v>0.99</v>
      </c>
      <c r="AN1013" s="30">
        <v>0</v>
      </c>
      <c r="AO1013" s="30">
        <v>0</v>
      </c>
      <c r="AP1013" s="30">
        <v>1</v>
      </c>
      <c r="AQ1013" s="30">
        <v>1</v>
      </c>
      <c r="AR1013" s="50">
        <v>6.5641848892985799E-2</v>
      </c>
      <c r="AS1013" s="34">
        <v>0</v>
      </c>
      <c r="AT1013" s="34">
        <v>0</v>
      </c>
      <c r="AU1013" s="34">
        <v>0</v>
      </c>
      <c r="AV1013" s="34">
        <v>0</v>
      </c>
      <c r="AW1013" s="10"/>
      <c r="AX1013" s="8"/>
    </row>
    <row r="1014" spans="1:50">
      <c r="A1014" s="7"/>
      <c r="B1014" s="10"/>
      <c r="C1014" s="69" t="s">
        <v>944</v>
      </c>
      <c r="D1014" s="23" t="s">
        <v>23</v>
      </c>
      <c r="E1014" s="74" t="s">
        <v>1058</v>
      </c>
      <c r="F1014" s="75" t="s">
        <v>1058</v>
      </c>
      <c r="G1014" s="75" t="s">
        <v>1058</v>
      </c>
      <c r="H1014" s="75" t="s">
        <v>1058</v>
      </c>
      <c r="I1014" s="25">
        <v>0.9</v>
      </c>
      <c r="J1014" s="26">
        <v>0</v>
      </c>
      <c r="K1014" s="26">
        <v>0</v>
      </c>
      <c r="L1014" s="27">
        <v>0</v>
      </c>
      <c r="M1014" s="26">
        <v>0</v>
      </c>
      <c r="N1014" s="28">
        <v>0.9</v>
      </c>
      <c r="O1014" s="26">
        <v>0</v>
      </c>
      <c r="P1014" s="26">
        <v>0</v>
      </c>
      <c r="Q1014" s="26">
        <v>0</v>
      </c>
      <c r="R1014" s="26">
        <v>0</v>
      </c>
      <c r="S1014" s="28">
        <v>0.9</v>
      </c>
      <c r="T1014" s="26">
        <v>0</v>
      </c>
      <c r="U1014" s="26">
        <v>0</v>
      </c>
      <c r="V1014" s="26">
        <v>0</v>
      </c>
      <c r="W1014" s="26">
        <v>0</v>
      </c>
      <c r="X1014" s="28">
        <v>0.92</v>
      </c>
      <c r="Y1014" s="28">
        <v>0</v>
      </c>
      <c r="Z1014" s="28">
        <v>0</v>
      </c>
      <c r="AA1014" s="28">
        <v>0</v>
      </c>
      <c r="AB1014" s="28">
        <v>0</v>
      </c>
      <c r="AC1014" s="28">
        <v>0.92</v>
      </c>
      <c r="AD1014" s="26">
        <v>1</v>
      </c>
      <c r="AE1014" s="26">
        <v>1</v>
      </c>
      <c r="AF1014" s="26">
        <v>1</v>
      </c>
      <c r="AG1014" s="26">
        <v>0.99966454209996647</v>
      </c>
      <c r="AH1014" s="28">
        <v>0.92</v>
      </c>
      <c r="AI1014" s="26">
        <v>0</v>
      </c>
      <c r="AJ1014" s="26">
        <v>0</v>
      </c>
      <c r="AK1014" s="26">
        <v>0</v>
      </c>
      <c r="AL1014" s="26">
        <v>0</v>
      </c>
      <c r="AM1014" s="25">
        <v>0.99</v>
      </c>
      <c r="AN1014" s="30">
        <v>1</v>
      </c>
      <c r="AO1014" s="30">
        <v>1</v>
      </c>
      <c r="AP1014" s="30">
        <v>1</v>
      </c>
      <c r="AQ1014" s="30">
        <v>1</v>
      </c>
      <c r="AR1014" s="50">
        <v>6.5641848892985799E-2</v>
      </c>
      <c r="AS1014" s="34">
        <v>0</v>
      </c>
      <c r="AT1014" s="34">
        <v>0</v>
      </c>
      <c r="AU1014" s="34">
        <v>0</v>
      </c>
      <c r="AV1014" s="34">
        <v>0</v>
      </c>
      <c r="AW1014" s="10"/>
      <c r="AX1014" s="8"/>
    </row>
    <row r="1015" spans="1:50">
      <c r="A1015" s="7"/>
      <c r="B1015" s="10"/>
      <c r="C1015" s="69" t="s">
        <v>944</v>
      </c>
      <c r="D1015" s="23" t="s">
        <v>23</v>
      </c>
      <c r="E1015" s="72" t="s">
        <v>1059</v>
      </c>
      <c r="F1015" s="73" t="s">
        <v>1059</v>
      </c>
      <c r="G1015" s="73" t="s">
        <v>1059</v>
      </c>
      <c r="H1015" s="73" t="s">
        <v>1059</v>
      </c>
      <c r="I1015" s="25">
        <v>0.9</v>
      </c>
      <c r="J1015" s="26">
        <v>0.94117647058823528</v>
      </c>
      <c r="K1015" s="26">
        <v>0.82926829268292679</v>
      </c>
      <c r="L1015" s="27">
        <v>0.95454545454545459</v>
      </c>
      <c r="M1015" s="26">
        <v>0.86601307189542487</v>
      </c>
      <c r="N1015" s="28">
        <v>0.9</v>
      </c>
      <c r="O1015" s="26">
        <v>0.94908266336837765</v>
      </c>
      <c r="P1015" s="26">
        <v>0.94723113964687</v>
      </c>
      <c r="Q1015" s="26">
        <v>0.96140226628895187</v>
      </c>
      <c r="R1015" s="26">
        <v>0.88707511106519266</v>
      </c>
      <c r="S1015" s="28">
        <v>0.9</v>
      </c>
      <c r="T1015" s="26">
        <v>0.88352916924345493</v>
      </c>
      <c r="U1015" s="26">
        <v>0.9139245585874799</v>
      </c>
      <c r="V1015" s="26">
        <v>0.91997167138810199</v>
      </c>
      <c r="W1015" s="26">
        <v>0.88456968695113136</v>
      </c>
      <c r="X1015" s="28">
        <v>0.92</v>
      </c>
      <c r="Y1015" s="28">
        <v>0.86009389671361502</v>
      </c>
      <c r="Z1015" s="28">
        <v>0.93236714975845414</v>
      </c>
      <c r="AA1015" s="28">
        <v>0.92025664527956008</v>
      </c>
      <c r="AB1015" s="28">
        <v>0.89608873321657911</v>
      </c>
      <c r="AC1015" s="28">
        <v>0.92</v>
      </c>
      <c r="AD1015" s="26">
        <v>0.99891975829591872</v>
      </c>
      <c r="AE1015" s="26">
        <v>0.99366267314482304</v>
      </c>
      <c r="AF1015" s="26">
        <v>0.99335729064575851</v>
      </c>
      <c r="AG1015" s="26">
        <v>0.99089748439568759</v>
      </c>
      <c r="AH1015" s="28">
        <v>0.92</v>
      </c>
      <c r="AI1015" s="26">
        <v>0.93359242987495772</v>
      </c>
      <c r="AJ1015" s="26">
        <v>0.95713597688232466</v>
      </c>
      <c r="AK1015" s="26">
        <v>0.963353115727003</v>
      </c>
      <c r="AL1015" s="26">
        <v>0.94384303112313939</v>
      </c>
      <c r="AM1015" s="25">
        <v>0.99</v>
      </c>
      <c r="AN1015" s="30">
        <v>1</v>
      </c>
      <c r="AO1015" s="30">
        <v>1</v>
      </c>
      <c r="AP1015" s="30">
        <v>1</v>
      </c>
      <c r="AQ1015" s="30">
        <v>1</v>
      </c>
      <c r="AR1015" s="50">
        <v>6.5641848892985799E-2</v>
      </c>
      <c r="AS1015" s="34">
        <v>8.6956521739130432E-2</v>
      </c>
      <c r="AT1015" s="34">
        <v>0.1</v>
      </c>
      <c r="AU1015" s="34">
        <v>0.10256410256410256</v>
      </c>
      <c r="AV1015" s="34">
        <v>8.4507042253521125E-2</v>
      </c>
      <c r="AW1015" s="10"/>
      <c r="AX1015" s="8"/>
    </row>
    <row r="1016" spans="1:50">
      <c r="A1016" s="7"/>
      <c r="B1016" s="10"/>
      <c r="C1016" s="69" t="s">
        <v>944</v>
      </c>
      <c r="D1016" s="23" t="s">
        <v>23</v>
      </c>
      <c r="E1016" s="74" t="s">
        <v>1060</v>
      </c>
      <c r="F1016" s="75" t="s">
        <v>1060</v>
      </c>
      <c r="G1016" s="75" t="s">
        <v>1060</v>
      </c>
      <c r="H1016" s="75" t="s">
        <v>1060</v>
      </c>
      <c r="I1016" s="25">
        <v>0.9</v>
      </c>
      <c r="J1016" s="26">
        <v>0</v>
      </c>
      <c r="K1016" s="26">
        <v>0</v>
      </c>
      <c r="L1016" s="27">
        <v>0</v>
      </c>
      <c r="M1016" s="26">
        <v>0</v>
      </c>
      <c r="N1016" s="28">
        <v>0.9</v>
      </c>
      <c r="O1016" s="26">
        <v>0</v>
      </c>
      <c r="P1016" s="26">
        <v>0</v>
      </c>
      <c r="Q1016" s="26">
        <v>0</v>
      </c>
      <c r="R1016" s="26">
        <v>0</v>
      </c>
      <c r="S1016" s="28">
        <v>0.9</v>
      </c>
      <c r="T1016" s="26">
        <v>0</v>
      </c>
      <c r="U1016" s="26">
        <v>1</v>
      </c>
      <c r="V1016" s="26">
        <v>0</v>
      </c>
      <c r="W1016" s="26">
        <v>1</v>
      </c>
      <c r="X1016" s="28">
        <v>0.92</v>
      </c>
      <c r="Y1016" s="28">
        <v>0</v>
      </c>
      <c r="Z1016" s="28">
        <v>0</v>
      </c>
      <c r="AA1016" s="28">
        <v>0</v>
      </c>
      <c r="AB1016" s="28">
        <v>0</v>
      </c>
      <c r="AC1016" s="28">
        <v>0.92</v>
      </c>
      <c r="AD1016" s="26">
        <v>1</v>
      </c>
      <c r="AE1016" s="26">
        <v>1</v>
      </c>
      <c r="AF1016" s="26">
        <v>1</v>
      </c>
      <c r="AG1016" s="26">
        <v>1</v>
      </c>
      <c r="AH1016" s="28">
        <v>0.92</v>
      </c>
      <c r="AI1016" s="26">
        <v>0</v>
      </c>
      <c r="AJ1016" s="26">
        <v>1</v>
      </c>
      <c r="AK1016" s="26">
        <v>0</v>
      </c>
      <c r="AL1016" s="26">
        <v>1</v>
      </c>
      <c r="AM1016" s="25">
        <v>0.99</v>
      </c>
      <c r="AN1016" s="30">
        <v>1</v>
      </c>
      <c r="AO1016" s="30">
        <v>1</v>
      </c>
      <c r="AP1016" s="30">
        <v>1</v>
      </c>
      <c r="AQ1016" s="30">
        <v>1</v>
      </c>
      <c r="AR1016" s="50">
        <v>6.5641848892985799E-2</v>
      </c>
      <c r="AS1016" s="34">
        <v>0</v>
      </c>
      <c r="AT1016" s="34">
        <v>0</v>
      </c>
      <c r="AU1016" s="34">
        <v>0</v>
      </c>
      <c r="AV1016" s="34">
        <v>0</v>
      </c>
      <c r="AW1016" s="10"/>
      <c r="AX1016" s="8"/>
    </row>
    <row r="1017" spans="1:50">
      <c r="A1017" s="7"/>
      <c r="B1017" s="10"/>
      <c r="C1017" s="69" t="s">
        <v>944</v>
      </c>
      <c r="D1017" s="23" t="s">
        <v>23</v>
      </c>
      <c r="E1017" s="74" t="s">
        <v>1061</v>
      </c>
      <c r="F1017" s="75" t="s">
        <v>1061</v>
      </c>
      <c r="G1017" s="75" t="s">
        <v>1061</v>
      </c>
      <c r="H1017" s="75" t="s">
        <v>1061</v>
      </c>
      <c r="I1017" s="25">
        <v>0.9</v>
      </c>
      <c r="J1017" s="26">
        <v>0.82352941176470584</v>
      </c>
      <c r="K1017" s="26">
        <v>0.94285714285714284</v>
      </c>
      <c r="L1017" s="27">
        <v>0.94444444444444442</v>
      </c>
      <c r="M1017" s="26">
        <v>0.90421455938697315</v>
      </c>
      <c r="N1017" s="28">
        <v>0.9</v>
      </c>
      <c r="O1017" s="26">
        <v>0.94460227272727271</v>
      </c>
      <c r="P1017" s="26">
        <v>0.93780760626398207</v>
      </c>
      <c r="Q1017" s="26">
        <v>0.89086244326031183</v>
      </c>
      <c r="R1017" s="26">
        <v>0.92255932354780124</v>
      </c>
      <c r="S1017" s="28">
        <v>0.9</v>
      </c>
      <c r="T1017" s="26">
        <v>0.93039772727272729</v>
      </c>
      <c r="U1017" s="26">
        <v>0.91498881431767343</v>
      </c>
      <c r="V1017" s="26">
        <v>0.92678113282020924</v>
      </c>
      <c r="W1017" s="26">
        <v>0.90990561824515437</v>
      </c>
      <c r="X1017" s="28">
        <v>0.92</v>
      </c>
      <c r="Y1017" s="28">
        <v>0.88875878220140514</v>
      </c>
      <c r="Z1017" s="28">
        <v>0.82843601895734598</v>
      </c>
      <c r="AA1017" s="28">
        <v>0.86158475426278835</v>
      </c>
      <c r="AB1017" s="28">
        <v>0.84505331353758939</v>
      </c>
      <c r="AC1017" s="28">
        <v>0.92</v>
      </c>
      <c r="AD1017" s="26">
        <v>0.99936305732484076</v>
      </c>
      <c r="AE1017" s="26">
        <v>0.99779654792508266</v>
      </c>
      <c r="AF1017" s="26">
        <v>0.94751048067535748</v>
      </c>
      <c r="AG1017" s="26">
        <v>0.95684944000583705</v>
      </c>
      <c r="AH1017" s="28">
        <v>0.92</v>
      </c>
      <c r="AI1017" s="26">
        <v>0.94496855345911945</v>
      </c>
      <c r="AJ1017" s="26">
        <v>0.9330566582461205</v>
      </c>
      <c r="AK1017" s="26">
        <v>0.94419753086419755</v>
      </c>
      <c r="AL1017" s="26">
        <v>0.93907665335541057</v>
      </c>
      <c r="AM1017" s="25">
        <v>0.99</v>
      </c>
      <c r="AN1017" s="30">
        <v>1</v>
      </c>
      <c r="AO1017" s="30">
        <v>1</v>
      </c>
      <c r="AP1017" s="30">
        <v>1</v>
      </c>
      <c r="AQ1017" s="30">
        <v>1</v>
      </c>
      <c r="AR1017" s="50">
        <v>6.5641848892985799E-2</v>
      </c>
      <c r="AS1017" s="34">
        <v>9.0909090909090912E-2</v>
      </c>
      <c r="AT1017" s="34">
        <v>0.16666666666666666</v>
      </c>
      <c r="AU1017" s="34">
        <v>2.7027027027027029E-2</v>
      </c>
      <c r="AV1017" s="34">
        <v>9.4262295081967207E-2</v>
      </c>
      <c r="AW1017" s="10"/>
      <c r="AX1017" s="8"/>
    </row>
    <row r="1018" spans="1:50">
      <c r="A1018" s="7"/>
      <c r="B1018" s="10"/>
      <c r="C1018" s="69" t="s">
        <v>944</v>
      </c>
      <c r="D1018" s="23" t="s">
        <v>23</v>
      </c>
      <c r="E1018" s="74" t="s">
        <v>1062</v>
      </c>
      <c r="F1018" s="75" t="s">
        <v>1062</v>
      </c>
      <c r="G1018" s="75" t="s">
        <v>1062</v>
      </c>
      <c r="H1018" s="75" t="s">
        <v>1062</v>
      </c>
      <c r="I1018" s="25">
        <v>0.9</v>
      </c>
      <c r="J1018" s="26">
        <v>0</v>
      </c>
      <c r="K1018" s="26">
        <v>0</v>
      </c>
      <c r="L1018" s="27">
        <v>0</v>
      </c>
      <c r="M1018" s="26">
        <v>0</v>
      </c>
      <c r="N1018" s="28">
        <v>0.9</v>
      </c>
      <c r="O1018" s="26">
        <v>0</v>
      </c>
      <c r="P1018" s="26">
        <v>0</v>
      </c>
      <c r="Q1018" s="26">
        <v>0</v>
      </c>
      <c r="R1018" s="26">
        <v>0</v>
      </c>
      <c r="S1018" s="28">
        <v>0.9</v>
      </c>
      <c r="T1018" s="26">
        <v>0</v>
      </c>
      <c r="U1018" s="26">
        <v>1</v>
      </c>
      <c r="V1018" s="26">
        <v>0</v>
      </c>
      <c r="W1018" s="26">
        <v>1</v>
      </c>
      <c r="X1018" s="28">
        <v>0.92</v>
      </c>
      <c r="Y1018" s="28">
        <v>0</v>
      </c>
      <c r="Z1018" s="28">
        <v>0</v>
      </c>
      <c r="AA1018" s="28">
        <v>0</v>
      </c>
      <c r="AB1018" s="28">
        <v>1</v>
      </c>
      <c r="AC1018" s="28">
        <v>0.92</v>
      </c>
      <c r="AD1018" s="26">
        <v>1</v>
      </c>
      <c r="AE1018" s="26">
        <v>1</v>
      </c>
      <c r="AF1018" s="26">
        <v>0.99747474747474751</v>
      </c>
      <c r="AG1018" s="26">
        <v>0.9992412746585736</v>
      </c>
      <c r="AH1018" s="28">
        <v>0.92</v>
      </c>
      <c r="AI1018" s="26">
        <v>0</v>
      </c>
      <c r="AJ1018" s="26">
        <v>1</v>
      </c>
      <c r="AK1018" s="26">
        <v>0</v>
      </c>
      <c r="AL1018" s="26">
        <v>1</v>
      </c>
      <c r="AM1018" s="25">
        <v>0.99</v>
      </c>
      <c r="AN1018" s="30">
        <v>1</v>
      </c>
      <c r="AO1018" s="30">
        <v>1</v>
      </c>
      <c r="AP1018" s="30">
        <v>1</v>
      </c>
      <c r="AQ1018" s="30">
        <v>1</v>
      </c>
      <c r="AR1018" s="50">
        <v>6.5641848892985799E-2</v>
      </c>
      <c r="AS1018" s="34">
        <v>0</v>
      </c>
      <c r="AT1018" s="34">
        <v>0</v>
      </c>
      <c r="AU1018" s="34">
        <v>0</v>
      </c>
      <c r="AV1018" s="34">
        <v>0</v>
      </c>
      <c r="AW1018" s="10"/>
      <c r="AX1018" s="8"/>
    </row>
    <row r="1019" spans="1:50">
      <c r="A1019" s="7"/>
      <c r="B1019" s="10"/>
      <c r="C1019" s="69" t="s">
        <v>944</v>
      </c>
      <c r="D1019" s="23" t="s">
        <v>23</v>
      </c>
      <c r="E1019" s="74" t="s">
        <v>1063</v>
      </c>
      <c r="F1019" s="75" t="s">
        <v>1063</v>
      </c>
      <c r="G1019" s="75" t="s">
        <v>1063</v>
      </c>
      <c r="H1019" s="75" t="s">
        <v>1063</v>
      </c>
      <c r="I1019" s="25">
        <v>0.9</v>
      </c>
      <c r="J1019" s="26">
        <v>0</v>
      </c>
      <c r="K1019" s="26">
        <v>0</v>
      </c>
      <c r="L1019" s="27">
        <v>0</v>
      </c>
      <c r="M1019" s="26">
        <v>0</v>
      </c>
      <c r="N1019" s="28">
        <v>0.9</v>
      </c>
      <c r="O1019" s="26">
        <v>0</v>
      </c>
      <c r="P1019" s="26">
        <v>0</v>
      </c>
      <c r="Q1019" s="26">
        <v>0</v>
      </c>
      <c r="R1019" s="26">
        <v>0</v>
      </c>
      <c r="S1019" s="28">
        <v>0.9</v>
      </c>
      <c r="T1019" s="26">
        <v>1</v>
      </c>
      <c r="U1019" s="26">
        <v>0</v>
      </c>
      <c r="V1019" s="26">
        <v>0</v>
      </c>
      <c r="W1019" s="26">
        <v>1</v>
      </c>
      <c r="X1019" s="28">
        <v>0.92</v>
      </c>
      <c r="Y1019" s="28">
        <v>0</v>
      </c>
      <c r="Z1019" s="28">
        <v>0</v>
      </c>
      <c r="AA1019" s="28">
        <v>0</v>
      </c>
      <c r="AB1019" s="28">
        <v>0</v>
      </c>
      <c r="AC1019" s="28">
        <v>0.92</v>
      </c>
      <c r="AD1019" s="26">
        <v>1</v>
      </c>
      <c r="AE1019" s="26">
        <v>1</v>
      </c>
      <c r="AF1019" s="26">
        <v>1</v>
      </c>
      <c r="AG1019" s="26">
        <v>1</v>
      </c>
      <c r="AH1019" s="28">
        <v>0.92</v>
      </c>
      <c r="AI1019" s="26">
        <v>1</v>
      </c>
      <c r="AJ1019" s="26">
        <v>0</v>
      </c>
      <c r="AK1019" s="26">
        <v>0</v>
      </c>
      <c r="AL1019" s="26">
        <v>1</v>
      </c>
      <c r="AM1019" s="25">
        <v>0.99</v>
      </c>
      <c r="AN1019" s="30">
        <v>1</v>
      </c>
      <c r="AO1019" s="30">
        <v>1</v>
      </c>
      <c r="AP1019" s="30">
        <v>1</v>
      </c>
      <c r="AQ1019" s="30">
        <v>1</v>
      </c>
      <c r="AR1019" s="50">
        <v>6.5641848892985799E-2</v>
      </c>
      <c r="AS1019" s="34">
        <v>0</v>
      </c>
      <c r="AT1019" s="34">
        <v>0</v>
      </c>
      <c r="AU1019" s="34">
        <v>0</v>
      </c>
      <c r="AV1019" s="34">
        <v>0</v>
      </c>
      <c r="AW1019" s="10"/>
      <c r="AX1019" s="8"/>
    </row>
    <row r="1020" spans="1:50">
      <c r="A1020" s="7"/>
      <c r="B1020" s="10"/>
      <c r="C1020" s="69" t="s">
        <v>944</v>
      </c>
      <c r="D1020" s="23" t="s">
        <v>23</v>
      </c>
      <c r="E1020" s="74" t="s">
        <v>1064</v>
      </c>
      <c r="F1020" s="75" t="s">
        <v>1064</v>
      </c>
      <c r="G1020" s="75" t="s">
        <v>1064</v>
      </c>
      <c r="H1020" s="75" t="s">
        <v>1064</v>
      </c>
      <c r="I1020" s="25">
        <v>0.9</v>
      </c>
      <c r="J1020" s="26">
        <v>0</v>
      </c>
      <c r="K1020" s="26">
        <v>0</v>
      </c>
      <c r="L1020" s="27">
        <v>0</v>
      </c>
      <c r="M1020" s="26">
        <v>0</v>
      </c>
      <c r="N1020" s="28">
        <v>0.9</v>
      </c>
      <c r="O1020" s="26">
        <v>0</v>
      </c>
      <c r="P1020" s="26">
        <v>0</v>
      </c>
      <c r="Q1020" s="26">
        <v>0</v>
      </c>
      <c r="R1020" s="26">
        <v>0</v>
      </c>
      <c r="S1020" s="28">
        <v>0.9</v>
      </c>
      <c r="T1020" s="26">
        <v>0</v>
      </c>
      <c r="U1020" s="26">
        <v>0</v>
      </c>
      <c r="V1020" s="26">
        <v>0</v>
      </c>
      <c r="W1020" s="26">
        <v>0</v>
      </c>
      <c r="X1020" s="28">
        <v>0.92</v>
      </c>
      <c r="Y1020" s="28">
        <v>0</v>
      </c>
      <c r="Z1020" s="28">
        <v>0</v>
      </c>
      <c r="AA1020" s="28">
        <v>0</v>
      </c>
      <c r="AB1020" s="28">
        <v>0</v>
      </c>
      <c r="AC1020" s="28">
        <v>0.92</v>
      </c>
      <c r="AD1020" s="26">
        <v>0</v>
      </c>
      <c r="AE1020" s="26">
        <v>1</v>
      </c>
      <c r="AF1020" s="26">
        <v>1</v>
      </c>
      <c r="AG1020" s="26">
        <v>1</v>
      </c>
      <c r="AH1020" s="28">
        <v>0.92</v>
      </c>
      <c r="AI1020" s="26">
        <v>0</v>
      </c>
      <c r="AJ1020" s="26">
        <v>0</v>
      </c>
      <c r="AK1020" s="26">
        <v>0</v>
      </c>
      <c r="AL1020" s="26">
        <v>0</v>
      </c>
      <c r="AM1020" s="25">
        <v>0.99</v>
      </c>
      <c r="AN1020" s="30">
        <v>0</v>
      </c>
      <c r="AO1020" s="30">
        <v>0</v>
      </c>
      <c r="AP1020" s="30">
        <v>0</v>
      </c>
      <c r="AQ1020" s="30">
        <v>0</v>
      </c>
      <c r="AR1020" s="50">
        <v>6.5641848892985799E-2</v>
      </c>
      <c r="AS1020" s="34">
        <v>0</v>
      </c>
      <c r="AT1020" s="34">
        <v>0</v>
      </c>
      <c r="AU1020" s="34">
        <v>0</v>
      </c>
      <c r="AV1020" s="34">
        <v>0</v>
      </c>
      <c r="AW1020" s="10"/>
      <c r="AX1020" s="8"/>
    </row>
    <row r="1021" spans="1:50">
      <c r="A1021" s="7"/>
      <c r="B1021" s="10"/>
      <c r="C1021" s="69" t="s">
        <v>944</v>
      </c>
      <c r="D1021" s="23" t="s">
        <v>23</v>
      </c>
      <c r="E1021" s="74" t="s">
        <v>1065</v>
      </c>
      <c r="F1021" s="75" t="s">
        <v>1065</v>
      </c>
      <c r="G1021" s="75" t="s">
        <v>1065</v>
      </c>
      <c r="H1021" s="75" t="s">
        <v>1065</v>
      </c>
      <c r="I1021" s="25">
        <v>0.9</v>
      </c>
      <c r="J1021" s="26">
        <v>0.875</v>
      </c>
      <c r="K1021" s="26">
        <v>0.9375</v>
      </c>
      <c r="L1021" s="27">
        <v>1</v>
      </c>
      <c r="M1021" s="26">
        <v>0.95967741935483875</v>
      </c>
      <c r="N1021" s="28">
        <v>0.9</v>
      </c>
      <c r="O1021" s="26">
        <v>0.96598157335223245</v>
      </c>
      <c r="P1021" s="26">
        <v>0.9613180515759312</v>
      </c>
      <c r="Q1021" s="26">
        <v>0.95967233774417138</v>
      </c>
      <c r="R1021" s="26">
        <v>0.92682709447415335</v>
      </c>
      <c r="S1021" s="28">
        <v>0.9</v>
      </c>
      <c r="T1021" s="26">
        <v>0.90928419560595319</v>
      </c>
      <c r="U1021" s="26">
        <v>0.88467048710601714</v>
      </c>
      <c r="V1021" s="26">
        <v>0.89477000630119718</v>
      </c>
      <c r="W1021" s="26">
        <v>0.87344028520499106</v>
      </c>
      <c r="X1021" s="28">
        <v>0.92</v>
      </c>
      <c r="Y1021" s="28">
        <v>0.94687500000000002</v>
      </c>
      <c r="Z1021" s="28">
        <v>0.88767123287671235</v>
      </c>
      <c r="AA1021" s="28">
        <v>0.88821752265861031</v>
      </c>
      <c r="AB1021" s="28">
        <v>0.85939300806761432</v>
      </c>
      <c r="AC1021" s="28">
        <v>0.92</v>
      </c>
      <c r="AD1021" s="26">
        <v>0.9970586175502486</v>
      </c>
      <c r="AE1021" s="26">
        <v>0.98955020445252162</v>
      </c>
      <c r="AF1021" s="26">
        <v>0.99093859058348133</v>
      </c>
      <c r="AG1021" s="26">
        <v>0.98696203908487723</v>
      </c>
      <c r="AH1021" s="28">
        <v>0.92</v>
      </c>
      <c r="AI1021" s="26">
        <v>0.95612009237875284</v>
      </c>
      <c r="AJ1021" s="26">
        <v>0.92626205331820755</v>
      </c>
      <c r="AK1021" s="26">
        <v>0.9442998438313378</v>
      </c>
      <c r="AL1021" s="26">
        <v>0.92557031475599194</v>
      </c>
      <c r="AM1021" s="25">
        <v>0.99</v>
      </c>
      <c r="AN1021" s="30">
        <v>1</v>
      </c>
      <c r="AO1021" s="30">
        <v>1</v>
      </c>
      <c r="AP1021" s="30">
        <v>1</v>
      </c>
      <c r="AQ1021" s="30">
        <v>1</v>
      </c>
      <c r="AR1021" s="50">
        <v>6.5641848892985799E-2</v>
      </c>
      <c r="AS1021" s="34">
        <v>7.1428571428571425E-2</v>
      </c>
      <c r="AT1021" s="34">
        <v>7.6923076923076927E-2</v>
      </c>
      <c r="AU1021" s="34">
        <v>4.3478260869565216E-2</v>
      </c>
      <c r="AV1021" s="34">
        <v>4.9504950495049507E-2</v>
      </c>
      <c r="AW1021" s="10"/>
      <c r="AX1021" s="8"/>
    </row>
    <row r="1022" spans="1:50">
      <c r="A1022" s="7"/>
      <c r="B1022" s="10"/>
      <c r="C1022" s="69" t="s">
        <v>944</v>
      </c>
      <c r="D1022" s="23" t="s">
        <v>23</v>
      </c>
      <c r="E1022" s="72" t="s">
        <v>1066</v>
      </c>
      <c r="F1022" s="73" t="s">
        <v>1066</v>
      </c>
      <c r="G1022" s="73" t="s">
        <v>1066</v>
      </c>
      <c r="H1022" s="73" t="s">
        <v>1066</v>
      </c>
      <c r="I1022" s="25">
        <v>0.9</v>
      </c>
      <c r="J1022" s="26">
        <v>0</v>
      </c>
      <c r="K1022" s="26">
        <v>0</v>
      </c>
      <c r="L1022" s="27">
        <v>0</v>
      </c>
      <c r="M1022" s="26">
        <v>0</v>
      </c>
      <c r="N1022" s="28">
        <v>0.9</v>
      </c>
      <c r="O1022" s="26">
        <v>0</v>
      </c>
      <c r="P1022" s="26">
        <v>0</v>
      </c>
      <c r="Q1022" s="26">
        <v>1</v>
      </c>
      <c r="R1022" s="26">
        <v>1</v>
      </c>
      <c r="S1022" s="28">
        <v>0.9</v>
      </c>
      <c r="T1022" s="26">
        <v>0</v>
      </c>
      <c r="U1022" s="26">
        <v>0</v>
      </c>
      <c r="V1022" s="26">
        <v>1</v>
      </c>
      <c r="W1022" s="26">
        <v>1</v>
      </c>
      <c r="X1022" s="28">
        <v>0.92</v>
      </c>
      <c r="Y1022" s="28">
        <v>0</v>
      </c>
      <c r="Z1022" s="28">
        <v>0</v>
      </c>
      <c r="AA1022" s="28">
        <v>0</v>
      </c>
      <c r="AB1022" s="28">
        <v>0</v>
      </c>
      <c r="AC1022" s="28">
        <v>0.92</v>
      </c>
      <c r="AD1022" s="26">
        <v>0.99373881932021468</v>
      </c>
      <c r="AE1022" s="26">
        <v>0.98979591836734693</v>
      </c>
      <c r="AF1022" s="26">
        <v>0.99297188755020083</v>
      </c>
      <c r="AG1022" s="26">
        <v>0.99636231356857041</v>
      </c>
      <c r="AH1022" s="28">
        <v>0.92</v>
      </c>
      <c r="AI1022" s="26">
        <v>0</v>
      </c>
      <c r="AJ1022" s="26">
        <v>0</v>
      </c>
      <c r="AK1022" s="26">
        <v>1</v>
      </c>
      <c r="AL1022" s="26">
        <v>1</v>
      </c>
      <c r="AM1022" s="25">
        <v>0.99</v>
      </c>
      <c r="AN1022" s="30">
        <v>1</v>
      </c>
      <c r="AO1022" s="30">
        <v>1</v>
      </c>
      <c r="AP1022" s="30">
        <v>1</v>
      </c>
      <c r="AQ1022" s="30">
        <v>1</v>
      </c>
      <c r="AR1022" s="50">
        <v>6.5641848892985799E-2</v>
      </c>
      <c r="AS1022" s="34">
        <v>0</v>
      </c>
      <c r="AT1022" s="34">
        <v>0</v>
      </c>
      <c r="AU1022" s="34">
        <v>0</v>
      </c>
      <c r="AV1022" s="34">
        <v>5.8823529411764705E-2</v>
      </c>
      <c r="AW1022" s="10"/>
      <c r="AX1022" s="8"/>
    </row>
    <row r="1023" spans="1:50">
      <c r="A1023" s="7"/>
      <c r="B1023" s="10"/>
      <c r="C1023" s="69" t="s">
        <v>944</v>
      </c>
      <c r="D1023" s="23" t="s">
        <v>23</v>
      </c>
      <c r="E1023" s="72" t="s">
        <v>1067</v>
      </c>
      <c r="F1023" s="73" t="s">
        <v>1067</v>
      </c>
      <c r="G1023" s="73" t="s">
        <v>1067</v>
      </c>
      <c r="H1023" s="73" t="s">
        <v>1067</v>
      </c>
      <c r="I1023" s="25">
        <v>0.9</v>
      </c>
      <c r="J1023" s="26">
        <v>0</v>
      </c>
      <c r="K1023" s="26">
        <v>0</v>
      </c>
      <c r="L1023" s="27">
        <v>0</v>
      </c>
      <c r="M1023" s="26">
        <v>0</v>
      </c>
      <c r="N1023" s="28">
        <v>0.9</v>
      </c>
      <c r="O1023" s="26">
        <v>0</v>
      </c>
      <c r="P1023" s="26">
        <v>0</v>
      </c>
      <c r="Q1023" s="26">
        <v>0</v>
      </c>
      <c r="R1023" s="26">
        <v>0</v>
      </c>
      <c r="S1023" s="28">
        <v>0.9</v>
      </c>
      <c r="T1023" s="26">
        <v>0</v>
      </c>
      <c r="U1023" s="26">
        <v>0</v>
      </c>
      <c r="V1023" s="26">
        <v>0</v>
      </c>
      <c r="W1023" s="26">
        <v>0</v>
      </c>
      <c r="X1023" s="28">
        <v>0.92</v>
      </c>
      <c r="Y1023" s="28">
        <v>0</v>
      </c>
      <c r="Z1023" s="28">
        <v>0</v>
      </c>
      <c r="AA1023" s="28">
        <v>0</v>
      </c>
      <c r="AB1023" s="28">
        <v>0</v>
      </c>
      <c r="AC1023" s="28">
        <v>0.92</v>
      </c>
      <c r="AD1023" s="26">
        <v>1</v>
      </c>
      <c r="AE1023" s="26">
        <v>1</v>
      </c>
      <c r="AF1023" s="26">
        <v>1</v>
      </c>
      <c r="AG1023" s="26">
        <v>0.99960151424586574</v>
      </c>
      <c r="AH1023" s="28">
        <v>0.92</v>
      </c>
      <c r="AI1023" s="26">
        <v>0</v>
      </c>
      <c r="AJ1023" s="26">
        <v>0</v>
      </c>
      <c r="AK1023" s="26">
        <v>0</v>
      </c>
      <c r="AL1023" s="26">
        <v>0</v>
      </c>
      <c r="AM1023" s="25">
        <v>0.99</v>
      </c>
      <c r="AN1023" s="30">
        <v>1</v>
      </c>
      <c r="AO1023" s="30">
        <v>1</v>
      </c>
      <c r="AP1023" s="30">
        <v>1</v>
      </c>
      <c r="AQ1023" s="30">
        <v>1</v>
      </c>
      <c r="AR1023" s="50">
        <v>6.5641848892985799E-2</v>
      </c>
      <c r="AS1023" s="34">
        <v>0</v>
      </c>
      <c r="AT1023" s="34">
        <v>0</v>
      </c>
      <c r="AU1023" s="34">
        <v>0</v>
      </c>
      <c r="AV1023" s="34">
        <v>0</v>
      </c>
      <c r="AW1023" s="10"/>
      <c r="AX1023" s="8"/>
    </row>
    <row r="1024" spans="1:50">
      <c r="A1024" s="7"/>
      <c r="B1024" s="10"/>
      <c r="C1024" s="69" t="s">
        <v>944</v>
      </c>
      <c r="D1024" s="23" t="s">
        <v>23</v>
      </c>
      <c r="E1024" s="72" t="s">
        <v>1068</v>
      </c>
      <c r="F1024" s="73" t="s">
        <v>1068</v>
      </c>
      <c r="G1024" s="73" t="s">
        <v>1068</v>
      </c>
      <c r="H1024" s="73" t="s">
        <v>1068</v>
      </c>
      <c r="I1024" s="25">
        <v>0.9</v>
      </c>
      <c r="J1024" s="26">
        <v>0</v>
      </c>
      <c r="K1024" s="26">
        <v>0</v>
      </c>
      <c r="L1024" s="27">
        <v>0</v>
      </c>
      <c r="M1024" s="26">
        <v>0</v>
      </c>
      <c r="N1024" s="28">
        <v>0.9</v>
      </c>
      <c r="O1024" s="26">
        <v>0</v>
      </c>
      <c r="P1024" s="26">
        <v>0</v>
      </c>
      <c r="Q1024" s="26">
        <v>0</v>
      </c>
      <c r="R1024" s="26">
        <v>0</v>
      </c>
      <c r="S1024" s="28">
        <v>0.9</v>
      </c>
      <c r="T1024" s="26">
        <v>0</v>
      </c>
      <c r="U1024" s="26">
        <v>0</v>
      </c>
      <c r="V1024" s="26">
        <v>0</v>
      </c>
      <c r="W1024" s="26">
        <v>0</v>
      </c>
      <c r="X1024" s="28">
        <v>0.92</v>
      </c>
      <c r="Y1024" s="28">
        <v>0</v>
      </c>
      <c r="Z1024" s="28">
        <v>0</v>
      </c>
      <c r="AA1024" s="28">
        <v>0</v>
      </c>
      <c r="AB1024" s="28">
        <v>0</v>
      </c>
      <c r="AC1024" s="28">
        <v>0.92</v>
      </c>
      <c r="AD1024" s="26">
        <v>1</v>
      </c>
      <c r="AE1024" s="26">
        <v>1</v>
      </c>
      <c r="AF1024" s="26">
        <v>1</v>
      </c>
      <c r="AG1024" s="26">
        <v>1</v>
      </c>
      <c r="AH1024" s="28">
        <v>0.92</v>
      </c>
      <c r="AI1024" s="26">
        <v>0</v>
      </c>
      <c r="AJ1024" s="26">
        <v>0</v>
      </c>
      <c r="AK1024" s="26">
        <v>0</v>
      </c>
      <c r="AL1024" s="26">
        <v>0</v>
      </c>
      <c r="AM1024" s="25">
        <v>0.99</v>
      </c>
      <c r="AN1024" s="30">
        <v>1</v>
      </c>
      <c r="AO1024" s="30">
        <v>1</v>
      </c>
      <c r="AP1024" s="30">
        <v>1</v>
      </c>
      <c r="AQ1024" s="30">
        <v>1</v>
      </c>
      <c r="AR1024" s="50">
        <v>6.5641848892985799E-2</v>
      </c>
      <c r="AS1024" s="34">
        <v>0</v>
      </c>
      <c r="AT1024" s="34">
        <v>0</v>
      </c>
      <c r="AU1024" s="34">
        <v>0</v>
      </c>
      <c r="AV1024" s="34">
        <v>0</v>
      </c>
      <c r="AW1024" s="10"/>
      <c r="AX1024" s="8"/>
    </row>
    <row r="1025" spans="1:50">
      <c r="A1025" s="7"/>
      <c r="B1025" s="10"/>
      <c r="C1025" s="69" t="s">
        <v>944</v>
      </c>
      <c r="D1025" s="23" t="s">
        <v>23</v>
      </c>
      <c r="E1025" s="74" t="s">
        <v>1069</v>
      </c>
      <c r="F1025" s="75" t="s">
        <v>1069</v>
      </c>
      <c r="G1025" s="75" t="s">
        <v>1069</v>
      </c>
      <c r="H1025" s="75" t="s">
        <v>1069</v>
      </c>
      <c r="I1025" s="25">
        <v>0.9</v>
      </c>
      <c r="J1025" s="26">
        <v>0</v>
      </c>
      <c r="K1025" s="26">
        <v>0</v>
      </c>
      <c r="L1025" s="27">
        <v>0</v>
      </c>
      <c r="M1025" s="26">
        <v>0</v>
      </c>
      <c r="N1025" s="28">
        <v>0.9</v>
      </c>
      <c r="O1025" s="26">
        <v>0</v>
      </c>
      <c r="P1025" s="26">
        <v>0</v>
      </c>
      <c r="Q1025" s="26">
        <v>0</v>
      </c>
      <c r="R1025" s="26">
        <v>0</v>
      </c>
      <c r="S1025" s="28">
        <v>0.9</v>
      </c>
      <c r="T1025" s="26">
        <v>0</v>
      </c>
      <c r="U1025" s="26">
        <v>1</v>
      </c>
      <c r="V1025" s="26">
        <v>0</v>
      </c>
      <c r="W1025" s="26">
        <v>1</v>
      </c>
      <c r="X1025" s="28">
        <v>0.92</v>
      </c>
      <c r="Y1025" s="28">
        <v>0</v>
      </c>
      <c r="Z1025" s="28">
        <v>0</v>
      </c>
      <c r="AA1025" s="28">
        <v>0</v>
      </c>
      <c r="AB1025" s="28">
        <v>0</v>
      </c>
      <c r="AC1025" s="28">
        <v>0.92</v>
      </c>
      <c r="AD1025" s="26">
        <v>0.99860529986053004</v>
      </c>
      <c r="AE1025" s="26">
        <v>1</v>
      </c>
      <c r="AF1025" s="26">
        <v>1</v>
      </c>
      <c r="AG1025" s="26">
        <v>0.99974358974358979</v>
      </c>
      <c r="AH1025" s="28">
        <v>0.92</v>
      </c>
      <c r="AI1025" s="26">
        <v>0</v>
      </c>
      <c r="AJ1025" s="26">
        <v>1</v>
      </c>
      <c r="AK1025" s="26">
        <v>0</v>
      </c>
      <c r="AL1025" s="26">
        <v>1</v>
      </c>
      <c r="AM1025" s="25">
        <v>0.99</v>
      </c>
      <c r="AN1025" s="30">
        <v>0</v>
      </c>
      <c r="AO1025" s="30">
        <v>0</v>
      </c>
      <c r="AP1025" s="30">
        <v>0</v>
      </c>
      <c r="AQ1025" s="30">
        <v>0</v>
      </c>
      <c r="AR1025" s="50">
        <v>6.5641848892985799E-2</v>
      </c>
      <c r="AS1025" s="34">
        <v>0</v>
      </c>
      <c r="AT1025" s="34">
        <v>0</v>
      </c>
      <c r="AU1025" s="34">
        <v>0</v>
      </c>
      <c r="AV1025" s="34">
        <v>0</v>
      </c>
      <c r="AW1025" s="10"/>
      <c r="AX1025" s="8"/>
    </row>
    <row r="1026" spans="1:50">
      <c r="A1026" s="7"/>
      <c r="B1026" s="10"/>
      <c r="C1026" s="69" t="s">
        <v>944</v>
      </c>
      <c r="D1026" s="23" t="s">
        <v>23</v>
      </c>
      <c r="E1026" s="74" t="s">
        <v>1070</v>
      </c>
      <c r="F1026" s="75" t="s">
        <v>1070</v>
      </c>
      <c r="G1026" s="75" t="s">
        <v>1070</v>
      </c>
      <c r="H1026" s="75" t="s">
        <v>1070</v>
      </c>
      <c r="I1026" s="25">
        <v>0.9</v>
      </c>
      <c r="J1026" s="26">
        <v>0.89473684210526316</v>
      </c>
      <c r="K1026" s="26">
        <v>1</v>
      </c>
      <c r="L1026" s="27">
        <v>1</v>
      </c>
      <c r="M1026" s="26">
        <v>0.94230769230769229</v>
      </c>
      <c r="N1026" s="28">
        <v>0.9</v>
      </c>
      <c r="O1026" s="26">
        <v>0.98027898027898031</v>
      </c>
      <c r="P1026" s="26">
        <v>0.97803247373447944</v>
      </c>
      <c r="Q1026" s="26">
        <v>0.96078431372549022</v>
      </c>
      <c r="R1026" s="26">
        <v>0.95517464805324848</v>
      </c>
      <c r="S1026" s="28">
        <v>0.9</v>
      </c>
      <c r="T1026" s="26">
        <v>0.86772486772486768</v>
      </c>
      <c r="U1026" s="26">
        <v>0.91069723018147086</v>
      </c>
      <c r="V1026" s="26">
        <v>0.90488110137672095</v>
      </c>
      <c r="W1026" s="26">
        <v>0.8778936207810567</v>
      </c>
      <c r="X1026" s="28">
        <v>0.92</v>
      </c>
      <c r="Y1026" s="28">
        <v>0.89376443418013862</v>
      </c>
      <c r="Z1026" s="28">
        <v>0.93168880455407965</v>
      </c>
      <c r="AA1026" s="28">
        <v>0.9094567404426559</v>
      </c>
      <c r="AB1026" s="28">
        <v>0.90862533692722369</v>
      </c>
      <c r="AC1026" s="28">
        <v>0.92</v>
      </c>
      <c r="AD1026" s="26">
        <v>0.99335106382978722</v>
      </c>
      <c r="AE1026" s="26">
        <v>0.98117905953208251</v>
      </c>
      <c r="AF1026" s="26">
        <v>0.97641386499869687</v>
      </c>
      <c r="AG1026" s="26">
        <v>0.97956084340887539</v>
      </c>
      <c r="AH1026" s="28">
        <v>0.92</v>
      </c>
      <c r="AI1026" s="26">
        <v>0.92916832471150024</v>
      </c>
      <c r="AJ1026" s="26">
        <v>0.95728451563691841</v>
      </c>
      <c r="AK1026" s="26">
        <v>0.94854972375690605</v>
      </c>
      <c r="AL1026" s="26">
        <v>0.93858716660224195</v>
      </c>
      <c r="AM1026" s="25">
        <v>0.99</v>
      </c>
      <c r="AN1026" s="30">
        <v>1</v>
      </c>
      <c r="AO1026" s="30">
        <v>1</v>
      </c>
      <c r="AP1026" s="30">
        <v>1</v>
      </c>
      <c r="AQ1026" s="30">
        <v>1</v>
      </c>
      <c r="AR1026" s="50">
        <v>6.5641848892985799E-2</v>
      </c>
      <c r="AS1026" s="34">
        <v>0</v>
      </c>
      <c r="AT1026" s="34">
        <v>0</v>
      </c>
      <c r="AU1026" s="34">
        <v>0</v>
      </c>
      <c r="AV1026" s="34">
        <v>4.8387096774193547E-2</v>
      </c>
      <c r="AW1026" s="10"/>
      <c r="AX1026" s="8"/>
    </row>
    <row r="1027" spans="1:50">
      <c r="A1027" s="7"/>
      <c r="B1027" s="10"/>
      <c r="C1027" s="69" t="s">
        <v>944</v>
      </c>
      <c r="D1027" s="23" t="s">
        <v>23</v>
      </c>
      <c r="E1027" s="72" t="s">
        <v>1071</v>
      </c>
      <c r="F1027" s="73" t="s">
        <v>1071</v>
      </c>
      <c r="G1027" s="73" t="s">
        <v>1071</v>
      </c>
      <c r="H1027" s="73" t="s">
        <v>1071</v>
      </c>
      <c r="I1027" s="25">
        <v>0.9</v>
      </c>
      <c r="J1027" s="26">
        <v>0.96551724137931039</v>
      </c>
      <c r="K1027" s="26">
        <v>1</v>
      </c>
      <c r="L1027" s="27">
        <v>1</v>
      </c>
      <c r="M1027" s="26">
        <v>0.97499999999999998</v>
      </c>
      <c r="N1027" s="28">
        <v>0.9</v>
      </c>
      <c r="O1027" s="26">
        <v>0.98048780487804876</v>
      </c>
      <c r="P1027" s="26">
        <v>0.98370745836350471</v>
      </c>
      <c r="Q1027" s="26">
        <v>0.98819142324425113</v>
      </c>
      <c r="R1027" s="26">
        <v>0.98150073650463565</v>
      </c>
      <c r="S1027" s="28">
        <v>0.9</v>
      </c>
      <c r="T1027" s="26">
        <v>0.9209059233449477</v>
      </c>
      <c r="U1027" s="26">
        <v>0.93845039826212884</v>
      </c>
      <c r="V1027" s="26">
        <v>0.94499689247980112</v>
      </c>
      <c r="W1027" s="26">
        <v>0.92760592669612685</v>
      </c>
      <c r="X1027" s="28">
        <v>0.92</v>
      </c>
      <c r="Y1027" s="28">
        <v>0.93737769080234834</v>
      </c>
      <c r="Z1027" s="28">
        <v>0.94056463595839523</v>
      </c>
      <c r="AA1027" s="28">
        <v>0.92628205128205132</v>
      </c>
      <c r="AB1027" s="28">
        <v>0.93266443701226309</v>
      </c>
      <c r="AC1027" s="28">
        <v>0.92</v>
      </c>
      <c r="AD1027" s="26">
        <v>0.99805986696230597</v>
      </c>
      <c r="AE1027" s="26">
        <v>0.99056890781867968</v>
      </c>
      <c r="AF1027" s="26">
        <v>0.99734042553191493</v>
      </c>
      <c r="AG1027" s="26">
        <v>0.99546781115879823</v>
      </c>
      <c r="AH1027" s="28">
        <v>0.92</v>
      </c>
      <c r="AI1027" s="26">
        <v>0.9642329293526456</v>
      </c>
      <c r="AJ1027" s="26">
        <v>0.97321688500727799</v>
      </c>
      <c r="AK1027" s="26">
        <v>0.97399219765929779</v>
      </c>
      <c r="AL1027" s="26">
        <v>0.96736292428198434</v>
      </c>
      <c r="AM1027" s="25">
        <v>0.99</v>
      </c>
      <c r="AN1027" s="30">
        <v>1</v>
      </c>
      <c r="AO1027" s="30">
        <v>1</v>
      </c>
      <c r="AP1027" s="30">
        <v>1</v>
      </c>
      <c r="AQ1027" s="30">
        <v>1</v>
      </c>
      <c r="AR1027" s="50">
        <v>6.5641848892985799E-2</v>
      </c>
      <c r="AS1027" s="34">
        <v>0</v>
      </c>
      <c r="AT1027" s="34">
        <v>0.1111111111111111</v>
      </c>
      <c r="AU1027" s="34">
        <v>0.05</v>
      </c>
      <c r="AV1027" s="34">
        <v>4.0268456375838924E-2</v>
      </c>
      <c r="AW1027" s="10"/>
      <c r="AX1027" s="8"/>
    </row>
    <row r="1028" spans="1:50">
      <c r="A1028" s="7"/>
      <c r="B1028" s="10"/>
      <c r="C1028" s="69" t="s">
        <v>944</v>
      </c>
      <c r="D1028" s="23" t="s">
        <v>23</v>
      </c>
      <c r="E1028" s="72" t="s">
        <v>1072</v>
      </c>
      <c r="F1028" s="73" t="s">
        <v>1072</v>
      </c>
      <c r="G1028" s="73" t="s">
        <v>1072</v>
      </c>
      <c r="H1028" s="73" t="s">
        <v>1072</v>
      </c>
      <c r="I1028" s="25">
        <v>0.9</v>
      </c>
      <c r="J1028" s="26">
        <v>0.80769230769230771</v>
      </c>
      <c r="K1028" s="26">
        <v>0.86363636363636365</v>
      </c>
      <c r="L1028" s="27">
        <v>0.92307692307692313</v>
      </c>
      <c r="M1028" s="26">
        <v>0.76847290640394084</v>
      </c>
      <c r="N1028" s="28">
        <v>0.9</v>
      </c>
      <c r="O1028" s="26">
        <v>0.32385374347069068</v>
      </c>
      <c r="P1028" s="26">
        <v>0.31600831600831603</v>
      </c>
      <c r="Q1028" s="26">
        <v>0.39972209356183419</v>
      </c>
      <c r="R1028" s="26">
        <v>0.35345100940703944</v>
      </c>
      <c r="S1028" s="28">
        <v>0.9</v>
      </c>
      <c r="T1028" s="26">
        <v>0.51102727800348224</v>
      </c>
      <c r="U1028" s="26">
        <v>0.52984852984852981</v>
      </c>
      <c r="V1028" s="26">
        <v>0.54793886058360353</v>
      </c>
      <c r="W1028" s="26">
        <v>0.52901384631645698</v>
      </c>
      <c r="X1028" s="28">
        <v>0.92</v>
      </c>
      <c r="Y1028" s="28">
        <v>0.6217054263565891</v>
      </c>
      <c r="Z1028" s="28">
        <v>0.55720338983050843</v>
      </c>
      <c r="AA1028" s="28">
        <v>0.62063492063492065</v>
      </c>
      <c r="AB1028" s="28">
        <v>0.59769914589506712</v>
      </c>
      <c r="AC1028" s="28">
        <v>0.92</v>
      </c>
      <c r="AD1028" s="26">
        <v>0.99765944997074307</v>
      </c>
      <c r="AE1028" s="26">
        <v>0.9880597014925373</v>
      </c>
      <c r="AF1028" s="26">
        <v>0.99591539022611231</v>
      </c>
      <c r="AG1028" s="26">
        <v>0.99336917187859519</v>
      </c>
      <c r="AH1028" s="28">
        <v>0.92</v>
      </c>
      <c r="AI1028" s="26">
        <v>0.78548741754214513</v>
      </c>
      <c r="AJ1028" s="26">
        <v>0.72303409881697978</v>
      </c>
      <c r="AK1028" s="26">
        <v>0.84623156193170335</v>
      </c>
      <c r="AL1028" s="26">
        <v>0.79873992673992678</v>
      </c>
      <c r="AM1028" s="25">
        <v>0.99</v>
      </c>
      <c r="AN1028" s="30">
        <v>1</v>
      </c>
      <c r="AO1028" s="30">
        <v>1</v>
      </c>
      <c r="AP1028" s="30">
        <v>1</v>
      </c>
      <c r="AQ1028" s="30">
        <v>1</v>
      </c>
      <c r="AR1028" s="50">
        <v>6.5641848892985799E-2</v>
      </c>
      <c r="AS1028" s="34">
        <v>0.05</v>
      </c>
      <c r="AT1028" s="34">
        <v>0</v>
      </c>
      <c r="AU1028" s="34">
        <v>0.1</v>
      </c>
      <c r="AV1028" s="34">
        <v>4.3478260869565216E-2</v>
      </c>
      <c r="AW1028" s="10"/>
      <c r="AX1028" s="8"/>
    </row>
    <row r="1029" spans="1:50">
      <c r="A1029" s="7"/>
      <c r="B1029" s="10"/>
      <c r="C1029" s="69" t="s">
        <v>944</v>
      </c>
      <c r="D1029" s="23" t="s">
        <v>23</v>
      </c>
      <c r="E1029" s="72" t="s">
        <v>1073</v>
      </c>
      <c r="F1029" s="73" t="s">
        <v>1073</v>
      </c>
      <c r="G1029" s="73" t="s">
        <v>1073</v>
      </c>
      <c r="H1029" s="73" t="s">
        <v>1073</v>
      </c>
      <c r="I1029" s="25">
        <v>0.9</v>
      </c>
      <c r="J1029" s="26">
        <v>0.92307692307692313</v>
      </c>
      <c r="K1029" s="26">
        <v>1</v>
      </c>
      <c r="L1029" s="27">
        <v>0.96153846153846156</v>
      </c>
      <c r="M1029" s="26">
        <v>0.9285714285714286</v>
      </c>
      <c r="N1029" s="28">
        <v>0.9</v>
      </c>
      <c r="O1029" s="26">
        <v>0.91078838174273857</v>
      </c>
      <c r="P1029" s="26">
        <v>0.9369701437523037</v>
      </c>
      <c r="Q1029" s="26">
        <v>0.8719923002887392</v>
      </c>
      <c r="R1029" s="26">
        <v>0.91250955872430395</v>
      </c>
      <c r="S1029" s="28">
        <v>0.9</v>
      </c>
      <c r="T1029" s="26">
        <v>0.8703319502074689</v>
      </c>
      <c r="U1029" s="26">
        <v>0.89163287873203101</v>
      </c>
      <c r="V1029" s="26">
        <v>0.84664741738851457</v>
      </c>
      <c r="W1029" s="26">
        <v>0.85880077369439067</v>
      </c>
      <c r="X1029" s="28">
        <v>0.92</v>
      </c>
      <c r="Y1029" s="28">
        <v>0.82978723404255317</v>
      </c>
      <c r="Z1029" s="28">
        <v>0.85545722713864303</v>
      </c>
      <c r="AA1029" s="28">
        <v>0.90033222591362128</v>
      </c>
      <c r="AB1029" s="28">
        <v>0.87491653683507675</v>
      </c>
      <c r="AC1029" s="28">
        <v>0.92</v>
      </c>
      <c r="AD1029" s="26">
        <v>0.998226321390564</v>
      </c>
      <c r="AE1029" s="26">
        <v>0.99765395894428155</v>
      </c>
      <c r="AF1029" s="26">
        <v>0.99786893979754931</v>
      </c>
      <c r="AG1029" s="26">
        <v>0.99629691971048639</v>
      </c>
      <c r="AH1029" s="28">
        <v>0.92</v>
      </c>
      <c r="AI1029" s="26">
        <v>0.93634741225461038</v>
      </c>
      <c r="AJ1029" s="26">
        <v>0.94221698113207553</v>
      </c>
      <c r="AK1029" s="26">
        <v>0.95805324011831139</v>
      </c>
      <c r="AL1029" s="26">
        <v>0.95259120673526665</v>
      </c>
      <c r="AM1029" s="25">
        <v>0.99</v>
      </c>
      <c r="AN1029" s="30">
        <v>1</v>
      </c>
      <c r="AO1029" s="30">
        <v>1</v>
      </c>
      <c r="AP1029" s="30">
        <v>1</v>
      </c>
      <c r="AQ1029" s="30">
        <v>1</v>
      </c>
      <c r="AR1029" s="50">
        <v>6.5641848892985799E-2</v>
      </c>
      <c r="AS1029" s="34">
        <v>0</v>
      </c>
      <c r="AT1029" s="34">
        <v>0</v>
      </c>
      <c r="AU1029" s="34">
        <v>0</v>
      </c>
      <c r="AV1029" s="34">
        <v>0</v>
      </c>
      <c r="AW1029" s="10"/>
      <c r="AX1029" s="8"/>
    </row>
    <row r="1030" spans="1:50">
      <c r="A1030" s="7"/>
      <c r="B1030" s="10"/>
      <c r="C1030" s="69" t="s">
        <v>944</v>
      </c>
      <c r="D1030" s="23" t="s">
        <v>23</v>
      </c>
      <c r="E1030" s="72" t="s">
        <v>1074</v>
      </c>
      <c r="F1030" s="73" t="s">
        <v>1074</v>
      </c>
      <c r="G1030" s="73" t="s">
        <v>1074</v>
      </c>
      <c r="H1030" s="73" t="s">
        <v>1074</v>
      </c>
      <c r="I1030" s="25">
        <v>0.9</v>
      </c>
      <c r="J1030" s="26">
        <v>0.96666666666666667</v>
      </c>
      <c r="K1030" s="26">
        <v>1</v>
      </c>
      <c r="L1030" s="27">
        <v>1</v>
      </c>
      <c r="M1030" s="26">
        <v>0.96958174904942962</v>
      </c>
      <c r="N1030" s="28">
        <v>0.9</v>
      </c>
      <c r="O1030" s="26">
        <v>0.94360902255639101</v>
      </c>
      <c r="P1030" s="26">
        <v>0.96126533247256296</v>
      </c>
      <c r="Q1030" s="26">
        <v>0.95898234683281414</v>
      </c>
      <c r="R1030" s="26">
        <v>0.94805644200084582</v>
      </c>
      <c r="S1030" s="28">
        <v>0.9</v>
      </c>
      <c r="T1030" s="26">
        <v>0.85244360902255634</v>
      </c>
      <c r="U1030" s="26">
        <v>0.91252420916720467</v>
      </c>
      <c r="V1030" s="26">
        <v>0.89979231568016615</v>
      </c>
      <c r="W1030" s="26">
        <v>0.89065323541850894</v>
      </c>
      <c r="X1030" s="28">
        <v>0.92</v>
      </c>
      <c r="Y1030" s="28">
        <v>0.92006269592476486</v>
      </c>
      <c r="Z1030" s="28">
        <v>0.93063583815028905</v>
      </c>
      <c r="AA1030" s="28">
        <v>0.94782608695652171</v>
      </c>
      <c r="AB1030" s="28">
        <v>0.93698732289336317</v>
      </c>
      <c r="AC1030" s="28">
        <v>0.92</v>
      </c>
      <c r="AD1030" s="26">
        <v>0.99162679425837319</v>
      </c>
      <c r="AE1030" s="26">
        <v>0.99861111111111112</v>
      </c>
      <c r="AF1030" s="26">
        <v>0.98795180722891562</v>
      </c>
      <c r="AG1030" s="26">
        <v>0.99144183347838699</v>
      </c>
      <c r="AH1030" s="28">
        <v>0.92</v>
      </c>
      <c r="AI1030" s="26">
        <v>0.95719133385539024</v>
      </c>
      <c r="AJ1030" s="26">
        <v>0.96846619576185666</v>
      </c>
      <c r="AK1030" s="26">
        <v>0.97876665913711314</v>
      </c>
      <c r="AL1030" s="26">
        <v>0.97058167330677292</v>
      </c>
      <c r="AM1030" s="25">
        <v>0.99</v>
      </c>
      <c r="AN1030" s="30">
        <v>1</v>
      </c>
      <c r="AO1030" s="30">
        <v>1</v>
      </c>
      <c r="AP1030" s="30">
        <v>1</v>
      </c>
      <c r="AQ1030" s="30">
        <v>1</v>
      </c>
      <c r="AR1030" s="50">
        <v>6.5641848892985799E-2</v>
      </c>
      <c r="AS1030" s="34">
        <v>7.6923076923076927E-2</v>
      </c>
      <c r="AT1030" s="34">
        <v>7.1428571428571425E-2</v>
      </c>
      <c r="AU1030" s="34">
        <v>6.25E-2</v>
      </c>
      <c r="AV1030" s="34">
        <v>6.3063063063063057E-2</v>
      </c>
      <c r="AW1030" s="10"/>
      <c r="AX1030" s="8"/>
    </row>
    <row r="1031" spans="1:50">
      <c r="A1031" s="7"/>
      <c r="B1031" s="10"/>
      <c r="C1031" s="69" t="s">
        <v>944</v>
      </c>
      <c r="D1031" s="23" t="s">
        <v>23</v>
      </c>
      <c r="E1031" s="72" t="s">
        <v>1075</v>
      </c>
      <c r="F1031" s="73" t="s">
        <v>1075</v>
      </c>
      <c r="G1031" s="73" t="s">
        <v>1075</v>
      </c>
      <c r="H1031" s="73" t="s">
        <v>1075</v>
      </c>
      <c r="I1031" s="25">
        <v>0.9</v>
      </c>
      <c r="J1031" s="26">
        <v>0.97619047619047616</v>
      </c>
      <c r="K1031" s="26">
        <v>0.93181818181818177</v>
      </c>
      <c r="L1031" s="27">
        <v>0.95652173913043481</v>
      </c>
      <c r="M1031" s="26">
        <v>0.82485875706214684</v>
      </c>
      <c r="N1031" s="28">
        <v>0.9</v>
      </c>
      <c r="O1031" s="26">
        <v>0.97367888236485123</v>
      </c>
      <c r="P1031" s="26">
        <v>0.96338867603235423</v>
      </c>
      <c r="Q1031" s="26">
        <v>0.94118721461187216</v>
      </c>
      <c r="R1031" s="26">
        <v>0.97211503832896018</v>
      </c>
      <c r="S1031" s="28">
        <v>0.9</v>
      </c>
      <c r="T1031" s="26">
        <v>0.94857258554363233</v>
      </c>
      <c r="U1031" s="26">
        <v>0.96040868454661554</v>
      </c>
      <c r="V1031" s="26">
        <v>0.93534246575342461</v>
      </c>
      <c r="W1031" s="26">
        <v>0.94615938673663635</v>
      </c>
      <c r="X1031" s="28">
        <v>0.92</v>
      </c>
      <c r="Y1031" s="28">
        <v>0</v>
      </c>
      <c r="Z1031" s="28">
        <v>0</v>
      </c>
      <c r="AA1031" s="28">
        <v>0</v>
      </c>
      <c r="AB1031" s="28">
        <v>0</v>
      </c>
      <c r="AC1031" s="28">
        <v>0.92</v>
      </c>
      <c r="AD1031" s="26">
        <v>0.99979658258746951</v>
      </c>
      <c r="AE1031" s="26">
        <v>0.99848828420256996</v>
      </c>
      <c r="AF1031" s="26">
        <v>0.99880167765128824</v>
      </c>
      <c r="AG1031" s="26">
        <v>0.99882321476330571</v>
      </c>
      <c r="AH1031" s="28">
        <v>0.92</v>
      </c>
      <c r="AI1031" s="26">
        <v>0.98704977741804933</v>
      </c>
      <c r="AJ1031" s="26">
        <v>0.98957224941476907</v>
      </c>
      <c r="AK1031" s="26">
        <v>0.9861288556305895</v>
      </c>
      <c r="AL1031" s="26">
        <v>0.98668003805703408</v>
      </c>
      <c r="AM1031" s="25">
        <v>0.99</v>
      </c>
      <c r="AN1031" s="30">
        <v>1</v>
      </c>
      <c r="AO1031" s="30">
        <v>1</v>
      </c>
      <c r="AP1031" s="30">
        <v>1</v>
      </c>
      <c r="AQ1031" s="30">
        <v>1</v>
      </c>
      <c r="AR1031" s="50">
        <v>6.5641848892985799E-2</v>
      </c>
      <c r="AS1031" s="34">
        <v>0.23529411764705882</v>
      </c>
      <c r="AT1031" s="34">
        <v>5.2631578947368418E-2</v>
      </c>
      <c r="AU1031" s="34">
        <v>0</v>
      </c>
      <c r="AV1031" s="34">
        <v>0.12413793103448276</v>
      </c>
      <c r="AW1031" s="10"/>
      <c r="AX1031" s="8"/>
    </row>
    <row r="1032" spans="1:50">
      <c r="A1032" s="7"/>
      <c r="B1032" s="10"/>
      <c r="C1032" s="69" t="s">
        <v>944</v>
      </c>
      <c r="D1032" s="23" t="s">
        <v>23</v>
      </c>
      <c r="E1032" s="72" t="s">
        <v>1076</v>
      </c>
      <c r="F1032" s="73" t="s">
        <v>1076</v>
      </c>
      <c r="G1032" s="73" t="s">
        <v>1076</v>
      </c>
      <c r="H1032" s="73" t="s">
        <v>1076</v>
      </c>
      <c r="I1032" s="25">
        <v>0.9</v>
      </c>
      <c r="J1032" s="26">
        <v>0.83870967741935487</v>
      </c>
      <c r="K1032" s="26">
        <v>0.83870967741935487</v>
      </c>
      <c r="L1032" s="27">
        <v>0.97058823529411764</v>
      </c>
      <c r="M1032" s="26">
        <v>0.8764044943820225</v>
      </c>
      <c r="N1032" s="28">
        <v>0.9</v>
      </c>
      <c r="O1032" s="26">
        <v>0.90413054563997963</v>
      </c>
      <c r="P1032" s="26">
        <v>0.8532580810672139</v>
      </c>
      <c r="Q1032" s="26">
        <v>0.91907514450867056</v>
      </c>
      <c r="R1032" s="26">
        <v>0.9023634730353437</v>
      </c>
      <c r="S1032" s="28">
        <v>0.9</v>
      </c>
      <c r="T1032" s="26">
        <v>0.76670066292707806</v>
      </c>
      <c r="U1032" s="26">
        <v>0.74320164186762439</v>
      </c>
      <c r="V1032" s="26">
        <v>0.7582576383154418</v>
      </c>
      <c r="W1032" s="26">
        <v>0.78378713254654153</v>
      </c>
      <c r="X1032" s="28">
        <v>0.92</v>
      </c>
      <c r="Y1032" s="28">
        <v>0</v>
      </c>
      <c r="Z1032" s="28">
        <v>0</v>
      </c>
      <c r="AA1032" s="28">
        <v>0</v>
      </c>
      <c r="AB1032" s="28">
        <v>0</v>
      </c>
      <c r="AC1032" s="28">
        <v>0.92</v>
      </c>
      <c r="AD1032" s="26">
        <v>0.9989680082559339</v>
      </c>
      <c r="AE1032" s="26">
        <v>0.99931577146767026</v>
      </c>
      <c r="AF1032" s="26">
        <v>0.99868680236375573</v>
      </c>
      <c r="AG1032" s="26">
        <v>0.988347145681713</v>
      </c>
      <c r="AH1032" s="28">
        <v>0.92</v>
      </c>
      <c r="AI1032" s="26">
        <v>0.93855175930647627</v>
      </c>
      <c r="AJ1032" s="26">
        <v>0.9132888660851719</v>
      </c>
      <c r="AK1032" s="26">
        <v>0.94962840627580514</v>
      </c>
      <c r="AL1032" s="26">
        <v>0.95072320128844423</v>
      </c>
      <c r="AM1032" s="25">
        <v>0.99</v>
      </c>
      <c r="AN1032" s="30">
        <v>1</v>
      </c>
      <c r="AO1032" s="30">
        <v>1</v>
      </c>
      <c r="AP1032" s="30">
        <v>1</v>
      </c>
      <c r="AQ1032" s="30">
        <v>1</v>
      </c>
      <c r="AR1032" s="50">
        <v>6.5641848892985799E-2</v>
      </c>
      <c r="AS1032" s="34">
        <v>0</v>
      </c>
      <c r="AT1032" s="34">
        <v>0</v>
      </c>
      <c r="AU1032" s="34">
        <v>0</v>
      </c>
      <c r="AV1032" s="34">
        <v>1.6949152542372881E-2</v>
      </c>
      <c r="AW1032" s="10"/>
      <c r="AX1032" s="8"/>
    </row>
    <row r="1033" spans="1:50">
      <c r="A1033" s="7"/>
      <c r="B1033" s="10"/>
      <c r="C1033" s="69" t="s">
        <v>944</v>
      </c>
      <c r="D1033" s="23" t="s">
        <v>23</v>
      </c>
      <c r="E1033" s="76" t="s">
        <v>1077</v>
      </c>
      <c r="F1033" s="77" t="s">
        <v>1077</v>
      </c>
      <c r="G1033" s="77" t="s">
        <v>1077</v>
      </c>
      <c r="H1033" s="77" t="s">
        <v>1077</v>
      </c>
      <c r="I1033" s="25">
        <v>0.9</v>
      </c>
      <c r="J1033" s="26">
        <v>1</v>
      </c>
      <c r="K1033" s="26">
        <v>0.875</v>
      </c>
      <c r="L1033" s="27">
        <v>0.88461538461538458</v>
      </c>
      <c r="M1033" s="26">
        <v>0.95081967213114749</v>
      </c>
      <c r="N1033" s="28">
        <v>0.9</v>
      </c>
      <c r="O1033" s="26">
        <v>0.95426271496523962</v>
      </c>
      <c r="P1033" s="26">
        <v>0.95636930268796261</v>
      </c>
      <c r="Q1033" s="26">
        <v>0.8827238335435057</v>
      </c>
      <c r="R1033" s="26">
        <v>0.9468075498961438</v>
      </c>
      <c r="S1033" s="28">
        <v>0.9</v>
      </c>
      <c r="T1033" s="26">
        <v>0.89315770215879986</v>
      </c>
      <c r="U1033" s="26">
        <v>0.92715231788079466</v>
      </c>
      <c r="V1033" s="26">
        <v>0.84678436317780581</v>
      </c>
      <c r="W1033" s="26">
        <v>0.89772419398536984</v>
      </c>
      <c r="X1033" s="28">
        <v>0.92</v>
      </c>
      <c r="Y1033" s="28">
        <v>0.865979381443299</v>
      </c>
      <c r="Z1033" s="28">
        <v>0.92307692307692313</v>
      </c>
      <c r="AA1033" s="28">
        <v>0.90524534686971236</v>
      </c>
      <c r="AB1033" s="28">
        <v>0.90328904378131125</v>
      </c>
      <c r="AC1033" s="28">
        <v>0.92</v>
      </c>
      <c r="AD1033" s="26">
        <v>0.99890829694323147</v>
      </c>
      <c r="AE1033" s="26">
        <v>0.9488730723606168</v>
      </c>
      <c r="AF1033" s="26">
        <v>0.99128511966701349</v>
      </c>
      <c r="AG1033" s="26">
        <v>0.93391564368901481</v>
      </c>
      <c r="AH1033" s="28">
        <v>0.92</v>
      </c>
      <c r="AI1033" s="26">
        <v>0.95557626592109346</v>
      </c>
      <c r="AJ1033" s="26">
        <v>0.96906278434940851</v>
      </c>
      <c r="AK1033" s="26">
        <v>0.96413390010626998</v>
      </c>
      <c r="AL1033" s="26">
        <v>0.95890359733752151</v>
      </c>
      <c r="AM1033" s="25">
        <v>0.99</v>
      </c>
      <c r="AN1033" s="30">
        <v>1</v>
      </c>
      <c r="AO1033" s="30">
        <v>1</v>
      </c>
      <c r="AP1033" s="30">
        <v>1</v>
      </c>
      <c r="AQ1033" s="30">
        <v>1</v>
      </c>
      <c r="AR1033" s="50">
        <v>6.5641848892985799E-2</v>
      </c>
      <c r="AS1033" s="34">
        <v>0</v>
      </c>
      <c r="AT1033" s="34">
        <v>0</v>
      </c>
      <c r="AU1033" s="34">
        <v>0</v>
      </c>
      <c r="AV1033" s="34">
        <v>0</v>
      </c>
      <c r="AW1033" s="10"/>
      <c r="AX1033" s="8"/>
    </row>
    <row r="1034" spans="1:50">
      <c r="A1034" s="7"/>
      <c r="B1034" s="10"/>
      <c r="C1034" s="69" t="s">
        <v>944</v>
      </c>
      <c r="D1034" s="23" t="s">
        <v>23</v>
      </c>
      <c r="E1034" s="72" t="s">
        <v>1078</v>
      </c>
      <c r="F1034" s="73" t="s">
        <v>1078</v>
      </c>
      <c r="G1034" s="73" t="s">
        <v>1078</v>
      </c>
      <c r="H1034" s="73" t="s">
        <v>1078</v>
      </c>
      <c r="I1034" s="25">
        <v>0.9</v>
      </c>
      <c r="J1034" s="26">
        <v>0.94736842105263153</v>
      </c>
      <c r="K1034" s="26">
        <v>0.95121951219512191</v>
      </c>
      <c r="L1034" s="27">
        <v>0.97619047619047616</v>
      </c>
      <c r="M1034" s="26">
        <v>0.97812500000000002</v>
      </c>
      <c r="N1034" s="28">
        <v>0.9</v>
      </c>
      <c r="O1034" s="26">
        <v>0.93596166412546289</v>
      </c>
      <c r="P1034" s="26">
        <v>0.96697247706422018</v>
      </c>
      <c r="Q1034" s="26">
        <v>0.93695569859901551</v>
      </c>
      <c r="R1034" s="26">
        <v>0.93575182234276999</v>
      </c>
      <c r="S1034" s="28">
        <v>0.9</v>
      </c>
      <c r="T1034" s="26">
        <v>0.89501197996079285</v>
      </c>
      <c r="U1034" s="26">
        <v>0.94082568807339451</v>
      </c>
      <c r="V1034" s="26">
        <v>0.90590685346459676</v>
      </c>
      <c r="W1034" s="26">
        <v>0.90831779397638013</v>
      </c>
      <c r="X1034" s="28">
        <v>0.92</v>
      </c>
      <c r="Y1034" s="28">
        <v>0</v>
      </c>
      <c r="Z1034" s="28">
        <v>0</v>
      </c>
      <c r="AA1034" s="28">
        <v>0</v>
      </c>
      <c r="AB1034" s="28">
        <v>0</v>
      </c>
      <c r="AC1034" s="28">
        <v>0.92</v>
      </c>
      <c r="AD1034" s="26">
        <v>1</v>
      </c>
      <c r="AE1034" s="26">
        <v>0.993341053850608</v>
      </c>
      <c r="AF1034" s="26">
        <v>0.99675803124078988</v>
      </c>
      <c r="AG1034" s="26">
        <v>0.99671487234422429</v>
      </c>
      <c r="AH1034" s="28">
        <v>0.92</v>
      </c>
      <c r="AI1034" s="26">
        <v>0.96819864953169243</v>
      </c>
      <c r="AJ1034" s="26">
        <v>0.98075601374570442</v>
      </c>
      <c r="AK1034" s="26">
        <v>0.97482014388489213</v>
      </c>
      <c r="AL1034" s="26">
        <v>0.97116389414522553</v>
      </c>
      <c r="AM1034" s="25">
        <v>0.99</v>
      </c>
      <c r="AN1034" s="30">
        <v>1</v>
      </c>
      <c r="AO1034" s="30">
        <v>1</v>
      </c>
      <c r="AP1034" s="30">
        <v>1</v>
      </c>
      <c r="AQ1034" s="30">
        <v>1</v>
      </c>
      <c r="AR1034" s="50">
        <v>6.5641848892985799E-2</v>
      </c>
      <c r="AS1034" s="34">
        <v>0</v>
      </c>
      <c r="AT1034" s="34">
        <v>0</v>
      </c>
      <c r="AU1034" s="34">
        <v>0</v>
      </c>
      <c r="AV1034" s="34">
        <v>4.4776119402985072E-2</v>
      </c>
      <c r="AW1034" s="10"/>
      <c r="AX1034" s="8"/>
    </row>
    <row r="1035" spans="1:50">
      <c r="A1035" s="7"/>
      <c r="B1035" s="10"/>
      <c r="C1035" s="69" t="s">
        <v>944</v>
      </c>
      <c r="D1035" s="23" t="s">
        <v>23</v>
      </c>
      <c r="E1035" s="72" t="s">
        <v>1079</v>
      </c>
      <c r="F1035" s="73" t="s">
        <v>1079</v>
      </c>
      <c r="G1035" s="73" t="s">
        <v>1079</v>
      </c>
      <c r="H1035" s="73" t="s">
        <v>1079</v>
      </c>
      <c r="I1035" s="25">
        <v>0.9</v>
      </c>
      <c r="J1035" s="26">
        <v>0</v>
      </c>
      <c r="K1035" s="26">
        <v>0</v>
      </c>
      <c r="L1035" s="27">
        <v>0</v>
      </c>
      <c r="M1035" s="26">
        <v>0</v>
      </c>
      <c r="N1035" s="28">
        <v>0.9</v>
      </c>
      <c r="O1035" s="26">
        <v>1</v>
      </c>
      <c r="P1035" s="26">
        <v>0</v>
      </c>
      <c r="Q1035" s="26">
        <v>0</v>
      </c>
      <c r="R1035" s="26">
        <v>1</v>
      </c>
      <c r="S1035" s="28">
        <v>0.9</v>
      </c>
      <c r="T1035" s="26">
        <v>1</v>
      </c>
      <c r="U1035" s="26">
        <v>0</v>
      </c>
      <c r="V1035" s="26">
        <v>0</v>
      </c>
      <c r="W1035" s="26">
        <v>1</v>
      </c>
      <c r="X1035" s="28">
        <v>0.92</v>
      </c>
      <c r="Y1035" s="28">
        <v>0</v>
      </c>
      <c r="Z1035" s="28">
        <v>0</v>
      </c>
      <c r="AA1035" s="28">
        <v>0</v>
      </c>
      <c r="AB1035" s="28">
        <v>0</v>
      </c>
      <c r="AC1035" s="28">
        <v>0.92</v>
      </c>
      <c r="AD1035" s="26">
        <v>1</v>
      </c>
      <c r="AE1035" s="26">
        <v>1</v>
      </c>
      <c r="AF1035" s="26">
        <v>0.9989561586638831</v>
      </c>
      <c r="AG1035" s="26">
        <v>0.9989830939366976</v>
      </c>
      <c r="AH1035" s="28">
        <v>0.92</v>
      </c>
      <c r="AI1035" s="26">
        <v>1</v>
      </c>
      <c r="AJ1035" s="26">
        <v>0</v>
      </c>
      <c r="AK1035" s="26">
        <v>0</v>
      </c>
      <c r="AL1035" s="26">
        <v>1</v>
      </c>
      <c r="AM1035" s="25">
        <v>0.99</v>
      </c>
      <c r="AN1035" s="30">
        <v>1</v>
      </c>
      <c r="AO1035" s="30">
        <v>1</v>
      </c>
      <c r="AP1035" s="30">
        <v>0</v>
      </c>
      <c r="AQ1035" s="30">
        <v>1</v>
      </c>
      <c r="AR1035" s="50">
        <v>6.5641848892985799E-2</v>
      </c>
      <c r="AS1035" s="34">
        <v>0</v>
      </c>
      <c r="AT1035" s="34">
        <v>0</v>
      </c>
      <c r="AU1035" s="34">
        <v>0</v>
      </c>
      <c r="AV1035" s="34">
        <v>0</v>
      </c>
      <c r="AW1035" s="10"/>
      <c r="AX1035" s="8"/>
    </row>
    <row r="1036" spans="1:50">
      <c r="A1036" s="7"/>
      <c r="B1036" s="10"/>
      <c r="C1036" s="69" t="s">
        <v>944</v>
      </c>
      <c r="D1036" s="23" t="s">
        <v>23</v>
      </c>
      <c r="E1036" s="72" t="s">
        <v>1080</v>
      </c>
      <c r="F1036" s="73" t="s">
        <v>1080</v>
      </c>
      <c r="G1036" s="73" t="s">
        <v>1080</v>
      </c>
      <c r="H1036" s="73" t="s">
        <v>1080</v>
      </c>
      <c r="I1036" s="25">
        <v>0.9</v>
      </c>
      <c r="J1036" s="26">
        <v>1</v>
      </c>
      <c r="K1036" s="26">
        <v>1</v>
      </c>
      <c r="L1036" s="27">
        <v>1</v>
      </c>
      <c r="M1036" s="26">
        <v>0.96551724137931039</v>
      </c>
      <c r="N1036" s="28">
        <v>0.9</v>
      </c>
      <c r="O1036" s="26">
        <v>0.98849840255591059</v>
      </c>
      <c r="P1036" s="26">
        <v>0.99885583524027455</v>
      </c>
      <c r="Q1036" s="26">
        <v>0.99576719576719575</v>
      </c>
      <c r="R1036" s="26">
        <v>0.99376155268022182</v>
      </c>
      <c r="S1036" s="28">
        <v>0.9</v>
      </c>
      <c r="T1036" s="26">
        <v>0.95079872204472848</v>
      </c>
      <c r="U1036" s="26">
        <v>0.92391304347826086</v>
      </c>
      <c r="V1036" s="26">
        <v>0.91746031746031742</v>
      </c>
      <c r="W1036" s="26">
        <v>0.93391866913123844</v>
      </c>
      <c r="X1036" s="28">
        <v>0.92</v>
      </c>
      <c r="Y1036" s="28">
        <v>0.96398891966759004</v>
      </c>
      <c r="Z1036" s="28">
        <v>0.95784543325526927</v>
      </c>
      <c r="AA1036" s="28">
        <v>0.96954314720812185</v>
      </c>
      <c r="AB1036" s="28">
        <v>0.95204826929183872</v>
      </c>
      <c r="AC1036" s="28">
        <v>0.92</v>
      </c>
      <c r="AD1036" s="26">
        <v>0.99949186991869921</v>
      </c>
      <c r="AE1036" s="26">
        <v>0.999804228660924</v>
      </c>
      <c r="AF1036" s="26">
        <v>0.99835287278364504</v>
      </c>
      <c r="AG1036" s="26">
        <v>0.99918585421702077</v>
      </c>
      <c r="AH1036" s="28">
        <v>0.92</v>
      </c>
      <c r="AI1036" s="26">
        <v>0.97819314641744548</v>
      </c>
      <c r="AJ1036" s="26">
        <v>0.97471264367816091</v>
      </c>
      <c r="AK1036" s="26">
        <v>0.97985989492119085</v>
      </c>
      <c r="AL1036" s="26">
        <v>0.97279375309866134</v>
      </c>
      <c r="AM1036" s="25">
        <v>0.99</v>
      </c>
      <c r="AN1036" s="30">
        <v>1</v>
      </c>
      <c r="AO1036" s="30">
        <v>1</v>
      </c>
      <c r="AP1036" s="30">
        <v>1</v>
      </c>
      <c r="AQ1036" s="30">
        <v>1</v>
      </c>
      <c r="AR1036" s="50">
        <v>6.5641848892985799E-2</v>
      </c>
      <c r="AS1036" s="34">
        <v>0</v>
      </c>
      <c r="AT1036" s="34">
        <v>0</v>
      </c>
      <c r="AU1036" s="34">
        <v>6.25E-2</v>
      </c>
      <c r="AV1036" s="34">
        <v>2.0547945205479451E-2</v>
      </c>
      <c r="AW1036" s="10"/>
      <c r="AX1036" s="8"/>
    </row>
    <row r="1037" spans="1:50">
      <c r="A1037" s="7"/>
      <c r="B1037" s="10"/>
      <c r="C1037" s="69" t="s">
        <v>944</v>
      </c>
      <c r="D1037" s="23" t="s">
        <v>23</v>
      </c>
      <c r="E1037" s="72" t="s">
        <v>1081</v>
      </c>
      <c r="F1037" s="73" t="s">
        <v>1081</v>
      </c>
      <c r="G1037" s="73" t="s">
        <v>1081</v>
      </c>
      <c r="H1037" s="73" t="s">
        <v>1081</v>
      </c>
      <c r="I1037" s="25">
        <v>0.9</v>
      </c>
      <c r="J1037" s="26">
        <v>0.90322580645161288</v>
      </c>
      <c r="K1037" s="26">
        <v>0.9375</v>
      </c>
      <c r="L1037" s="27">
        <v>0.96875</v>
      </c>
      <c r="M1037" s="26">
        <v>0.9065040650406504</v>
      </c>
      <c r="N1037" s="28">
        <v>0.9</v>
      </c>
      <c r="O1037" s="26">
        <v>0.83559168925022587</v>
      </c>
      <c r="P1037" s="26">
        <v>0.81780339417227021</v>
      </c>
      <c r="Q1037" s="26">
        <v>0.77053898482469907</v>
      </c>
      <c r="R1037" s="26">
        <v>0.80643290679243829</v>
      </c>
      <c r="S1037" s="28">
        <v>0.9</v>
      </c>
      <c r="T1037" s="26">
        <v>0.8669075579644685</v>
      </c>
      <c r="U1037" s="26">
        <v>0.89081011847582448</v>
      </c>
      <c r="V1037" s="26">
        <v>0.86708529565672421</v>
      </c>
      <c r="W1037" s="26">
        <v>0.84969265859976029</v>
      </c>
      <c r="X1037" s="28">
        <v>0.92</v>
      </c>
      <c r="Y1037" s="28">
        <v>0.83532934131736525</v>
      </c>
      <c r="Z1037" s="28">
        <v>0.90434782608695652</v>
      </c>
      <c r="AA1037" s="28">
        <v>0.88179347826086951</v>
      </c>
      <c r="AB1037" s="28">
        <v>0.88826423049894587</v>
      </c>
      <c r="AC1037" s="28">
        <v>0.92</v>
      </c>
      <c r="AD1037" s="26">
        <v>0.9730656841570321</v>
      </c>
      <c r="AE1037" s="26">
        <v>0.95675144366629805</v>
      </c>
      <c r="AF1037" s="26">
        <v>0.96070904369425314</v>
      </c>
      <c r="AG1037" s="26">
        <v>0.91771592201120145</v>
      </c>
      <c r="AH1037" s="28">
        <v>0.92</v>
      </c>
      <c r="AI1037" s="26">
        <v>0.92013019529293938</v>
      </c>
      <c r="AJ1037" s="26">
        <v>0.95651068158697861</v>
      </c>
      <c r="AK1037" s="26">
        <v>0.96101620674551025</v>
      </c>
      <c r="AL1037" s="26">
        <v>0.94421049298673332</v>
      </c>
      <c r="AM1037" s="25">
        <v>0.99</v>
      </c>
      <c r="AN1037" s="30">
        <v>1</v>
      </c>
      <c r="AO1037" s="30">
        <v>1</v>
      </c>
      <c r="AP1037" s="30">
        <v>1</v>
      </c>
      <c r="AQ1037" s="30">
        <v>1</v>
      </c>
      <c r="AR1037" s="50">
        <v>6.5641848892985799E-2</v>
      </c>
      <c r="AS1037" s="34">
        <v>0</v>
      </c>
      <c r="AT1037" s="34">
        <v>5.5555555555555552E-2</v>
      </c>
      <c r="AU1037" s="34">
        <v>-3.5714285714285712E-2</v>
      </c>
      <c r="AV1037" s="34">
        <v>1.7937219730941704E-2</v>
      </c>
      <c r="AW1037" s="10"/>
      <c r="AX1037" s="8"/>
    </row>
    <row r="1038" spans="1:50">
      <c r="A1038" s="7"/>
      <c r="B1038" s="10"/>
      <c r="C1038" s="69" t="s">
        <v>944</v>
      </c>
      <c r="D1038" s="23" t="s">
        <v>23</v>
      </c>
      <c r="E1038" s="72" t="s">
        <v>1082</v>
      </c>
      <c r="F1038" s="73" t="s">
        <v>1082</v>
      </c>
      <c r="G1038" s="73" t="s">
        <v>1082</v>
      </c>
      <c r="H1038" s="73" t="s">
        <v>1082</v>
      </c>
      <c r="I1038" s="25">
        <v>0.9</v>
      </c>
      <c r="J1038" s="26">
        <v>1</v>
      </c>
      <c r="K1038" s="26">
        <v>0.9285714285714286</v>
      </c>
      <c r="L1038" s="27">
        <v>0.8571428571428571</v>
      </c>
      <c r="M1038" s="26">
        <v>0.94144144144144148</v>
      </c>
      <c r="N1038" s="28">
        <v>0.9</v>
      </c>
      <c r="O1038" s="26">
        <v>0.98126272912423629</v>
      </c>
      <c r="P1038" s="26">
        <v>0.95345167652859963</v>
      </c>
      <c r="Q1038" s="26">
        <v>0.959733893557423</v>
      </c>
      <c r="R1038" s="26">
        <v>0.9597732314518117</v>
      </c>
      <c r="S1038" s="28">
        <v>0.9</v>
      </c>
      <c r="T1038" s="26">
        <v>0.88187372708757639</v>
      </c>
      <c r="U1038" s="26">
        <v>0.86785009861932938</v>
      </c>
      <c r="V1038" s="26">
        <v>0.88165266106442575</v>
      </c>
      <c r="W1038" s="26">
        <v>0.88622134582203593</v>
      </c>
      <c r="X1038" s="28">
        <v>0.92</v>
      </c>
      <c r="Y1038" s="28">
        <v>0.88607594936708856</v>
      </c>
      <c r="Z1038" s="28">
        <v>0.92740740740740746</v>
      </c>
      <c r="AA1038" s="28">
        <v>0.93343898573692552</v>
      </c>
      <c r="AB1038" s="28">
        <v>0.92066895368782165</v>
      </c>
      <c r="AC1038" s="28">
        <v>0.92</v>
      </c>
      <c r="AD1038" s="26">
        <v>0.99534060199422236</v>
      </c>
      <c r="AE1038" s="26">
        <v>0.97388110461161748</v>
      </c>
      <c r="AF1038" s="26">
        <v>0.99482200647249186</v>
      </c>
      <c r="AG1038" s="26">
        <v>0.97035723093851378</v>
      </c>
      <c r="AH1038" s="28">
        <v>0.92</v>
      </c>
      <c r="AI1038" s="26">
        <v>0.95279255319148937</v>
      </c>
      <c r="AJ1038" s="26">
        <v>0.96296296296296291</v>
      </c>
      <c r="AK1038" s="26">
        <v>0.96644680240894754</v>
      </c>
      <c r="AL1038" s="26">
        <v>0.96076781277550694</v>
      </c>
      <c r="AM1038" s="25">
        <v>0.99</v>
      </c>
      <c r="AN1038" s="30">
        <v>1</v>
      </c>
      <c r="AO1038" s="30">
        <v>1</v>
      </c>
      <c r="AP1038" s="30">
        <v>1</v>
      </c>
      <c r="AQ1038" s="30">
        <v>1</v>
      </c>
      <c r="AR1038" s="50">
        <v>6.5641848892985799E-2</v>
      </c>
      <c r="AS1038" s="34">
        <v>0</v>
      </c>
      <c r="AT1038" s="34">
        <v>5.8823529411764705E-2</v>
      </c>
      <c r="AU1038" s="34">
        <v>0</v>
      </c>
      <c r="AV1038" s="34">
        <v>2.4242424242424242E-2</v>
      </c>
      <c r="AW1038" s="10"/>
      <c r="AX1038" s="8"/>
    </row>
    <row r="1039" spans="1:50">
      <c r="A1039" s="7"/>
      <c r="B1039" s="10"/>
      <c r="C1039" s="69" t="s">
        <v>944</v>
      </c>
      <c r="D1039" s="23" t="s">
        <v>23</v>
      </c>
      <c r="E1039" s="72" t="s">
        <v>1083</v>
      </c>
      <c r="F1039" s="73" t="s">
        <v>1083</v>
      </c>
      <c r="G1039" s="73" t="s">
        <v>1083</v>
      </c>
      <c r="H1039" s="73" t="s">
        <v>1083</v>
      </c>
      <c r="I1039" s="25">
        <v>0.9</v>
      </c>
      <c r="J1039" s="26">
        <v>0</v>
      </c>
      <c r="K1039" s="26">
        <v>0</v>
      </c>
      <c r="L1039" s="27">
        <v>0</v>
      </c>
      <c r="M1039" s="26">
        <v>0</v>
      </c>
      <c r="N1039" s="28">
        <v>0.9</v>
      </c>
      <c r="O1039" s="26">
        <v>0</v>
      </c>
      <c r="P1039" s="26">
        <v>0</v>
      </c>
      <c r="Q1039" s="26">
        <v>0</v>
      </c>
      <c r="R1039" s="26">
        <v>0</v>
      </c>
      <c r="S1039" s="28">
        <v>0.9</v>
      </c>
      <c r="T1039" s="26">
        <v>0</v>
      </c>
      <c r="U1039" s="26">
        <v>0</v>
      </c>
      <c r="V1039" s="26">
        <v>0</v>
      </c>
      <c r="W1039" s="26">
        <v>0</v>
      </c>
      <c r="X1039" s="28">
        <v>0.92</v>
      </c>
      <c r="Y1039" s="28">
        <v>0</v>
      </c>
      <c r="Z1039" s="28">
        <v>0</v>
      </c>
      <c r="AA1039" s="28">
        <v>0</v>
      </c>
      <c r="AB1039" s="28">
        <v>0</v>
      </c>
      <c r="AC1039" s="28">
        <v>0.92</v>
      </c>
      <c r="AD1039" s="26">
        <v>1</v>
      </c>
      <c r="AE1039" s="26">
        <v>1</v>
      </c>
      <c r="AF1039" s="26">
        <v>1</v>
      </c>
      <c r="AG1039" s="26">
        <v>0.99951550387596899</v>
      </c>
      <c r="AH1039" s="28">
        <v>0.92</v>
      </c>
      <c r="AI1039" s="26">
        <v>0</v>
      </c>
      <c r="AJ1039" s="26">
        <v>0</v>
      </c>
      <c r="AK1039" s="26">
        <v>0</v>
      </c>
      <c r="AL1039" s="26">
        <v>0</v>
      </c>
      <c r="AM1039" s="25">
        <v>0.99</v>
      </c>
      <c r="AN1039" s="30">
        <v>0</v>
      </c>
      <c r="AO1039" s="30">
        <v>1</v>
      </c>
      <c r="AP1039" s="30">
        <v>1</v>
      </c>
      <c r="AQ1039" s="30">
        <v>1</v>
      </c>
      <c r="AR1039" s="50">
        <v>6.5641848892985799E-2</v>
      </c>
      <c r="AS1039" s="34">
        <v>0</v>
      </c>
      <c r="AT1039" s="34">
        <v>0</v>
      </c>
      <c r="AU1039" s="34">
        <v>0</v>
      </c>
      <c r="AV1039" s="34">
        <v>0</v>
      </c>
      <c r="AW1039" s="10"/>
      <c r="AX1039" s="8"/>
    </row>
    <row r="1040" spans="1:50">
      <c r="A1040" s="7"/>
      <c r="B1040" s="10"/>
      <c r="C1040" s="69" t="s">
        <v>944</v>
      </c>
      <c r="D1040" s="23" t="s">
        <v>23</v>
      </c>
      <c r="E1040" s="72" t="s">
        <v>1084</v>
      </c>
      <c r="F1040" s="73" t="s">
        <v>1084</v>
      </c>
      <c r="G1040" s="73" t="s">
        <v>1084</v>
      </c>
      <c r="H1040" s="73" t="s">
        <v>1084</v>
      </c>
      <c r="I1040" s="25">
        <v>0.9</v>
      </c>
      <c r="J1040" s="26">
        <v>0.94444444444444442</v>
      </c>
      <c r="K1040" s="26">
        <v>0.91428571428571426</v>
      </c>
      <c r="L1040" s="27">
        <v>0.8</v>
      </c>
      <c r="M1040" s="26">
        <v>0.87323943661971826</v>
      </c>
      <c r="N1040" s="28">
        <v>0.9</v>
      </c>
      <c r="O1040" s="26">
        <v>0.86919831223628696</v>
      </c>
      <c r="P1040" s="26">
        <v>0.73915343915343912</v>
      </c>
      <c r="Q1040" s="26">
        <v>0.76999548124717576</v>
      </c>
      <c r="R1040" s="26">
        <v>0.79558893495548155</v>
      </c>
      <c r="S1040" s="28">
        <v>0.9</v>
      </c>
      <c r="T1040" s="26">
        <v>0.84416315049226442</v>
      </c>
      <c r="U1040" s="26">
        <v>0.86481481481481481</v>
      </c>
      <c r="V1040" s="26">
        <v>0.84161771351107095</v>
      </c>
      <c r="W1040" s="26">
        <v>0.83001427309182352</v>
      </c>
      <c r="X1040" s="28">
        <v>0.92</v>
      </c>
      <c r="Y1040" s="28">
        <v>0.89818688981868899</v>
      </c>
      <c r="Z1040" s="28">
        <v>0.92142088266953714</v>
      </c>
      <c r="AA1040" s="28">
        <v>0.92884371029224899</v>
      </c>
      <c r="AB1040" s="28">
        <v>0.89927614353919605</v>
      </c>
      <c r="AC1040" s="28">
        <v>0.92</v>
      </c>
      <c r="AD1040" s="26">
        <v>0.99629817812295851</v>
      </c>
      <c r="AE1040" s="26">
        <v>0.99793743554486081</v>
      </c>
      <c r="AF1040" s="26">
        <v>0.99881279680079982</v>
      </c>
      <c r="AG1040" s="26">
        <v>0.98008159152228325</v>
      </c>
      <c r="AH1040" s="28">
        <v>0.92</v>
      </c>
      <c r="AI1040" s="26">
        <v>0.95250350959288721</v>
      </c>
      <c r="AJ1040" s="26">
        <v>0.96072186836518048</v>
      </c>
      <c r="AK1040" s="26">
        <v>0.96511405022043317</v>
      </c>
      <c r="AL1040" s="26">
        <v>0.94915820230972592</v>
      </c>
      <c r="AM1040" s="25">
        <v>0.99</v>
      </c>
      <c r="AN1040" s="30">
        <v>1</v>
      </c>
      <c r="AO1040" s="30">
        <v>1</v>
      </c>
      <c r="AP1040" s="30">
        <v>1</v>
      </c>
      <c r="AQ1040" s="30">
        <v>1</v>
      </c>
      <c r="AR1040" s="50">
        <v>6.5641848892985799E-2</v>
      </c>
      <c r="AS1040" s="34">
        <v>6.8965517241379309E-2</v>
      </c>
      <c r="AT1040" s="34">
        <v>6.4516129032258063E-2</v>
      </c>
      <c r="AU1040" s="34">
        <v>0</v>
      </c>
      <c r="AV1040" s="34">
        <v>5.0691244239631339E-2</v>
      </c>
      <c r="AW1040" s="10"/>
      <c r="AX1040" s="8"/>
    </row>
    <row r="1041" spans="1:50">
      <c r="A1041" s="7"/>
      <c r="B1041" s="10"/>
      <c r="C1041" s="69" t="s">
        <v>944</v>
      </c>
      <c r="D1041" s="23" t="s">
        <v>23</v>
      </c>
      <c r="E1041" s="72" t="s">
        <v>1085</v>
      </c>
      <c r="F1041" s="73" t="s">
        <v>1085</v>
      </c>
      <c r="G1041" s="73" t="s">
        <v>1085</v>
      </c>
      <c r="H1041" s="73" t="s">
        <v>1085</v>
      </c>
      <c r="I1041" s="25">
        <v>0.9</v>
      </c>
      <c r="J1041" s="26">
        <v>0.95238095238095233</v>
      </c>
      <c r="K1041" s="26">
        <v>0.95454545454545459</v>
      </c>
      <c r="L1041" s="27">
        <v>1</v>
      </c>
      <c r="M1041" s="26">
        <v>0.9464285714285714</v>
      </c>
      <c r="N1041" s="28">
        <v>0.9</v>
      </c>
      <c r="O1041" s="26">
        <v>0.98904240114340158</v>
      </c>
      <c r="P1041" s="26">
        <v>0.99018645731108934</v>
      </c>
      <c r="Q1041" s="26">
        <v>0.99148073022312377</v>
      </c>
      <c r="R1041" s="26">
        <v>0.9889033942558747</v>
      </c>
      <c r="S1041" s="28">
        <v>0.9</v>
      </c>
      <c r="T1041" s="26">
        <v>0.90471653168175326</v>
      </c>
      <c r="U1041" s="26">
        <v>0.90431795878312071</v>
      </c>
      <c r="V1041" s="26">
        <v>0.89655172413793105</v>
      </c>
      <c r="W1041" s="26">
        <v>0.892653690956563</v>
      </c>
      <c r="X1041" s="28">
        <v>0.92</v>
      </c>
      <c r="Y1041" s="28">
        <v>0.91471215351812363</v>
      </c>
      <c r="Z1041" s="28">
        <v>0.91440501043841338</v>
      </c>
      <c r="AA1041" s="28">
        <v>0.91428571428571426</v>
      </c>
      <c r="AB1041" s="28">
        <v>0.9199372056514914</v>
      </c>
      <c r="AC1041" s="28">
        <v>0.92</v>
      </c>
      <c r="AD1041" s="26">
        <v>0.99747474747474751</v>
      </c>
      <c r="AE1041" s="26">
        <v>0.97123287671232872</v>
      </c>
      <c r="AF1041" s="26">
        <v>0.98963592878022855</v>
      </c>
      <c r="AG1041" s="26">
        <v>0.93039761768835538</v>
      </c>
      <c r="AH1041" s="28">
        <v>0.92</v>
      </c>
      <c r="AI1041" s="26">
        <v>0.95680933852140082</v>
      </c>
      <c r="AJ1041" s="26">
        <v>0.96185935637663889</v>
      </c>
      <c r="AK1041" s="26">
        <v>0.97324414715719065</v>
      </c>
      <c r="AL1041" s="26">
        <v>0.96116270071580578</v>
      </c>
      <c r="AM1041" s="25">
        <v>0.99</v>
      </c>
      <c r="AN1041" s="30">
        <v>1</v>
      </c>
      <c r="AO1041" s="30">
        <v>1</v>
      </c>
      <c r="AP1041" s="30">
        <v>1</v>
      </c>
      <c r="AQ1041" s="30">
        <v>1</v>
      </c>
      <c r="AR1041" s="50">
        <v>6.5641848892985799E-2</v>
      </c>
      <c r="AS1041" s="34">
        <v>4.7619047619047616E-2</v>
      </c>
      <c r="AT1041" s="34">
        <v>9.0909090909090912E-2</v>
      </c>
      <c r="AU1041" s="34">
        <v>0</v>
      </c>
      <c r="AV1041" s="34">
        <v>3.6363636363636362E-2</v>
      </c>
      <c r="AW1041" s="10"/>
      <c r="AX1041" s="8"/>
    </row>
    <row r="1042" spans="1:50">
      <c r="A1042" s="7"/>
      <c r="B1042" s="10"/>
      <c r="C1042" s="69" t="s">
        <v>944</v>
      </c>
      <c r="D1042" s="23" t="s">
        <v>23</v>
      </c>
      <c r="E1042" s="72" t="s">
        <v>1086</v>
      </c>
      <c r="F1042" s="73" t="s">
        <v>1086</v>
      </c>
      <c r="G1042" s="73" t="s">
        <v>1086</v>
      </c>
      <c r="H1042" s="73" t="s">
        <v>1086</v>
      </c>
      <c r="I1042" s="25">
        <v>0.9</v>
      </c>
      <c r="J1042" s="26">
        <v>0.97297297297297303</v>
      </c>
      <c r="K1042" s="26">
        <v>0.97499999999999998</v>
      </c>
      <c r="L1042" s="27">
        <v>0.97619047619047616</v>
      </c>
      <c r="M1042" s="26">
        <v>0.967741935483871</v>
      </c>
      <c r="N1042" s="28">
        <v>0.9</v>
      </c>
      <c r="O1042" s="26">
        <v>0.81065728969434681</v>
      </c>
      <c r="P1042" s="26">
        <v>0.87088815789473684</v>
      </c>
      <c r="Q1042" s="26">
        <v>0.85149895421798749</v>
      </c>
      <c r="R1042" s="26">
        <v>0.8425542119146312</v>
      </c>
      <c r="S1042" s="28">
        <v>0.9</v>
      </c>
      <c r="T1042" s="26">
        <v>0.85528807140925078</v>
      </c>
      <c r="U1042" s="26">
        <v>0.90323464912280704</v>
      </c>
      <c r="V1042" s="26">
        <v>0.87357657448291892</v>
      </c>
      <c r="W1042" s="26">
        <v>0.84978246719879413</v>
      </c>
      <c r="X1042" s="28">
        <v>0.92</v>
      </c>
      <c r="Y1042" s="28">
        <v>0.88242574257425743</v>
      </c>
      <c r="Z1042" s="28">
        <v>0.92040358744394624</v>
      </c>
      <c r="AA1042" s="28">
        <v>0.90209790209790208</v>
      </c>
      <c r="AB1042" s="28">
        <v>0.88751120406334028</v>
      </c>
      <c r="AC1042" s="28">
        <v>0.92</v>
      </c>
      <c r="AD1042" s="26">
        <v>0.98608981380065719</v>
      </c>
      <c r="AE1042" s="26">
        <v>0.98464025869037997</v>
      </c>
      <c r="AF1042" s="26">
        <v>0.99151167820069208</v>
      </c>
      <c r="AG1042" s="26">
        <v>0.97294786008718048</v>
      </c>
      <c r="AH1042" s="28">
        <v>0.92</v>
      </c>
      <c r="AI1042" s="26">
        <v>0.9409544950055494</v>
      </c>
      <c r="AJ1042" s="26">
        <v>0.95661748513543277</v>
      </c>
      <c r="AK1042" s="26">
        <v>0.9662921348314607</v>
      </c>
      <c r="AL1042" s="26">
        <v>0.94446456934265888</v>
      </c>
      <c r="AM1042" s="25">
        <v>0.99</v>
      </c>
      <c r="AN1042" s="30">
        <v>1</v>
      </c>
      <c r="AO1042" s="30">
        <v>1</v>
      </c>
      <c r="AP1042" s="30">
        <v>1</v>
      </c>
      <c r="AQ1042" s="30">
        <v>1</v>
      </c>
      <c r="AR1042" s="50">
        <v>6.5641848892985799E-2</v>
      </c>
      <c r="AS1042" s="34">
        <v>3.4482758620689655E-2</v>
      </c>
      <c r="AT1042" s="34">
        <v>4.5454545454545456E-2</v>
      </c>
      <c r="AU1042" s="34">
        <v>-9.375E-2</v>
      </c>
      <c r="AV1042" s="34">
        <v>2.0242914979757085E-2</v>
      </c>
      <c r="AW1042" s="10"/>
      <c r="AX1042" s="8"/>
    </row>
    <row r="1043" spans="1:50">
      <c r="A1043" s="7"/>
      <c r="B1043" s="10"/>
      <c r="C1043" s="69" t="s">
        <v>944</v>
      </c>
      <c r="D1043" s="23" t="s">
        <v>23</v>
      </c>
      <c r="E1043" s="72" t="s">
        <v>1087</v>
      </c>
      <c r="F1043" s="73" t="s">
        <v>1087</v>
      </c>
      <c r="G1043" s="73" t="s">
        <v>1087</v>
      </c>
      <c r="H1043" s="73" t="s">
        <v>1087</v>
      </c>
      <c r="I1043" s="25">
        <v>0.9</v>
      </c>
      <c r="J1043" s="26">
        <v>0.95121951219512191</v>
      </c>
      <c r="K1043" s="26">
        <v>0.97619047619047616</v>
      </c>
      <c r="L1043" s="27">
        <v>1</v>
      </c>
      <c r="M1043" s="26">
        <v>0.96987951807228912</v>
      </c>
      <c r="N1043" s="28">
        <v>0.9</v>
      </c>
      <c r="O1043" s="26">
        <v>0.88694808345463372</v>
      </c>
      <c r="P1043" s="26">
        <v>0.93339521930842417</v>
      </c>
      <c r="Q1043" s="26">
        <v>0.93679458239277658</v>
      </c>
      <c r="R1043" s="26">
        <v>0.92082290458457972</v>
      </c>
      <c r="S1043" s="28">
        <v>0.9</v>
      </c>
      <c r="T1043" s="26">
        <v>0.81586608442503639</v>
      </c>
      <c r="U1043" s="26">
        <v>0.82965885356231139</v>
      </c>
      <c r="V1043" s="26">
        <v>0.78391134824543407</v>
      </c>
      <c r="W1043" s="26">
        <v>0.80868078871863747</v>
      </c>
      <c r="X1043" s="28">
        <v>0.92</v>
      </c>
      <c r="Y1043" s="28">
        <v>0.81775147928994085</v>
      </c>
      <c r="Z1043" s="28">
        <v>0.92265696087352134</v>
      </c>
      <c r="AA1043" s="28">
        <v>0.91056910569105687</v>
      </c>
      <c r="AB1043" s="28">
        <v>0.86746010278604269</v>
      </c>
      <c r="AC1043" s="28">
        <v>0.92</v>
      </c>
      <c r="AD1043" s="26">
        <v>0.99670677644078531</v>
      </c>
      <c r="AE1043" s="26">
        <v>0.98976434182337536</v>
      </c>
      <c r="AF1043" s="26">
        <v>0.99777613046701263</v>
      </c>
      <c r="AG1043" s="26">
        <v>0.97678454874503051</v>
      </c>
      <c r="AH1043" s="28">
        <v>0.92</v>
      </c>
      <c r="AI1043" s="26">
        <v>0.94424315619967791</v>
      </c>
      <c r="AJ1043" s="26">
        <v>0.96321626617375233</v>
      </c>
      <c r="AK1043" s="26">
        <v>0.96346252347618233</v>
      </c>
      <c r="AL1043" s="26">
        <v>0.94723999701217543</v>
      </c>
      <c r="AM1043" s="25">
        <v>0.99</v>
      </c>
      <c r="AN1043" s="30">
        <v>1</v>
      </c>
      <c r="AO1043" s="30">
        <v>1</v>
      </c>
      <c r="AP1043" s="30">
        <v>1</v>
      </c>
      <c r="AQ1043" s="30">
        <v>1</v>
      </c>
      <c r="AR1043" s="50">
        <v>6.5641848892985799E-2</v>
      </c>
      <c r="AS1043" s="34">
        <v>3.4482758620689655E-2</v>
      </c>
      <c r="AT1043" s="34">
        <v>2.7777777777777776E-2</v>
      </c>
      <c r="AU1043" s="34">
        <v>3.2258064516129031E-2</v>
      </c>
      <c r="AV1043" s="34">
        <v>2.7906976744186046E-2</v>
      </c>
      <c r="AW1043" s="10"/>
      <c r="AX1043" s="8"/>
    </row>
    <row r="1044" spans="1:50">
      <c r="A1044" s="7"/>
      <c r="B1044" s="10"/>
      <c r="C1044" s="69" t="s">
        <v>944</v>
      </c>
      <c r="D1044" s="23" t="s">
        <v>23</v>
      </c>
      <c r="E1044" s="72" t="s">
        <v>1088</v>
      </c>
      <c r="F1044" s="73" t="s">
        <v>1088</v>
      </c>
      <c r="G1044" s="73" t="s">
        <v>1088</v>
      </c>
      <c r="H1044" s="73" t="s">
        <v>1088</v>
      </c>
      <c r="I1044" s="25">
        <v>0.9</v>
      </c>
      <c r="J1044" s="26">
        <v>0.8125</v>
      </c>
      <c r="K1044" s="26">
        <v>0.82352941176470584</v>
      </c>
      <c r="L1044" s="27">
        <v>1</v>
      </c>
      <c r="M1044" s="26">
        <v>0.87050359712230219</v>
      </c>
      <c r="N1044" s="28">
        <v>0.9</v>
      </c>
      <c r="O1044" s="26">
        <v>0.88097345132743365</v>
      </c>
      <c r="P1044" s="26">
        <v>0.86432384341637014</v>
      </c>
      <c r="Q1044" s="26">
        <v>0.88170865279299016</v>
      </c>
      <c r="R1044" s="26">
        <v>0.88722951981250342</v>
      </c>
      <c r="S1044" s="28">
        <v>0.9</v>
      </c>
      <c r="T1044" s="26">
        <v>0.73761061946902651</v>
      </c>
      <c r="U1044" s="26">
        <v>0.78959074733096091</v>
      </c>
      <c r="V1044" s="26">
        <v>0.82584884994523544</v>
      </c>
      <c r="W1044" s="26">
        <v>0.78748569248378486</v>
      </c>
      <c r="X1044" s="28">
        <v>0.92</v>
      </c>
      <c r="Y1044" s="28">
        <v>0</v>
      </c>
      <c r="Z1044" s="28">
        <v>0</v>
      </c>
      <c r="AA1044" s="28">
        <v>0</v>
      </c>
      <c r="AB1044" s="28">
        <v>0</v>
      </c>
      <c r="AC1044" s="28">
        <v>0.92</v>
      </c>
      <c r="AD1044" s="26">
        <v>1</v>
      </c>
      <c r="AE1044" s="26">
        <v>1</v>
      </c>
      <c r="AF1044" s="26">
        <v>0.98901098901098905</v>
      </c>
      <c r="AG1044" s="26">
        <v>0.99541547277936959</v>
      </c>
      <c r="AH1044" s="28">
        <v>0.92</v>
      </c>
      <c r="AI1044" s="26">
        <v>0.93938053097345131</v>
      </c>
      <c r="AJ1044" s="26">
        <v>0.9470640569395018</v>
      </c>
      <c r="AK1044" s="26">
        <v>0.91456736035049291</v>
      </c>
      <c r="AL1044" s="26">
        <v>0.94070198386745152</v>
      </c>
      <c r="AM1044" s="25">
        <v>0.99</v>
      </c>
      <c r="AN1044" s="30">
        <v>1</v>
      </c>
      <c r="AO1044" s="30">
        <v>1</v>
      </c>
      <c r="AP1044" s="30">
        <v>1</v>
      </c>
      <c r="AQ1044" s="30">
        <v>1</v>
      </c>
      <c r="AR1044" s="50">
        <v>6.5641848892985799E-2</v>
      </c>
      <c r="AS1044" s="34">
        <v>0</v>
      </c>
      <c r="AT1044" s="34">
        <v>0.14285714285714285</v>
      </c>
      <c r="AU1044" s="34">
        <v>0</v>
      </c>
      <c r="AV1044" s="34">
        <v>0.06</v>
      </c>
      <c r="AW1044" s="10"/>
      <c r="AX1044" s="8"/>
    </row>
    <row r="1045" spans="1:50">
      <c r="A1045" s="7"/>
      <c r="B1045" s="10"/>
      <c r="C1045" s="69" t="s">
        <v>944</v>
      </c>
      <c r="D1045" s="23" t="s">
        <v>23</v>
      </c>
      <c r="E1045" s="72" t="s">
        <v>1089</v>
      </c>
      <c r="F1045" s="73" t="s">
        <v>1089</v>
      </c>
      <c r="G1045" s="73" t="s">
        <v>1089</v>
      </c>
      <c r="H1045" s="73" t="s">
        <v>1089</v>
      </c>
      <c r="I1045" s="25">
        <v>0.9</v>
      </c>
      <c r="J1045" s="26">
        <v>1</v>
      </c>
      <c r="K1045" s="26">
        <v>0.96153846153846156</v>
      </c>
      <c r="L1045" s="27">
        <v>0.9285714285714286</v>
      </c>
      <c r="M1045" s="26">
        <v>0.96172248803827753</v>
      </c>
      <c r="N1045" s="28">
        <v>0.9</v>
      </c>
      <c r="O1045" s="26">
        <v>0.93573915796138019</v>
      </c>
      <c r="P1045" s="26">
        <v>0.92957746478873238</v>
      </c>
      <c r="Q1045" s="26">
        <v>0.95440472839853641</v>
      </c>
      <c r="R1045" s="26">
        <v>0.93901993422922336</v>
      </c>
      <c r="S1045" s="28">
        <v>0.9</v>
      </c>
      <c r="T1045" s="26">
        <v>0.91959480848369735</v>
      </c>
      <c r="U1045" s="26">
        <v>0.91046277665995978</v>
      </c>
      <c r="V1045" s="26">
        <v>0.92400788066422745</v>
      </c>
      <c r="W1045" s="26">
        <v>0.91279282205350976</v>
      </c>
      <c r="X1045" s="28">
        <v>0.92</v>
      </c>
      <c r="Y1045" s="28">
        <v>0</v>
      </c>
      <c r="Z1045" s="28">
        <v>0</v>
      </c>
      <c r="AA1045" s="28">
        <v>0</v>
      </c>
      <c r="AB1045" s="28">
        <v>0</v>
      </c>
      <c r="AC1045" s="28">
        <v>0.92</v>
      </c>
      <c r="AD1045" s="26">
        <v>0.99885057471264371</v>
      </c>
      <c r="AE1045" s="26">
        <v>0.9921875</v>
      </c>
      <c r="AF1045" s="26">
        <v>0.96175373134328357</v>
      </c>
      <c r="AG1045" s="26">
        <v>0.98720157519074581</v>
      </c>
      <c r="AH1045" s="28">
        <v>0.92</v>
      </c>
      <c r="AI1045" s="26">
        <v>0.95599873377651157</v>
      </c>
      <c r="AJ1045" s="26">
        <v>0.9560844787127053</v>
      </c>
      <c r="AK1045" s="26">
        <v>0.97804672108077684</v>
      </c>
      <c r="AL1045" s="26">
        <v>0.96171802054154998</v>
      </c>
      <c r="AM1045" s="25">
        <v>0.99</v>
      </c>
      <c r="AN1045" s="30">
        <v>1</v>
      </c>
      <c r="AO1045" s="30">
        <v>1</v>
      </c>
      <c r="AP1045" s="30">
        <v>1</v>
      </c>
      <c r="AQ1045" s="30">
        <v>1</v>
      </c>
      <c r="AR1045" s="50">
        <v>6.5641848892985799E-2</v>
      </c>
      <c r="AS1045" s="34">
        <v>0</v>
      </c>
      <c r="AT1045" s="34">
        <v>0</v>
      </c>
      <c r="AU1045" s="34">
        <v>0.44444444444444442</v>
      </c>
      <c r="AV1045" s="34">
        <v>8.4507042253521125E-2</v>
      </c>
      <c r="AW1045" s="10"/>
      <c r="AX1045" s="8"/>
    </row>
    <row r="1046" spans="1:50">
      <c r="A1046" s="7"/>
      <c r="B1046" s="10"/>
      <c r="C1046" s="69" t="s">
        <v>944</v>
      </c>
      <c r="D1046" s="23" t="s">
        <v>23</v>
      </c>
      <c r="E1046" s="76" t="s">
        <v>1090</v>
      </c>
      <c r="F1046" s="77" t="s">
        <v>1090</v>
      </c>
      <c r="G1046" s="77" t="s">
        <v>1090</v>
      </c>
      <c r="H1046" s="77" t="s">
        <v>1090</v>
      </c>
      <c r="I1046" s="25">
        <v>0.9</v>
      </c>
      <c r="J1046" s="26">
        <v>1</v>
      </c>
      <c r="K1046" s="26">
        <v>1</v>
      </c>
      <c r="L1046" s="27">
        <v>0.96551724137931039</v>
      </c>
      <c r="M1046" s="26">
        <v>0.98268398268398272</v>
      </c>
      <c r="N1046" s="28">
        <v>0.9</v>
      </c>
      <c r="O1046" s="26">
        <v>0.95593919093017266</v>
      </c>
      <c r="P1046" s="26">
        <v>0.96221990620114639</v>
      </c>
      <c r="Q1046" s="26">
        <v>0.94886119467125052</v>
      </c>
      <c r="R1046" s="26">
        <v>0.9483533414649804</v>
      </c>
      <c r="S1046" s="28">
        <v>0.9</v>
      </c>
      <c r="T1046" s="26">
        <v>0.90337541870651894</v>
      </c>
      <c r="U1046" s="26">
        <v>0.90802501302761851</v>
      </c>
      <c r="V1046" s="26">
        <v>0.91233347657928665</v>
      </c>
      <c r="W1046" s="26">
        <v>0.91041278808499715</v>
      </c>
      <c r="X1046" s="28">
        <v>0.92</v>
      </c>
      <c r="Y1046" s="28">
        <v>0</v>
      </c>
      <c r="Z1046" s="28">
        <v>0</v>
      </c>
      <c r="AA1046" s="28">
        <v>0</v>
      </c>
      <c r="AB1046" s="28">
        <v>0.5</v>
      </c>
      <c r="AC1046" s="28">
        <v>0.92</v>
      </c>
      <c r="AD1046" s="26">
        <v>0.99789522918615525</v>
      </c>
      <c r="AE1046" s="26">
        <v>0.99707835325365202</v>
      </c>
      <c r="AF1046" s="26">
        <v>0.99729206963249517</v>
      </c>
      <c r="AG1046" s="26">
        <v>0.99678848733688363</v>
      </c>
      <c r="AH1046" s="28">
        <v>0.92</v>
      </c>
      <c r="AI1046" s="26">
        <v>0.96521515073434683</v>
      </c>
      <c r="AJ1046" s="26">
        <v>0.96483459234175561</v>
      </c>
      <c r="AK1046" s="26">
        <v>0.9742157284056725</v>
      </c>
      <c r="AL1046" s="26">
        <v>0.96976602368649101</v>
      </c>
      <c r="AM1046" s="25">
        <v>0.99</v>
      </c>
      <c r="AN1046" s="30">
        <v>1</v>
      </c>
      <c r="AO1046" s="30">
        <v>1</v>
      </c>
      <c r="AP1046" s="30">
        <v>1</v>
      </c>
      <c r="AQ1046" s="30">
        <v>1</v>
      </c>
      <c r="AR1046" s="50">
        <v>6.5641848892985799E-2</v>
      </c>
      <c r="AS1046" s="34">
        <v>0</v>
      </c>
      <c r="AT1046" s="34">
        <v>0</v>
      </c>
      <c r="AU1046" s="34">
        <v>7.1428571428571425E-2</v>
      </c>
      <c r="AV1046" s="34">
        <v>2.2222222222222223E-2</v>
      </c>
      <c r="AW1046" s="10"/>
      <c r="AX1046" s="8"/>
    </row>
    <row r="1047" spans="1:50">
      <c r="A1047" s="7"/>
      <c r="B1047" s="10"/>
      <c r="C1047" s="69" t="s">
        <v>944</v>
      </c>
      <c r="D1047" s="23" t="s">
        <v>23</v>
      </c>
      <c r="E1047" s="72" t="s">
        <v>1091</v>
      </c>
      <c r="F1047" s="73" t="s">
        <v>1091</v>
      </c>
      <c r="G1047" s="73" t="s">
        <v>1091</v>
      </c>
      <c r="H1047" s="73" t="s">
        <v>1091</v>
      </c>
      <c r="I1047" s="25">
        <v>0.9</v>
      </c>
      <c r="J1047" s="26">
        <v>0.94117647058823528</v>
      </c>
      <c r="K1047" s="26">
        <v>1</v>
      </c>
      <c r="L1047" s="27">
        <v>0.9375</v>
      </c>
      <c r="M1047" s="26">
        <v>0.84920634920634919</v>
      </c>
      <c r="N1047" s="28">
        <v>0.9</v>
      </c>
      <c r="O1047" s="26">
        <v>0.95310344827586202</v>
      </c>
      <c r="P1047" s="26">
        <v>0.94128698919680598</v>
      </c>
      <c r="Q1047" s="26">
        <v>0.95086923658352229</v>
      </c>
      <c r="R1047" s="26">
        <v>0.93368069320949199</v>
      </c>
      <c r="S1047" s="28">
        <v>0.9</v>
      </c>
      <c r="T1047" s="26">
        <v>0.86022988505747122</v>
      </c>
      <c r="U1047" s="26">
        <v>0.89619539689995298</v>
      </c>
      <c r="V1047" s="26">
        <v>0.89909297052154191</v>
      </c>
      <c r="W1047" s="26">
        <v>0.88565441467973038</v>
      </c>
      <c r="X1047" s="28">
        <v>0.92</v>
      </c>
      <c r="Y1047" s="28">
        <v>0</v>
      </c>
      <c r="Z1047" s="28">
        <v>0</v>
      </c>
      <c r="AA1047" s="28">
        <v>0</v>
      </c>
      <c r="AB1047" s="28">
        <v>0</v>
      </c>
      <c r="AC1047" s="28">
        <v>0.92</v>
      </c>
      <c r="AD1047" s="26">
        <v>0.99633699633699635</v>
      </c>
      <c r="AE1047" s="26">
        <v>1</v>
      </c>
      <c r="AF1047" s="26">
        <v>1</v>
      </c>
      <c r="AG1047" s="26">
        <v>0.99281370923161971</v>
      </c>
      <c r="AH1047" s="28">
        <v>0.92</v>
      </c>
      <c r="AI1047" s="26">
        <v>0.96873563218390801</v>
      </c>
      <c r="AJ1047" s="26">
        <v>0.9788633161108502</v>
      </c>
      <c r="AK1047" s="26">
        <v>0.98223733938019653</v>
      </c>
      <c r="AL1047" s="26">
        <v>0.96273432632950107</v>
      </c>
      <c r="AM1047" s="25">
        <v>0.99</v>
      </c>
      <c r="AN1047" s="30">
        <v>1</v>
      </c>
      <c r="AO1047" s="30">
        <v>1</v>
      </c>
      <c r="AP1047" s="30">
        <v>1</v>
      </c>
      <c r="AQ1047" s="30">
        <v>1</v>
      </c>
      <c r="AR1047" s="50">
        <v>6.5641848892985799E-2</v>
      </c>
      <c r="AS1047" s="34">
        <v>0</v>
      </c>
      <c r="AT1047" s="34">
        <v>0</v>
      </c>
      <c r="AU1047" s="34">
        <v>0</v>
      </c>
      <c r="AV1047" s="34">
        <v>2.2727272727272728E-2</v>
      </c>
      <c r="AW1047" s="10"/>
      <c r="AX1047" s="8"/>
    </row>
    <row r="1048" spans="1:50">
      <c r="A1048" s="7"/>
      <c r="B1048" s="10"/>
      <c r="C1048" s="69" t="s">
        <v>944</v>
      </c>
      <c r="D1048" s="23" t="s">
        <v>23</v>
      </c>
      <c r="E1048" s="72" t="s">
        <v>1092</v>
      </c>
      <c r="F1048" s="73" t="s">
        <v>1092</v>
      </c>
      <c r="G1048" s="73" t="s">
        <v>1092</v>
      </c>
      <c r="H1048" s="73" t="s">
        <v>1092</v>
      </c>
      <c r="I1048" s="25">
        <v>0.9</v>
      </c>
      <c r="J1048" s="26">
        <v>1</v>
      </c>
      <c r="K1048" s="26">
        <v>0.90909090909090906</v>
      </c>
      <c r="L1048" s="27">
        <v>1</v>
      </c>
      <c r="M1048" s="26">
        <v>0.9885057471264368</v>
      </c>
      <c r="N1048" s="28">
        <v>0.9</v>
      </c>
      <c r="O1048" s="26">
        <v>0.9486948694869487</v>
      </c>
      <c r="P1048" s="26">
        <v>0.91708201178069781</v>
      </c>
      <c r="Q1048" s="26">
        <v>0.92316513761467889</v>
      </c>
      <c r="R1048" s="26">
        <v>0.93469874049699309</v>
      </c>
      <c r="S1048" s="28">
        <v>0.9</v>
      </c>
      <c r="T1048" s="26">
        <v>0.91224122412241226</v>
      </c>
      <c r="U1048" s="26">
        <v>0.90937924784775714</v>
      </c>
      <c r="V1048" s="26">
        <v>0.90978593272171249</v>
      </c>
      <c r="W1048" s="26">
        <v>0.91194825825485082</v>
      </c>
      <c r="X1048" s="28">
        <v>0.92</v>
      </c>
      <c r="Y1048" s="28">
        <v>0</v>
      </c>
      <c r="Z1048" s="28">
        <v>0</v>
      </c>
      <c r="AA1048" s="28">
        <v>0</v>
      </c>
      <c r="AB1048" s="28">
        <v>0</v>
      </c>
      <c r="AC1048" s="28">
        <v>0.92</v>
      </c>
      <c r="AD1048" s="26">
        <v>0.99655902593965062</v>
      </c>
      <c r="AE1048" s="26">
        <v>0.99482631189948267</v>
      </c>
      <c r="AF1048" s="26">
        <v>0.994578109115554</v>
      </c>
      <c r="AG1048" s="26">
        <v>0.99527776711329519</v>
      </c>
      <c r="AH1048" s="28">
        <v>0.92</v>
      </c>
      <c r="AI1048" s="26">
        <v>0.95949594959495954</v>
      </c>
      <c r="AJ1048" s="26">
        <v>0.96737652922519257</v>
      </c>
      <c r="AK1048" s="26">
        <v>0.96599159342758889</v>
      </c>
      <c r="AL1048" s="26">
        <v>0.96363739505332424</v>
      </c>
      <c r="AM1048" s="25">
        <v>0.99</v>
      </c>
      <c r="AN1048" s="30">
        <v>1</v>
      </c>
      <c r="AO1048" s="30">
        <v>1</v>
      </c>
      <c r="AP1048" s="30">
        <v>1</v>
      </c>
      <c r="AQ1048" s="30">
        <v>1</v>
      </c>
      <c r="AR1048" s="50">
        <v>6.5641848892985799E-2</v>
      </c>
      <c r="AS1048" s="34">
        <v>0.16666666666666666</v>
      </c>
      <c r="AT1048" s="34">
        <v>0.1</v>
      </c>
      <c r="AU1048" s="34">
        <v>0</v>
      </c>
      <c r="AV1048" s="34">
        <v>0.06</v>
      </c>
      <c r="AW1048" s="10"/>
      <c r="AX1048" s="8"/>
    </row>
    <row r="1049" spans="1:50">
      <c r="A1049" s="7"/>
      <c r="B1049" s="10"/>
      <c r="C1049" s="69" t="s">
        <v>944</v>
      </c>
      <c r="D1049" s="23" t="s">
        <v>23</v>
      </c>
      <c r="E1049" s="72" t="s">
        <v>1093</v>
      </c>
      <c r="F1049" s="73" t="s">
        <v>1093</v>
      </c>
      <c r="G1049" s="73" t="s">
        <v>1093</v>
      </c>
      <c r="H1049" s="73" t="s">
        <v>1093</v>
      </c>
      <c r="I1049" s="25">
        <v>0.9</v>
      </c>
      <c r="J1049" s="26">
        <v>0.94285714285714284</v>
      </c>
      <c r="K1049" s="26">
        <v>1</v>
      </c>
      <c r="L1049" s="27">
        <v>0.94117647058823528</v>
      </c>
      <c r="M1049" s="26">
        <v>0.94573643410852715</v>
      </c>
      <c r="N1049" s="28">
        <v>0.9</v>
      </c>
      <c r="O1049" s="26">
        <v>0.95207311636201519</v>
      </c>
      <c r="P1049" s="26">
        <v>0.96040723981900455</v>
      </c>
      <c r="Q1049" s="26">
        <v>0.96418020679468242</v>
      </c>
      <c r="R1049" s="26">
        <v>0.95448855259131504</v>
      </c>
      <c r="S1049" s="28">
        <v>0.9</v>
      </c>
      <c r="T1049" s="26">
        <v>0.92420864913062861</v>
      </c>
      <c r="U1049" s="26">
        <v>0.93574660633484164</v>
      </c>
      <c r="V1049" s="26">
        <v>0.91709748892171339</v>
      </c>
      <c r="W1049" s="26">
        <v>0.91495813280663196</v>
      </c>
      <c r="X1049" s="28">
        <v>0.92</v>
      </c>
      <c r="Y1049" s="28">
        <v>0</v>
      </c>
      <c r="Z1049" s="28">
        <v>0</v>
      </c>
      <c r="AA1049" s="28">
        <v>0</v>
      </c>
      <c r="AB1049" s="28">
        <v>0</v>
      </c>
      <c r="AC1049" s="28">
        <v>0.92</v>
      </c>
      <c r="AD1049" s="26">
        <v>0.99597315436241607</v>
      </c>
      <c r="AE1049" s="26">
        <v>0.99767801857585137</v>
      </c>
      <c r="AF1049" s="26">
        <v>0.99671322925225969</v>
      </c>
      <c r="AG1049" s="26">
        <v>0.99439525627487613</v>
      </c>
      <c r="AH1049" s="28">
        <v>0.92</v>
      </c>
      <c r="AI1049" s="26">
        <v>0.95185020062416403</v>
      </c>
      <c r="AJ1049" s="26">
        <v>0.96447963800904979</v>
      </c>
      <c r="AK1049" s="26">
        <v>0.97360162451541443</v>
      </c>
      <c r="AL1049" s="26">
        <v>0.96066649976355389</v>
      </c>
      <c r="AM1049" s="25">
        <v>0.99</v>
      </c>
      <c r="AN1049" s="30">
        <v>1</v>
      </c>
      <c r="AO1049" s="30">
        <v>1</v>
      </c>
      <c r="AP1049" s="30">
        <v>1</v>
      </c>
      <c r="AQ1049" s="30">
        <v>1</v>
      </c>
      <c r="AR1049" s="50">
        <v>6.5641848892985799E-2</v>
      </c>
      <c r="AS1049" s="34">
        <v>6.6666666666666666E-2</v>
      </c>
      <c r="AT1049" s="34">
        <v>5.8823529411764705E-2</v>
      </c>
      <c r="AU1049" s="34">
        <v>0.125</v>
      </c>
      <c r="AV1049" s="34">
        <v>8.5271317829457363E-2</v>
      </c>
      <c r="AW1049" s="10"/>
      <c r="AX1049" s="8"/>
    </row>
    <row r="1050" spans="1:50">
      <c r="A1050" s="7"/>
      <c r="B1050" s="10"/>
      <c r="C1050" s="69" t="s">
        <v>944</v>
      </c>
      <c r="D1050" s="23" t="s">
        <v>23</v>
      </c>
      <c r="E1050" s="72" t="s">
        <v>1094</v>
      </c>
      <c r="F1050" s="73" t="s">
        <v>1094</v>
      </c>
      <c r="G1050" s="73" t="s">
        <v>1094</v>
      </c>
      <c r="H1050" s="73" t="s">
        <v>1094</v>
      </c>
      <c r="I1050" s="25">
        <v>0.9</v>
      </c>
      <c r="J1050" s="26">
        <v>0.96296296296296291</v>
      </c>
      <c r="K1050" s="26">
        <v>1</v>
      </c>
      <c r="L1050" s="27">
        <v>1</v>
      </c>
      <c r="M1050" s="26">
        <v>0.98550724637681164</v>
      </c>
      <c r="N1050" s="28">
        <v>0.9</v>
      </c>
      <c r="O1050" s="26">
        <v>0.96576839038601603</v>
      </c>
      <c r="P1050" s="26">
        <v>0.95652173913043481</v>
      </c>
      <c r="Q1050" s="26">
        <v>0.95294117647058818</v>
      </c>
      <c r="R1050" s="26">
        <v>0.95442371216855637</v>
      </c>
      <c r="S1050" s="28">
        <v>0.9</v>
      </c>
      <c r="T1050" s="26">
        <v>0.90968681718863798</v>
      </c>
      <c r="U1050" s="26">
        <v>0.93028485757121437</v>
      </c>
      <c r="V1050" s="26">
        <v>0.94087481146304675</v>
      </c>
      <c r="W1050" s="26">
        <v>0.92058744754932598</v>
      </c>
      <c r="X1050" s="28">
        <v>0.92</v>
      </c>
      <c r="Y1050" s="28">
        <v>0</v>
      </c>
      <c r="Z1050" s="28">
        <v>0</v>
      </c>
      <c r="AA1050" s="28">
        <v>0</v>
      </c>
      <c r="AB1050" s="28">
        <v>0</v>
      </c>
      <c r="AC1050" s="28">
        <v>0.92</v>
      </c>
      <c r="AD1050" s="26">
        <v>0.99847094801223246</v>
      </c>
      <c r="AE1050" s="26">
        <v>0.99432697266632286</v>
      </c>
      <c r="AF1050" s="26">
        <v>0.99453800637232592</v>
      </c>
      <c r="AG1050" s="26">
        <v>0.99505689237082628</v>
      </c>
      <c r="AH1050" s="28">
        <v>0.92</v>
      </c>
      <c r="AI1050" s="26">
        <v>0.9570284049526584</v>
      </c>
      <c r="AJ1050" s="26">
        <v>0.96739130434782605</v>
      </c>
      <c r="AK1050" s="26">
        <v>0.97375565610859727</v>
      </c>
      <c r="AL1050" s="26">
        <v>0.96326220873136326</v>
      </c>
      <c r="AM1050" s="25">
        <v>0.99</v>
      </c>
      <c r="AN1050" s="30">
        <v>1</v>
      </c>
      <c r="AO1050" s="30">
        <v>1</v>
      </c>
      <c r="AP1050" s="30">
        <v>1</v>
      </c>
      <c r="AQ1050" s="30">
        <v>1</v>
      </c>
      <c r="AR1050" s="50">
        <v>6.5641848892985799E-2</v>
      </c>
      <c r="AS1050" s="34">
        <v>0</v>
      </c>
      <c r="AT1050" s="34">
        <v>0.2</v>
      </c>
      <c r="AU1050" s="34">
        <v>0</v>
      </c>
      <c r="AV1050" s="34">
        <v>9.8039215686274508E-2</v>
      </c>
      <c r="AW1050" s="10"/>
      <c r="AX1050" s="8"/>
    </row>
    <row r="1051" spans="1:50">
      <c r="A1051" s="7"/>
      <c r="B1051" s="10"/>
      <c r="C1051" s="69" t="s">
        <v>944</v>
      </c>
      <c r="D1051" s="23" t="s">
        <v>23</v>
      </c>
      <c r="E1051" s="76" t="s">
        <v>1095</v>
      </c>
      <c r="F1051" s="77" t="s">
        <v>1095</v>
      </c>
      <c r="G1051" s="77" t="s">
        <v>1095</v>
      </c>
      <c r="H1051" s="77" t="s">
        <v>1095</v>
      </c>
      <c r="I1051" s="25">
        <v>0.9</v>
      </c>
      <c r="J1051" s="26">
        <v>0.94444444444444442</v>
      </c>
      <c r="K1051" s="26">
        <v>0.82352941176470584</v>
      </c>
      <c r="L1051" s="27">
        <v>0.89473684210526316</v>
      </c>
      <c r="M1051" s="26">
        <v>0.88028169014084512</v>
      </c>
      <c r="N1051" s="28">
        <v>0.9</v>
      </c>
      <c r="O1051" s="26">
        <v>0.92050209205020916</v>
      </c>
      <c r="P1051" s="26">
        <v>0.96569468267581471</v>
      </c>
      <c r="Q1051" s="26">
        <v>0.95618789521228542</v>
      </c>
      <c r="R1051" s="26">
        <v>0.93355009144482826</v>
      </c>
      <c r="S1051" s="28">
        <v>0.9</v>
      </c>
      <c r="T1051" s="26">
        <v>0.90324267782426781</v>
      </c>
      <c r="U1051" s="26">
        <v>0.86220697541452263</v>
      </c>
      <c r="V1051" s="26">
        <v>0.92547425474254741</v>
      </c>
      <c r="W1051" s="26">
        <v>0.87773487773487768</v>
      </c>
      <c r="X1051" s="28">
        <v>0.92</v>
      </c>
      <c r="Y1051" s="28">
        <v>0</v>
      </c>
      <c r="Z1051" s="28">
        <v>0</v>
      </c>
      <c r="AA1051" s="28">
        <v>0</v>
      </c>
      <c r="AB1051" s="28">
        <v>0</v>
      </c>
      <c r="AC1051" s="28">
        <v>0.92</v>
      </c>
      <c r="AD1051" s="26">
        <v>1</v>
      </c>
      <c r="AE1051" s="26">
        <v>0.98776758409785936</v>
      </c>
      <c r="AF1051" s="26">
        <v>0.90163934426229508</v>
      </c>
      <c r="AG1051" s="26">
        <v>0.97421203438395421</v>
      </c>
      <c r="AH1051" s="28">
        <v>0.92</v>
      </c>
      <c r="AI1051" s="26">
        <v>0.93566945606694563</v>
      </c>
      <c r="AJ1051" s="26">
        <v>0.91480846197827326</v>
      </c>
      <c r="AK1051" s="26">
        <v>0.96205962059620598</v>
      </c>
      <c r="AL1051" s="26">
        <v>0.93151798414956311</v>
      </c>
      <c r="AM1051" s="25">
        <v>0.99</v>
      </c>
      <c r="AN1051" s="30">
        <v>1</v>
      </c>
      <c r="AO1051" s="30">
        <v>1</v>
      </c>
      <c r="AP1051" s="30">
        <v>1</v>
      </c>
      <c r="AQ1051" s="30">
        <v>1</v>
      </c>
      <c r="AR1051" s="50">
        <v>6.5641848892985799E-2</v>
      </c>
      <c r="AS1051" s="34">
        <v>0</v>
      </c>
      <c r="AT1051" s="34">
        <v>0.1111111111111111</v>
      </c>
      <c r="AU1051" s="34">
        <v>0</v>
      </c>
      <c r="AV1051" s="34">
        <v>7.3170731707317069E-2</v>
      </c>
      <c r="AW1051" s="10"/>
      <c r="AX1051" s="8"/>
    </row>
    <row r="1052" spans="1:50">
      <c r="A1052" s="7"/>
      <c r="B1052" s="10"/>
      <c r="C1052" s="69" t="s">
        <v>944</v>
      </c>
      <c r="D1052" s="23" t="s">
        <v>23</v>
      </c>
      <c r="E1052" s="74" t="s">
        <v>1096</v>
      </c>
      <c r="F1052" s="75" t="s">
        <v>1096</v>
      </c>
      <c r="G1052" s="75" t="s">
        <v>1096</v>
      </c>
      <c r="H1052" s="75" t="s">
        <v>1096</v>
      </c>
      <c r="I1052" s="25">
        <v>0.9</v>
      </c>
      <c r="J1052" s="26">
        <v>0.91304347826086951</v>
      </c>
      <c r="K1052" s="26">
        <v>1</v>
      </c>
      <c r="L1052" s="27">
        <v>1</v>
      </c>
      <c r="M1052" s="26">
        <v>0.98235294117647054</v>
      </c>
      <c r="N1052" s="28">
        <v>0.9</v>
      </c>
      <c r="O1052" s="26">
        <v>0.95249930958298812</v>
      </c>
      <c r="P1052" s="26">
        <v>0.95339628388668896</v>
      </c>
      <c r="Q1052" s="26">
        <v>0.94577229503983551</v>
      </c>
      <c r="R1052" s="26">
        <v>0.95313868613138686</v>
      </c>
      <c r="S1052" s="28">
        <v>0.9</v>
      </c>
      <c r="T1052" s="26">
        <v>0.89008561170947254</v>
      </c>
      <c r="U1052" s="26">
        <v>0.89521778860798051</v>
      </c>
      <c r="V1052" s="26">
        <v>0.90002570033410434</v>
      </c>
      <c r="W1052" s="26">
        <v>0.88580291970802916</v>
      </c>
      <c r="X1052" s="28">
        <v>0.92</v>
      </c>
      <c r="Y1052" s="28">
        <v>0</v>
      </c>
      <c r="Z1052" s="28">
        <v>0</v>
      </c>
      <c r="AA1052" s="28">
        <v>0</v>
      </c>
      <c r="AB1052" s="28">
        <v>0</v>
      </c>
      <c r="AC1052" s="28">
        <v>0.92</v>
      </c>
      <c r="AD1052" s="26">
        <v>0.99924204143506823</v>
      </c>
      <c r="AE1052" s="26">
        <v>0.99949899799599196</v>
      </c>
      <c r="AF1052" s="26">
        <v>0.99897645854657113</v>
      </c>
      <c r="AG1052" s="26">
        <v>0.94998272016085961</v>
      </c>
      <c r="AH1052" s="28">
        <v>0.92</v>
      </c>
      <c r="AI1052" s="26">
        <v>0.97708448371065715</v>
      </c>
      <c r="AJ1052" s="26">
        <v>0.97655298416565162</v>
      </c>
      <c r="AK1052" s="26">
        <v>0.98483680287843745</v>
      </c>
      <c r="AL1052" s="26">
        <v>0.97507481205751401</v>
      </c>
      <c r="AM1052" s="25">
        <v>0.99</v>
      </c>
      <c r="AN1052" s="30">
        <v>1</v>
      </c>
      <c r="AO1052" s="30">
        <v>1</v>
      </c>
      <c r="AP1052" s="30">
        <v>1</v>
      </c>
      <c r="AQ1052" s="30">
        <v>1</v>
      </c>
      <c r="AR1052" s="50">
        <v>6.5641848892985799E-2</v>
      </c>
      <c r="AS1052" s="34">
        <v>7.6923076923076927E-2</v>
      </c>
      <c r="AT1052" s="34">
        <v>0.33333333333333331</v>
      </c>
      <c r="AU1052" s="34">
        <v>0</v>
      </c>
      <c r="AV1052" s="34">
        <v>0.05</v>
      </c>
      <c r="AW1052" s="10"/>
      <c r="AX1052" s="8"/>
    </row>
    <row r="1053" spans="1:50">
      <c r="A1053" s="7"/>
      <c r="B1053" s="10"/>
      <c r="C1053" s="69" t="s">
        <v>944</v>
      </c>
      <c r="D1053" s="23" t="s">
        <v>23</v>
      </c>
      <c r="E1053" s="72" t="s">
        <v>1097</v>
      </c>
      <c r="F1053" s="73" t="s">
        <v>1097</v>
      </c>
      <c r="G1053" s="73" t="s">
        <v>1097</v>
      </c>
      <c r="H1053" s="73" t="s">
        <v>1097</v>
      </c>
      <c r="I1053" s="25">
        <v>0.9</v>
      </c>
      <c r="J1053" s="26">
        <v>0.91176470588235292</v>
      </c>
      <c r="K1053" s="26">
        <v>0.8529411764705882</v>
      </c>
      <c r="L1053" s="27">
        <v>0.81690140845070425</v>
      </c>
      <c r="M1053" s="26">
        <v>0.83925233644859809</v>
      </c>
      <c r="N1053" s="28">
        <v>0.9</v>
      </c>
      <c r="O1053" s="26">
        <v>0.93125109056011168</v>
      </c>
      <c r="P1053" s="26">
        <v>0.9417183681143072</v>
      </c>
      <c r="Q1053" s="26">
        <v>0.91992245750074564</v>
      </c>
      <c r="R1053" s="26">
        <v>0.93669839620190376</v>
      </c>
      <c r="S1053" s="28">
        <v>0.9</v>
      </c>
      <c r="T1053" s="26">
        <v>0.87611237131390685</v>
      </c>
      <c r="U1053" s="26">
        <v>0.87986463620981392</v>
      </c>
      <c r="V1053" s="26">
        <v>0.85073068893528181</v>
      </c>
      <c r="W1053" s="26">
        <v>0.86515341190920469</v>
      </c>
      <c r="X1053" s="28">
        <v>0.92</v>
      </c>
      <c r="Y1053" s="28">
        <v>0</v>
      </c>
      <c r="Z1053" s="28">
        <v>0</v>
      </c>
      <c r="AA1053" s="28">
        <v>0</v>
      </c>
      <c r="AB1053" s="28">
        <v>0.66666666666666663</v>
      </c>
      <c r="AC1053" s="28">
        <v>0.92</v>
      </c>
      <c r="AD1053" s="26">
        <v>0.97449521785334747</v>
      </c>
      <c r="AE1053" s="26">
        <v>0.98483572030328559</v>
      </c>
      <c r="AF1053" s="26">
        <v>0.94009661835748792</v>
      </c>
      <c r="AG1053" s="26">
        <v>0.96891683473721679</v>
      </c>
      <c r="AH1053" s="28">
        <v>0.92</v>
      </c>
      <c r="AI1053" s="26">
        <v>0.9333565945568737</v>
      </c>
      <c r="AJ1053" s="26">
        <v>0.93589020492573793</v>
      </c>
      <c r="AK1053" s="26">
        <v>0.94378168804056073</v>
      </c>
      <c r="AL1053" s="26">
        <v>0.94135707706478355</v>
      </c>
      <c r="AM1053" s="25">
        <v>0.99</v>
      </c>
      <c r="AN1053" s="30">
        <v>1</v>
      </c>
      <c r="AO1053" s="30">
        <v>1</v>
      </c>
      <c r="AP1053" s="30">
        <v>1</v>
      </c>
      <c r="AQ1053" s="30">
        <v>1</v>
      </c>
      <c r="AR1053" s="50">
        <v>6.5641848892985799E-2</v>
      </c>
      <c r="AS1053" s="34">
        <v>3.0303030303030304E-2</v>
      </c>
      <c r="AT1053" s="34">
        <v>0</v>
      </c>
      <c r="AU1053" s="34">
        <v>6.8965517241379309E-2</v>
      </c>
      <c r="AV1053" s="34">
        <v>2.8301886792452831E-2</v>
      </c>
      <c r="AW1053" s="10"/>
      <c r="AX1053" s="8"/>
    </row>
    <row r="1054" spans="1:50">
      <c r="A1054" s="7"/>
      <c r="B1054" s="10"/>
      <c r="C1054" s="69" t="s">
        <v>944</v>
      </c>
      <c r="D1054" s="23" t="s">
        <v>23</v>
      </c>
      <c r="E1054" s="72" t="s">
        <v>1098</v>
      </c>
      <c r="F1054" s="73" t="s">
        <v>1098</v>
      </c>
      <c r="G1054" s="73" t="s">
        <v>1098</v>
      </c>
      <c r="H1054" s="73" t="s">
        <v>1098</v>
      </c>
      <c r="I1054" s="25">
        <v>0.9</v>
      </c>
      <c r="J1054" s="26">
        <v>0.97674418604651159</v>
      </c>
      <c r="K1054" s="26">
        <v>1</v>
      </c>
      <c r="L1054" s="27">
        <v>0.97959183673469385</v>
      </c>
      <c r="M1054" s="26">
        <v>0.98575498575498577</v>
      </c>
      <c r="N1054" s="28">
        <v>0.9</v>
      </c>
      <c r="O1054" s="26">
        <v>0.95063405797101452</v>
      </c>
      <c r="P1054" s="26">
        <v>0.95901246404602114</v>
      </c>
      <c r="Q1054" s="26">
        <v>0.96755270394133819</v>
      </c>
      <c r="R1054" s="26">
        <v>0.95659348754972739</v>
      </c>
      <c r="S1054" s="28">
        <v>0.9</v>
      </c>
      <c r="T1054" s="26">
        <v>0.91123188405797106</v>
      </c>
      <c r="U1054" s="26">
        <v>0.91778523489932884</v>
      </c>
      <c r="V1054" s="26">
        <v>0.94023831347387721</v>
      </c>
      <c r="W1054" s="26">
        <v>0.92806836599381171</v>
      </c>
      <c r="X1054" s="28">
        <v>0.92</v>
      </c>
      <c r="Y1054" s="28">
        <v>0</v>
      </c>
      <c r="Z1054" s="28">
        <v>0</v>
      </c>
      <c r="AA1054" s="28">
        <v>0</v>
      </c>
      <c r="AB1054" s="28">
        <v>0</v>
      </c>
      <c r="AC1054" s="28">
        <v>0.92</v>
      </c>
      <c r="AD1054" s="26">
        <v>0.99667774086378735</v>
      </c>
      <c r="AE1054" s="26">
        <v>0.99572649572649574</v>
      </c>
      <c r="AF1054" s="26">
        <v>0.9887640449438202</v>
      </c>
      <c r="AG1054" s="26">
        <v>0.99520219328307058</v>
      </c>
      <c r="AH1054" s="28">
        <v>0.92</v>
      </c>
      <c r="AI1054" s="26">
        <v>0.94587862318840576</v>
      </c>
      <c r="AJ1054" s="26">
        <v>0.94415148609779487</v>
      </c>
      <c r="AK1054" s="26">
        <v>0.96461961503208071</v>
      </c>
      <c r="AL1054" s="26">
        <v>0.95562496316813017</v>
      </c>
      <c r="AM1054" s="25">
        <v>0.99</v>
      </c>
      <c r="AN1054" s="30">
        <v>1</v>
      </c>
      <c r="AO1054" s="30">
        <v>1</v>
      </c>
      <c r="AP1054" s="30">
        <v>1</v>
      </c>
      <c r="AQ1054" s="30">
        <v>1</v>
      </c>
      <c r="AR1054" s="50">
        <v>6.5641848892985799E-2</v>
      </c>
      <c r="AS1054" s="34">
        <v>6.6666666666666666E-2</v>
      </c>
      <c r="AT1054" s="34">
        <v>8.3333333333333329E-2</v>
      </c>
      <c r="AU1054" s="34">
        <v>2.7027027027027029E-2</v>
      </c>
      <c r="AV1054" s="34">
        <v>5.232558139534884E-2</v>
      </c>
      <c r="AW1054" s="10"/>
      <c r="AX1054" s="8"/>
    </row>
    <row r="1055" spans="1:50">
      <c r="A1055" s="7"/>
      <c r="B1055" s="10"/>
      <c r="C1055" s="69" t="s">
        <v>944</v>
      </c>
      <c r="D1055" s="23" t="s">
        <v>23</v>
      </c>
      <c r="E1055" s="72" t="s">
        <v>1099</v>
      </c>
      <c r="F1055" s="73" t="s">
        <v>1099</v>
      </c>
      <c r="G1055" s="73" t="s">
        <v>1099</v>
      </c>
      <c r="H1055" s="73" t="s">
        <v>1099</v>
      </c>
      <c r="I1055" s="25">
        <v>0.9</v>
      </c>
      <c r="J1055" s="26">
        <v>0.80645161290322576</v>
      </c>
      <c r="K1055" s="26">
        <v>0.967741935483871</v>
      </c>
      <c r="L1055" s="27">
        <v>0.967741935483871</v>
      </c>
      <c r="M1055" s="26">
        <v>0.91056910569105687</v>
      </c>
      <c r="N1055" s="28">
        <v>0.9</v>
      </c>
      <c r="O1055" s="26">
        <v>0.97234832851836561</v>
      </c>
      <c r="P1055" s="26">
        <v>0.98439589835042351</v>
      </c>
      <c r="Q1055" s="26">
        <v>0.98139855322080605</v>
      </c>
      <c r="R1055" s="26">
        <v>0.97382532519246079</v>
      </c>
      <c r="S1055" s="28">
        <v>0.9</v>
      </c>
      <c r="T1055" s="26">
        <v>0.87742468014857611</v>
      </c>
      <c r="U1055" s="26">
        <v>0.9059295586268391</v>
      </c>
      <c r="V1055" s="26">
        <v>0.87357905614881159</v>
      </c>
      <c r="W1055" s="26">
        <v>0.87279001858242633</v>
      </c>
      <c r="X1055" s="28">
        <v>0.92</v>
      </c>
      <c r="Y1055" s="28">
        <v>0</v>
      </c>
      <c r="Z1055" s="28">
        <v>0</v>
      </c>
      <c r="AA1055" s="28">
        <v>0</v>
      </c>
      <c r="AB1055" s="28">
        <v>0</v>
      </c>
      <c r="AC1055" s="28">
        <v>0.92</v>
      </c>
      <c r="AD1055" s="26">
        <v>0.99502487562189057</v>
      </c>
      <c r="AE1055" s="26">
        <v>0.99705014749262533</v>
      </c>
      <c r="AF1055" s="26">
        <v>0.985200845665962</v>
      </c>
      <c r="AG1055" s="26">
        <v>0.99542931766242249</v>
      </c>
      <c r="AH1055" s="28">
        <v>0.92</v>
      </c>
      <c r="AI1055" s="26">
        <v>0.94841106066859271</v>
      </c>
      <c r="AJ1055" s="26">
        <v>0.95987516718680344</v>
      </c>
      <c r="AK1055" s="26">
        <v>0.965552876334826</v>
      </c>
      <c r="AL1055" s="26">
        <v>0.95980886647199359</v>
      </c>
      <c r="AM1055" s="25">
        <v>0.99</v>
      </c>
      <c r="AN1055" s="30">
        <v>1</v>
      </c>
      <c r="AO1055" s="30">
        <v>1</v>
      </c>
      <c r="AP1055" s="30">
        <v>1</v>
      </c>
      <c r="AQ1055" s="30">
        <v>1</v>
      </c>
      <c r="AR1055" s="50">
        <v>6.5641848892985799E-2</v>
      </c>
      <c r="AS1055" s="34">
        <v>0</v>
      </c>
      <c r="AT1055" s="34">
        <v>0.2857142857142857</v>
      </c>
      <c r="AU1055" s="34">
        <v>0.1</v>
      </c>
      <c r="AV1055" s="34">
        <v>6.7961165048543687E-2</v>
      </c>
      <c r="AW1055" s="10"/>
      <c r="AX1055" s="8"/>
    </row>
    <row r="1056" spans="1:50">
      <c r="A1056" s="7"/>
      <c r="B1056" s="10"/>
      <c r="C1056" s="47"/>
      <c r="D1056" s="48"/>
      <c r="E1056" s="48"/>
      <c r="F1056" s="48"/>
      <c r="G1056" s="48"/>
      <c r="H1056" s="48"/>
      <c r="I1056" s="39"/>
      <c r="J1056" s="82"/>
      <c r="K1056" s="82"/>
      <c r="L1056" s="82"/>
      <c r="M1056" s="82"/>
      <c r="N1056" s="43"/>
      <c r="O1056" s="40"/>
      <c r="P1056" s="40"/>
      <c r="Q1056" s="26"/>
      <c r="R1056" s="40"/>
      <c r="S1056" s="43"/>
      <c r="T1056" s="40"/>
      <c r="U1056" s="40"/>
      <c r="V1056" s="26"/>
      <c r="W1056" s="40"/>
      <c r="X1056" s="43"/>
      <c r="Y1056" s="43"/>
      <c r="Z1056" s="43"/>
      <c r="AA1056" s="28"/>
      <c r="AB1056" s="43"/>
      <c r="AC1056" s="40"/>
      <c r="AD1056" s="40"/>
      <c r="AE1056" s="40"/>
      <c r="AF1056" s="26"/>
      <c r="AG1056" s="40"/>
      <c r="AH1056" s="40"/>
      <c r="AI1056" s="40"/>
      <c r="AJ1056" s="40"/>
      <c r="AK1056" s="26"/>
      <c r="AL1056" s="40"/>
      <c r="AM1056" s="39"/>
      <c r="AN1056" s="39"/>
      <c r="AO1056" s="39"/>
      <c r="AP1056" s="30"/>
      <c r="AQ1056" s="39"/>
      <c r="AR1056" s="40"/>
      <c r="AS1056" s="39"/>
      <c r="AT1056" s="39"/>
      <c r="AU1056" s="34"/>
      <c r="AV1056" s="39"/>
      <c r="AW1056" s="10"/>
      <c r="AX1056" s="8"/>
    </row>
    <row r="1057" spans="1:50">
      <c r="A1057" s="7"/>
      <c r="B1057" s="10"/>
      <c r="C1057" s="45" t="s">
        <v>1100</v>
      </c>
      <c r="D1057" s="23" t="s">
        <v>25</v>
      </c>
      <c r="E1057" s="83" t="s">
        <v>1101</v>
      </c>
      <c r="F1057" s="83" t="s">
        <v>1101</v>
      </c>
      <c r="G1057" s="83" t="s">
        <v>1101</v>
      </c>
      <c r="H1057" s="83" t="s">
        <v>1101</v>
      </c>
      <c r="I1057" s="25">
        <v>0.9</v>
      </c>
      <c r="J1057" s="26">
        <v>0.9285714285714286</v>
      </c>
      <c r="K1057" s="26">
        <v>0.82758620689655171</v>
      </c>
      <c r="L1057" s="27">
        <v>0.96551724137931039</v>
      </c>
      <c r="M1057" s="26">
        <v>0.93421052631578949</v>
      </c>
      <c r="N1057" s="28">
        <v>0.9</v>
      </c>
      <c r="O1057" s="26">
        <v>0.99008264462809914</v>
      </c>
      <c r="P1057" s="26">
        <v>0.94691689008042901</v>
      </c>
      <c r="Q1057" s="26">
        <v>0.9871740059854639</v>
      </c>
      <c r="R1057" s="26">
        <v>0.96776755576146667</v>
      </c>
      <c r="S1057" s="28">
        <v>0.9</v>
      </c>
      <c r="T1057" s="26">
        <v>0.91460055096418735</v>
      </c>
      <c r="U1057" s="26">
        <v>0.92439678284182303</v>
      </c>
      <c r="V1057" s="26">
        <v>0.92603676784950839</v>
      </c>
      <c r="W1057" s="26">
        <v>0.92507776821761867</v>
      </c>
      <c r="X1057" s="28">
        <v>0.92</v>
      </c>
      <c r="Y1057" s="28">
        <v>0.9547920433996383</v>
      </c>
      <c r="Z1057" s="28">
        <v>0.96234309623430958</v>
      </c>
      <c r="AA1057" s="28">
        <v>0.96191926884996193</v>
      </c>
      <c r="AB1057" s="28">
        <v>0.95598853868194844</v>
      </c>
      <c r="AC1057" s="28">
        <v>0.92</v>
      </c>
      <c r="AD1057" s="26">
        <v>1</v>
      </c>
      <c r="AE1057" s="26">
        <v>1</v>
      </c>
      <c r="AF1057" s="26">
        <v>0.99470899470899465</v>
      </c>
      <c r="AG1057" s="26">
        <v>0.993615409587707</v>
      </c>
      <c r="AH1057" s="28">
        <v>0.92</v>
      </c>
      <c r="AI1057" s="26">
        <v>0.96644984594317018</v>
      </c>
      <c r="AJ1057" s="26">
        <v>0.97696669029057404</v>
      </c>
      <c r="AK1057" s="26">
        <v>0.97699890470974804</v>
      </c>
      <c r="AL1057" s="26">
        <v>0.97142977009565368</v>
      </c>
      <c r="AM1057" s="25">
        <v>0.99</v>
      </c>
      <c r="AN1057" s="30">
        <v>1</v>
      </c>
      <c r="AO1057" s="30">
        <v>1</v>
      </c>
      <c r="AP1057" s="30">
        <v>1</v>
      </c>
      <c r="AQ1057" s="30">
        <v>1</v>
      </c>
      <c r="AR1057" s="50">
        <v>7.2186152540827803E-2</v>
      </c>
      <c r="AS1057" s="34">
        <v>0.2</v>
      </c>
      <c r="AT1057" s="34">
        <v>0</v>
      </c>
      <c r="AU1057" s="34">
        <v>0.2</v>
      </c>
      <c r="AV1057" s="34">
        <v>9.8360655737704916E-2</v>
      </c>
      <c r="AW1057" s="10"/>
      <c r="AX1057" s="8"/>
    </row>
    <row r="1058" spans="1:50">
      <c r="A1058" s="7"/>
      <c r="B1058" s="10"/>
      <c r="C1058" s="45" t="s">
        <v>1100</v>
      </c>
      <c r="D1058" s="23" t="s">
        <v>25</v>
      </c>
      <c r="E1058" s="83" t="s">
        <v>1102</v>
      </c>
      <c r="F1058" s="83" t="s">
        <v>1102</v>
      </c>
      <c r="G1058" s="83" t="s">
        <v>1102</v>
      </c>
      <c r="H1058" s="83" t="s">
        <v>1102</v>
      </c>
      <c r="I1058" s="25">
        <v>0.9</v>
      </c>
      <c r="J1058" s="26">
        <v>0.88888888888888884</v>
      </c>
      <c r="K1058" s="26">
        <v>0.92</v>
      </c>
      <c r="L1058" s="27">
        <v>0.93181818181818177</v>
      </c>
      <c r="M1058" s="26">
        <v>0.94021739130434778</v>
      </c>
      <c r="N1058" s="28">
        <v>0.9</v>
      </c>
      <c r="O1058" s="26">
        <v>0.98761061946902651</v>
      </c>
      <c r="P1058" s="26">
        <v>0.97801392451447422</v>
      </c>
      <c r="Q1058" s="26">
        <v>0.93306750213614353</v>
      </c>
      <c r="R1058" s="26">
        <v>0.97834486476772398</v>
      </c>
      <c r="S1058" s="28">
        <v>0.9</v>
      </c>
      <c r="T1058" s="26">
        <v>0.88389380530973449</v>
      </c>
      <c r="U1058" s="26">
        <v>0.86991572004397211</v>
      </c>
      <c r="V1058" s="26">
        <v>0.83508971802905152</v>
      </c>
      <c r="W1058" s="26">
        <v>0.89621709048432019</v>
      </c>
      <c r="X1058" s="28">
        <v>0.92</v>
      </c>
      <c r="Y1058" s="28">
        <v>0.91823491239454902</v>
      </c>
      <c r="Z1058" s="28">
        <v>0.95715323166303556</v>
      </c>
      <c r="AA1058" s="28">
        <v>0.90978205778003041</v>
      </c>
      <c r="AB1058" s="28">
        <v>0.9416251556662516</v>
      </c>
      <c r="AC1058" s="28">
        <v>0.92</v>
      </c>
      <c r="AD1058" s="26">
        <v>0.8102466793168881</v>
      </c>
      <c r="AE1058" s="26">
        <v>0.71856866537717601</v>
      </c>
      <c r="AF1058" s="26">
        <v>0.93025362318840576</v>
      </c>
      <c r="AG1058" s="26">
        <v>0.84930722546662085</v>
      </c>
      <c r="AH1058" s="28">
        <v>0.92</v>
      </c>
      <c r="AI1058" s="26">
        <v>0.95464956481905638</v>
      </c>
      <c r="AJ1058" s="26">
        <v>0.96736483195323919</v>
      </c>
      <c r="AK1058" s="26">
        <v>0.92888402625820565</v>
      </c>
      <c r="AL1058" s="26">
        <v>0.96242807497293914</v>
      </c>
      <c r="AM1058" s="25">
        <v>0.99</v>
      </c>
      <c r="AN1058" s="30">
        <v>1</v>
      </c>
      <c r="AO1058" s="30">
        <v>1</v>
      </c>
      <c r="AP1058" s="30">
        <v>1</v>
      </c>
      <c r="AQ1058" s="30">
        <v>1</v>
      </c>
      <c r="AR1058" s="50">
        <v>7.2186152540827803E-2</v>
      </c>
      <c r="AS1058" s="34">
        <v>0</v>
      </c>
      <c r="AT1058" s="34">
        <v>0</v>
      </c>
      <c r="AU1058" s="34">
        <v>6.6666666666666666E-2</v>
      </c>
      <c r="AV1058" s="34">
        <v>5.1020408163265307E-2</v>
      </c>
      <c r="AW1058" s="10"/>
      <c r="AX1058" s="8"/>
    </row>
    <row r="1059" spans="1:50">
      <c r="A1059" s="7"/>
      <c r="B1059" s="10"/>
      <c r="C1059" s="45" t="s">
        <v>1100</v>
      </c>
      <c r="D1059" s="23" t="s">
        <v>25</v>
      </c>
      <c r="E1059" s="83" t="s">
        <v>1103</v>
      </c>
      <c r="F1059" s="83" t="s">
        <v>1103</v>
      </c>
      <c r="G1059" s="83" t="s">
        <v>1103</v>
      </c>
      <c r="H1059" s="83" t="s">
        <v>1103</v>
      </c>
      <c r="I1059" s="25">
        <v>0.9</v>
      </c>
      <c r="J1059" s="26">
        <v>0.83333333333333337</v>
      </c>
      <c r="K1059" s="26">
        <v>0.80851063829787229</v>
      </c>
      <c r="L1059" s="27">
        <v>0.86538461538461542</v>
      </c>
      <c r="M1059" s="26">
        <v>0.82758620689655171</v>
      </c>
      <c r="N1059" s="28">
        <v>0.9</v>
      </c>
      <c r="O1059" s="26">
        <v>0.95698113207547175</v>
      </c>
      <c r="P1059" s="26">
        <v>0.93529639674544751</v>
      </c>
      <c r="Q1059" s="26">
        <v>0.97628458498023718</v>
      </c>
      <c r="R1059" s="26">
        <v>0.95814641595876682</v>
      </c>
      <c r="S1059" s="28">
        <v>0.9</v>
      </c>
      <c r="T1059" s="26">
        <v>0.94830188679245286</v>
      </c>
      <c r="U1059" s="26">
        <v>0.95040681906237889</v>
      </c>
      <c r="V1059" s="26">
        <v>0.94709638187899059</v>
      </c>
      <c r="W1059" s="26">
        <v>0.94206356781521428</v>
      </c>
      <c r="X1059" s="28">
        <v>0.92</v>
      </c>
      <c r="Y1059" s="28">
        <v>0.9681851048445409</v>
      </c>
      <c r="Z1059" s="28">
        <v>0.94235388310648516</v>
      </c>
      <c r="AA1059" s="28">
        <v>0.95690157251019214</v>
      </c>
      <c r="AB1059" s="28">
        <v>0.95700582391229871</v>
      </c>
      <c r="AC1059" s="28">
        <v>0.92</v>
      </c>
      <c r="AD1059" s="26">
        <v>0.99776098516652678</v>
      </c>
      <c r="AE1059" s="26">
        <v>0.99292786421499291</v>
      </c>
      <c r="AF1059" s="26">
        <v>0.98774373259052928</v>
      </c>
      <c r="AG1059" s="26">
        <v>0.96881002931958349</v>
      </c>
      <c r="AH1059" s="28">
        <v>0.92</v>
      </c>
      <c r="AI1059" s="26">
        <v>0.97247706422018354</v>
      </c>
      <c r="AJ1059" s="26">
        <v>0.96582311505348295</v>
      </c>
      <c r="AK1059" s="26">
        <v>0.97762684778266085</v>
      </c>
      <c r="AL1059" s="26">
        <v>0.97248184353262035</v>
      </c>
      <c r="AM1059" s="25">
        <v>0.99</v>
      </c>
      <c r="AN1059" s="30">
        <v>1</v>
      </c>
      <c r="AO1059" s="30">
        <v>1</v>
      </c>
      <c r="AP1059" s="30">
        <v>1</v>
      </c>
      <c r="AQ1059" s="30">
        <v>1</v>
      </c>
      <c r="AR1059" s="50">
        <v>7.2186152540827803E-2</v>
      </c>
      <c r="AS1059" s="34">
        <v>0</v>
      </c>
      <c r="AT1059" s="34">
        <v>0</v>
      </c>
      <c r="AU1059" s="34">
        <v>0</v>
      </c>
      <c r="AV1059" s="34">
        <v>2.1739130434782608E-2</v>
      </c>
      <c r="AW1059" s="10"/>
      <c r="AX1059" s="8"/>
    </row>
    <row r="1060" spans="1:50">
      <c r="A1060" s="7"/>
      <c r="B1060" s="10"/>
      <c r="C1060" s="45" t="s">
        <v>1100</v>
      </c>
      <c r="D1060" s="23" t="s">
        <v>25</v>
      </c>
      <c r="E1060" s="83" t="s">
        <v>1104</v>
      </c>
      <c r="F1060" s="83" t="s">
        <v>1104</v>
      </c>
      <c r="G1060" s="83" t="s">
        <v>1104</v>
      </c>
      <c r="H1060" s="83" t="s">
        <v>1104</v>
      </c>
      <c r="I1060" s="25">
        <v>0.9</v>
      </c>
      <c r="J1060" s="26">
        <v>0.93023255813953487</v>
      </c>
      <c r="K1060" s="26">
        <v>0.93478260869565222</v>
      </c>
      <c r="L1060" s="27">
        <v>0.93877551020408168</v>
      </c>
      <c r="M1060" s="26">
        <v>0.93103448275862066</v>
      </c>
      <c r="N1060" s="28">
        <v>0.9</v>
      </c>
      <c r="O1060" s="26">
        <v>0.95523370638578009</v>
      </c>
      <c r="P1060" s="26">
        <v>0.96782334384858049</v>
      </c>
      <c r="Q1060" s="26">
        <v>0.93200408997955009</v>
      </c>
      <c r="R1060" s="26">
        <v>0.96240722166499504</v>
      </c>
      <c r="S1060" s="28">
        <v>0.9</v>
      </c>
      <c r="T1060" s="26">
        <v>0.92758393680052664</v>
      </c>
      <c r="U1060" s="26">
        <v>0.95236593059936914</v>
      </c>
      <c r="V1060" s="26">
        <v>0.92791411042944782</v>
      </c>
      <c r="W1060" s="26">
        <v>0.9370912738214644</v>
      </c>
      <c r="X1060" s="28">
        <v>0.92</v>
      </c>
      <c r="Y1060" s="28">
        <v>0.9285714285714286</v>
      </c>
      <c r="Z1060" s="28">
        <v>0.93314955203308059</v>
      </c>
      <c r="AA1060" s="28">
        <v>0.96545012165450117</v>
      </c>
      <c r="AB1060" s="28">
        <v>0.95116312671579251</v>
      </c>
      <c r="AC1060" s="28">
        <v>0.92</v>
      </c>
      <c r="AD1060" s="26">
        <v>0.98055893074119072</v>
      </c>
      <c r="AE1060" s="26">
        <v>0.9940867279894875</v>
      </c>
      <c r="AF1060" s="26">
        <v>0.98764669549104389</v>
      </c>
      <c r="AG1060" s="26">
        <v>0.98886242644998601</v>
      </c>
      <c r="AH1060" s="28">
        <v>0.92</v>
      </c>
      <c r="AI1060" s="26">
        <v>0.95182263909614151</v>
      </c>
      <c r="AJ1060" s="26">
        <v>0.96736546358331532</v>
      </c>
      <c r="AK1060" s="26">
        <v>0.97519691637338701</v>
      </c>
      <c r="AL1060" s="26">
        <v>0.97106308350956827</v>
      </c>
      <c r="AM1060" s="25">
        <v>0.99</v>
      </c>
      <c r="AN1060" s="30">
        <v>1</v>
      </c>
      <c r="AO1060" s="30">
        <v>1</v>
      </c>
      <c r="AP1060" s="30">
        <v>1</v>
      </c>
      <c r="AQ1060" s="30">
        <v>1</v>
      </c>
      <c r="AR1060" s="50">
        <v>7.2186152540827803E-2</v>
      </c>
      <c r="AS1060" s="34">
        <v>0</v>
      </c>
      <c r="AT1060" s="34">
        <v>0.14285714285714285</v>
      </c>
      <c r="AU1060" s="34">
        <v>0</v>
      </c>
      <c r="AV1060" s="34">
        <v>4.0983606557377046E-2</v>
      </c>
      <c r="AW1060" s="10"/>
      <c r="AX1060" s="8"/>
    </row>
    <row r="1061" spans="1:50">
      <c r="A1061" s="7"/>
      <c r="B1061" s="10"/>
      <c r="C1061" s="45" t="s">
        <v>1100</v>
      </c>
      <c r="D1061" s="23" t="s">
        <v>25</v>
      </c>
      <c r="E1061" s="83" t="s">
        <v>1105</v>
      </c>
      <c r="F1061" s="83" t="s">
        <v>1105</v>
      </c>
      <c r="G1061" s="83" t="s">
        <v>1105</v>
      </c>
      <c r="H1061" s="83" t="s">
        <v>1105</v>
      </c>
      <c r="I1061" s="25">
        <v>0.9</v>
      </c>
      <c r="J1061" s="26">
        <v>0.97826086956521741</v>
      </c>
      <c r="K1061" s="26">
        <v>0.9375</v>
      </c>
      <c r="L1061" s="27">
        <v>0.93877551020408168</v>
      </c>
      <c r="M1061" s="26">
        <v>0.94339622641509435</v>
      </c>
      <c r="N1061" s="28">
        <v>0.9</v>
      </c>
      <c r="O1061" s="26">
        <v>0.98167396061269152</v>
      </c>
      <c r="P1061" s="26">
        <v>0.9404233080742096</v>
      </c>
      <c r="Q1061" s="26">
        <v>0.97629750715161423</v>
      </c>
      <c r="R1061" s="26">
        <v>0.97256312834134695</v>
      </c>
      <c r="S1061" s="28">
        <v>0.9</v>
      </c>
      <c r="T1061" s="26">
        <v>0.93298687089715537</v>
      </c>
      <c r="U1061" s="26">
        <v>0.91089626339169061</v>
      </c>
      <c r="V1061" s="26">
        <v>0.89783408255006125</v>
      </c>
      <c r="W1061" s="26">
        <v>0.91674792374163616</v>
      </c>
      <c r="X1061" s="28">
        <v>0.92</v>
      </c>
      <c r="Y1061" s="28">
        <v>0.94886363636363635</v>
      </c>
      <c r="Z1061" s="28">
        <v>0.93879615579160347</v>
      </c>
      <c r="AA1061" s="28">
        <v>0.94908512330946704</v>
      </c>
      <c r="AB1061" s="28">
        <v>0.93900734009087727</v>
      </c>
      <c r="AC1061" s="28">
        <v>0.92</v>
      </c>
      <c r="AD1061" s="26">
        <v>0.99456521739130432</v>
      </c>
      <c r="AE1061" s="26">
        <v>0.97557251908396947</v>
      </c>
      <c r="AF1061" s="26">
        <v>0.94306764902880102</v>
      </c>
      <c r="AG1061" s="26">
        <v>0.98238266188006917</v>
      </c>
      <c r="AH1061" s="28">
        <v>0.92</v>
      </c>
      <c r="AI1061" s="26">
        <v>0.9596047156726768</v>
      </c>
      <c r="AJ1061" s="26">
        <v>0.95938736878334197</v>
      </c>
      <c r="AK1061" s="26">
        <v>0.96976650020245647</v>
      </c>
      <c r="AL1061" s="26">
        <v>0.9605916579637247</v>
      </c>
      <c r="AM1061" s="25">
        <v>0.99</v>
      </c>
      <c r="AN1061" s="30">
        <v>1</v>
      </c>
      <c r="AO1061" s="30">
        <v>1</v>
      </c>
      <c r="AP1061" s="30">
        <v>1</v>
      </c>
      <c r="AQ1061" s="30">
        <v>1</v>
      </c>
      <c r="AR1061" s="50">
        <v>7.2186152540827803E-2</v>
      </c>
      <c r="AS1061" s="34">
        <v>-3.7037037037037035E-2</v>
      </c>
      <c r="AT1061" s="34">
        <v>0</v>
      </c>
      <c r="AU1061" s="34">
        <v>-3.5714285714285712E-2</v>
      </c>
      <c r="AV1061" s="34">
        <v>9.2165898617511521E-3</v>
      </c>
      <c r="AW1061" s="10"/>
      <c r="AX1061" s="8"/>
    </row>
    <row r="1062" spans="1:50">
      <c r="A1062" s="7"/>
      <c r="B1062" s="10"/>
      <c r="C1062" s="45" t="s">
        <v>1100</v>
      </c>
      <c r="D1062" s="23" t="s">
        <v>25</v>
      </c>
      <c r="E1062" s="83" t="s">
        <v>1106</v>
      </c>
      <c r="F1062" s="83" t="s">
        <v>1106</v>
      </c>
      <c r="G1062" s="83" t="s">
        <v>1106</v>
      </c>
      <c r="H1062" s="83" t="s">
        <v>1106</v>
      </c>
      <c r="I1062" s="25">
        <v>0.9</v>
      </c>
      <c r="J1062" s="26">
        <v>1</v>
      </c>
      <c r="K1062" s="26">
        <v>0.90476190476190477</v>
      </c>
      <c r="L1062" s="27">
        <v>1</v>
      </c>
      <c r="M1062" s="26">
        <v>0.98148148148148151</v>
      </c>
      <c r="N1062" s="28">
        <v>0.9</v>
      </c>
      <c r="O1062" s="26">
        <v>0.97802976612331682</v>
      </c>
      <c r="P1062" s="26">
        <v>0.95789473684210524</v>
      </c>
      <c r="Q1062" s="26">
        <v>0.94733796296296291</v>
      </c>
      <c r="R1062" s="26">
        <v>0.96776743369049711</v>
      </c>
      <c r="S1062" s="28">
        <v>0.9</v>
      </c>
      <c r="T1062" s="26">
        <v>0.94613749114103474</v>
      </c>
      <c r="U1062" s="26">
        <v>0.93263157894736837</v>
      </c>
      <c r="V1062" s="26">
        <v>0.94560185185185186</v>
      </c>
      <c r="W1062" s="26">
        <v>0.94704022483751971</v>
      </c>
      <c r="X1062" s="28">
        <v>0.92</v>
      </c>
      <c r="Y1062" s="28">
        <v>0.95191122071516643</v>
      </c>
      <c r="Z1062" s="28">
        <v>0.97130559540889527</v>
      </c>
      <c r="AA1062" s="28">
        <v>0.96126401630988789</v>
      </c>
      <c r="AB1062" s="28">
        <v>0.96106086156676374</v>
      </c>
      <c r="AC1062" s="28">
        <v>0.92</v>
      </c>
      <c r="AD1062" s="26">
        <v>1</v>
      </c>
      <c r="AE1062" s="26">
        <v>1</v>
      </c>
      <c r="AF1062" s="26">
        <v>1</v>
      </c>
      <c r="AG1062" s="26">
        <v>0.97256097560975607</v>
      </c>
      <c r="AH1062" s="28">
        <v>0.92</v>
      </c>
      <c r="AI1062" s="26">
        <v>0.97029702970297027</v>
      </c>
      <c r="AJ1062" s="26">
        <v>0.98023529411764709</v>
      </c>
      <c r="AK1062" s="26">
        <v>0.98043558508674788</v>
      </c>
      <c r="AL1062" s="26">
        <v>0.97683117463153191</v>
      </c>
      <c r="AM1062" s="25">
        <v>0.99</v>
      </c>
      <c r="AN1062" s="30">
        <v>1</v>
      </c>
      <c r="AO1062" s="30">
        <v>1</v>
      </c>
      <c r="AP1062" s="30">
        <v>1</v>
      </c>
      <c r="AQ1062" s="30">
        <v>1</v>
      </c>
      <c r="AR1062" s="50">
        <v>7.2186152540827803E-2</v>
      </c>
      <c r="AS1062" s="34">
        <v>0</v>
      </c>
      <c r="AT1062" s="34">
        <v>0</v>
      </c>
      <c r="AU1062" s="34">
        <v>0</v>
      </c>
      <c r="AV1062" s="34">
        <v>3.3333333333333333E-2</v>
      </c>
      <c r="AW1062" s="10"/>
      <c r="AX1062" s="8"/>
    </row>
    <row r="1063" spans="1:50">
      <c r="A1063" s="7"/>
      <c r="B1063" s="10"/>
      <c r="C1063" s="45" t="s">
        <v>1100</v>
      </c>
      <c r="D1063" s="23" t="s">
        <v>25</v>
      </c>
      <c r="E1063" s="83" t="s">
        <v>1107</v>
      </c>
      <c r="F1063" s="83" t="s">
        <v>1107</v>
      </c>
      <c r="G1063" s="83" t="s">
        <v>1107</v>
      </c>
      <c r="H1063" s="83" t="s">
        <v>1107</v>
      </c>
      <c r="I1063" s="25">
        <v>0.9</v>
      </c>
      <c r="J1063" s="26">
        <v>0.93617021276595747</v>
      </c>
      <c r="K1063" s="26">
        <v>0.95833333333333337</v>
      </c>
      <c r="L1063" s="27">
        <v>0.97826086956521741</v>
      </c>
      <c r="M1063" s="26">
        <v>0.96045197740112997</v>
      </c>
      <c r="N1063" s="28">
        <v>0.9</v>
      </c>
      <c r="O1063" s="26">
        <v>0.9812294697325199</v>
      </c>
      <c r="P1063" s="26">
        <v>0.92382210479964777</v>
      </c>
      <c r="Q1063" s="26">
        <v>0.95137111517367456</v>
      </c>
      <c r="R1063" s="26">
        <v>0.93499107939339876</v>
      </c>
      <c r="S1063" s="28">
        <v>0.9</v>
      </c>
      <c r="T1063" s="26">
        <v>0.89910839981229473</v>
      </c>
      <c r="U1063" s="26">
        <v>0.86261558784676351</v>
      </c>
      <c r="V1063" s="26">
        <v>0.91444241316270569</v>
      </c>
      <c r="W1063" s="26">
        <v>0.89936440677966101</v>
      </c>
      <c r="X1063" s="28">
        <v>0.92</v>
      </c>
      <c r="Y1063" s="28">
        <v>0.96186117467582</v>
      </c>
      <c r="Z1063" s="28">
        <v>0.97348484848484851</v>
      </c>
      <c r="AA1063" s="28">
        <v>0.97030342156229821</v>
      </c>
      <c r="AB1063" s="28">
        <v>0.97559535524503049</v>
      </c>
      <c r="AC1063" s="28">
        <v>0.92</v>
      </c>
      <c r="AD1063" s="26">
        <v>0.99033816425120769</v>
      </c>
      <c r="AE1063" s="26">
        <v>0.99477806788511747</v>
      </c>
      <c r="AF1063" s="26">
        <v>0.99719887955182074</v>
      </c>
      <c r="AG1063" s="26">
        <v>0.95940843297671496</v>
      </c>
      <c r="AH1063" s="28">
        <v>0.92</v>
      </c>
      <c r="AI1063" s="26">
        <v>0.97472399767576989</v>
      </c>
      <c r="AJ1063" s="26">
        <v>0.98587315900210404</v>
      </c>
      <c r="AK1063" s="26">
        <v>0.98272642390289444</v>
      </c>
      <c r="AL1063" s="26">
        <v>0.98403915726750368</v>
      </c>
      <c r="AM1063" s="25">
        <v>0.99</v>
      </c>
      <c r="AN1063" s="30">
        <v>1</v>
      </c>
      <c r="AO1063" s="30">
        <v>1</v>
      </c>
      <c r="AP1063" s="30">
        <v>1</v>
      </c>
      <c r="AQ1063" s="30">
        <v>1</v>
      </c>
      <c r="AR1063" s="50">
        <v>7.2186152540827803E-2</v>
      </c>
      <c r="AS1063" s="34">
        <v>0</v>
      </c>
      <c r="AT1063" s="34">
        <v>0</v>
      </c>
      <c r="AU1063" s="34">
        <v>-9.0909090909090912E-2</v>
      </c>
      <c r="AV1063" s="34">
        <v>0</v>
      </c>
      <c r="AW1063" s="10"/>
      <c r="AX1063" s="8"/>
    </row>
    <row r="1064" spans="1:50">
      <c r="A1064" s="7"/>
      <c r="B1064" s="10"/>
      <c r="C1064" s="45" t="s">
        <v>1100</v>
      </c>
      <c r="D1064" s="23" t="s">
        <v>25</v>
      </c>
      <c r="E1064" s="83" t="s">
        <v>1108</v>
      </c>
      <c r="F1064" s="83" t="s">
        <v>1108</v>
      </c>
      <c r="G1064" s="83" t="s">
        <v>1108</v>
      </c>
      <c r="H1064" s="83" t="s">
        <v>1108</v>
      </c>
      <c r="I1064" s="25">
        <v>0.9</v>
      </c>
      <c r="J1064" s="26">
        <v>0.84615384615384615</v>
      </c>
      <c r="K1064" s="26">
        <v>0.87804878048780488</v>
      </c>
      <c r="L1064" s="27">
        <v>0.91463414634146345</v>
      </c>
      <c r="M1064" s="26">
        <v>0.87122416534181235</v>
      </c>
      <c r="N1064" s="28">
        <v>0.9</v>
      </c>
      <c r="O1064" s="26">
        <v>0.92777104784978803</v>
      </c>
      <c r="P1064" s="26">
        <v>0.98229620821773023</v>
      </c>
      <c r="Q1064" s="26">
        <v>0.97097162887501365</v>
      </c>
      <c r="R1064" s="26">
        <v>0.96249162759544538</v>
      </c>
      <c r="S1064" s="28">
        <v>0.9</v>
      </c>
      <c r="T1064" s="26">
        <v>0.77877044215626889</v>
      </c>
      <c r="U1064" s="26">
        <v>0.8501783590963139</v>
      </c>
      <c r="V1064" s="26">
        <v>0.8007448789571695</v>
      </c>
      <c r="W1064" s="26">
        <v>0.80339017981348859</v>
      </c>
      <c r="X1064" s="28">
        <v>0.92</v>
      </c>
      <c r="Y1064" s="28">
        <v>0</v>
      </c>
      <c r="Z1064" s="28">
        <v>0</v>
      </c>
      <c r="AA1064" s="28">
        <v>0.75</v>
      </c>
      <c r="AB1064" s="28">
        <v>0.6</v>
      </c>
      <c r="AC1064" s="28">
        <v>0.92</v>
      </c>
      <c r="AD1064" s="26">
        <v>0.96302037201062884</v>
      </c>
      <c r="AE1064" s="26">
        <v>0.99692172383465261</v>
      </c>
      <c r="AF1064" s="26">
        <v>0.99464524765729589</v>
      </c>
      <c r="AG1064" s="26">
        <v>0.81792188324126258</v>
      </c>
      <c r="AH1064" s="28">
        <v>0.92</v>
      </c>
      <c r="AI1064" s="26">
        <v>0.92975018925056774</v>
      </c>
      <c r="AJ1064" s="26">
        <v>0.96512088783194605</v>
      </c>
      <c r="AK1064" s="26">
        <v>0.96748056498412349</v>
      </c>
      <c r="AL1064" s="26">
        <v>0.95351353207858225</v>
      </c>
      <c r="AM1064" s="25">
        <v>0.99</v>
      </c>
      <c r="AN1064" s="30">
        <v>1</v>
      </c>
      <c r="AO1064" s="30">
        <v>1</v>
      </c>
      <c r="AP1064" s="30">
        <v>1</v>
      </c>
      <c r="AQ1064" s="30">
        <v>1</v>
      </c>
      <c r="AR1064" s="50">
        <v>7.2186152540827803E-2</v>
      </c>
      <c r="AS1064" s="34">
        <v>0</v>
      </c>
      <c r="AT1064" s="34">
        <v>0.14285714285714285</v>
      </c>
      <c r="AU1064" s="34">
        <v>0</v>
      </c>
      <c r="AV1064" s="34">
        <v>5.6737588652482268E-2</v>
      </c>
      <c r="AW1064" s="10"/>
      <c r="AX1064" s="8"/>
    </row>
    <row r="1065" spans="1:50">
      <c r="A1065" s="7"/>
      <c r="B1065" s="10"/>
      <c r="C1065" s="45" t="s">
        <v>1100</v>
      </c>
      <c r="D1065" s="23" t="s">
        <v>25</v>
      </c>
      <c r="E1065" s="83" t="s">
        <v>1109</v>
      </c>
      <c r="F1065" s="83" t="s">
        <v>1109</v>
      </c>
      <c r="G1065" s="83" t="s">
        <v>1109</v>
      </c>
      <c r="H1065" s="83" t="s">
        <v>1109</v>
      </c>
      <c r="I1065" s="25">
        <v>0.9</v>
      </c>
      <c r="J1065" s="26">
        <v>1</v>
      </c>
      <c r="K1065" s="26">
        <v>0.92</v>
      </c>
      <c r="L1065" s="27">
        <v>1</v>
      </c>
      <c r="M1065" s="26">
        <v>0.9707446808510638</v>
      </c>
      <c r="N1065" s="28">
        <v>0.9</v>
      </c>
      <c r="O1065" s="26">
        <v>0.96570950655143573</v>
      </c>
      <c r="P1065" s="26">
        <v>0.93699296917252572</v>
      </c>
      <c r="Q1065" s="26">
        <v>0.97862068965517246</v>
      </c>
      <c r="R1065" s="26">
        <v>0.97198050817960324</v>
      </c>
      <c r="S1065" s="28">
        <v>0.9</v>
      </c>
      <c r="T1065" s="26">
        <v>0.95901867856147194</v>
      </c>
      <c r="U1065" s="26">
        <v>0.95375878853434293</v>
      </c>
      <c r="V1065" s="26">
        <v>0.94528735632183913</v>
      </c>
      <c r="W1065" s="26">
        <v>0.95301079011486256</v>
      </c>
      <c r="X1065" s="28">
        <v>0.92</v>
      </c>
      <c r="Y1065" s="28">
        <v>0.96339017051153464</v>
      </c>
      <c r="Z1065" s="28">
        <v>0.95767494356659144</v>
      </c>
      <c r="AA1065" s="28">
        <v>0.9689119170984456</v>
      </c>
      <c r="AB1065" s="28">
        <v>0.96141909572202278</v>
      </c>
      <c r="AC1065" s="28">
        <v>0.92</v>
      </c>
      <c r="AD1065" s="26">
        <v>0.99882801054790504</v>
      </c>
      <c r="AE1065" s="26">
        <v>0.99277266754270699</v>
      </c>
      <c r="AF1065" s="26">
        <v>0.99732620320855614</v>
      </c>
      <c r="AG1065" s="26">
        <v>0.99533499853070817</v>
      </c>
      <c r="AH1065" s="28">
        <v>0.92</v>
      </c>
      <c r="AI1065" s="26">
        <v>0.97814011825837666</v>
      </c>
      <c r="AJ1065" s="26">
        <v>0.97770467836257313</v>
      </c>
      <c r="AK1065" s="26">
        <v>0.98154815481548152</v>
      </c>
      <c r="AL1065" s="26">
        <v>0.97737286071689511</v>
      </c>
      <c r="AM1065" s="25">
        <v>0.99</v>
      </c>
      <c r="AN1065" s="30">
        <v>1</v>
      </c>
      <c r="AO1065" s="30">
        <v>1</v>
      </c>
      <c r="AP1065" s="30">
        <v>1</v>
      </c>
      <c r="AQ1065" s="30">
        <v>1</v>
      </c>
      <c r="AR1065" s="50">
        <v>7.2186152540827803E-2</v>
      </c>
      <c r="AS1065" s="34">
        <v>0</v>
      </c>
      <c r="AT1065" s="34">
        <v>0</v>
      </c>
      <c r="AU1065" s="34">
        <v>7.0921985815602835E-3</v>
      </c>
      <c r="AV1065" s="34">
        <v>2.2637238256932655E-3</v>
      </c>
      <c r="AW1065" s="10"/>
      <c r="AX1065" s="8"/>
    </row>
    <row r="1066" spans="1:50">
      <c r="A1066" s="7"/>
      <c r="B1066" s="10"/>
      <c r="C1066" s="45" t="s">
        <v>1100</v>
      </c>
      <c r="D1066" s="23" t="s">
        <v>25</v>
      </c>
      <c r="E1066" s="83" t="s">
        <v>1110</v>
      </c>
      <c r="F1066" s="83" t="s">
        <v>1110</v>
      </c>
      <c r="G1066" s="83" t="s">
        <v>1110</v>
      </c>
      <c r="H1066" s="83" t="s">
        <v>1110</v>
      </c>
      <c r="I1066" s="25">
        <v>0.9</v>
      </c>
      <c r="J1066" s="26">
        <v>0.91111111111111109</v>
      </c>
      <c r="K1066" s="26">
        <v>0.88372093023255816</v>
      </c>
      <c r="L1066" s="27">
        <v>0.86363636363636365</v>
      </c>
      <c r="M1066" s="26">
        <v>0.89457831325301207</v>
      </c>
      <c r="N1066" s="28">
        <v>0.9</v>
      </c>
      <c r="O1066" s="26">
        <v>0.93706896551724139</v>
      </c>
      <c r="P1066" s="26">
        <v>0.96610861576153528</v>
      </c>
      <c r="Q1066" s="26">
        <v>0.85763133354056575</v>
      </c>
      <c r="R1066" s="26">
        <v>0.95478966041561075</v>
      </c>
      <c r="S1066" s="28">
        <v>0.9</v>
      </c>
      <c r="T1066" s="26">
        <v>0.86465517241379308</v>
      </c>
      <c r="U1066" s="26">
        <v>0.94814209881584322</v>
      </c>
      <c r="V1066" s="26">
        <v>0.9055020205160087</v>
      </c>
      <c r="W1066" s="26">
        <v>0.9231120121642169</v>
      </c>
      <c r="X1066" s="28">
        <v>0.92</v>
      </c>
      <c r="Y1066" s="28">
        <v>0.9455307262569832</v>
      </c>
      <c r="Z1066" s="28">
        <v>0.94658287509819328</v>
      </c>
      <c r="AA1066" s="28">
        <v>0.95340282035561008</v>
      </c>
      <c r="AB1066" s="28">
        <v>0.94891790063962145</v>
      </c>
      <c r="AC1066" s="28">
        <v>0.92</v>
      </c>
      <c r="AD1066" s="26">
        <v>0.94303797468354433</v>
      </c>
      <c r="AE1066" s="26">
        <v>0.92957746478873238</v>
      </c>
      <c r="AF1066" s="26">
        <v>0.92405063291139244</v>
      </c>
      <c r="AG1066" s="26">
        <v>0.94862518089725034</v>
      </c>
      <c r="AH1066" s="28">
        <v>0.92</v>
      </c>
      <c r="AI1066" s="26">
        <v>0.9642857142857143</v>
      </c>
      <c r="AJ1066" s="26">
        <v>0.97098334228909189</v>
      </c>
      <c r="AK1066" s="26">
        <v>0.97731023102310233</v>
      </c>
      <c r="AL1066" s="26">
        <v>0.97203223838422759</v>
      </c>
      <c r="AM1066" s="25">
        <v>0.99</v>
      </c>
      <c r="AN1066" s="30">
        <v>1</v>
      </c>
      <c r="AO1066" s="30">
        <v>1</v>
      </c>
      <c r="AP1066" s="30">
        <v>1</v>
      </c>
      <c r="AQ1066" s="30">
        <v>1</v>
      </c>
      <c r="AR1066" s="50">
        <v>7.2186152540827803E-2</v>
      </c>
      <c r="AS1066" s="34">
        <v>0</v>
      </c>
      <c r="AT1066" s="34">
        <v>0.33333333333333331</v>
      </c>
      <c r="AU1066" s="34">
        <v>-0.125</v>
      </c>
      <c r="AV1066" s="34">
        <v>0.02</v>
      </c>
      <c r="AW1066" s="10"/>
      <c r="AX1066" s="8"/>
    </row>
    <row r="1067" spans="1:50">
      <c r="A1067" s="7"/>
      <c r="B1067" s="10"/>
      <c r="C1067" s="45" t="s">
        <v>1100</v>
      </c>
      <c r="D1067" s="23" t="s">
        <v>25</v>
      </c>
      <c r="E1067" s="83" t="s">
        <v>1111</v>
      </c>
      <c r="F1067" s="83" t="s">
        <v>1111</v>
      </c>
      <c r="G1067" s="83" t="s">
        <v>1111</v>
      </c>
      <c r="H1067" s="83" t="s">
        <v>1111</v>
      </c>
      <c r="I1067" s="25">
        <v>0.9</v>
      </c>
      <c r="J1067" s="26">
        <v>1</v>
      </c>
      <c r="K1067" s="26">
        <v>0.95238095238095233</v>
      </c>
      <c r="L1067" s="27">
        <v>1</v>
      </c>
      <c r="M1067" s="26">
        <v>0.96615384615384614</v>
      </c>
      <c r="N1067" s="28">
        <v>0.9</v>
      </c>
      <c r="O1067" s="26">
        <v>0.97703464947622887</v>
      </c>
      <c r="P1067" s="26">
        <v>0.97887053399923163</v>
      </c>
      <c r="Q1067" s="26">
        <v>0.98149271844660191</v>
      </c>
      <c r="R1067" s="26">
        <v>0.98170442695990145</v>
      </c>
      <c r="S1067" s="28">
        <v>0.9</v>
      </c>
      <c r="T1067" s="26">
        <v>0.94278807413376309</v>
      </c>
      <c r="U1067" s="26">
        <v>0.93968497887053404</v>
      </c>
      <c r="V1067" s="26">
        <v>0.93416262135922334</v>
      </c>
      <c r="W1067" s="26">
        <v>0.94236420513792774</v>
      </c>
      <c r="X1067" s="28">
        <v>0.92</v>
      </c>
      <c r="Y1067" s="28">
        <v>0.95835884874464172</v>
      </c>
      <c r="Z1067" s="28">
        <v>0.95512341062079287</v>
      </c>
      <c r="AA1067" s="28">
        <v>0.9645502645502646</v>
      </c>
      <c r="AB1067" s="28">
        <v>0.95691302962726987</v>
      </c>
      <c r="AC1067" s="28">
        <v>0.92</v>
      </c>
      <c r="AD1067" s="26">
        <v>0.98429319371727753</v>
      </c>
      <c r="AE1067" s="26">
        <v>0.99827387802071343</v>
      </c>
      <c r="AF1067" s="26">
        <v>0.99682034976152623</v>
      </c>
      <c r="AG1067" s="26">
        <v>0.99549164399533618</v>
      </c>
      <c r="AH1067" s="28">
        <v>0.92</v>
      </c>
      <c r="AI1067" s="26">
        <v>0.97181729834791064</v>
      </c>
      <c r="AJ1067" s="26">
        <v>0.97618444388142889</v>
      </c>
      <c r="AK1067" s="26">
        <v>0.97802197802197799</v>
      </c>
      <c r="AL1067" s="26">
        <v>0.9735614769925437</v>
      </c>
      <c r="AM1067" s="25">
        <v>0.99</v>
      </c>
      <c r="AN1067" s="30">
        <v>1</v>
      </c>
      <c r="AO1067" s="30">
        <v>1</v>
      </c>
      <c r="AP1067" s="30">
        <v>1</v>
      </c>
      <c r="AQ1067" s="30">
        <v>1</v>
      </c>
      <c r="AR1067" s="50">
        <v>7.2186152540827803E-2</v>
      </c>
      <c r="AS1067" s="34">
        <v>0</v>
      </c>
      <c r="AT1067" s="34">
        <v>0</v>
      </c>
      <c r="AU1067" s="34">
        <v>0</v>
      </c>
      <c r="AV1067" s="34">
        <v>3.1746031746031744E-2</v>
      </c>
      <c r="AW1067" s="10"/>
      <c r="AX1067" s="8"/>
    </row>
    <row r="1068" spans="1:50">
      <c r="A1068" s="7"/>
      <c r="B1068" s="10"/>
      <c r="C1068" s="45" t="s">
        <v>1100</v>
      </c>
      <c r="D1068" s="23" t="s">
        <v>25</v>
      </c>
      <c r="E1068" s="83" t="s">
        <v>1112</v>
      </c>
      <c r="F1068" s="83" t="s">
        <v>1112</v>
      </c>
      <c r="G1068" s="83" t="s">
        <v>1112</v>
      </c>
      <c r="H1068" s="83" t="s">
        <v>1112</v>
      </c>
      <c r="I1068" s="25">
        <v>0.9</v>
      </c>
      <c r="J1068" s="26">
        <v>0.96363636363636362</v>
      </c>
      <c r="K1068" s="26">
        <v>0.88135593220338981</v>
      </c>
      <c r="L1068" s="27">
        <v>0.98275862068965514</v>
      </c>
      <c r="M1068" s="26">
        <v>0.90827740492170017</v>
      </c>
      <c r="N1068" s="28">
        <v>0.9</v>
      </c>
      <c r="O1068" s="26">
        <v>0.98056653491436097</v>
      </c>
      <c r="P1068" s="26">
        <v>0.98526183756663532</v>
      </c>
      <c r="Q1068" s="26">
        <v>0.97740396685915143</v>
      </c>
      <c r="R1068" s="26">
        <v>0.9781650875346044</v>
      </c>
      <c r="S1068" s="28">
        <v>0.9</v>
      </c>
      <c r="T1068" s="26">
        <v>0.94828722002635046</v>
      </c>
      <c r="U1068" s="26">
        <v>0.94731890874882407</v>
      </c>
      <c r="V1068" s="26">
        <v>0.93196083354255588</v>
      </c>
      <c r="W1068" s="26">
        <v>0.93788747221897295</v>
      </c>
      <c r="X1068" s="28">
        <v>0.92</v>
      </c>
      <c r="Y1068" s="28">
        <v>0.95689196381053754</v>
      </c>
      <c r="Z1068" s="28">
        <v>0.96084724005134792</v>
      </c>
      <c r="AA1068" s="28">
        <v>0.96336996336996339</v>
      </c>
      <c r="AB1068" s="28">
        <v>0.96264406779661016</v>
      </c>
      <c r="AC1068" s="28">
        <v>0.92</v>
      </c>
      <c r="AD1068" s="26">
        <v>0.99717813051146387</v>
      </c>
      <c r="AE1068" s="26">
        <v>0.99928673323823114</v>
      </c>
      <c r="AF1068" s="26">
        <v>0.99966744263385432</v>
      </c>
      <c r="AG1068" s="26">
        <v>0.99773176263993557</v>
      </c>
      <c r="AH1068" s="28">
        <v>0.92</v>
      </c>
      <c r="AI1068" s="26">
        <v>0.97619532044760937</v>
      </c>
      <c r="AJ1068" s="26">
        <v>0.9795789473684211</v>
      </c>
      <c r="AK1068" s="26">
        <v>0.97973082536079126</v>
      </c>
      <c r="AL1068" s="26">
        <v>0.97834212024454836</v>
      </c>
      <c r="AM1068" s="25">
        <v>0.99</v>
      </c>
      <c r="AN1068" s="30">
        <v>1</v>
      </c>
      <c r="AO1068" s="30">
        <v>1</v>
      </c>
      <c r="AP1068" s="30">
        <v>1</v>
      </c>
      <c r="AQ1068" s="30">
        <v>1</v>
      </c>
      <c r="AR1068" s="50">
        <v>7.2186152540827803E-2</v>
      </c>
      <c r="AS1068" s="34">
        <v>0</v>
      </c>
      <c r="AT1068" s="34">
        <v>5.2631578947368418E-2</v>
      </c>
      <c r="AU1068" s="34">
        <v>0</v>
      </c>
      <c r="AV1068" s="34">
        <v>2.4E-2</v>
      </c>
      <c r="AW1068" s="10"/>
      <c r="AX1068" s="8"/>
    </row>
    <row r="1069" spans="1:50">
      <c r="A1069" s="7"/>
      <c r="B1069" s="10"/>
      <c r="C1069" s="45" t="s">
        <v>1100</v>
      </c>
      <c r="D1069" s="23" t="s">
        <v>25</v>
      </c>
      <c r="E1069" s="83" t="s">
        <v>1113</v>
      </c>
      <c r="F1069" s="83" t="s">
        <v>1113</v>
      </c>
      <c r="G1069" s="83" t="s">
        <v>1113</v>
      </c>
      <c r="H1069" s="83" t="s">
        <v>1113</v>
      </c>
      <c r="I1069" s="25">
        <v>0.9</v>
      </c>
      <c r="J1069" s="26">
        <v>0.9</v>
      </c>
      <c r="K1069" s="26">
        <v>0.875</v>
      </c>
      <c r="L1069" s="27">
        <v>0.83870967741935487</v>
      </c>
      <c r="M1069" s="26">
        <v>0.86008230452674894</v>
      </c>
      <c r="N1069" s="28">
        <v>0.9</v>
      </c>
      <c r="O1069" s="26">
        <v>0.95005149330587024</v>
      </c>
      <c r="P1069" s="26">
        <v>0.96168958742632615</v>
      </c>
      <c r="Q1069" s="26">
        <v>0.96133278486219664</v>
      </c>
      <c r="R1069" s="26">
        <v>0.96265921093507301</v>
      </c>
      <c r="S1069" s="28">
        <v>0.9</v>
      </c>
      <c r="T1069" s="26">
        <v>0.95005149330587024</v>
      </c>
      <c r="U1069" s="26">
        <v>0.94695481335952847</v>
      </c>
      <c r="V1069" s="26">
        <v>0.9197860962566845</v>
      </c>
      <c r="W1069" s="26">
        <v>0.93575644610127373</v>
      </c>
      <c r="X1069" s="28">
        <v>0.92</v>
      </c>
      <c r="Y1069" s="28">
        <v>0.94263698630136983</v>
      </c>
      <c r="Z1069" s="28">
        <v>0.95247332686711927</v>
      </c>
      <c r="AA1069" s="28">
        <v>0.95886312640239346</v>
      </c>
      <c r="AB1069" s="28">
        <v>0.94249064671298766</v>
      </c>
      <c r="AC1069" s="28">
        <v>0.92</v>
      </c>
      <c r="AD1069" s="26">
        <v>0.99738903394255873</v>
      </c>
      <c r="AE1069" s="26">
        <v>0.99580602883355174</v>
      </c>
      <c r="AF1069" s="26">
        <v>0.86764705882352944</v>
      </c>
      <c r="AG1069" s="26">
        <v>0.96175093070733753</v>
      </c>
      <c r="AH1069" s="28">
        <v>0.92</v>
      </c>
      <c r="AI1069" s="26">
        <v>0.95885567341690769</v>
      </c>
      <c r="AJ1069" s="26">
        <v>0.97819720143182554</v>
      </c>
      <c r="AK1069" s="26">
        <v>0.97956475583864122</v>
      </c>
      <c r="AL1069" s="26">
        <v>0.96866040922122298</v>
      </c>
      <c r="AM1069" s="25">
        <v>0.99</v>
      </c>
      <c r="AN1069" s="30">
        <v>1</v>
      </c>
      <c r="AO1069" s="30">
        <v>1</v>
      </c>
      <c r="AP1069" s="30">
        <v>1</v>
      </c>
      <c r="AQ1069" s="30">
        <v>1</v>
      </c>
      <c r="AR1069" s="50">
        <v>7.2186152540827803E-2</v>
      </c>
      <c r="AS1069" s="34">
        <v>0</v>
      </c>
      <c r="AT1069" s="34">
        <v>0</v>
      </c>
      <c r="AU1069" s="34">
        <v>0.14285714285714285</v>
      </c>
      <c r="AV1069" s="34">
        <v>2.9850746268656716E-2</v>
      </c>
      <c r="AW1069" s="10"/>
      <c r="AX1069" s="8"/>
    </row>
    <row r="1070" spans="1:50">
      <c r="A1070" s="7"/>
      <c r="B1070" s="10"/>
      <c r="C1070" s="45" t="s">
        <v>1100</v>
      </c>
      <c r="D1070" s="23" t="s">
        <v>25</v>
      </c>
      <c r="E1070" s="83" t="s">
        <v>1114</v>
      </c>
      <c r="F1070" s="83" t="s">
        <v>1114</v>
      </c>
      <c r="G1070" s="83" t="s">
        <v>1114</v>
      </c>
      <c r="H1070" s="83" t="s">
        <v>1114</v>
      </c>
      <c r="I1070" s="25">
        <v>0.9</v>
      </c>
      <c r="J1070" s="26">
        <v>1</v>
      </c>
      <c r="K1070" s="26">
        <v>0.97826086956521741</v>
      </c>
      <c r="L1070" s="27">
        <v>0.97826086956521741</v>
      </c>
      <c r="M1070" s="26">
        <v>0.99162011173184361</v>
      </c>
      <c r="N1070" s="28">
        <v>0.9</v>
      </c>
      <c r="O1070" s="26">
        <v>0.98050243719535057</v>
      </c>
      <c r="P1070" s="26">
        <v>0.97902097902097907</v>
      </c>
      <c r="Q1070" s="26">
        <v>0.98306622316298764</v>
      </c>
      <c r="R1070" s="26">
        <v>0.9822926806656469</v>
      </c>
      <c r="S1070" s="28">
        <v>0.9</v>
      </c>
      <c r="T1070" s="26">
        <v>0.952755905511811</v>
      </c>
      <c r="U1070" s="26">
        <v>0.97092381302907615</v>
      </c>
      <c r="V1070" s="26">
        <v>0.95978228001209553</v>
      </c>
      <c r="W1070" s="26">
        <v>0.95888378992258838</v>
      </c>
      <c r="X1070" s="28">
        <v>0.92</v>
      </c>
      <c r="Y1070" s="28">
        <v>0.96622052262587632</v>
      </c>
      <c r="Z1070" s="28">
        <v>0.97081413210445466</v>
      </c>
      <c r="AA1070" s="28">
        <v>0.96551724137931039</v>
      </c>
      <c r="AB1070" s="28">
        <v>0.97099323718732178</v>
      </c>
      <c r="AC1070" s="28">
        <v>0.92</v>
      </c>
      <c r="AD1070" s="26">
        <v>0.98952193844138836</v>
      </c>
      <c r="AE1070" s="26">
        <v>0.99881164587046944</v>
      </c>
      <c r="AF1070" s="26">
        <v>0.99272727272727268</v>
      </c>
      <c r="AG1070" s="26">
        <v>0.99587476979742173</v>
      </c>
      <c r="AH1070" s="28">
        <v>0.92</v>
      </c>
      <c r="AI1070" s="26">
        <v>0.97710103871576959</v>
      </c>
      <c r="AJ1070" s="26">
        <v>0.98532703307634917</v>
      </c>
      <c r="AK1070" s="26">
        <v>0.98423955870764379</v>
      </c>
      <c r="AL1070" s="26">
        <v>0.98280599131436674</v>
      </c>
      <c r="AM1070" s="25">
        <v>0.99</v>
      </c>
      <c r="AN1070" s="30">
        <v>1</v>
      </c>
      <c r="AO1070" s="30">
        <v>1</v>
      </c>
      <c r="AP1070" s="30">
        <v>1</v>
      </c>
      <c r="AQ1070" s="30">
        <v>1</v>
      </c>
      <c r="AR1070" s="50">
        <v>7.2186152540827803E-2</v>
      </c>
      <c r="AS1070" s="34">
        <v>0</v>
      </c>
      <c r="AT1070" s="34">
        <v>2.0833333333333332E-2</v>
      </c>
      <c r="AU1070" s="34">
        <v>1.5384615384615385E-2</v>
      </c>
      <c r="AV1070" s="34">
        <v>8.4925690021231421E-3</v>
      </c>
      <c r="AW1070" s="10"/>
      <c r="AX1070" s="8"/>
    </row>
    <row r="1071" spans="1:50">
      <c r="A1071" s="7"/>
      <c r="B1071" s="10"/>
      <c r="C1071" s="45" t="s">
        <v>1100</v>
      </c>
      <c r="D1071" s="23" t="s">
        <v>25</v>
      </c>
      <c r="E1071" s="83" t="s">
        <v>1115</v>
      </c>
      <c r="F1071" s="83" t="s">
        <v>1115</v>
      </c>
      <c r="G1071" s="83" t="s">
        <v>1115</v>
      </c>
      <c r="H1071" s="83" t="s">
        <v>1115</v>
      </c>
      <c r="I1071" s="25">
        <v>0.9</v>
      </c>
      <c r="J1071" s="26">
        <v>1</v>
      </c>
      <c r="K1071" s="26">
        <v>1</v>
      </c>
      <c r="L1071" s="27">
        <v>0.95454545454545459</v>
      </c>
      <c r="M1071" s="26">
        <v>0.89772727272727271</v>
      </c>
      <c r="N1071" s="28">
        <v>0.9</v>
      </c>
      <c r="O1071" s="26">
        <v>0.96645459803354539</v>
      </c>
      <c r="P1071" s="26">
        <v>0.93149946062567424</v>
      </c>
      <c r="Q1071" s="26">
        <v>0.97355769230769229</v>
      </c>
      <c r="R1071" s="26">
        <v>0.95012010739013708</v>
      </c>
      <c r="S1071" s="28">
        <v>0.9</v>
      </c>
      <c r="T1071" s="26">
        <v>0.95026026604973979</v>
      </c>
      <c r="U1071" s="26">
        <v>0.92988133764832792</v>
      </c>
      <c r="V1071" s="26">
        <v>0.90817307692307692</v>
      </c>
      <c r="W1071" s="26">
        <v>0.93175074183976259</v>
      </c>
      <c r="X1071" s="28">
        <v>0.92</v>
      </c>
      <c r="Y1071" s="28">
        <v>0.9490384615384615</v>
      </c>
      <c r="Z1071" s="28">
        <v>0.95878787878787874</v>
      </c>
      <c r="AA1071" s="28">
        <v>0.96384552177485616</v>
      </c>
      <c r="AB1071" s="28">
        <v>0.95836936380481774</v>
      </c>
      <c r="AC1071" s="28">
        <v>0.92</v>
      </c>
      <c r="AD1071" s="26">
        <v>0.94209702660406891</v>
      </c>
      <c r="AE1071" s="26">
        <v>0.99338842975206609</v>
      </c>
      <c r="AF1071" s="26">
        <v>0.96659707724425892</v>
      </c>
      <c r="AG1071" s="26">
        <v>0.94627926421404684</v>
      </c>
      <c r="AH1071" s="28">
        <v>0.92</v>
      </c>
      <c r="AI1071" s="26">
        <v>0.97075812274368234</v>
      </c>
      <c r="AJ1071" s="26">
        <v>0.9791044776119403</v>
      </c>
      <c r="AK1071" s="26">
        <v>0.97907188353048225</v>
      </c>
      <c r="AL1071" s="26">
        <v>0.9779785178194238</v>
      </c>
      <c r="AM1071" s="25">
        <v>0.99</v>
      </c>
      <c r="AN1071" s="30">
        <v>1</v>
      </c>
      <c r="AO1071" s="30">
        <v>1</v>
      </c>
      <c r="AP1071" s="30">
        <v>1</v>
      </c>
      <c r="AQ1071" s="30">
        <v>1</v>
      </c>
      <c r="AR1071" s="50">
        <v>7.2186152540827803E-2</v>
      </c>
      <c r="AS1071" s="34">
        <v>0</v>
      </c>
      <c r="AT1071" s="34">
        <v>0.1111111111111111</v>
      </c>
      <c r="AU1071" s="34">
        <v>0</v>
      </c>
      <c r="AV1071" s="34">
        <v>4.8387096774193547E-2</v>
      </c>
      <c r="AW1071" s="10"/>
      <c r="AX1071" s="8"/>
    </row>
    <row r="1072" spans="1:50">
      <c r="A1072" s="7"/>
      <c r="B1072" s="10"/>
      <c r="C1072" s="45" t="s">
        <v>1100</v>
      </c>
      <c r="D1072" s="23" t="s">
        <v>25</v>
      </c>
      <c r="E1072" s="83" t="s">
        <v>1116</v>
      </c>
      <c r="F1072" s="83" t="s">
        <v>1116</v>
      </c>
      <c r="G1072" s="83" t="s">
        <v>1116</v>
      </c>
      <c r="H1072" s="83" t="s">
        <v>1116</v>
      </c>
      <c r="I1072" s="25">
        <v>0.9</v>
      </c>
      <c r="J1072" s="26">
        <v>0.96666666666666667</v>
      </c>
      <c r="K1072" s="26">
        <v>0.93939393939393945</v>
      </c>
      <c r="L1072" s="27">
        <v>1</v>
      </c>
      <c r="M1072" s="26">
        <v>0.96234309623430958</v>
      </c>
      <c r="N1072" s="28">
        <v>0.9</v>
      </c>
      <c r="O1072" s="26">
        <v>0.95371312309257372</v>
      </c>
      <c r="P1072" s="26">
        <v>0.95679921453117334</v>
      </c>
      <c r="Q1072" s="26">
        <v>0.95799745439117523</v>
      </c>
      <c r="R1072" s="26">
        <v>0.9458957613010629</v>
      </c>
      <c r="S1072" s="28">
        <v>0.9</v>
      </c>
      <c r="T1072" s="26">
        <v>0.91251271617497454</v>
      </c>
      <c r="U1072" s="26">
        <v>0.93372606774668632</v>
      </c>
      <c r="V1072" s="26">
        <v>0.93466270683071706</v>
      </c>
      <c r="W1072" s="26">
        <v>0.93590728646433607</v>
      </c>
      <c r="X1072" s="28">
        <v>0.92</v>
      </c>
      <c r="Y1072" s="28">
        <v>0.94025974025974024</v>
      </c>
      <c r="Z1072" s="28">
        <v>0.93528183716075153</v>
      </c>
      <c r="AA1072" s="28">
        <v>0.96351451973194346</v>
      </c>
      <c r="AB1072" s="28">
        <v>0.94975866608161474</v>
      </c>
      <c r="AC1072" s="28">
        <v>0.92</v>
      </c>
      <c r="AD1072" s="26">
        <v>0.99857954545454541</v>
      </c>
      <c r="AE1072" s="26">
        <v>0.99183417085427139</v>
      </c>
      <c r="AF1072" s="26">
        <v>0.61440677966101698</v>
      </c>
      <c r="AG1072" s="26">
        <v>0.96429199648197006</v>
      </c>
      <c r="AH1072" s="28">
        <v>0.92</v>
      </c>
      <c r="AI1072" s="26">
        <v>0.95930791413008654</v>
      </c>
      <c r="AJ1072" s="26">
        <v>0.96260434056761268</v>
      </c>
      <c r="AK1072" s="26">
        <v>0.9756756756756757</v>
      </c>
      <c r="AL1072" s="26">
        <v>0.96789973721447342</v>
      </c>
      <c r="AM1072" s="25">
        <v>0.99</v>
      </c>
      <c r="AN1072" s="30">
        <v>1</v>
      </c>
      <c r="AO1072" s="30">
        <v>1</v>
      </c>
      <c r="AP1072" s="30">
        <v>1</v>
      </c>
      <c r="AQ1072" s="30">
        <v>1</v>
      </c>
      <c r="AR1072" s="50">
        <v>7.2186152540827803E-2</v>
      </c>
      <c r="AS1072" s="34">
        <v>0</v>
      </c>
      <c r="AT1072" s="34">
        <v>0</v>
      </c>
      <c r="AU1072" s="34">
        <v>0.16666666666666666</v>
      </c>
      <c r="AV1072" s="34">
        <v>7.1428571428571425E-2</v>
      </c>
      <c r="AW1072" s="10"/>
      <c r="AX1072" s="8"/>
    </row>
    <row r="1073" spans="1:50">
      <c r="A1073" s="7"/>
      <c r="B1073" s="10"/>
      <c r="C1073" s="45" t="s">
        <v>1100</v>
      </c>
      <c r="D1073" s="23" t="s">
        <v>25</v>
      </c>
      <c r="E1073" s="83" t="s">
        <v>1117</v>
      </c>
      <c r="F1073" s="83" t="s">
        <v>1117</v>
      </c>
      <c r="G1073" s="83" t="s">
        <v>1117</v>
      </c>
      <c r="H1073" s="83" t="s">
        <v>1117</v>
      </c>
      <c r="I1073" s="25">
        <v>0.9</v>
      </c>
      <c r="J1073" s="26">
        <v>1</v>
      </c>
      <c r="K1073" s="26">
        <v>0.96363636363636362</v>
      </c>
      <c r="L1073" s="27">
        <v>1</v>
      </c>
      <c r="M1073" s="26">
        <v>0.98275862068965514</v>
      </c>
      <c r="N1073" s="28">
        <v>0.9</v>
      </c>
      <c r="O1073" s="26">
        <v>0.95086526576019781</v>
      </c>
      <c r="P1073" s="26">
        <v>0.95494186046511631</v>
      </c>
      <c r="Q1073" s="26">
        <v>0.96031183557760458</v>
      </c>
      <c r="R1073" s="26">
        <v>0.96010978956999082</v>
      </c>
      <c r="S1073" s="28">
        <v>0.9</v>
      </c>
      <c r="T1073" s="26">
        <v>0.93974042027194071</v>
      </c>
      <c r="U1073" s="26">
        <v>0.93924418604651161</v>
      </c>
      <c r="V1073" s="26">
        <v>0.93786912355303564</v>
      </c>
      <c r="W1073" s="26">
        <v>0.93822506861848121</v>
      </c>
      <c r="X1073" s="28">
        <v>0.92</v>
      </c>
      <c r="Y1073" s="28">
        <v>0.94731240021287921</v>
      </c>
      <c r="Z1073" s="28">
        <v>0.9602137767220903</v>
      </c>
      <c r="AA1073" s="28">
        <v>0.97274725274725271</v>
      </c>
      <c r="AB1073" s="28">
        <v>0.96087606421004745</v>
      </c>
      <c r="AC1073" s="28">
        <v>0.92</v>
      </c>
      <c r="AD1073" s="26">
        <v>0.99777096684313182</v>
      </c>
      <c r="AE1073" s="26">
        <v>0.99771897810218979</v>
      </c>
      <c r="AF1073" s="26">
        <v>0.98428908091123335</v>
      </c>
      <c r="AG1073" s="26">
        <v>0.99572012191167891</v>
      </c>
      <c r="AH1073" s="28">
        <v>0.92</v>
      </c>
      <c r="AI1073" s="26">
        <v>0.96579358874120402</v>
      </c>
      <c r="AJ1073" s="26">
        <v>0.97620904836193445</v>
      </c>
      <c r="AK1073" s="26">
        <v>0.98232944068838357</v>
      </c>
      <c r="AL1073" s="26">
        <v>0.97649702701437335</v>
      </c>
      <c r="AM1073" s="25">
        <v>0.99</v>
      </c>
      <c r="AN1073" s="30">
        <v>1</v>
      </c>
      <c r="AO1073" s="30">
        <v>1</v>
      </c>
      <c r="AP1073" s="30">
        <v>1</v>
      </c>
      <c r="AQ1073" s="30">
        <v>1</v>
      </c>
      <c r="AR1073" s="50">
        <v>7.2186152540827803E-2</v>
      </c>
      <c r="AS1073" s="34">
        <v>0</v>
      </c>
      <c r="AT1073" s="34">
        <v>0.1111111111111111</v>
      </c>
      <c r="AU1073" s="34">
        <v>6.6666666666666666E-2</v>
      </c>
      <c r="AV1073" s="34">
        <v>2.4390243902439025E-2</v>
      </c>
      <c r="AW1073" s="10"/>
      <c r="AX1073" s="8"/>
    </row>
    <row r="1074" spans="1:50">
      <c r="A1074" s="7"/>
      <c r="B1074" s="10"/>
      <c r="C1074" s="45" t="s">
        <v>1100</v>
      </c>
      <c r="D1074" s="23" t="s">
        <v>25</v>
      </c>
      <c r="E1074" s="83" t="s">
        <v>1118</v>
      </c>
      <c r="F1074" s="83" t="s">
        <v>1118</v>
      </c>
      <c r="G1074" s="83" t="s">
        <v>1118</v>
      </c>
      <c r="H1074" s="83" t="s">
        <v>1118</v>
      </c>
      <c r="I1074" s="25">
        <v>0.9</v>
      </c>
      <c r="J1074" s="26">
        <v>0.90909090909090906</v>
      </c>
      <c r="K1074" s="26">
        <v>1</v>
      </c>
      <c r="L1074" s="27">
        <v>0.96875</v>
      </c>
      <c r="M1074" s="26">
        <v>0.97276264591439687</v>
      </c>
      <c r="N1074" s="28">
        <v>0.9</v>
      </c>
      <c r="O1074" s="26">
        <v>0.9723429474516001</v>
      </c>
      <c r="P1074" s="26">
        <v>0.96858237547892723</v>
      </c>
      <c r="Q1074" s="26">
        <v>0.98058252427184467</v>
      </c>
      <c r="R1074" s="26">
        <v>0.97475269452236823</v>
      </c>
      <c r="S1074" s="28">
        <v>0.9</v>
      </c>
      <c r="T1074" s="26">
        <v>0.91465823785065192</v>
      </c>
      <c r="U1074" s="26">
        <v>0.94636015325670497</v>
      </c>
      <c r="V1074" s="26">
        <v>0.91941747572815535</v>
      </c>
      <c r="W1074" s="26">
        <v>0.94256607116491953</v>
      </c>
      <c r="X1074" s="28">
        <v>0.92</v>
      </c>
      <c r="Y1074" s="28">
        <v>0.95504840940525593</v>
      </c>
      <c r="Z1074" s="28">
        <v>0.96183800623052962</v>
      </c>
      <c r="AA1074" s="28">
        <v>0.94926253687315632</v>
      </c>
      <c r="AB1074" s="28">
        <v>0.96121955432717221</v>
      </c>
      <c r="AC1074" s="28">
        <v>0.92</v>
      </c>
      <c r="AD1074" s="26">
        <v>0.99680000000000002</v>
      </c>
      <c r="AE1074" s="26">
        <v>0.99111900532859676</v>
      </c>
      <c r="AF1074" s="26">
        <v>0.98818316100443127</v>
      </c>
      <c r="AG1074" s="26">
        <v>0.99376884422110556</v>
      </c>
      <c r="AH1074" s="28">
        <v>0.92</v>
      </c>
      <c r="AI1074" s="26">
        <v>0.96907216494845361</v>
      </c>
      <c r="AJ1074" s="26">
        <v>0.97615995898487562</v>
      </c>
      <c r="AK1074" s="26">
        <v>0.96698704554951942</v>
      </c>
      <c r="AL1074" s="26">
        <v>0.97605391004544739</v>
      </c>
      <c r="AM1074" s="25">
        <v>0.99</v>
      </c>
      <c r="AN1074" s="30">
        <v>1</v>
      </c>
      <c r="AO1074" s="30">
        <v>1</v>
      </c>
      <c r="AP1074" s="30">
        <v>1</v>
      </c>
      <c r="AQ1074" s="30">
        <v>1</v>
      </c>
      <c r="AR1074" s="50">
        <v>7.2186152540827803E-2</v>
      </c>
      <c r="AS1074" s="34">
        <v>6.6666666666666666E-2</v>
      </c>
      <c r="AT1074" s="34">
        <v>0</v>
      </c>
      <c r="AU1074" s="34">
        <v>0</v>
      </c>
      <c r="AV1074" s="34">
        <v>5.6818181818181816E-2</v>
      </c>
      <c r="AW1074" s="10"/>
      <c r="AX1074" s="8"/>
    </row>
    <row r="1075" spans="1:50">
      <c r="A1075" s="7"/>
      <c r="B1075" s="10"/>
      <c r="C1075" s="45" t="s">
        <v>1100</v>
      </c>
      <c r="D1075" s="23" t="s">
        <v>25</v>
      </c>
      <c r="E1075" s="83" t="s">
        <v>1119</v>
      </c>
      <c r="F1075" s="83" t="s">
        <v>1119</v>
      </c>
      <c r="G1075" s="83" t="s">
        <v>1119</v>
      </c>
      <c r="H1075" s="83" t="s">
        <v>1119</v>
      </c>
      <c r="I1075" s="25">
        <v>0.9</v>
      </c>
      <c r="J1075" s="26">
        <v>1</v>
      </c>
      <c r="K1075" s="26">
        <v>1</v>
      </c>
      <c r="L1075" s="27">
        <v>1</v>
      </c>
      <c r="M1075" s="26">
        <v>0.99203187250996017</v>
      </c>
      <c r="N1075" s="28">
        <v>0.9</v>
      </c>
      <c r="O1075" s="26">
        <v>0.99017857142857146</v>
      </c>
      <c r="P1075" s="26">
        <v>0.99194232400339266</v>
      </c>
      <c r="Q1075" s="26">
        <v>0.97041211694258545</v>
      </c>
      <c r="R1075" s="26">
        <v>0.98693210254128905</v>
      </c>
      <c r="S1075" s="28">
        <v>0.9</v>
      </c>
      <c r="T1075" s="26">
        <v>0.93616071428571423</v>
      </c>
      <c r="U1075" s="26">
        <v>0.93469041560644617</v>
      </c>
      <c r="V1075" s="26">
        <v>0.95491370200774917</v>
      </c>
      <c r="W1075" s="26">
        <v>0.94567091141633763</v>
      </c>
      <c r="X1075" s="28">
        <v>0.92</v>
      </c>
      <c r="Y1075" s="28">
        <v>0.95863052781740365</v>
      </c>
      <c r="Z1075" s="28">
        <v>0.96761133603238869</v>
      </c>
      <c r="AA1075" s="28">
        <v>0.98413666870042704</v>
      </c>
      <c r="AB1075" s="28">
        <v>0.97252199147546925</v>
      </c>
      <c r="AC1075" s="28">
        <v>0.92</v>
      </c>
      <c r="AD1075" s="26">
        <v>1</v>
      </c>
      <c r="AE1075" s="26">
        <v>1</v>
      </c>
      <c r="AF1075" s="26">
        <v>0.63629283489096577</v>
      </c>
      <c r="AG1075" s="26">
        <v>0.95356674780003747</v>
      </c>
      <c r="AH1075" s="28">
        <v>0.92</v>
      </c>
      <c r="AI1075" s="26">
        <v>0.96952224052718283</v>
      </c>
      <c r="AJ1075" s="26">
        <v>0.98163606010016691</v>
      </c>
      <c r="AK1075" s="26">
        <v>0.98995311453449431</v>
      </c>
      <c r="AL1075" s="26">
        <v>0.98262787811939889</v>
      </c>
      <c r="AM1075" s="25">
        <v>0.99</v>
      </c>
      <c r="AN1075" s="30">
        <v>1</v>
      </c>
      <c r="AO1075" s="30">
        <v>1</v>
      </c>
      <c r="AP1075" s="30">
        <v>1</v>
      </c>
      <c r="AQ1075" s="30">
        <v>1</v>
      </c>
      <c r="AR1075" s="50">
        <v>7.2186152540827803E-2</v>
      </c>
      <c r="AS1075" s="34">
        <v>0</v>
      </c>
      <c r="AT1075" s="34">
        <v>8.3333333333333329E-2</v>
      </c>
      <c r="AU1075" s="34">
        <v>3.0303030303030304E-2</v>
      </c>
      <c r="AV1075" s="34">
        <v>1.0582010582010581E-2</v>
      </c>
      <c r="AW1075" s="10"/>
      <c r="AX1075" s="8"/>
    </row>
    <row r="1076" spans="1:50">
      <c r="A1076" s="7"/>
      <c r="B1076" s="10"/>
      <c r="C1076" s="45" t="s">
        <v>1100</v>
      </c>
      <c r="D1076" s="23" t="s">
        <v>25</v>
      </c>
      <c r="E1076" s="83" t="s">
        <v>1120</v>
      </c>
      <c r="F1076" s="83" t="s">
        <v>1120</v>
      </c>
      <c r="G1076" s="83" t="s">
        <v>1120</v>
      </c>
      <c r="H1076" s="83" t="s">
        <v>1120</v>
      </c>
      <c r="I1076" s="25">
        <v>0.9</v>
      </c>
      <c r="J1076" s="26">
        <v>1</v>
      </c>
      <c r="K1076" s="26">
        <v>0.8928571428571429</v>
      </c>
      <c r="L1076" s="27">
        <v>0.9642857142857143</v>
      </c>
      <c r="M1076" s="26">
        <v>0.96846846846846846</v>
      </c>
      <c r="N1076" s="28">
        <v>0.9</v>
      </c>
      <c r="O1076" s="26">
        <v>0.97072072072072069</v>
      </c>
      <c r="P1076" s="26">
        <v>0.96785109983079531</v>
      </c>
      <c r="Q1076" s="26">
        <v>0.96254512635379064</v>
      </c>
      <c r="R1076" s="26">
        <v>0.95420964594368551</v>
      </c>
      <c r="S1076" s="28">
        <v>0.9</v>
      </c>
      <c r="T1076" s="26">
        <v>0.92961711711711714</v>
      </c>
      <c r="U1076" s="26">
        <v>0.9244218838127467</v>
      </c>
      <c r="V1076" s="26">
        <v>0.92148014440433212</v>
      </c>
      <c r="W1076" s="26">
        <v>0.91894340674658492</v>
      </c>
      <c r="X1076" s="28">
        <v>0.92</v>
      </c>
      <c r="Y1076" s="28">
        <v>0.94461228600201408</v>
      </c>
      <c r="Z1076" s="28">
        <v>0.92994350282485871</v>
      </c>
      <c r="AA1076" s="28">
        <v>0.94177812745869394</v>
      </c>
      <c r="AB1076" s="28">
        <v>0.93591293833131806</v>
      </c>
      <c r="AC1076" s="28">
        <v>0.92</v>
      </c>
      <c r="AD1076" s="26">
        <v>0.9974905897114178</v>
      </c>
      <c r="AE1076" s="26">
        <v>0.99292572006063673</v>
      </c>
      <c r="AF1076" s="26">
        <v>0.99254587155963303</v>
      </c>
      <c r="AG1076" s="26">
        <v>0.99538312607044455</v>
      </c>
      <c r="AH1076" s="28">
        <v>0.92</v>
      </c>
      <c r="AI1076" s="26">
        <v>0.96101083032490975</v>
      </c>
      <c r="AJ1076" s="26">
        <v>0.96165413533834587</v>
      </c>
      <c r="AK1076" s="26">
        <v>0.96558646400917691</v>
      </c>
      <c r="AL1076" s="26">
        <v>0.9592432145698877</v>
      </c>
      <c r="AM1076" s="25">
        <v>0.99</v>
      </c>
      <c r="AN1076" s="30">
        <v>1</v>
      </c>
      <c r="AO1076" s="30">
        <v>1</v>
      </c>
      <c r="AP1076" s="30">
        <v>1</v>
      </c>
      <c r="AQ1076" s="30">
        <v>1</v>
      </c>
      <c r="AR1076" s="50">
        <v>7.2186152540827803E-2</v>
      </c>
      <c r="AS1076" s="34">
        <v>0</v>
      </c>
      <c r="AT1076" s="34">
        <v>0</v>
      </c>
      <c r="AU1076" s="34">
        <v>9.0909090909090912E-2</v>
      </c>
      <c r="AV1076" s="34">
        <v>2.8985507246376812E-2</v>
      </c>
      <c r="AW1076" s="10"/>
      <c r="AX1076" s="8"/>
    </row>
    <row r="1077" spans="1:50">
      <c r="A1077" s="7"/>
      <c r="B1077" s="10"/>
      <c r="C1077" s="45" t="s">
        <v>1100</v>
      </c>
      <c r="D1077" s="23" t="s">
        <v>25</v>
      </c>
      <c r="E1077" s="83" t="s">
        <v>1121</v>
      </c>
      <c r="F1077" s="83" t="s">
        <v>1121</v>
      </c>
      <c r="G1077" s="83" t="s">
        <v>1121</v>
      </c>
      <c r="H1077" s="83" t="s">
        <v>1121</v>
      </c>
      <c r="I1077" s="25">
        <v>0.9</v>
      </c>
      <c r="J1077" s="26">
        <v>0.81818181818181823</v>
      </c>
      <c r="K1077" s="26">
        <v>0.87692307692307692</v>
      </c>
      <c r="L1077" s="27">
        <v>0.91428571428571426</v>
      </c>
      <c r="M1077" s="26">
        <v>0.78867924528301891</v>
      </c>
      <c r="N1077" s="28">
        <v>0.9</v>
      </c>
      <c r="O1077" s="26">
        <v>0.94922980194907258</v>
      </c>
      <c r="P1077" s="26">
        <v>0.9458143074581431</v>
      </c>
      <c r="Q1077" s="26">
        <v>0.95956454121306378</v>
      </c>
      <c r="R1077" s="26">
        <v>0.8911663508068226</v>
      </c>
      <c r="S1077" s="28">
        <v>0.9</v>
      </c>
      <c r="T1077" s="26">
        <v>0.85790631876768308</v>
      </c>
      <c r="U1077" s="26">
        <v>0.8818873668188737</v>
      </c>
      <c r="V1077" s="26">
        <v>0.90163297045101087</v>
      </c>
      <c r="W1077" s="26">
        <v>0.85420154924653624</v>
      </c>
      <c r="X1077" s="28">
        <v>0.92</v>
      </c>
      <c r="Y1077" s="28">
        <v>0.9303964757709251</v>
      </c>
      <c r="Z1077" s="28">
        <v>0.94562647754137119</v>
      </c>
      <c r="AA1077" s="28">
        <v>0.97352690008539711</v>
      </c>
      <c r="AB1077" s="28">
        <v>0.92812186445316058</v>
      </c>
      <c r="AC1077" s="28">
        <v>0.92</v>
      </c>
      <c r="AD1077" s="26">
        <v>0.96753116204262168</v>
      </c>
      <c r="AE1077" s="26">
        <v>0.88083720930232556</v>
      </c>
      <c r="AF1077" s="26">
        <v>0.90492882940301678</v>
      </c>
      <c r="AG1077" s="26">
        <v>0.81780916335143106</v>
      </c>
      <c r="AH1077" s="28">
        <v>0.92</v>
      </c>
      <c r="AI1077" s="26">
        <v>0.96199999999999997</v>
      </c>
      <c r="AJ1077" s="26">
        <v>0.97155249394055365</v>
      </c>
      <c r="AK1077" s="26">
        <v>0.98639073220110218</v>
      </c>
      <c r="AL1077" s="26">
        <v>0.96547185405124125</v>
      </c>
      <c r="AM1077" s="25">
        <v>0.99</v>
      </c>
      <c r="AN1077" s="30">
        <v>1</v>
      </c>
      <c r="AO1077" s="30">
        <v>1</v>
      </c>
      <c r="AP1077" s="30">
        <v>1</v>
      </c>
      <c r="AQ1077" s="30">
        <v>1</v>
      </c>
      <c r="AR1077" s="50">
        <v>7.2186152540827803E-2</v>
      </c>
      <c r="AS1077" s="34">
        <v>5.7692307692307696E-2</v>
      </c>
      <c r="AT1077" s="34">
        <v>0</v>
      </c>
      <c r="AU1077" s="34">
        <v>3.2258064516129031E-2</v>
      </c>
      <c r="AV1077" s="34">
        <v>3.1128404669260701E-2</v>
      </c>
      <c r="AW1077" s="10"/>
      <c r="AX1077" s="8"/>
    </row>
    <row r="1078" spans="1:50">
      <c r="A1078" s="7"/>
      <c r="B1078" s="10"/>
      <c r="C1078" s="45" t="s">
        <v>1100</v>
      </c>
      <c r="D1078" s="23" t="s">
        <v>25</v>
      </c>
      <c r="E1078" s="83" t="s">
        <v>1122</v>
      </c>
      <c r="F1078" s="83" t="s">
        <v>1122</v>
      </c>
      <c r="G1078" s="83" t="s">
        <v>1122</v>
      </c>
      <c r="H1078" s="83" t="s">
        <v>1122</v>
      </c>
      <c r="I1078" s="25">
        <v>0.9</v>
      </c>
      <c r="J1078" s="26">
        <v>1</v>
      </c>
      <c r="K1078" s="26">
        <v>1</v>
      </c>
      <c r="L1078" s="27">
        <v>0.93939393939393945</v>
      </c>
      <c r="M1078" s="26">
        <v>0.94071146245059289</v>
      </c>
      <c r="N1078" s="28">
        <v>0.9</v>
      </c>
      <c r="O1078" s="26">
        <v>0.98027989821882955</v>
      </c>
      <c r="P1078" s="26">
        <v>0.97568881685575359</v>
      </c>
      <c r="Q1078" s="26">
        <v>0.96146044624746452</v>
      </c>
      <c r="R1078" s="26">
        <v>0.95572745227123113</v>
      </c>
      <c r="S1078" s="28">
        <v>0.9</v>
      </c>
      <c r="T1078" s="26">
        <v>0.9637404580152672</v>
      </c>
      <c r="U1078" s="26">
        <v>0.96369529983792546</v>
      </c>
      <c r="V1078" s="26">
        <v>0.96522747029846423</v>
      </c>
      <c r="W1078" s="26">
        <v>0.964409150757077</v>
      </c>
      <c r="X1078" s="28">
        <v>0.92</v>
      </c>
      <c r="Y1078" s="28">
        <v>0.94117647058823528</v>
      </c>
      <c r="Z1078" s="28">
        <v>0.95563770794824399</v>
      </c>
      <c r="AA1078" s="28">
        <v>0.96167883211678828</v>
      </c>
      <c r="AB1078" s="28">
        <v>0.95578425767105013</v>
      </c>
      <c r="AC1078" s="28">
        <v>0.92</v>
      </c>
      <c r="AD1078" s="26">
        <v>0.9940233632165173</v>
      </c>
      <c r="AE1078" s="26">
        <v>0.99510561566202993</v>
      </c>
      <c r="AF1078" s="26">
        <v>0.99544688026981454</v>
      </c>
      <c r="AG1078" s="26">
        <v>0.99464755343186284</v>
      </c>
      <c r="AH1078" s="28">
        <v>0.92</v>
      </c>
      <c r="AI1078" s="26">
        <v>0.97912147505422997</v>
      </c>
      <c r="AJ1078" s="26">
        <v>0.97766133480419193</v>
      </c>
      <c r="AK1078" s="26">
        <v>0.98724681170292572</v>
      </c>
      <c r="AL1078" s="26">
        <v>0.98250482217183854</v>
      </c>
      <c r="AM1078" s="25">
        <v>0.99</v>
      </c>
      <c r="AN1078" s="30">
        <v>1</v>
      </c>
      <c r="AO1078" s="30">
        <v>1</v>
      </c>
      <c r="AP1078" s="30">
        <v>1</v>
      </c>
      <c r="AQ1078" s="30">
        <v>1</v>
      </c>
      <c r="AR1078" s="50">
        <v>7.2186152540827803E-2</v>
      </c>
      <c r="AS1078" s="34">
        <v>7.1428571428571425E-2</v>
      </c>
      <c r="AT1078" s="34">
        <v>0.18181818181818182</v>
      </c>
      <c r="AU1078" s="34">
        <v>-7.6923076923076927E-2</v>
      </c>
      <c r="AV1078" s="34">
        <v>6.3829787234042548E-2</v>
      </c>
      <c r="AW1078" s="10"/>
      <c r="AX1078" s="8"/>
    </row>
    <row r="1079" spans="1:50">
      <c r="A1079" s="7"/>
      <c r="B1079" s="10"/>
      <c r="C1079" s="45" t="s">
        <v>1100</v>
      </c>
      <c r="D1079" s="23" t="s">
        <v>25</v>
      </c>
      <c r="E1079" s="83" t="s">
        <v>1123</v>
      </c>
      <c r="F1079" s="83" t="s">
        <v>1123</v>
      </c>
      <c r="G1079" s="83" t="s">
        <v>1123</v>
      </c>
      <c r="H1079" s="83" t="s">
        <v>1123</v>
      </c>
      <c r="I1079" s="25">
        <v>0.9</v>
      </c>
      <c r="J1079" s="26">
        <v>0.95348837209302328</v>
      </c>
      <c r="K1079" s="26">
        <v>0.95348837209302328</v>
      </c>
      <c r="L1079" s="27">
        <v>0.92</v>
      </c>
      <c r="M1079" s="26">
        <v>0.93696275071633239</v>
      </c>
      <c r="N1079" s="28">
        <v>0.9</v>
      </c>
      <c r="O1079" s="26">
        <v>0.96215093468728363</v>
      </c>
      <c r="P1079" s="26">
        <v>0.77680473372781067</v>
      </c>
      <c r="Q1079" s="26">
        <v>0.92697435897435898</v>
      </c>
      <c r="R1079" s="26">
        <v>0.89331870275542546</v>
      </c>
      <c r="S1079" s="28">
        <v>0.9</v>
      </c>
      <c r="T1079" s="26">
        <v>0.8354488806831295</v>
      </c>
      <c r="U1079" s="26">
        <v>0.80213017751479287</v>
      </c>
      <c r="V1079" s="26">
        <v>0.82399999999999995</v>
      </c>
      <c r="W1079" s="26">
        <v>0.80855279200195074</v>
      </c>
      <c r="X1079" s="28">
        <v>0.92</v>
      </c>
      <c r="Y1079" s="28">
        <v>0.90272835112692762</v>
      </c>
      <c r="Z1079" s="28">
        <v>0.92199488491048598</v>
      </c>
      <c r="AA1079" s="28">
        <v>0.90180586907449212</v>
      </c>
      <c r="AB1079" s="28">
        <v>0.89723372978751836</v>
      </c>
      <c r="AC1079" s="28">
        <v>0.92</v>
      </c>
      <c r="AD1079" s="26">
        <v>0.99806295399515743</v>
      </c>
      <c r="AE1079" s="26">
        <v>0.99888888888888894</v>
      </c>
      <c r="AF1079" s="26">
        <v>0.99888765294771964</v>
      </c>
      <c r="AG1079" s="26">
        <v>0.99369761409676516</v>
      </c>
      <c r="AH1079" s="28">
        <v>0.92</v>
      </c>
      <c r="AI1079" s="26">
        <v>0.94261978361669241</v>
      </c>
      <c r="AJ1079" s="26">
        <v>0.94747353704813264</v>
      </c>
      <c r="AK1079" s="26">
        <v>0.95469536538795352</v>
      </c>
      <c r="AL1079" s="26">
        <v>0.94281601350177457</v>
      </c>
      <c r="AM1079" s="25">
        <v>0.99</v>
      </c>
      <c r="AN1079" s="30">
        <v>1</v>
      </c>
      <c r="AO1079" s="30">
        <v>1</v>
      </c>
      <c r="AP1079" s="30">
        <v>1</v>
      </c>
      <c r="AQ1079" s="30">
        <v>1</v>
      </c>
      <c r="AR1079" s="50">
        <v>7.2186152540827803E-2</v>
      </c>
      <c r="AS1079" s="34">
        <v>0</v>
      </c>
      <c r="AT1079" s="34">
        <v>4.2553191489361701E-2</v>
      </c>
      <c r="AU1079" s="34">
        <v>-1.8518518518518517E-2</v>
      </c>
      <c r="AV1079" s="34">
        <v>1.5723270440251572E-2</v>
      </c>
      <c r="AW1079" s="10"/>
      <c r="AX1079" s="8"/>
    </row>
    <row r="1080" spans="1:50">
      <c r="A1080" s="7"/>
      <c r="B1080" s="10"/>
      <c r="C1080" s="45" t="s">
        <v>1100</v>
      </c>
      <c r="D1080" s="23" t="s">
        <v>25</v>
      </c>
      <c r="E1080" s="83" t="s">
        <v>1124</v>
      </c>
      <c r="F1080" s="83" t="s">
        <v>1124</v>
      </c>
      <c r="G1080" s="83" t="s">
        <v>1124</v>
      </c>
      <c r="H1080" s="83" t="s">
        <v>1124</v>
      </c>
      <c r="I1080" s="25">
        <v>0.9</v>
      </c>
      <c r="J1080" s="26">
        <v>0</v>
      </c>
      <c r="K1080" s="26">
        <v>0</v>
      </c>
      <c r="L1080" s="27">
        <v>0</v>
      </c>
      <c r="M1080" s="26">
        <v>0</v>
      </c>
      <c r="N1080" s="28">
        <v>0.9</v>
      </c>
      <c r="O1080" s="26">
        <v>0</v>
      </c>
      <c r="P1080" s="26">
        <v>0</v>
      </c>
      <c r="Q1080" s="26">
        <v>0</v>
      </c>
      <c r="R1080" s="26">
        <v>0</v>
      </c>
      <c r="S1080" s="28">
        <v>0.9</v>
      </c>
      <c r="T1080" s="26">
        <v>0</v>
      </c>
      <c r="U1080" s="26">
        <v>0.5</v>
      </c>
      <c r="V1080" s="26">
        <v>0</v>
      </c>
      <c r="W1080" s="26">
        <v>0.14285714285714285</v>
      </c>
      <c r="X1080" s="28">
        <v>0.92</v>
      </c>
      <c r="Y1080" s="28">
        <v>0</v>
      </c>
      <c r="Z1080" s="28">
        <v>0</v>
      </c>
      <c r="AA1080" s="28">
        <v>0</v>
      </c>
      <c r="AB1080" s="28">
        <v>0</v>
      </c>
      <c r="AC1080" s="28">
        <v>0.92</v>
      </c>
      <c r="AD1080" s="26">
        <v>0</v>
      </c>
      <c r="AE1080" s="26">
        <v>0</v>
      </c>
      <c r="AF1080" s="26">
        <v>1</v>
      </c>
      <c r="AG1080" s="26">
        <v>1</v>
      </c>
      <c r="AH1080" s="28">
        <v>0.92</v>
      </c>
      <c r="AI1080" s="26">
        <v>0</v>
      </c>
      <c r="AJ1080" s="26">
        <v>2.7210884353741496E-4</v>
      </c>
      <c r="AK1080" s="26">
        <v>0</v>
      </c>
      <c r="AL1080" s="26">
        <v>5.9648341865123529E-3</v>
      </c>
      <c r="AM1080" s="25">
        <v>0.99</v>
      </c>
      <c r="AN1080" s="30">
        <v>0</v>
      </c>
      <c r="AO1080" s="30">
        <v>0</v>
      </c>
      <c r="AP1080" s="30">
        <v>0</v>
      </c>
      <c r="AQ1080" s="30">
        <v>0</v>
      </c>
      <c r="AR1080" s="50">
        <v>7.2186152540827803E-2</v>
      </c>
      <c r="AS1080" s="34">
        <v>0</v>
      </c>
      <c r="AT1080" s="34">
        <v>0</v>
      </c>
      <c r="AU1080" s="34">
        <v>0</v>
      </c>
      <c r="AV1080" s="34">
        <v>0.18518518518518517</v>
      </c>
      <c r="AW1080" s="10"/>
      <c r="AX1080" s="8"/>
    </row>
    <row r="1081" spans="1:50">
      <c r="A1081" s="7"/>
      <c r="B1081" s="10"/>
      <c r="C1081" s="45" t="s">
        <v>1100</v>
      </c>
      <c r="D1081" s="23" t="s">
        <v>25</v>
      </c>
      <c r="E1081" s="83" t="s">
        <v>1125</v>
      </c>
      <c r="F1081" s="83" t="s">
        <v>1125</v>
      </c>
      <c r="G1081" s="83" t="s">
        <v>1125</v>
      </c>
      <c r="H1081" s="83" t="s">
        <v>1125</v>
      </c>
      <c r="I1081" s="25">
        <v>0.9</v>
      </c>
      <c r="J1081" s="26">
        <v>0.8928571428571429</v>
      </c>
      <c r="K1081" s="26">
        <v>0.93103448275862066</v>
      </c>
      <c r="L1081" s="27">
        <v>0.93548387096774188</v>
      </c>
      <c r="M1081" s="26">
        <v>0.95196506550218341</v>
      </c>
      <c r="N1081" s="28">
        <v>0.9</v>
      </c>
      <c r="O1081" s="26">
        <v>0.99494438827098075</v>
      </c>
      <c r="P1081" s="26">
        <v>0.95928395928395926</v>
      </c>
      <c r="Q1081" s="26">
        <v>0.98882681564245811</v>
      </c>
      <c r="R1081" s="26">
        <v>0.97762663325577237</v>
      </c>
      <c r="S1081" s="28">
        <v>0.9</v>
      </c>
      <c r="T1081" s="26">
        <v>0.95854398382204242</v>
      </c>
      <c r="U1081" s="26">
        <v>0.91224991224991225</v>
      </c>
      <c r="V1081" s="26">
        <v>0.96430788330229666</v>
      </c>
      <c r="W1081" s="26">
        <v>0.9438428494719886</v>
      </c>
      <c r="X1081" s="28">
        <v>0.92</v>
      </c>
      <c r="Y1081" s="28">
        <v>0.93891797556719025</v>
      </c>
      <c r="Z1081" s="28">
        <v>0.95348837209302328</v>
      </c>
      <c r="AA1081" s="28">
        <v>0.93594306049822062</v>
      </c>
      <c r="AB1081" s="28">
        <v>0.95623145400593468</v>
      </c>
      <c r="AC1081" s="28">
        <v>0.92</v>
      </c>
      <c r="AD1081" s="26">
        <v>0.97288528389339513</v>
      </c>
      <c r="AE1081" s="26">
        <v>0.98220499055572119</v>
      </c>
      <c r="AF1081" s="26">
        <v>0.99455073867764587</v>
      </c>
      <c r="AG1081" s="26">
        <v>0.98069880491587491</v>
      </c>
      <c r="AH1081" s="28">
        <v>0.92</v>
      </c>
      <c r="AI1081" s="26">
        <v>0.97401129943502829</v>
      </c>
      <c r="AJ1081" s="26">
        <v>0.948650234741784</v>
      </c>
      <c r="AK1081" s="26">
        <v>0.9793868921775899</v>
      </c>
      <c r="AL1081" s="26">
        <v>0.97487654543488445</v>
      </c>
      <c r="AM1081" s="25">
        <v>0.99</v>
      </c>
      <c r="AN1081" s="30">
        <v>1</v>
      </c>
      <c r="AO1081" s="30">
        <v>1</v>
      </c>
      <c r="AP1081" s="30">
        <v>1</v>
      </c>
      <c r="AQ1081" s="30">
        <v>1</v>
      </c>
      <c r="AR1081" s="50">
        <v>7.2186152540827803E-2</v>
      </c>
      <c r="AS1081" s="34">
        <v>6.25E-2</v>
      </c>
      <c r="AT1081" s="34">
        <v>0</v>
      </c>
      <c r="AU1081" s="34">
        <v>0</v>
      </c>
      <c r="AV1081" s="34">
        <v>4.716981132075472E-2</v>
      </c>
      <c r="AW1081" s="10"/>
      <c r="AX1081" s="8"/>
    </row>
    <row r="1082" spans="1:50">
      <c r="A1082" s="7"/>
      <c r="B1082" s="10"/>
      <c r="C1082" s="45" t="s">
        <v>1100</v>
      </c>
      <c r="D1082" s="23" t="s">
        <v>25</v>
      </c>
      <c r="E1082" s="83" t="s">
        <v>1126</v>
      </c>
      <c r="F1082" s="83" t="s">
        <v>1126</v>
      </c>
      <c r="G1082" s="83" t="s">
        <v>1126</v>
      </c>
      <c r="H1082" s="83" t="s">
        <v>1126</v>
      </c>
      <c r="I1082" s="25">
        <v>0.9</v>
      </c>
      <c r="J1082" s="26">
        <v>1</v>
      </c>
      <c r="K1082" s="26">
        <v>1</v>
      </c>
      <c r="L1082" s="27">
        <v>1</v>
      </c>
      <c r="M1082" s="26">
        <v>0.96174863387978138</v>
      </c>
      <c r="N1082" s="28">
        <v>0.9</v>
      </c>
      <c r="O1082" s="26">
        <v>0.98095238095238091</v>
      </c>
      <c r="P1082" s="26">
        <v>0.9452815226011102</v>
      </c>
      <c r="Q1082" s="26">
        <v>0.59951031829310952</v>
      </c>
      <c r="R1082" s="26">
        <v>0.89301743033086312</v>
      </c>
      <c r="S1082" s="28">
        <v>0.9</v>
      </c>
      <c r="T1082" s="26">
        <v>0.95151515151515154</v>
      </c>
      <c r="U1082" s="26">
        <v>0.9409199048374306</v>
      </c>
      <c r="V1082" s="26">
        <v>0.93109478838754811</v>
      </c>
      <c r="W1082" s="26">
        <v>0.94567372925581883</v>
      </c>
      <c r="X1082" s="28">
        <v>0.92</v>
      </c>
      <c r="Y1082" s="28">
        <v>0.95744680851063835</v>
      </c>
      <c r="Z1082" s="28">
        <v>0.964509394572025</v>
      </c>
      <c r="AA1082" s="28">
        <v>0.97077244258872653</v>
      </c>
      <c r="AB1082" s="28">
        <v>0.96569623109907465</v>
      </c>
      <c r="AC1082" s="28">
        <v>0.92</v>
      </c>
      <c r="AD1082" s="26">
        <v>0.99898938858009101</v>
      </c>
      <c r="AE1082" s="26">
        <v>0.98346666666666671</v>
      </c>
      <c r="AF1082" s="26">
        <v>0.99296155928532759</v>
      </c>
      <c r="AG1082" s="26">
        <v>0.99325392001944812</v>
      </c>
      <c r="AH1082" s="28">
        <v>0.92</v>
      </c>
      <c r="AI1082" s="26">
        <v>0.97122302158273377</v>
      </c>
      <c r="AJ1082" s="26">
        <v>0.97900699766744415</v>
      </c>
      <c r="AK1082" s="26">
        <v>0.98741761533852601</v>
      </c>
      <c r="AL1082" s="26">
        <v>0.98062984783622265</v>
      </c>
      <c r="AM1082" s="25">
        <v>0.99</v>
      </c>
      <c r="AN1082" s="30">
        <v>1</v>
      </c>
      <c r="AO1082" s="30">
        <v>1</v>
      </c>
      <c r="AP1082" s="30">
        <v>1</v>
      </c>
      <c r="AQ1082" s="30">
        <v>1</v>
      </c>
      <c r="AR1082" s="50">
        <v>7.2186152540827803E-2</v>
      </c>
      <c r="AS1082" s="34">
        <v>4.1666666666666664E-2</v>
      </c>
      <c r="AT1082" s="34">
        <v>3.3333333333333333E-2</v>
      </c>
      <c r="AU1082" s="34">
        <v>0.04</v>
      </c>
      <c r="AV1082" s="34">
        <v>4.4444444444444446E-2</v>
      </c>
      <c r="AW1082" s="10"/>
      <c r="AX1082" s="8"/>
    </row>
    <row r="1083" spans="1:50">
      <c r="A1083" s="7"/>
      <c r="B1083" s="10"/>
      <c r="C1083" s="45" t="s">
        <v>1100</v>
      </c>
      <c r="D1083" s="23" t="s">
        <v>25</v>
      </c>
      <c r="E1083" s="83" t="s">
        <v>1127</v>
      </c>
      <c r="F1083" s="83" t="s">
        <v>1127</v>
      </c>
      <c r="G1083" s="83" t="s">
        <v>1127</v>
      </c>
      <c r="H1083" s="83" t="s">
        <v>1127</v>
      </c>
      <c r="I1083" s="25">
        <v>0.9</v>
      </c>
      <c r="J1083" s="26">
        <v>0.971830985915493</v>
      </c>
      <c r="K1083" s="26">
        <v>0.98666666666666669</v>
      </c>
      <c r="L1083" s="27">
        <v>0.97530864197530864</v>
      </c>
      <c r="M1083" s="26">
        <v>0.97658862876254182</v>
      </c>
      <c r="N1083" s="28">
        <v>0.9</v>
      </c>
      <c r="O1083" s="26">
        <v>0.91978878551672116</v>
      </c>
      <c r="P1083" s="26">
        <v>0.97854652721909363</v>
      </c>
      <c r="Q1083" s="26">
        <v>0.92268096514745312</v>
      </c>
      <c r="R1083" s="26">
        <v>0.93391266361920211</v>
      </c>
      <c r="S1083" s="28">
        <v>0.9</v>
      </c>
      <c r="T1083" s="26">
        <v>0.87352275584611516</v>
      </c>
      <c r="U1083" s="26">
        <v>0.92115848753016893</v>
      </c>
      <c r="V1083" s="26">
        <v>0.89737265415549594</v>
      </c>
      <c r="W1083" s="26">
        <v>0.89781113000608448</v>
      </c>
      <c r="X1083" s="28">
        <v>0.92</v>
      </c>
      <c r="Y1083" s="28">
        <v>0.93314955203308059</v>
      </c>
      <c r="Z1083" s="28">
        <v>0.94977749523204069</v>
      </c>
      <c r="AA1083" s="28">
        <v>0.95550210463018637</v>
      </c>
      <c r="AB1083" s="28">
        <v>0.94978521700488816</v>
      </c>
      <c r="AC1083" s="28">
        <v>0.92</v>
      </c>
      <c r="AD1083" s="26">
        <v>0.99774405250205089</v>
      </c>
      <c r="AE1083" s="26">
        <v>0.99975822050290131</v>
      </c>
      <c r="AF1083" s="26">
        <v>0.99802712700369911</v>
      </c>
      <c r="AG1083" s="26">
        <v>0.99722117304268065</v>
      </c>
      <c r="AH1083" s="28">
        <v>0.92</v>
      </c>
      <c r="AI1083" s="26">
        <v>0.96534127152881144</v>
      </c>
      <c r="AJ1083" s="26">
        <v>0.97619311261211383</v>
      </c>
      <c r="AK1083" s="26">
        <v>0.97915908263560247</v>
      </c>
      <c r="AL1083" s="26">
        <v>0.9752332354002371</v>
      </c>
      <c r="AM1083" s="25">
        <v>0.99</v>
      </c>
      <c r="AN1083" s="30">
        <v>1</v>
      </c>
      <c r="AO1083" s="30">
        <v>1</v>
      </c>
      <c r="AP1083" s="30">
        <v>1</v>
      </c>
      <c r="AQ1083" s="30">
        <v>1</v>
      </c>
      <c r="AR1083" s="50">
        <v>7.2186152540827803E-2</v>
      </c>
      <c r="AS1083" s="34">
        <v>7.4999999999999997E-2</v>
      </c>
      <c r="AT1083" s="34">
        <v>6.4516129032258063E-2</v>
      </c>
      <c r="AU1083" s="34">
        <v>2.1739130434782608E-2</v>
      </c>
      <c r="AV1083" s="34">
        <v>4.5454545454545456E-2</v>
      </c>
      <c r="AW1083" s="10"/>
      <c r="AX1083" s="8"/>
    </row>
    <row r="1084" spans="1:50">
      <c r="A1084" s="7"/>
      <c r="B1084" s="10"/>
      <c r="C1084" s="45" t="s">
        <v>1100</v>
      </c>
      <c r="D1084" s="23" t="s">
        <v>25</v>
      </c>
      <c r="E1084" s="83" t="s">
        <v>1128</v>
      </c>
      <c r="F1084" s="83" t="s">
        <v>1128</v>
      </c>
      <c r="G1084" s="83" t="s">
        <v>1128</v>
      </c>
      <c r="H1084" s="83" t="s">
        <v>1128</v>
      </c>
      <c r="I1084" s="25">
        <v>0.9</v>
      </c>
      <c r="J1084" s="26">
        <v>1</v>
      </c>
      <c r="K1084" s="26">
        <v>0.95454545454545459</v>
      </c>
      <c r="L1084" s="27">
        <v>1</v>
      </c>
      <c r="M1084" s="26">
        <v>0.98901098901098905</v>
      </c>
      <c r="N1084" s="28">
        <v>0.9</v>
      </c>
      <c r="O1084" s="26">
        <v>0.96747967479674801</v>
      </c>
      <c r="P1084" s="26">
        <v>0.97499999999999998</v>
      </c>
      <c r="Q1084" s="26">
        <v>0.97670979667282809</v>
      </c>
      <c r="R1084" s="26">
        <v>0.96046341600584895</v>
      </c>
      <c r="S1084" s="28">
        <v>0.9</v>
      </c>
      <c r="T1084" s="26">
        <v>0.9277326106594399</v>
      </c>
      <c r="U1084" s="26">
        <v>0.9594339622641509</v>
      </c>
      <c r="V1084" s="26">
        <v>0.94306839186691316</v>
      </c>
      <c r="W1084" s="26">
        <v>0.9338619875147629</v>
      </c>
      <c r="X1084" s="28">
        <v>0.92</v>
      </c>
      <c r="Y1084" s="28">
        <v>0.96534653465346532</v>
      </c>
      <c r="Z1084" s="28">
        <v>0.95632183908045976</v>
      </c>
      <c r="AA1084" s="28">
        <v>0.95581395348837206</v>
      </c>
      <c r="AB1084" s="28">
        <v>0.95294117647058818</v>
      </c>
      <c r="AC1084" s="28">
        <v>0.92</v>
      </c>
      <c r="AD1084" s="26">
        <v>1</v>
      </c>
      <c r="AE1084" s="26">
        <v>0.99798994974874367</v>
      </c>
      <c r="AF1084" s="26">
        <v>0.99915397631133673</v>
      </c>
      <c r="AG1084" s="26">
        <v>0.99828903843960304</v>
      </c>
      <c r="AH1084" s="28">
        <v>0.92</v>
      </c>
      <c r="AI1084" s="26">
        <v>0.97899159663865543</v>
      </c>
      <c r="AJ1084" s="26">
        <v>0.98199608610567513</v>
      </c>
      <c r="AK1084" s="26">
        <v>0.98149920255183409</v>
      </c>
      <c r="AL1084" s="26">
        <v>0.9805306444867804</v>
      </c>
      <c r="AM1084" s="25">
        <v>0.99</v>
      </c>
      <c r="AN1084" s="30">
        <v>1</v>
      </c>
      <c r="AO1084" s="30">
        <v>1</v>
      </c>
      <c r="AP1084" s="30">
        <v>1</v>
      </c>
      <c r="AQ1084" s="30">
        <v>1</v>
      </c>
      <c r="AR1084" s="50">
        <v>7.2186152540827803E-2</v>
      </c>
      <c r="AS1084" s="34">
        <v>0.2</v>
      </c>
      <c r="AT1084" s="34">
        <v>0</v>
      </c>
      <c r="AU1084" s="34">
        <v>0</v>
      </c>
      <c r="AV1084" s="34">
        <v>6.6666666666666666E-2</v>
      </c>
      <c r="AW1084" s="10"/>
      <c r="AX1084" s="8"/>
    </row>
    <row r="1085" spans="1:50">
      <c r="A1085" s="7"/>
      <c r="B1085" s="10"/>
      <c r="C1085" s="45" t="s">
        <v>1100</v>
      </c>
      <c r="D1085" s="23" t="s">
        <v>25</v>
      </c>
      <c r="E1085" s="83" t="s">
        <v>1129</v>
      </c>
      <c r="F1085" s="83" t="s">
        <v>1129</v>
      </c>
      <c r="G1085" s="83" t="s">
        <v>1129</v>
      </c>
      <c r="H1085" s="83" t="s">
        <v>1129</v>
      </c>
      <c r="I1085" s="25">
        <v>0.9</v>
      </c>
      <c r="J1085" s="26">
        <v>0.95833333333333337</v>
      </c>
      <c r="K1085" s="26">
        <v>0.96</v>
      </c>
      <c r="L1085" s="27">
        <v>0.95833333333333337</v>
      </c>
      <c r="M1085" s="26">
        <v>0.94117647058823528</v>
      </c>
      <c r="N1085" s="28">
        <v>0.9</v>
      </c>
      <c r="O1085" s="26">
        <v>0.97280966767371602</v>
      </c>
      <c r="P1085" s="26">
        <v>0.9855505729945192</v>
      </c>
      <c r="Q1085" s="26">
        <v>0.96591889559965483</v>
      </c>
      <c r="R1085" s="26">
        <v>0.86034181636726548</v>
      </c>
      <c r="S1085" s="28">
        <v>0.9</v>
      </c>
      <c r="T1085" s="26">
        <v>0.94108761329305135</v>
      </c>
      <c r="U1085" s="26">
        <v>0.93522670652715501</v>
      </c>
      <c r="V1085" s="26">
        <v>0.92666091458153577</v>
      </c>
      <c r="W1085" s="26">
        <v>0.9407435129740519</v>
      </c>
      <c r="X1085" s="28">
        <v>0.92</v>
      </c>
      <c r="Y1085" s="28">
        <v>0.9445910290237467</v>
      </c>
      <c r="Z1085" s="28">
        <v>0.98342541436464093</v>
      </c>
      <c r="AA1085" s="28">
        <v>0.96875</v>
      </c>
      <c r="AB1085" s="28">
        <v>0.96392202502182134</v>
      </c>
      <c r="AC1085" s="28">
        <v>0.92</v>
      </c>
      <c r="AD1085" s="26">
        <v>0.99324047521507575</v>
      </c>
      <c r="AE1085" s="26">
        <v>0.9960488505747126</v>
      </c>
      <c r="AF1085" s="26">
        <v>0.99347887723277573</v>
      </c>
      <c r="AG1085" s="26">
        <v>0.99543602281988586</v>
      </c>
      <c r="AH1085" s="28">
        <v>0.92</v>
      </c>
      <c r="AI1085" s="26">
        <v>0.97209302325581393</v>
      </c>
      <c r="AJ1085" s="26">
        <v>0.98397300716997049</v>
      </c>
      <c r="AK1085" s="26">
        <v>0.98166167664670656</v>
      </c>
      <c r="AL1085" s="26">
        <v>0.98125802310654686</v>
      </c>
      <c r="AM1085" s="25">
        <v>0.99</v>
      </c>
      <c r="AN1085" s="30">
        <v>1</v>
      </c>
      <c r="AO1085" s="30">
        <v>1</v>
      </c>
      <c r="AP1085" s="30">
        <v>1</v>
      </c>
      <c r="AQ1085" s="30">
        <v>1</v>
      </c>
      <c r="AR1085" s="50">
        <v>7.2186152540827803E-2</v>
      </c>
      <c r="AS1085" s="34">
        <v>0</v>
      </c>
      <c r="AT1085" s="34">
        <v>0</v>
      </c>
      <c r="AU1085" s="34">
        <v>0</v>
      </c>
      <c r="AV1085" s="34">
        <v>1.4925373134328358E-2</v>
      </c>
      <c r="AW1085" s="10"/>
      <c r="AX1085" s="8"/>
    </row>
    <row r="1086" spans="1:50">
      <c r="A1086" s="7"/>
      <c r="B1086" s="10"/>
      <c r="C1086" s="45" t="s">
        <v>1100</v>
      </c>
      <c r="D1086" s="23" t="s">
        <v>25</v>
      </c>
      <c r="E1086" s="83" t="s">
        <v>1130</v>
      </c>
      <c r="F1086" s="83" t="s">
        <v>1130</v>
      </c>
      <c r="G1086" s="83" t="s">
        <v>1130</v>
      </c>
      <c r="H1086" s="83" t="s">
        <v>1130</v>
      </c>
      <c r="I1086" s="25">
        <v>0.9</v>
      </c>
      <c r="J1086" s="26">
        <v>0.97142857142857142</v>
      </c>
      <c r="K1086" s="26">
        <v>1</v>
      </c>
      <c r="L1086" s="27">
        <v>0.97368421052631582</v>
      </c>
      <c r="M1086" s="26">
        <v>0.96739130434782605</v>
      </c>
      <c r="N1086" s="28">
        <v>0.9</v>
      </c>
      <c r="O1086" s="26">
        <v>0.98104122780619918</v>
      </c>
      <c r="P1086" s="26">
        <v>0.97725816784112751</v>
      </c>
      <c r="Q1086" s="26">
        <v>0.98348519362186793</v>
      </c>
      <c r="R1086" s="26">
        <v>0.98268051156637137</v>
      </c>
      <c r="S1086" s="28">
        <v>0.9</v>
      </c>
      <c r="T1086" s="26">
        <v>0.94282275052663256</v>
      </c>
      <c r="U1086" s="26">
        <v>0.9516335682254965</v>
      </c>
      <c r="V1086" s="26">
        <v>0.95187927107061499</v>
      </c>
      <c r="W1086" s="26">
        <v>0.94912400272621578</v>
      </c>
      <c r="X1086" s="28">
        <v>0.92</v>
      </c>
      <c r="Y1086" s="28">
        <v>0.93048973143759872</v>
      </c>
      <c r="Z1086" s="28">
        <v>0.91516245487364623</v>
      </c>
      <c r="AA1086" s="28">
        <v>0.95063694267515919</v>
      </c>
      <c r="AB1086" s="28">
        <v>0.91544049171167818</v>
      </c>
      <c r="AC1086" s="28">
        <v>0.92</v>
      </c>
      <c r="AD1086" s="26">
        <v>0.99862976157851469</v>
      </c>
      <c r="AE1086" s="26">
        <v>0.99918222706828408</v>
      </c>
      <c r="AF1086" s="26">
        <v>0.9986676356589147</v>
      </c>
      <c r="AG1086" s="26">
        <v>0.99710160557570204</v>
      </c>
      <c r="AH1086" s="28">
        <v>0.92</v>
      </c>
      <c r="AI1086" s="26">
        <v>0.9719413549039434</v>
      </c>
      <c r="AJ1086" s="26">
        <v>0.96681175190424373</v>
      </c>
      <c r="AK1086" s="26">
        <v>0.97946859903381644</v>
      </c>
      <c r="AL1086" s="26">
        <v>0.97030878859857483</v>
      </c>
      <c r="AM1086" s="25">
        <v>0.99</v>
      </c>
      <c r="AN1086" s="30">
        <v>1</v>
      </c>
      <c r="AO1086" s="30">
        <v>1</v>
      </c>
      <c r="AP1086" s="30">
        <v>1</v>
      </c>
      <c r="AQ1086" s="30">
        <v>1</v>
      </c>
      <c r="AR1086" s="50">
        <v>7.2186152540827803E-2</v>
      </c>
      <c r="AS1086" s="34">
        <v>0</v>
      </c>
      <c r="AT1086" s="34">
        <v>0</v>
      </c>
      <c r="AU1086" s="34">
        <v>0</v>
      </c>
      <c r="AV1086" s="34">
        <v>1.6129032258064516E-2</v>
      </c>
      <c r="AW1086" s="10"/>
      <c r="AX1086" s="8"/>
    </row>
    <row r="1087" spans="1:50">
      <c r="A1087" s="7"/>
      <c r="B1087" s="10"/>
      <c r="C1087" s="45" t="s">
        <v>1100</v>
      </c>
      <c r="D1087" s="23" t="s">
        <v>25</v>
      </c>
      <c r="E1087" s="83" t="s">
        <v>1131</v>
      </c>
      <c r="F1087" s="83" t="s">
        <v>1131</v>
      </c>
      <c r="G1087" s="83" t="s">
        <v>1131</v>
      </c>
      <c r="H1087" s="83" t="s">
        <v>1131</v>
      </c>
      <c r="I1087" s="25">
        <v>0.9</v>
      </c>
      <c r="J1087" s="26">
        <v>0.96551724137931039</v>
      </c>
      <c r="K1087" s="26">
        <v>0.78787878787878785</v>
      </c>
      <c r="L1087" s="27">
        <v>0.90322580645161288</v>
      </c>
      <c r="M1087" s="26">
        <v>0.90283400809716596</v>
      </c>
      <c r="N1087" s="28">
        <v>0.9</v>
      </c>
      <c r="O1087" s="26">
        <v>0.91376655374191562</v>
      </c>
      <c r="P1087" s="26">
        <v>0.93229519295870011</v>
      </c>
      <c r="Q1087" s="26">
        <v>0.72680264291870156</v>
      </c>
      <c r="R1087" s="26">
        <v>0.8434030045721751</v>
      </c>
      <c r="S1087" s="28">
        <v>0.9</v>
      </c>
      <c r="T1087" s="26">
        <v>0.87249769017554668</v>
      </c>
      <c r="U1087" s="26">
        <v>0.94854434664861209</v>
      </c>
      <c r="V1087" s="26">
        <v>0.90778511921861538</v>
      </c>
      <c r="W1087" s="26">
        <v>0.91190398432397124</v>
      </c>
      <c r="X1087" s="28">
        <v>0.92</v>
      </c>
      <c r="Y1087" s="28">
        <v>0.89396709323583179</v>
      </c>
      <c r="Z1087" s="28">
        <v>0.87809917355371903</v>
      </c>
      <c r="AA1087" s="28">
        <v>0.84854368932038837</v>
      </c>
      <c r="AB1087" s="28">
        <v>0.88144122383252821</v>
      </c>
      <c r="AC1087" s="28">
        <v>0.92</v>
      </c>
      <c r="AD1087" s="26">
        <v>0.98798283261802577</v>
      </c>
      <c r="AE1087" s="26">
        <v>0.98877767667576588</v>
      </c>
      <c r="AF1087" s="26">
        <v>0.99305555555555558</v>
      </c>
      <c r="AG1087" s="26">
        <v>0.98638421013578692</v>
      </c>
      <c r="AH1087" s="28">
        <v>0.92</v>
      </c>
      <c r="AI1087" s="26">
        <v>0.94860305745914597</v>
      </c>
      <c r="AJ1087" s="26">
        <v>0.96393251890634091</v>
      </c>
      <c r="AK1087" s="26">
        <v>0.96022016512384289</v>
      </c>
      <c r="AL1087" s="26">
        <v>0.95859634833367269</v>
      </c>
      <c r="AM1087" s="25">
        <v>0.99</v>
      </c>
      <c r="AN1087" s="30">
        <v>1</v>
      </c>
      <c r="AO1087" s="30">
        <v>1</v>
      </c>
      <c r="AP1087" s="30">
        <v>1</v>
      </c>
      <c r="AQ1087" s="30">
        <v>1</v>
      </c>
      <c r="AR1087" s="50">
        <v>7.2186152540827803E-2</v>
      </c>
      <c r="AS1087" s="34">
        <v>0</v>
      </c>
      <c r="AT1087" s="34">
        <v>0</v>
      </c>
      <c r="AU1087" s="34">
        <v>0</v>
      </c>
      <c r="AV1087" s="34">
        <v>0</v>
      </c>
      <c r="AW1087" s="10"/>
      <c r="AX1087" s="8"/>
    </row>
    <row r="1088" spans="1:50">
      <c r="A1088" s="7"/>
      <c r="B1088" s="10"/>
      <c r="C1088" s="45" t="s">
        <v>1100</v>
      </c>
      <c r="D1088" s="23" t="s">
        <v>25</v>
      </c>
      <c r="E1088" s="83" t="s">
        <v>1132</v>
      </c>
      <c r="F1088" s="83" t="s">
        <v>1132</v>
      </c>
      <c r="G1088" s="83" t="s">
        <v>1132</v>
      </c>
      <c r="H1088" s="83" t="s">
        <v>1132</v>
      </c>
      <c r="I1088" s="25">
        <v>0.9</v>
      </c>
      <c r="J1088" s="26">
        <v>0.92</v>
      </c>
      <c r="K1088" s="26">
        <v>0.94339622641509435</v>
      </c>
      <c r="L1088" s="27">
        <v>0.87037037037037035</v>
      </c>
      <c r="M1088" s="26">
        <v>0.92214111922141118</v>
      </c>
      <c r="N1088" s="28">
        <v>0.9</v>
      </c>
      <c r="O1088" s="26">
        <v>0.95672027000198534</v>
      </c>
      <c r="P1088" s="26">
        <v>0.97652483756025987</v>
      </c>
      <c r="Q1088" s="26">
        <v>0.82677026311142499</v>
      </c>
      <c r="R1088" s="26">
        <v>0.93594202129071646</v>
      </c>
      <c r="S1088" s="28">
        <v>0.9</v>
      </c>
      <c r="T1088" s="26">
        <v>0.91324200913242004</v>
      </c>
      <c r="U1088" s="26">
        <v>0.94298889121777407</v>
      </c>
      <c r="V1088" s="26">
        <v>0.91877096945082115</v>
      </c>
      <c r="W1088" s="26">
        <v>0.92909288805118262</v>
      </c>
      <c r="X1088" s="28">
        <v>0.92</v>
      </c>
      <c r="Y1088" s="28">
        <v>0.92984293193717282</v>
      </c>
      <c r="Z1088" s="28">
        <v>0.95723014256619143</v>
      </c>
      <c r="AA1088" s="28">
        <v>0.95733610822060355</v>
      </c>
      <c r="AB1088" s="28">
        <v>0.94547619047619047</v>
      </c>
      <c r="AC1088" s="28">
        <v>0.92</v>
      </c>
      <c r="AD1088" s="26">
        <v>0.9902781932396052</v>
      </c>
      <c r="AE1088" s="26">
        <v>0.95456128133704732</v>
      </c>
      <c r="AF1088" s="26">
        <v>0.97000999666777743</v>
      </c>
      <c r="AG1088" s="26">
        <v>0.93633350432071971</v>
      </c>
      <c r="AH1088" s="28">
        <v>0.92</v>
      </c>
      <c r="AI1088" s="26">
        <v>0.95427236315086783</v>
      </c>
      <c r="AJ1088" s="26">
        <v>0.97705943691345154</v>
      </c>
      <c r="AK1088" s="26">
        <v>0.97463768115942029</v>
      </c>
      <c r="AL1088" s="26">
        <v>0.9678532667679618</v>
      </c>
      <c r="AM1088" s="25">
        <v>0.99</v>
      </c>
      <c r="AN1088" s="30">
        <v>1</v>
      </c>
      <c r="AO1088" s="30">
        <v>1</v>
      </c>
      <c r="AP1088" s="30">
        <v>1</v>
      </c>
      <c r="AQ1088" s="30">
        <v>1</v>
      </c>
      <c r="AR1088" s="50">
        <v>7.2186152540827803E-2</v>
      </c>
      <c r="AS1088" s="34">
        <v>0</v>
      </c>
      <c r="AT1088" s="34">
        <v>-3.4482758620689655E-2</v>
      </c>
      <c r="AU1088" s="34">
        <v>2.7027027027027029E-2</v>
      </c>
      <c r="AV1088" s="34">
        <v>1.2738853503184714E-2</v>
      </c>
      <c r="AW1088" s="10"/>
      <c r="AX1088" s="8"/>
    </row>
    <row r="1089" spans="1:50">
      <c r="A1089" s="7"/>
      <c r="B1089" s="10"/>
      <c r="C1089" s="45" t="s">
        <v>1100</v>
      </c>
      <c r="D1089" s="23" t="s">
        <v>25</v>
      </c>
      <c r="E1089" s="83" t="s">
        <v>1133</v>
      </c>
      <c r="F1089" s="83" t="s">
        <v>1133</v>
      </c>
      <c r="G1089" s="83" t="s">
        <v>1133</v>
      </c>
      <c r="H1089" s="83" t="s">
        <v>1133</v>
      </c>
      <c r="I1089" s="25">
        <v>0.9</v>
      </c>
      <c r="J1089" s="26">
        <v>0.92307692307692313</v>
      </c>
      <c r="K1089" s="26">
        <v>0.9</v>
      </c>
      <c r="L1089" s="27">
        <v>0.97560975609756095</v>
      </c>
      <c r="M1089" s="26">
        <v>0.94135802469135799</v>
      </c>
      <c r="N1089" s="28">
        <v>0.9</v>
      </c>
      <c r="O1089" s="26">
        <v>0.93745251962522158</v>
      </c>
      <c r="P1089" s="26">
        <v>0.97918948521358162</v>
      </c>
      <c r="Q1089" s="26">
        <v>0.83359782362276125</v>
      </c>
      <c r="R1089" s="26">
        <v>0.92357487922705317</v>
      </c>
      <c r="S1089" s="28">
        <v>0.9</v>
      </c>
      <c r="T1089" s="26">
        <v>0.95213978222334772</v>
      </c>
      <c r="U1089" s="26">
        <v>0.96604600219058046</v>
      </c>
      <c r="V1089" s="26">
        <v>0.93878939016096119</v>
      </c>
      <c r="W1089" s="26">
        <v>0.95291465378421902</v>
      </c>
      <c r="X1089" s="28">
        <v>0.92</v>
      </c>
      <c r="Y1089" s="28">
        <v>0.93351800554016617</v>
      </c>
      <c r="Z1089" s="28">
        <v>0.96381182147165256</v>
      </c>
      <c r="AA1089" s="28">
        <v>0.94825174825174829</v>
      </c>
      <c r="AB1089" s="28">
        <v>0.95390390390390389</v>
      </c>
      <c r="AC1089" s="28">
        <v>0.92</v>
      </c>
      <c r="AD1089" s="26">
        <v>0.97841140529531567</v>
      </c>
      <c r="AE1089" s="26">
        <v>0.99356223175965663</v>
      </c>
      <c r="AF1089" s="26">
        <v>0.9939344925192074</v>
      </c>
      <c r="AG1089" s="26">
        <v>0.99188370062156472</v>
      </c>
      <c r="AH1089" s="28">
        <v>0.92</v>
      </c>
      <c r="AI1089" s="26">
        <v>0.96660244059087985</v>
      </c>
      <c r="AJ1089" s="26">
        <v>0.98415532247266235</v>
      </c>
      <c r="AK1089" s="26">
        <v>0.98205228248146703</v>
      </c>
      <c r="AL1089" s="26">
        <v>0.98050914876690531</v>
      </c>
      <c r="AM1089" s="25">
        <v>0.99</v>
      </c>
      <c r="AN1089" s="30">
        <v>1</v>
      </c>
      <c r="AO1089" s="30">
        <v>1</v>
      </c>
      <c r="AP1089" s="30">
        <v>1</v>
      </c>
      <c r="AQ1089" s="30">
        <v>1</v>
      </c>
      <c r="AR1089" s="50">
        <v>7.2186152540827803E-2</v>
      </c>
      <c r="AS1089" s="34">
        <v>7.1428571428571425E-2</v>
      </c>
      <c r="AT1089" s="34">
        <v>0</v>
      </c>
      <c r="AU1089" s="34">
        <v>0</v>
      </c>
      <c r="AV1089" s="34">
        <v>2.8571428571428571E-2</v>
      </c>
      <c r="AW1089" s="10"/>
      <c r="AX1089" s="8"/>
    </row>
    <row r="1090" spans="1:50">
      <c r="A1090" s="7"/>
      <c r="B1090" s="10"/>
      <c r="C1090" s="45" t="s">
        <v>1100</v>
      </c>
      <c r="D1090" s="23" t="s">
        <v>25</v>
      </c>
      <c r="E1090" s="83" t="s">
        <v>1134</v>
      </c>
      <c r="F1090" s="83" t="s">
        <v>1134</v>
      </c>
      <c r="G1090" s="83" t="s">
        <v>1134</v>
      </c>
      <c r="H1090" s="83" t="s">
        <v>1134</v>
      </c>
      <c r="I1090" s="25">
        <v>0.9</v>
      </c>
      <c r="J1090" s="26">
        <v>0.92307692307692313</v>
      </c>
      <c r="K1090" s="26">
        <v>1</v>
      </c>
      <c r="L1090" s="27">
        <v>1</v>
      </c>
      <c r="M1090" s="26">
        <v>0.94444444444444442</v>
      </c>
      <c r="N1090" s="28">
        <v>0.9</v>
      </c>
      <c r="O1090" s="26">
        <v>0.89120521172638434</v>
      </c>
      <c r="P1090" s="26">
        <v>0.97579018157363817</v>
      </c>
      <c r="Q1090" s="26">
        <v>0.95899632802937573</v>
      </c>
      <c r="R1090" s="26">
        <v>0.94101555821507954</v>
      </c>
      <c r="S1090" s="28">
        <v>0.9</v>
      </c>
      <c r="T1090" s="26">
        <v>0.82149837133550485</v>
      </c>
      <c r="U1090" s="26">
        <v>0.94014794889038333</v>
      </c>
      <c r="V1090" s="26">
        <v>0.9632802937576499</v>
      </c>
      <c r="W1090" s="26">
        <v>0.90297486749871769</v>
      </c>
      <c r="X1090" s="28">
        <v>0.92</v>
      </c>
      <c r="Y1090" s="28">
        <v>0.94265232974910396</v>
      </c>
      <c r="Z1090" s="28">
        <v>0.7857142857142857</v>
      </c>
      <c r="AA1090" s="28">
        <v>0.96057347670250892</v>
      </c>
      <c r="AB1090" s="28">
        <v>0.9129213483146067</v>
      </c>
      <c r="AC1090" s="28">
        <v>0.92</v>
      </c>
      <c r="AD1090" s="26">
        <v>0.99307958477508651</v>
      </c>
      <c r="AE1090" s="26">
        <v>0.98293515358361772</v>
      </c>
      <c r="AF1090" s="26">
        <v>0.84239130434782605</v>
      </c>
      <c r="AG1090" s="26">
        <v>0.95388933440256618</v>
      </c>
      <c r="AH1090" s="28">
        <v>0.92</v>
      </c>
      <c r="AI1090" s="26">
        <v>0.96747519294377071</v>
      </c>
      <c r="AJ1090" s="26">
        <v>0.95652173913043481</v>
      </c>
      <c r="AK1090" s="26">
        <v>0.9843178254051228</v>
      </c>
      <c r="AL1090" s="26">
        <v>0.96941508104298801</v>
      </c>
      <c r="AM1090" s="25">
        <v>0.99</v>
      </c>
      <c r="AN1090" s="30">
        <v>1</v>
      </c>
      <c r="AO1090" s="30">
        <v>1</v>
      </c>
      <c r="AP1090" s="30">
        <v>1</v>
      </c>
      <c r="AQ1090" s="30">
        <v>1</v>
      </c>
      <c r="AR1090" s="50">
        <v>7.2186152540827803E-2</v>
      </c>
      <c r="AS1090" s="34">
        <v>0</v>
      </c>
      <c r="AT1090" s="34">
        <v>0</v>
      </c>
      <c r="AU1090" s="34">
        <v>0</v>
      </c>
      <c r="AV1090" s="34">
        <v>9.3023255813953487E-2</v>
      </c>
      <c r="AW1090" s="10"/>
      <c r="AX1090" s="8"/>
    </row>
    <row r="1091" spans="1:50">
      <c r="A1091" s="7"/>
      <c r="B1091" s="10"/>
      <c r="C1091" s="45" t="s">
        <v>1100</v>
      </c>
      <c r="D1091" s="23" t="s">
        <v>25</v>
      </c>
      <c r="E1091" s="83" t="s">
        <v>1135</v>
      </c>
      <c r="F1091" s="83" t="s">
        <v>1135</v>
      </c>
      <c r="G1091" s="83" t="s">
        <v>1135</v>
      </c>
      <c r="H1091" s="83" t="s">
        <v>1135</v>
      </c>
      <c r="I1091" s="25">
        <v>0.9</v>
      </c>
      <c r="J1091" s="26">
        <v>0.90625</v>
      </c>
      <c r="K1091" s="26">
        <v>0.96666666666666667</v>
      </c>
      <c r="L1091" s="27">
        <v>0.90625</v>
      </c>
      <c r="M1091" s="26">
        <v>0.89224137931034486</v>
      </c>
      <c r="N1091" s="28">
        <v>0.9</v>
      </c>
      <c r="O1091" s="26">
        <v>0.99188640973630826</v>
      </c>
      <c r="P1091" s="26">
        <v>0.98439785470502195</v>
      </c>
      <c r="Q1091" s="26">
        <v>0.98814531548757167</v>
      </c>
      <c r="R1091" s="26">
        <v>0.9693481796572001</v>
      </c>
      <c r="S1091" s="28">
        <v>0.9</v>
      </c>
      <c r="T1091" s="26">
        <v>0.94523326572008115</v>
      </c>
      <c r="U1091" s="26">
        <v>0.92930277913213066</v>
      </c>
      <c r="V1091" s="26">
        <v>0.9227533460803059</v>
      </c>
      <c r="W1091" s="26">
        <v>0.91354935568622542</v>
      </c>
      <c r="X1091" s="28">
        <v>0.92</v>
      </c>
      <c r="Y1091" s="28">
        <v>0.93229643183897526</v>
      </c>
      <c r="Z1091" s="28">
        <v>0.93670886075949367</v>
      </c>
      <c r="AA1091" s="28">
        <v>0.92346938775510201</v>
      </c>
      <c r="AB1091" s="28">
        <v>0.92406039898600245</v>
      </c>
      <c r="AC1091" s="28">
        <v>0.92</v>
      </c>
      <c r="AD1091" s="26">
        <v>0.99772209567198178</v>
      </c>
      <c r="AE1091" s="26">
        <v>0.99824458747805733</v>
      </c>
      <c r="AF1091" s="26">
        <v>1</v>
      </c>
      <c r="AG1091" s="26">
        <v>0.99711388455538219</v>
      </c>
      <c r="AH1091" s="28">
        <v>0.92</v>
      </c>
      <c r="AI1091" s="26">
        <v>0.95628058727569332</v>
      </c>
      <c r="AJ1091" s="26">
        <v>0.95601466177940686</v>
      </c>
      <c r="AK1091" s="26">
        <v>0.96113340020060178</v>
      </c>
      <c r="AL1091" s="26">
        <v>0.95483201659883488</v>
      </c>
      <c r="AM1091" s="25">
        <v>0.99</v>
      </c>
      <c r="AN1091" s="30">
        <v>1</v>
      </c>
      <c r="AO1091" s="30">
        <v>1</v>
      </c>
      <c r="AP1091" s="30">
        <v>1</v>
      </c>
      <c r="AQ1091" s="30">
        <v>1</v>
      </c>
      <c r="AR1091" s="50">
        <v>7.2186152540827803E-2</v>
      </c>
      <c r="AS1091" s="34">
        <v>0</v>
      </c>
      <c r="AT1091" s="34">
        <v>6.7114093959731542E-3</v>
      </c>
      <c r="AU1091" s="34">
        <v>0</v>
      </c>
      <c r="AV1091" s="34">
        <v>6.1728395061728392E-3</v>
      </c>
      <c r="AW1091" s="10"/>
      <c r="AX1091" s="8"/>
    </row>
    <row r="1092" spans="1:50">
      <c r="A1092" s="7"/>
      <c r="B1092" s="10"/>
      <c r="C1092" s="45" t="s">
        <v>1100</v>
      </c>
      <c r="D1092" s="23" t="s">
        <v>25</v>
      </c>
      <c r="E1092" s="83" t="s">
        <v>1136</v>
      </c>
      <c r="F1092" s="83" t="s">
        <v>1136</v>
      </c>
      <c r="G1092" s="83" t="s">
        <v>1136</v>
      </c>
      <c r="H1092" s="83" t="s">
        <v>1136</v>
      </c>
      <c r="I1092" s="25">
        <v>0.9</v>
      </c>
      <c r="J1092" s="26">
        <v>1</v>
      </c>
      <c r="K1092" s="26">
        <v>0.97142857142857142</v>
      </c>
      <c r="L1092" s="27">
        <v>1</v>
      </c>
      <c r="M1092" s="26">
        <v>0.9850746268656716</v>
      </c>
      <c r="N1092" s="28">
        <v>0.9</v>
      </c>
      <c r="O1092" s="26">
        <v>0.89995280792826804</v>
      </c>
      <c r="P1092" s="26">
        <v>0.94953703703703707</v>
      </c>
      <c r="Q1092" s="26">
        <v>0.95115585384041756</v>
      </c>
      <c r="R1092" s="26">
        <v>0.94422986891385763</v>
      </c>
      <c r="S1092" s="28">
        <v>0.9</v>
      </c>
      <c r="T1092" s="26">
        <v>0.88154789995280791</v>
      </c>
      <c r="U1092" s="26">
        <v>0.95370370370370372</v>
      </c>
      <c r="V1092" s="26">
        <v>0.91014168530947059</v>
      </c>
      <c r="W1092" s="26">
        <v>0.92667368913857673</v>
      </c>
      <c r="X1092" s="28">
        <v>0.92</v>
      </c>
      <c r="Y1092" s="28">
        <v>0.94976076555023925</v>
      </c>
      <c r="Z1092" s="28">
        <v>0.93447037701974867</v>
      </c>
      <c r="AA1092" s="28">
        <v>0.96614583333333337</v>
      </c>
      <c r="AB1092" s="28">
        <v>0.95624815652344897</v>
      </c>
      <c r="AC1092" s="28">
        <v>0.92</v>
      </c>
      <c r="AD1092" s="26">
        <v>1</v>
      </c>
      <c r="AE1092" s="26">
        <v>1</v>
      </c>
      <c r="AF1092" s="26">
        <v>0.99499284692417744</v>
      </c>
      <c r="AG1092" s="26">
        <v>0.99441458530930549</v>
      </c>
      <c r="AH1092" s="28">
        <v>0.92</v>
      </c>
      <c r="AI1092" s="26">
        <v>0.96887044174325532</v>
      </c>
      <c r="AJ1092" s="26">
        <v>0.97069597069597069</v>
      </c>
      <c r="AK1092" s="26">
        <v>0.97961119013750597</v>
      </c>
      <c r="AL1092" s="26">
        <v>0.97534940024210415</v>
      </c>
      <c r="AM1092" s="25">
        <v>0.99</v>
      </c>
      <c r="AN1092" s="30">
        <v>1</v>
      </c>
      <c r="AO1092" s="30">
        <v>1</v>
      </c>
      <c r="AP1092" s="30">
        <v>1</v>
      </c>
      <c r="AQ1092" s="30">
        <v>1</v>
      </c>
      <c r="AR1092" s="50">
        <v>7.2186152540827803E-2</v>
      </c>
      <c r="AS1092" s="34">
        <v>0</v>
      </c>
      <c r="AT1092" s="34">
        <v>0</v>
      </c>
      <c r="AU1092" s="34">
        <v>0</v>
      </c>
      <c r="AV1092" s="34">
        <v>1.4492753623188406E-2</v>
      </c>
      <c r="AW1092" s="10"/>
      <c r="AX1092" s="8"/>
    </row>
    <row r="1093" spans="1:50">
      <c r="A1093" s="7"/>
      <c r="B1093" s="10"/>
      <c r="C1093" s="45" t="s">
        <v>1100</v>
      </c>
      <c r="D1093" s="23" t="s">
        <v>25</v>
      </c>
      <c r="E1093" s="83" t="s">
        <v>1137</v>
      </c>
      <c r="F1093" s="83" t="s">
        <v>1137</v>
      </c>
      <c r="G1093" s="83" t="s">
        <v>1137</v>
      </c>
      <c r="H1093" s="83" t="s">
        <v>1137</v>
      </c>
      <c r="I1093" s="25">
        <v>0.9</v>
      </c>
      <c r="J1093" s="26">
        <v>0.91666666666666663</v>
      </c>
      <c r="K1093" s="26">
        <v>0.89189189189189189</v>
      </c>
      <c r="L1093" s="27">
        <v>0.94594594594594594</v>
      </c>
      <c r="M1093" s="26">
        <v>0.90909090909090906</v>
      </c>
      <c r="N1093" s="28">
        <v>0.9</v>
      </c>
      <c r="O1093" s="26">
        <v>0.96697088222511951</v>
      </c>
      <c r="P1093" s="26">
        <v>0.9730654125694741</v>
      </c>
      <c r="Q1093" s="26">
        <v>0.96167369901547117</v>
      </c>
      <c r="R1093" s="26">
        <v>0.95681285570806829</v>
      </c>
      <c r="S1093" s="28">
        <v>0.9</v>
      </c>
      <c r="T1093" s="26">
        <v>0.89091699261190782</v>
      </c>
      <c r="U1093" s="26">
        <v>0.92176143651132958</v>
      </c>
      <c r="V1093" s="26">
        <v>0.87658227848101267</v>
      </c>
      <c r="W1093" s="26">
        <v>0.88957705613212812</v>
      </c>
      <c r="X1093" s="28">
        <v>0.92</v>
      </c>
      <c r="Y1093" s="28">
        <v>0.93524096385542166</v>
      </c>
      <c r="Z1093" s="28">
        <v>0.93908629441624369</v>
      </c>
      <c r="AA1093" s="28">
        <v>0.93952896244430295</v>
      </c>
      <c r="AB1093" s="28">
        <v>0.94007419385522684</v>
      </c>
      <c r="AC1093" s="28">
        <v>0.92</v>
      </c>
      <c r="AD1093" s="26">
        <v>0.99453178400546827</v>
      </c>
      <c r="AE1093" s="26">
        <v>0.99248120300751874</v>
      </c>
      <c r="AF1093" s="26">
        <v>0.99499582985821522</v>
      </c>
      <c r="AG1093" s="26">
        <v>0.99436674436674433</v>
      </c>
      <c r="AH1093" s="28">
        <v>0.92</v>
      </c>
      <c r="AI1093" s="26">
        <v>0.9517773491319923</v>
      </c>
      <c r="AJ1093" s="26">
        <v>0.96254256526674231</v>
      </c>
      <c r="AK1093" s="26">
        <v>0.94813137032842587</v>
      </c>
      <c r="AL1093" s="26">
        <v>0.95878753780153314</v>
      </c>
      <c r="AM1093" s="25">
        <v>0.99</v>
      </c>
      <c r="AN1093" s="30">
        <v>1</v>
      </c>
      <c r="AO1093" s="30">
        <v>1</v>
      </c>
      <c r="AP1093" s="30">
        <v>1</v>
      </c>
      <c r="AQ1093" s="30">
        <v>1</v>
      </c>
      <c r="AR1093" s="50">
        <v>7.2186152540827803E-2</v>
      </c>
      <c r="AS1093" s="34">
        <v>0</v>
      </c>
      <c r="AT1093" s="34">
        <v>0</v>
      </c>
      <c r="AU1093" s="34">
        <v>0</v>
      </c>
      <c r="AV1093" s="34">
        <v>2.1739130434782608E-2</v>
      </c>
      <c r="AW1093" s="10"/>
      <c r="AX1093" s="8"/>
    </row>
    <row r="1094" spans="1:50">
      <c r="A1094" s="7"/>
      <c r="B1094" s="10"/>
      <c r="C1094" s="45" t="s">
        <v>1100</v>
      </c>
      <c r="D1094" s="23" t="s">
        <v>25</v>
      </c>
      <c r="E1094" s="83" t="s">
        <v>1138</v>
      </c>
      <c r="F1094" s="83" t="s">
        <v>1138</v>
      </c>
      <c r="G1094" s="83" t="s">
        <v>1138</v>
      </c>
      <c r="H1094" s="83" t="s">
        <v>1138</v>
      </c>
      <c r="I1094" s="25">
        <v>0.9</v>
      </c>
      <c r="J1094" s="26">
        <v>0.95833333333333337</v>
      </c>
      <c r="K1094" s="26">
        <v>0.96</v>
      </c>
      <c r="L1094" s="27">
        <v>0.96153846153846156</v>
      </c>
      <c r="M1094" s="26">
        <v>0.96446700507614214</v>
      </c>
      <c r="N1094" s="28">
        <v>0.9</v>
      </c>
      <c r="O1094" s="26">
        <v>0.89243876464323746</v>
      </c>
      <c r="P1094" s="26">
        <v>0.9461578672242551</v>
      </c>
      <c r="Q1094" s="26">
        <v>0.90555095277547637</v>
      </c>
      <c r="R1094" s="26">
        <v>0.92381803100874116</v>
      </c>
      <c r="S1094" s="28">
        <v>0.9</v>
      </c>
      <c r="T1094" s="26">
        <v>0.93024494142705005</v>
      </c>
      <c r="U1094" s="26">
        <v>0.95556717198118135</v>
      </c>
      <c r="V1094" s="26">
        <v>0.95194697597348799</v>
      </c>
      <c r="W1094" s="26">
        <v>0.94748931283098325</v>
      </c>
      <c r="X1094" s="28">
        <v>0.92</v>
      </c>
      <c r="Y1094" s="28">
        <v>0.96094459582198</v>
      </c>
      <c r="Z1094" s="28">
        <v>0.97403946002076847</v>
      </c>
      <c r="AA1094" s="28">
        <v>0.97841171935235161</v>
      </c>
      <c r="AB1094" s="28">
        <v>0.97088693297224105</v>
      </c>
      <c r="AC1094" s="28">
        <v>0.92</v>
      </c>
      <c r="AD1094" s="26">
        <v>0.99803439803439808</v>
      </c>
      <c r="AE1094" s="26">
        <v>0.99749216300940435</v>
      </c>
      <c r="AF1094" s="26">
        <v>0.98173803526448367</v>
      </c>
      <c r="AG1094" s="26">
        <v>0.9959423534350077</v>
      </c>
      <c r="AH1094" s="28">
        <v>0.92</v>
      </c>
      <c r="AI1094" s="26">
        <v>0.97348103390399465</v>
      </c>
      <c r="AJ1094" s="26">
        <v>0.98748261474269816</v>
      </c>
      <c r="AK1094" s="26">
        <v>0.98733495014820805</v>
      </c>
      <c r="AL1094" s="26">
        <v>0.98316690442225396</v>
      </c>
      <c r="AM1094" s="25">
        <v>0.99</v>
      </c>
      <c r="AN1094" s="30">
        <v>1</v>
      </c>
      <c r="AO1094" s="30">
        <v>1</v>
      </c>
      <c r="AP1094" s="30">
        <v>1</v>
      </c>
      <c r="AQ1094" s="30">
        <v>1</v>
      </c>
      <c r="AR1094" s="50">
        <v>7.2186152540827803E-2</v>
      </c>
      <c r="AS1094" s="34">
        <v>0</v>
      </c>
      <c r="AT1094" s="34">
        <v>8.3333333333333329E-2</v>
      </c>
      <c r="AU1094" s="34">
        <v>0.1111111111111111</v>
      </c>
      <c r="AV1094" s="34">
        <v>7.6923076923076927E-2</v>
      </c>
      <c r="AW1094" s="10"/>
      <c r="AX1094" s="8"/>
    </row>
    <row r="1095" spans="1:50">
      <c r="A1095" s="7"/>
      <c r="B1095" s="10"/>
      <c r="C1095" s="45" t="s">
        <v>1100</v>
      </c>
      <c r="D1095" s="23" t="s">
        <v>25</v>
      </c>
      <c r="E1095" s="83" t="s">
        <v>1139</v>
      </c>
      <c r="F1095" s="83" t="s">
        <v>1139</v>
      </c>
      <c r="G1095" s="83" t="s">
        <v>1139</v>
      </c>
      <c r="H1095" s="83" t="s">
        <v>1139</v>
      </c>
      <c r="I1095" s="25">
        <v>0.9</v>
      </c>
      <c r="J1095" s="26">
        <v>1</v>
      </c>
      <c r="K1095" s="26">
        <v>1</v>
      </c>
      <c r="L1095" s="27">
        <v>1</v>
      </c>
      <c r="M1095" s="26">
        <v>0.99465240641711228</v>
      </c>
      <c r="N1095" s="28">
        <v>0.9</v>
      </c>
      <c r="O1095" s="26">
        <v>0.97803881511746682</v>
      </c>
      <c r="P1095" s="26">
        <v>0.98369011213047908</v>
      </c>
      <c r="Q1095" s="26">
        <v>0.9781052631578947</v>
      </c>
      <c r="R1095" s="26">
        <v>0.97900245509755779</v>
      </c>
      <c r="S1095" s="28">
        <v>0.9</v>
      </c>
      <c r="T1095" s="26">
        <v>0.95250255362614911</v>
      </c>
      <c r="U1095" s="26">
        <v>0.96636085626911317</v>
      </c>
      <c r="V1095" s="26">
        <v>0.95578947368421052</v>
      </c>
      <c r="W1095" s="26">
        <v>0.95890941982168243</v>
      </c>
      <c r="X1095" s="28">
        <v>0.92</v>
      </c>
      <c r="Y1095" s="28">
        <v>0.95276292335115864</v>
      </c>
      <c r="Z1095" s="28">
        <v>0.96735905044510384</v>
      </c>
      <c r="AA1095" s="28">
        <v>0.9698568198944989</v>
      </c>
      <c r="AB1095" s="28">
        <v>0.96153846153846156</v>
      </c>
      <c r="AC1095" s="28">
        <v>0.92</v>
      </c>
      <c r="AD1095" s="26">
        <v>0.99832495812395305</v>
      </c>
      <c r="AE1095" s="26">
        <v>0.99642537980339585</v>
      </c>
      <c r="AF1095" s="26">
        <v>1</v>
      </c>
      <c r="AG1095" s="26">
        <v>0.99889955982392953</v>
      </c>
      <c r="AH1095" s="28">
        <v>0.92</v>
      </c>
      <c r="AI1095" s="26">
        <v>0.972420506164828</v>
      </c>
      <c r="AJ1095" s="26">
        <v>0.97647058823529409</v>
      </c>
      <c r="AK1095" s="26">
        <v>0.98109130199891947</v>
      </c>
      <c r="AL1095" s="26">
        <v>0.97659740153284968</v>
      </c>
      <c r="AM1095" s="25">
        <v>0.99</v>
      </c>
      <c r="AN1095" s="30">
        <v>1</v>
      </c>
      <c r="AO1095" s="30">
        <v>1</v>
      </c>
      <c r="AP1095" s="30">
        <v>1</v>
      </c>
      <c r="AQ1095" s="30">
        <v>1</v>
      </c>
      <c r="AR1095" s="50">
        <v>7.2186152540827803E-2</v>
      </c>
      <c r="AS1095" s="34">
        <v>9.0909090909090912E-2</v>
      </c>
      <c r="AT1095" s="34">
        <v>0</v>
      </c>
      <c r="AU1095" s="34">
        <v>0</v>
      </c>
      <c r="AV1095" s="34">
        <v>2.5974025974025976E-2</v>
      </c>
      <c r="AW1095" s="10"/>
      <c r="AX1095" s="8"/>
    </row>
    <row r="1096" spans="1:50">
      <c r="A1096" s="7"/>
      <c r="B1096" s="10"/>
      <c r="C1096" s="45" t="s">
        <v>1100</v>
      </c>
      <c r="D1096" s="23" t="s">
        <v>25</v>
      </c>
      <c r="E1096" s="83" t="s">
        <v>1140</v>
      </c>
      <c r="F1096" s="83" t="s">
        <v>1140</v>
      </c>
      <c r="G1096" s="83" t="s">
        <v>1140</v>
      </c>
      <c r="H1096" s="83" t="s">
        <v>1140</v>
      </c>
      <c r="I1096" s="25">
        <v>0.9</v>
      </c>
      <c r="J1096" s="26">
        <v>0.97368421052631582</v>
      </c>
      <c r="K1096" s="26">
        <v>0.95348837209302328</v>
      </c>
      <c r="L1096" s="27">
        <v>1</v>
      </c>
      <c r="M1096" s="26">
        <v>0.98746081504702199</v>
      </c>
      <c r="N1096" s="28">
        <v>0.9</v>
      </c>
      <c r="O1096" s="26">
        <v>0.92593659942363116</v>
      </c>
      <c r="P1096" s="26">
        <v>0.9471938070223942</v>
      </c>
      <c r="Q1096" s="26">
        <v>0.93800283956460007</v>
      </c>
      <c r="R1096" s="26">
        <v>0.94170403587443952</v>
      </c>
      <c r="S1096" s="28">
        <v>0.9</v>
      </c>
      <c r="T1096" s="26">
        <v>0.94265129682997117</v>
      </c>
      <c r="U1096" s="26">
        <v>0.95548797345866743</v>
      </c>
      <c r="V1096" s="26">
        <v>0.94249881684808334</v>
      </c>
      <c r="W1096" s="26">
        <v>0.94961537059316781</v>
      </c>
      <c r="X1096" s="28">
        <v>0.92</v>
      </c>
      <c r="Y1096" s="28">
        <v>0.937375745526839</v>
      </c>
      <c r="Z1096" s="28">
        <v>0.95415959252971139</v>
      </c>
      <c r="AA1096" s="28">
        <v>0.97116237799467608</v>
      </c>
      <c r="AB1096" s="28">
        <v>0.95164931644299511</v>
      </c>
      <c r="AC1096" s="28">
        <v>0.92</v>
      </c>
      <c r="AD1096" s="26">
        <v>0.99918593292087265</v>
      </c>
      <c r="AE1096" s="26">
        <v>0.99506433985545562</v>
      </c>
      <c r="AF1096" s="26">
        <v>0.99836038694868012</v>
      </c>
      <c r="AG1096" s="26">
        <v>0.99509015491407771</v>
      </c>
      <c r="AH1096" s="28">
        <v>0.92</v>
      </c>
      <c r="AI1096" s="26">
        <v>0.96187522801897118</v>
      </c>
      <c r="AJ1096" s="26">
        <v>0.97623909411546317</v>
      </c>
      <c r="AK1096" s="26">
        <v>0.98163580246913584</v>
      </c>
      <c r="AL1096" s="26">
        <v>0.96991562543224674</v>
      </c>
      <c r="AM1096" s="25">
        <v>0.99</v>
      </c>
      <c r="AN1096" s="30">
        <v>1</v>
      </c>
      <c r="AO1096" s="30">
        <v>1</v>
      </c>
      <c r="AP1096" s="30">
        <v>1</v>
      </c>
      <c r="AQ1096" s="30">
        <v>1</v>
      </c>
      <c r="AR1096" s="50">
        <v>7.2186152540827803E-2</v>
      </c>
      <c r="AS1096" s="34">
        <v>0.13333333333333333</v>
      </c>
      <c r="AT1096" s="34">
        <v>4.1666666666666664E-2</v>
      </c>
      <c r="AU1096" s="34">
        <v>0</v>
      </c>
      <c r="AV1096" s="34">
        <v>6.8027210884353748E-2</v>
      </c>
      <c r="AW1096" s="10"/>
      <c r="AX1096" s="8"/>
    </row>
    <row r="1097" spans="1:50">
      <c r="A1097" s="7"/>
      <c r="B1097" s="10"/>
      <c r="C1097" s="45" t="s">
        <v>1100</v>
      </c>
      <c r="D1097" s="23" t="s">
        <v>25</v>
      </c>
      <c r="E1097" s="83" t="s">
        <v>1141</v>
      </c>
      <c r="F1097" s="83" t="s">
        <v>1141</v>
      </c>
      <c r="G1097" s="83" t="s">
        <v>1141</v>
      </c>
      <c r="H1097" s="83" t="s">
        <v>1141</v>
      </c>
      <c r="I1097" s="25">
        <v>0.9</v>
      </c>
      <c r="J1097" s="26">
        <v>0.92682926829268297</v>
      </c>
      <c r="K1097" s="26">
        <v>0.8571428571428571</v>
      </c>
      <c r="L1097" s="27">
        <v>0.95238095238095233</v>
      </c>
      <c r="M1097" s="26">
        <v>0.90789473684210531</v>
      </c>
      <c r="N1097" s="28">
        <v>0.9</v>
      </c>
      <c r="O1097" s="26">
        <v>0.97203274215552526</v>
      </c>
      <c r="P1097" s="26">
        <v>0.97266826101810733</v>
      </c>
      <c r="Q1097" s="26">
        <v>0.93967452300785637</v>
      </c>
      <c r="R1097" s="26">
        <v>0.92388274055926334</v>
      </c>
      <c r="S1097" s="28">
        <v>0.9</v>
      </c>
      <c r="T1097" s="26">
        <v>0.93417462482946789</v>
      </c>
      <c r="U1097" s="26">
        <v>0.94601981551076186</v>
      </c>
      <c r="V1097" s="26">
        <v>0.93546576879910215</v>
      </c>
      <c r="W1097" s="26">
        <v>0.91598377967390388</v>
      </c>
      <c r="X1097" s="28">
        <v>0.92</v>
      </c>
      <c r="Y1097" s="28">
        <v>0.95788849347568206</v>
      </c>
      <c r="Z1097" s="28">
        <v>0.94842598794373745</v>
      </c>
      <c r="AA1097" s="28">
        <v>0.96634615384615385</v>
      </c>
      <c r="AB1097" s="28">
        <v>0.95233280369781892</v>
      </c>
      <c r="AC1097" s="28">
        <v>0.92</v>
      </c>
      <c r="AD1097" s="26">
        <v>1</v>
      </c>
      <c r="AE1097" s="26">
        <v>0.99312242090784042</v>
      </c>
      <c r="AF1097" s="26">
        <v>0.98399999999999999</v>
      </c>
      <c r="AG1097" s="26">
        <v>0.97878086419753085</v>
      </c>
      <c r="AH1097" s="28">
        <v>0.92</v>
      </c>
      <c r="AI1097" s="26">
        <v>0.96491987873538332</v>
      </c>
      <c r="AJ1097" s="26">
        <v>0.96767631103074137</v>
      </c>
      <c r="AK1097" s="26">
        <v>0.9773210489014883</v>
      </c>
      <c r="AL1097" s="26">
        <v>0.9683144570286476</v>
      </c>
      <c r="AM1097" s="25">
        <v>0.99</v>
      </c>
      <c r="AN1097" s="30">
        <v>1</v>
      </c>
      <c r="AO1097" s="30">
        <v>1</v>
      </c>
      <c r="AP1097" s="30">
        <v>1</v>
      </c>
      <c r="AQ1097" s="30">
        <v>1</v>
      </c>
      <c r="AR1097" s="50">
        <v>7.2186152540827803E-2</v>
      </c>
      <c r="AS1097" s="34">
        <v>0.125</v>
      </c>
      <c r="AT1097" s="34">
        <v>0</v>
      </c>
      <c r="AU1097" s="34">
        <v>0.1875</v>
      </c>
      <c r="AV1097" s="34">
        <v>5.8823529411764705E-2</v>
      </c>
      <c r="AW1097" s="10"/>
      <c r="AX1097" s="8"/>
    </row>
    <row r="1098" spans="1:50">
      <c r="A1098" s="7"/>
      <c r="B1098" s="10"/>
      <c r="C1098" s="45" t="s">
        <v>1100</v>
      </c>
      <c r="D1098" s="23" t="s">
        <v>25</v>
      </c>
      <c r="E1098" s="83" t="s">
        <v>1142</v>
      </c>
      <c r="F1098" s="83" t="s">
        <v>1142</v>
      </c>
      <c r="G1098" s="83" t="s">
        <v>1142</v>
      </c>
      <c r="H1098" s="83" t="s">
        <v>1142</v>
      </c>
      <c r="I1098" s="25">
        <v>0.9</v>
      </c>
      <c r="J1098" s="26">
        <v>1</v>
      </c>
      <c r="K1098" s="26">
        <v>1</v>
      </c>
      <c r="L1098" s="27">
        <v>1</v>
      </c>
      <c r="M1098" s="26">
        <v>1</v>
      </c>
      <c r="N1098" s="28">
        <v>0.9</v>
      </c>
      <c r="O1098" s="26">
        <v>0.97804878048780486</v>
      </c>
      <c r="P1098" s="26">
        <v>0.99204244031830235</v>
      </c>
      <c r="Q1098" s="26">
        <v>0.98934469898774635</v>
      </c>
      <c r="R1098" s="26">
        <v>0.9841044089349954</v>
      </c>
      <c r="S1098" s="28">
        <v>0.9</v>
      </c>
      <c r="T1098" s="26">
        <v>0.94939024390243898</v>
      </c>
      <c r="U1098" s="26">
        <v>0.95954907161803715</v>
      </c>
      <c r="V1098" s="26">
        <v>0.9589770911028237</v>
      </c>
      <c r="W1098" s="26">
        <v>0.93599933071195518</v>
      </c>
      <c r="X1098" s="28">
        <v>0.92</v>
      </c>
      <c r="Y1098" s="28">
        <v>0.97420867526377486</v>
      </c>
      <c r="Z1098" s="28">
        <v>0.96011816838995567</v>
      </c>
      <c r="AA1098" s="28">
        <v>0.97943192948090108</v>
      </c>
      <c r="AB1098" s="28">
        <v>0.96890806307646538</v>
      </c>
      <c r="AC1098" s="28">
        <v>0.92</v>
      </c>
      <c r="AD1098" s="26">
        <v>0.99143468950749469</v>
      </c>
      <c r="AE1098" s="26">
        <v>0.99912242211496272</v>
      </c>
      <c r="AF1098" s="26">
        <v>0.99436763952892981</v>
      </c>
      <c r="AG1098" s="26">
        <v>0.99629122446650686</v>
      </c>
      <c r="AH1098" s="28">
        <v>0.92</v>
      </c>
      <c r="AI1098" s="26">
        <v>0.97713598074608909</v>
      </c>
      <c r="AJ1098" s="26">
        <v>0.97851919561243139</v>
      </c>
      <c r="AK1098" s="26">
        <v>0.98999309868875085</v>
      </c>
      <c r="AL1098" s="26">
        <v>0.98083511777301924</v>
      </c>
      <c r="AM1098" s="25">
        <v>0.99</v>
      </c>
      <c r="AN1098" s="30">
        <v>1</v>
      </c>
      <c r="AO1098" s="30">
        <v>1</v>
      </c>
      <c r="AP1098" s="30">
        <v>1</v>
      </c>
      <c r="AQ1098" s="30">
        <v>1</v>
      </c>
      <c r="AR1098" s="50">
        <v>7.2186152540827803E-2</v>
      </c>
      <c r="AS1098" s="34">
        <v>0</v>
      </c>
      <c r="AT1098" s="34">
        <v>0.5</v>
      </c>
      <c r="AU1098" s="34">
        <v>-0.1111111111111111</v>
      </c>
      <c r="AV1098" s="34">
        <v>4.5454545454545456E-2</v>
      </c>
      <c r="AW1098" s="10"/>
      <c r="AX1098" s="8"/>
    </row>
    <row r="1099" spans="1:50">
      <c r="A1099" s="7"/>
      <c r="B1099" s="10"/>
      <c r="C1099" s="45" t="s">
        <v>1100</v>
      </c>
      <c r="D1099" s="23" t="s">
        <v>25</v>
      </c>
      <c r="E1099" s="83" t="s">
        <v>1143</v>
      </c>
      <c r="F1099" s="83" t="s">
        <v>1143</v>
      </c>
      <c r="G1099" s="83" t="s">
        <v>1143</v>
      </c>
      <c r="H1099" s="83" t="s">
        <v>1143</v>
      </c>
      <c r="I1099" s="25">
        <v>0.9</v>
      </c>
      <c r="J1099" s="26">
        <v>1</v>
      </c>
      <c r="K1099" s="26">
        <v>0.97142857142857142</v>
      </c>
      <c r="L1099" s="27">
        <v>0.94594594594594594</v>
      </c>
      <c r="M1099" s="26">
        <v>0.96491228070175439</v>
      </c>
      <c r="N1099" s="28">
        <v>0.9</v>
      </c>
      <c r="O1099" s="26">
        <v>0.95229357798165137</v>
      </c>
      <c r="P1099" s="26">
        <v>0.93659545141281875</v>
      </c>
      <c r="Q1099" s="26">
        <v>0.92402170808340478</v>
      </c>
      <c r="R1099" s="26">
        <v>0.95873884379064445</v>
      </c>
      <c r="S1099" s="28">
        <v>0.9</v>
      </c>
      <c r="T1099" s="26">
        <v>0.89651376146788986</v>
      </c>
      <c r="U1099" s="26">
        <v>0.92625775327360438</v>
      </c>
      <c r="V1099" s="26">
        <v>0.91259640102827766</v>
      </c>
      <c r="W1099" s="26">
        <v>0.90375386823339465</v>
      </c>
      <c r="X1099" s="28">
        <v>0.92</v>
      </c>
      <c r="Y1099" s="28">
        <v>0.91111111111111109</v>
      </c>
      <c r="Z1099" s="28">
        <v>0.95511405445180275</v>
      </c>
      <c r="AA1099" s="28">
        <v>0.96923907177549917</v>
      </c>
      <c r="AB1099" s="28">
        <v>0.95667437963775637</v>
      </c>
      <c r="AC1099" s="28">
        <v>0.92</v>
      </c>
      <c r="AD1099" s="26">
        <v>1</v>
      </c>
      <c r="AE1099" s="26">
        <v>0.99787384833451453</v>
      </c>
      <c r="AF1099" s="26">
        <v>0.99435483870967745</v>
      </c>
      <c r="AG1099" s="26">
        <v>0.99732287981642609</v>
      </c>
      <c r="AH1099" s="28">
        <v>0.92</v>
      </c>
      <c r="AI1099" s="26">
        <v>0.94883720930232562</v>
      </c>
      <c r="AJ1099" s="26">
        <v>0.98007968127490042</v>
      </c>
      <c r="AK1099" s="26">
        <v>0.98412401942472916</v>
      </c>
      <c r="AL1099" s="26">
        <v>0.97634630841658054</v>
      </c>
      <c r="AM1099" s="25">
        <v>0.99</v>
      </c>
      <c r="AN1099" s="30">
        <v>1</v>
      </c>
      <c r="AO1099" s="30">
        <v>1</v>
      </c>
      <c r="AP1099" s="30">
        <v>1</v>
      </c>
      <c r="AQ1099" s="30">
        <v>1</v>
      </c>
      <c r="AR1099" s="50">
        <v>7.2186152540827803E-2</v>
      </c>
      <c r="AS1099" s="34">
        <v>0</v>
      </c>
      <c r="AT1099" s="34">
        <v>0</v>
      </c>
      <c r="AU1099" s="34">
        <v>0</v>
      </c>
      <c r="AV1099" s="34">
        <v>0</v>
      </c>
      <c r="AW1099" s="10"/>
      <c r="AX1099" s="8"/>
    </row>
    <row r="1100" spans="1:50">
      <c r="A1100" s="7"/>
      <c r="B1100" s="10"/>
      <c r="C1100" s="45" t="s">
        <v>1100</v>
      </c>
      <c r="D1100" s="23" t="s">
        <v>25</v>
      </c>
      <c r="E1100" s="83" t="s">
        <v>1144</v>
      </c>
      <c r="F1100" s="83" t="s">
        <v>1144</v>
      </c>
      <c r="G1100" s="83" t="s">
        <v>1144</v>
      </c>
      <c r="H1100" s="83" t="s">
        <v>1144</v>
      </c>
      <c r="I1100" s="25">
        <v>0.9</v>
      </c>
      <c r="J1100" s="26">
        <v>0.93103448275862066</v>
      </c>
      <c r="K1100" s="26">
        <v>0.88235294117647056</v>
      </c>
      <c r="L1100" s="27">
        <v>0.91666666666666663</v>
      </c>
      <c r="M1100" s="26">
        <v>0.9137254901960784</v>
      </c>
      <c r="N1100" s="28">
        <v>0.9</v>
      </c>
      <c r="O1100" s="26">
        <v>0.8949399656946827</v>
      </c>
      <c r="P1100" s="26">
        <v>0.90350497620077885</v>
      </c>
      <c r="Q1100" s="26">
        <v>0.97403946002076847</v>
      </c>
      <c r="R1100" s="26">
        <v>0.95081521739130437</v>
      </c>
      <c r="S1100" s="28">
        <v>0.9</v>
      </c>
      <c r="T1100" s="26">
        <v>0.84605488850771871</v>
      </c>
      <c r="U1100" s="26">
        <v>0.8736477715274773</v>
      </c>
      <c r="V1100" s="26">
        <v>0.93319487712011073</v>
      </c>
      <c r="W1100" s="26">
        <v>0.91201086956521737</v>
      </c>
      <c r="X1100" s="28">
        <v>0.92</v>
      </c>
      <c r="Y1100" s="28">
        <v>0.86095764272559849</v>
      </c>
      <c r="Z1100" s="28">
        <v>0.93345164152617566</v>
      </c>
      <c r="AA1100" s="28">
        <v>0.92669172932330823</v>
      </c>
      <c r="AB1100" s="28">
        <v>0.91572436455011119</v>
      </c>
      <c r="AC1100" s="28">
        <v>0.92</v>
      </c>
      <c r="AD1100" s="26">
        <v>0.99844961240310082</v>
      </c>
      <c r="AE1100" s="26">
        <v>1</v>
      </c>
      <c r="AF1100" s="26">
        <v>0.99617590822179736</v>
      </c>
      <c r="AG1100" s="26">
        <v>0.98878264067671939</v>
      </c>
      <c r="AH1100" s="28">
        <v>0.92</v>
      </c>
      <c r="AI1100" s="26">
        <v>0.91190543202927099</v>
      </c>
      <c r="AJ1100" s="26">
        <v>0.9523671216961952</v>
      </c>
      <c r="AK1100" s="26">
        <v>0.96142697881828321</v>
      </c>
      <c r="AL1100" s="26">
        <v>0.9500467338249039</v>
      </c>
      <c r="AM1100" s="25">
        <v>0.99</v>
      </c>
      <c r="AN1100" s="30">
        <v>1</v>
      </c>
      <c r="AO1100" s="30">
        <v>1</v>
      </c>
      <c r="AP1100" s="30">
        <v>1</v>
      </c>
      <c r="AQ1100" s="30">
        <v>1</v>
      </c>
      <c r="AR1100" s="50">
        <v>7.2186152540827803E-2</v>
      </c>
      <c r="AS1100" s="34">
        <v>0</v>
      </c>
      <c r="AT1100" s="34">
        <v>0</v>
      </c>
      <c r="AU1100" s="34">
        <v>0.15384615384615385</v>
      </c>
      <c r="AV1100" s="34">
        <v>8.0357142857142863E-2</v>
      </c>
      <c r="AW1100" s="10"/>
      <c r="AX1100" s="8"/>
    </row>
    <row r="1101" spans="1:50">
      <c r="A1101" s="7"/>
      <c r="B1101" s="10"/>
      <c r="C1101" s="45" t="s">
        <v>1100</v>
      </c>
      <c r="D1101" s="23" t="s">
        <v>25</v>
      </c>
      <c r="E1101" s="83" t="s">
        <v>1145</v>
      </c>
      <c r="F1101" s="83" t="s">
        <v>1145</v>
      </c>
      <c r="G1101" s="83" t="s">
        <v>1145</v>
      </c>
      <c r="H1101" s="83" t="s">
        <v>1145</v>
      </c>
      <c r="I1101" s="25">
        <v>0.9</v>
      </c>
      <c r="J1101" s="26">
        <v>0.8928571428571429</v>
      </c>
      <c r="K1101" s="26">
        <v>1</v>
      </c>
      <c r="L1101" s="27">
        <v>1</v>
      </c>
      <c r="M1101" s="26">
        <v>0.98297872340425529</v>
      </c>
      <c r="N1101" s="28">
        <v>0.9</v>
      </c>
      <c r="O1101" s="26">
        <v>0.90801056338028174</v>
      </c>
      <c r="P1101" s="26">
        <v>0.93186539260490242</v>
      </c>
      <c r="Q1101" s="26">
        <v>0.91823899371069184</v>
      </c>
      <c r="R1101" s="26">
        <v>0.94724112717250686</v>
      </c>
      <c r="S1101" s="28">
        <v>0.9</v>
      </c>
      <c r="T1101" s="26">
        <v>0.92253521126760563</v>
      </c>
      <c r="U1101" s="26">
        <v>0.93768176152887417</v>
      </c>
      <c r="V1101" s="26">
        <v>0.8867924528301887</v>
      </c>
      <c r="W1101" s="26">
        <v>0.92389898194499132</v>
      </c>
      <c r="X1101" s="28">
        <v>0.92</v>
      </c>
      <c r="Y1101" s="28">
        <v>0.93241167434715821</v>
      </c>
      <c r="Z1101" s="28">
        <v>0.94736842105263153</v>
      </c>
      <c r="AA1101" s="28">
        <v>0.94423558897243109</v>
      </c>
      <c r="AB1101" s="28">
        <v>0.94326923076923075</v>
      </c>
      <c r="AC1101" s="28">
        <v>0.92</v>
      </c>
      <c r="AD1101" s="26">
        <v>0.99717247879359094</v>
      </c>
      <c r="AE1101" s="26">
        <v>0.9963302752293578</v>
      </c>
      <c r="AF1101" s="26">
        <v>0.99485861182519275</v>
      </c>
      <c r="AG1101" s="26">
        <v>0.99554565701559017</v>
      </c>
      <c r="AH1101" s="28">
        <v>0.92</v>
      </c>
      <c r="AI1101" s="26">
        <v>0.95439283715724677</v>
      </c>
      <c r="AJ1101" s="26">
        <v>0.97352858349760629</v>
      </c>
      <c r="AK1101" s="26">
        <v>0.96792283535217583</v>
      </c>
      <c r="AL1101" s="26">
        <v>0.96352540448481405</v>
      </c>
      <c r="AM1101" s="25">
        <v>0.99</v>
      </c>
      <c r="AN1101" s="30">
        <v>1</v>
      </c>
      <c r="AO1101" s="30">
        <v>1</v>
      </c>
      <c r="AP1101" s="30">
        <v>1</v>
      </c>
      <c r="AQ1101" s="30">
        <v>1</v>
      </c>
      <c r="AR1101" s="50">
        <v>7.2186152540827803E-2</v>
      </c>
      <c r="AS1101" s="34">
        <v>9.0909090909090912E-2</v>
      </c>
      <c r="AT1101" s="34">
        <v>0</v>
      </c>
      <c r="AU1101" s="34">
        <v>5.2631578947368418E-2</v>
      </c>
      <c r="AV1101" s="34">
        <v>3.6585365853658534E-2</v>
      </c>
      <c r="AW1101" s="10"/>
      <c r="AX1101" s="8"/>
    </row>
    <row r="1102" spans="1:50">
      <c r="A1102" s="7"/>
      <c r="B1102" s="10"/>
      <c r="C1102" s="45" t="s">
        <v>1100</v>
      </c>
      <c r="D1102" s="23" t="s">
        <v>25</v>
      </c>
      <c r="E1102" s="83" t="s">
        <v>1146</v>
      </c>
      <c r="F1102" s="83" t="s">
        <v>1146</v>
      </c>
      <c r="G1102" s="83" t="s">
        <v>1146</v>
      </c>
      <c r="H1102" s="83" t="s">
        <v>1146</v>
      </c>
      <c r="I1102" s="25">
        <v>0.9</v>
      </c>
      <c r="J1102" s="26">
        <v>1</v>
      </c>
      <c r="K1102" s="26">
        <v>1</v>
      </c>
      <c r="L1102" s="27">
        <v>1</v>
      </c>
      <c r="M1102" s="26">
        <v>0.98837209302325579</v>
      </c>
      <c r="N1102" s="28">
        <v>0.9</v>
      </c>
      <c r="O1102" s="26">
        <v>0.9616336633663366</v>
      </c>
      <c r="P1102" s="26">
        <v>0.972108843537415</v>
      </c>
      <c r="Q1102" s="26">
        <v>0.96648044692737434</v>
      </c>
      <c r="R1102" s="26">
        <v>0.95561912545974659</v>
      </c>
      <c r="S1102" s="28">
        <v>0.9</v>
      </c>
      <c r="T1102" s="26">
        <v>0.9393564356435643</v>
      </c>
      <c r="U1102" s="26">
        <v>0.94217687074829937</v>
      </c>
      <c r="V1102" s="26">
        <v>0.9588623666835957</v>
      </c>
      <c r="W1102" s="26">
        <v>0.94646505925623214</v>
      </c>
      <c r="X1102" s="28">
        <v>0.92</v>
      </c>
      <c r="Y1102" s="28">
        <v>0.95169578622816031</v>
      </c>
      <c r="Z1102" s="28">
        <v>0.9410977242302544</v>
      </c>
      <c r="AA1102" s="28">
        <v>0.95415472779369626</v>
      </c>
      <c r="AB1102" s="28">
        <v>0.94946589975349216</v>
      </c>
      <c r="AC1102" s="28">
        <v>0.92</v>
      </c>
      <c r="AD1102" s="26">
        <v>0.99870633893919791</v>
      </c>
      <c r="AE1102" s="26">
        <v>0.98734177215189878</v>
      </c>
      <c r="AF1102" s="26">
        <v>0.99536321483771251</v>
      </c>
      <c r="AG1102" s="26">
        <v>0.99720843672456572</v>
      </c>
      <c r="AH1102" s="28">
        <v>0.92</v>
      </c>
      <c r="AI1102" s="26">
        <v>0.96330629586713012</v>
      </c>
      <c r="AJ1102" s="26">
        <v>0.96936936936936935</v>
      </c>
      <c r="AK1102" s="26">
        <v>0.97514086841233016</v>
      </c>
      <c r="AL1102" s="26">
        <v>0.9676577452535694</v>
      </c>
      <c r="AM1102" s="25">
        <v>0.99</v>
      </c>
      <c r="AN1102" s="30">
        <v>1</v>
      </c>
      <c r="AO1102" s="30">
        <v>1</v>
      </c>
      <c r="AP1102" s="30">
        <v>1</v>
      </c>
      <c r="AQ1102" s="30">
        <v>1</v>
      </c>
      <c r="AR1102" s="50">
        <v>7.2186152540827803E-2</v>
      </c>
      <c r="AS1102" s="34">
        <v>0.2</v>
      </c>
      <c r="AT1102" s="34">
        <v>0</v>
      </c>
      <c r="AU1102" s="34">
        <v>0</v>
      </c>
      <c r="AV1102" s="34">
        <v>8.5106382978723402E-2</v>
      </c>
      <c r="AW1102" s="10"/>
      <c r="AX1102" s="8"/>
    </row>
    <row r="1103" spans="1:50">
      <c r="A1103" s="7"/>
      <c r="B1103" s="10"/>
      <c r="C1103" s="45" t="s">
        <v>1100</v>
      </c>
      <c r="D1103" s="23" t="s">
        <v>25</v>
      </c>
      <c r="E1103" s="83" t="s">
        <v>1147</v>
      </c>
      <c r="F1103" s="83" t="s">
        <v>1147</v>
      </c>
      <c r="G1103" s="83" t="s">
        <v>1147</v>
      </c>
      <c r="H1103" s="83" t="s">
        <v>1147</v>
      </c>
      <c r="I1103" s="25">
        <v>0.9</v>
      </c>
      <c r="J1103" s="26">
        <v>0.91304347826086951</v>
      </c>
      <c r="K1103" s="26">
        <v>0.88</v>
      </c>
      <c r="L1103" s="27">
        <v>0.96296296296296291</v>
      </c>
      <c r="M1103" s="26">
        <v>0.9263157894736842</v>
      </c>
      <c r="N1103" s="28">
        <v>0.9</v>
      </c>
      <c r="O1103" s="26">
        <v>0.98045313194135941</v>
      </c>
      <c r="P1103" s="26">
        <v>0.98279479647503143</v>
      </c>
      <c r="Q1103" s="26">
        <v>0.98239675016926198</v>
      </c>
      <c r="R1103" s="26">
        <v>0.97982904200979881</v>
      </c>
      <c r="S1103" s="28">
        <v>0.9</v>
      </c>
      <c r="T1103" s="26">
        <v>0.94313638382940912</v>
      </c>
      <c r="U1103" s="26">
        <v>0.95006294586655471</v>
      </c>
      <c r="V1103" s="26">
        <v>0.95328368314150302</v>
      </c>
      <c r="W1103" s="26">
        <v>0.94136349421453147</v>
      </c>
      <c r="X1103" s="28">
        <v>0.92</v>
      </c>
      <c r="Y1103" s="28">
        <v>0</v>
      </c>
      <c r="Z1103" s="28">
        <v>0</v>
      </c>
      <c r="AA1103" s="28">
        <v>0</v>
      </c>
      <c r="AB1103" s="28">
        <v>0</v>
      </c>
      <c r="AC1103" s="28">
        <v>0.92</v>
      </c>
      <c r="AD1103" s="26">
        <v>1</v>
      </c>
      <c r="AE1103" s="26">
        <v>1</v>
      </c>
      <c r="AF1103" s="26">
        <v>1</v>
      </c>
      <c r="AG1103" s="26">
        <v>1</v>
      </c>
      <c r="AH1103" s="28">
        <v>0.92</v>
      </c>
      <c r="AI1103" s="26">
        <v>0.96845846290537541</v>
      </c>
      <c r="AJ1103" s="26">
        <v>0.97440201426772977</v>
      </c>
      <c r="AK1103" s="26">
        <v>0.98273527420446849</v>
      </c>
      <c r="AL1103" s="26">
        <v>0.97612842697800484</v>
      </c>
      <c r="AM1103" s="25">
        <v>0.99</v>
      </c>
      <c r="AN1103" s="30">
        <v>1</v>
      </c>
      <c r="AO1103" s="30">
        <v>1</v>
      </c>
      <c r="AP1103" s="30">
        <v>1</v>
      </c>
      <c r="AQ1103" s="30">
        <v>1</v>
      </c>
      <c r="AR1103" s="50">
        <v>7.2186152540827803E-2</v>
      </c>
      <c r="AS1103" s="34">
        <v>0</v>
      </c>
      <c r="AT1103" s="34">
        <v>0</v>
      </c>
      <c r="AU1103" s="34">
        <v>0</v>
      </c>
      <c r="AV1103" s="34">
        <v>0.02</v>
      </c>
      <c r="AW1103" s="10"/>
      <c r="AX1103" s="8"/>
    </row>
    <row r="1104" spans="1:50">
      <c r="A1104" s="7"/>
      <c r="B1104" s="10"/>
      <c r="C1104" s="45" t="s">
        <v>1100</v>
      </c>
      <c r="D1104" s="23" t="s">
        <v>25</v>
      </c>
      <c r="E1104" s="83" t="s">
        <v>1148</v>
      </c>
      <c r="F1104" s="83" t="s">
        <v>1148</v>
      </c>
      <c r="G1104" s="83" t="s">
        <v>1148</v>
      </c>
      <c r="H1104" s="83" t="s">
        <v>1148</v>
      </c>
      <c r="I1104" s="25">
        <v>0.9</v>
      </c>
      <c r="J1104" s="26">
        <v>0.93617021276595747</v>
      </c>
      <c r="K1104" s="26">
        <v>0.97872340425531912</v>
      </c>
      <c r="L1104" s="27">
        <v>1</v>
      </c>
      <c r="M1104" s="26">
        <v>0.95543175487465182</v>
      </c>
      <c r="N1104" s="28">
        <v>0.9</v>
      </c>
      <c r="O1104" s="26">
        <v>0.9748520710059172</v>
      </c>
      <c r="P1104" s="26">
        <v>0.98563138988670906</v>
      </c>
      <c r="Q1104" s="26">
        <v>0.9882352941176471</v>
      </c>
      <c r="R1104" s="26">
        <v>0.98363957597173146</v>
      </c>
      <c r="S1104" s="28">
        <v>0.9</v>
      </c>
      <c r="T1104" s="26">
        <v>0.87751479289940826</v>
      </c>
      <c r="U1104" s="26">
        <v>0.88836695219673945</v>
      </c>
      <c r="V1104" s="26">
        <v>0.8631221719457014</v>
      </c>
      <c r="W1104" s="26">
        <v>0.89028268551236744</v>
      </c>
      <c r="X1104" s="28">
        <v>0.92</v>
      </c>
      <c r="Y1104" s="28">
        <v>0</v>
      </c>
      <c r="Z1104" s="28">
        <v>0</v>
      </c>
      <c r="AA1104" s="28">
        <v>0</v>
      </c>
      <c r="AB1104" s="28">
        <v>0</v>
      </c>
      <c r="AC1104" s="28">
        <v>0.92</v>
      </c>
      <c r="AD1104" s="26">
        <v>1</v>
      </c>
      <c r="AE1104" s="26">
        <v>0.99765807962529274</v>
      </c>
      <c r="AF1104" s="26">
        <v>0.9966216216216216</v>
      </c>
      <c r="AG1104" s="26">
        <v>0.99833679833679834</v>
      </c>
      <c r="AH1104" s="28">
        <v>0.92</v>
      </c>
      <c r="AI1104" s="26">
        <v>0.95562130177514792</v>
      </c>
      <c r="AJ1104" s="26">
        <v>0.96297319701575024</v>
      </c>
      <c r="AK1104" s="26">
        <v>0.97081447963800904</v>
      </c>
      <c r="AL1104" s="26">
        <v>0.96745583038869254</v>
      </c>
      <c r="AM1104" s="25">
        <v>0.99</v>
      </c>
      <c r="AN1104" s="30">
        <v>1</v>
      </c>
      <c r="AO1104" s="30">
        <v>1</v>
      </c>
      <c r="AP1104" s="30">
        <v>1</v>
      </c>
      <c r="AQ1104" s="30">
        <v>1</v>
      </c>
      <c r="AR1104" s="50">
        <v>7.2186152540827803E-2</v>
      </c>
      <c r="AS1104" s="34">
        <v>0</v>
      </c>
      <c r="AT1104" s="34">
        <v>0</v>
      </c>
      <c r="AU1104" s="34">
        <v>0</v>
      </c>
      <c r="AV1104" s="34">
        <v>4.6153846153846156E-2</v>
      </c>
      <c r="AW1104" s="10"/>
      <c r="AX1104" s="8"/>
    </row>
    <row r="1105" spans="1:50">
      <c r="A1105" s="7"/>
      <c r="B1105" s="10"/>
      <c r="C1105" s="45" t="s">
        <v>1100</v>
      </c>
      <c r="D1105" s="23" t="s">
        <v>25</v>
      </c>
      <c r="E1105" s="83" t="s">
        <v>1149</v>
      </c>
      <c r="F1105" s="83" t="s">
        <v>1149</v>
      </c>
      <c r="G1105" s="83" t="s">
        <v>1149</v>
      </c>
      <c r="H1105" s="83" t="s">
        <v>1149</v>
      </c>
      <c r="I1105" s="25">
        <v>0.9</v>
      </c>
      <c r="J1105" s="26">
        <v>0.91228070175438591</v>
      </c>
      <c r="K1105" s="26">
        <v>0.98245614035087714</v>
      </c>
      <c r="L1105" s="27">
        <v>1</v>
      </c>
      <c r="M1105" s="26">
        <v>0.97085201793721976</v>
      </c>
      <c r="N1105" s="28">
        <v>0.9</v>
      </c>
      <c r="O1105" s="26">
        <v>0.96859535591929957</v>
      </c>
      <c r="P1105" s="26">
        <v>0.96832419040877715</v>
      </c>
      <c r="Q1105" s="26">
        <v>0.97506304286915102</v>
      </c>
      <c r="R1105" s="26">
        <v>0.97638640429338108</v>
      </c>
      <c r="S1105" s="28">
        <v>0.9</v>
      </c>
      <c r="T1105" s="26">
        <v>0.93395508184240583</v>
      </c>
      <c r="U1105" s="26">
        <v>0.96230755618474606</v>
      </c>
      <c r="V1105" s="26">
        <v>0.94396189408797981</v>
      </c>
      <c r="W1105" s="26">
        <v>0.95427101967799643</v>
      </c>
      <c r="X1105" s="28">
        <v>0.92</v>
      </c>
      <c r="Y1105" s="28">
        <v>0</v>
      </c>
      <c r="Z1105" s="28">
        <v>0</v>
      </c>
      <c r="AA1105" s="28">
        <v>0</v>
      </c>
      <c r="AB1105" s="28">
        <v>0</v>
      </c>
      <c r="AC1105" s="28">
        <v>0.92</v>
      </c>
      <c r="AD1105" s="26">
        <v>1</v>
      </c>
      <c r="AE1105" s="26">
        <v>1</v>
      </c>
      <c r="AF1105" s="26">
        <v>1</v>
      </c>
      <c r="AG1105" s="26">
        <v>0.99130984357718444</v>
      </c>
      <c r="AH1105" s="28">
        <v>0.92</v>
      </c>
      <c r="AI1105" s="26">
        <v>0.96060144651693946</v>
      </c>
      <c r="AJ1105" s="26">
        <v>0.97823394089541671</v>
      </c>
      <c r="AK1105" s="26">
        <v>0.98346875875595408</v>
      </c>
      <c r="AL1105" s="26">
        <v>0.97804114490160998</v>
      </c>
      <c r="AM1105" s="25">
        <v>0.99</v>
      </c>
      <c r="AN1105" s="30">
        <v>1</v>
      </c>
      <c r="AO1105" s="30">
        <v>1</v>
      </c>
      <c r="AP1105" s="30">
        <v>1</v>
      </c>
      <c r="AQ1105" s="30">
        <v>1</v>
      </c>
      <c r="AR1105" s="50">
        <v>7.2186152540827803E-2</v>
      </c>
      <c r="AS1105" s="34">
        <v>4.5454545454545456E-2</v>
      </c>
      <c r="AT1105" s="34">
        <v>4.5454545454545456E-2</v>
      </c>
      <c r="AU1105" s="34">
        <v>0.05</v>
      </c>
      <c r="AV1105" s="34">
        <v>3.0674846625766871E-2</v>
      </c>
      <c r="AW1105" s="10"/>
      <c r="AX1105" s="8"/>
    </row>
    <row r="1106" spans="1:50">
      <c r="A1106" s="7"/>
      <c r="B1106" s="10"/>
      <c r="C1106" s="45" t="s">
        <v>1100</v>
      </c>
      <c r="D1106" s="23" t="s">
        <v>25</v>
      </c>
      <c r="E1106" s="83" t="s">
        <v>1150</v>
      </c>
      <c r="F1106" s="83" t="s">
        <v>1150</v>
      </c>
      <c r="G1106" s="83" t="s">
        <v>1150</v>
      </c>
      <c r="H1106" s="83" t="s">
        <v>1150</v>
      </c>
      <c r="I1106" s="25">
        <v>0.9</v>
      </c>
      <c r="J1106" s="26">
        <v>0.9375</v>
      </c>
      <c r="K1106" s="26">
        <v>0.90476190476190477</v>
      </c>
      <c r="L1106" s="27">
        <v>0.95454545454545459</v>
      </c>
      <c r="M1106" s="26">
        <v>0.9192913385826772</v>
      </c>
      <c r="N1106" s="28">
        <v>0.9</v>
      </c>
      <c r="O1106" s="26">
        <v>0.97118748713727099</v>
      </c>
      <c r="P1106" s="26">
        <v>0.96842305497431991</v>
      </c>
      <c r="Q1106" s="26">
        <v>0.95109828443161781</v>
      </c>
      <c r="R1106" s="26">
        <v>0.96803292830207277</v>
      </c>
      <c r="S1106" s="28">
        <v>0.9</v>
      </c>
      <c r="T1106" s="26">
        <v>0.81786375797489197</v>
      </c>
      <c r="U1106" s="26">
        <v>0.84553928095872166</v>
      </c>
      <c r="V1106" s="26">
        <v>0.8425525092191759</v>
      </c>
      <c r="W1106" s="26">
        <v>0.87085007270845138</v>
      </c>
      <c r="X1106" s="28">
        <v>0.92</v>
      </c>
      <c r="Y1106" s="28">
        <v>0</v>
      </c>
      <c r="Z1106" s="28">
        <v>0</v>
      </c>
      <c r="AA1106" s="28">
        <v>0</v>
      </c>
      <c r="AB1106" s="28">
        <v>0</v>
      </c>
      <c r="AC1106" s="28">
        <v>0.92</v>
      </c>
      <c r="AD1106" s="26">
        <v>1</v>
      </c>
      <c r="AE1106" s="26">
        <v>1</v>
      </c>
      <c r="AF1106" s="26">
        <v>1</v>
      </c>
      <c r="AG1106" s="26">
        <v>1</v>
      </c>
      <c r="AH1106" s="28">
        <v>0.92</v>
      </c>
      <c r="AI1106" s="26">
        <v>0.91664951636139125</v>
      </c>
      <c r="AJ1106" s="26">
        <v>0.95320525014266688</v>
      </c>
      <c r="AK1106" s="26">
        <v>0.96200096200096197</v>
      </c>
      <c r="AL1106" s="26">
        <v>0.95504399477485025</v>
      </c>
      <c r="AM1106" s="25">
        <v>0.99</v>
      </c>
      <c r="AN1106" s="30">
        <v>1</v>
      </c>
      <c r="AO1106" s="30">
        <v>1</v>
      </c>
      <c r="AP1106" s="30">
        <v>1</v>
      </c>
      <c r="AQ1106" s="30">
        <v>1</v>
      </c>
      <c r="AR1106" s="50">
        <v>7.2186152540827803E-2</v>
      </c>
      <c r="AS1106" s="34">
        <v>0.125</v>
      </c>
      <c r="AT1106" s="34">
        <v>0.25</v>
      </c>
      <c r="AU1106" s="34">
        <v>0</v>
      </c>
      <c r="AV1106" s="34">
        <v>8.943089430894309E-2</v>
      </c>
      <c r="AW1106" s="10"/>
      <c r="AX1106" s="8"/>
    </row>
    <row r="1107" spans="1:50">
      <c r="A1107" s="7"/>
      <c r="B1107" s="10"/>
      <c r="C1107" s="45" t="s">
        <v>1100</v>
      </c>
      <c r="D1107" s="23" t="s">
        <v>25</v>
      </c>
      <c r="E1107" s="83" t="s">
        <v>1151</v>
      </c>
      <c r="F1107" s="83" t="s">
        <v>1151</v>
      </c>
      <c r="G1107" s="83" t="s">
        <v>1151</v>
      </c>
      <c r="H1107" s="83" t="s">
        <v>1151</v>
      </c>
      <c r="I1107" s="25">
        <v>0.9</v>
      </c>
      <c r="J1107" s="26">
        <v>0.87234042553191493</v>
      </c>
      <c r="K1107" s="26">
        <v>0.8125</v>
      </c>
      <c r="L1107" s="27">
        <v>0.82692307692307687</v>
      </c>
      <c r="M1107" s="26">
        <v>0.83464566929133854</v>
      </c>
      <c r="N1107" s="28">
        <v>0.9</v>
      </c>
      <c r="O1107" s="26">
        <v>0.94514637904468413</v>
      </c>
      <c r="P1107" s="26">
        <v>0.95255271920088791</v>
      </c>
      <c r="Q1107" s="26">
        <v>0.85855338691159588</v>
      </c>
      <c r="R1107" s="26">
        <v>0.9155593964927442</v>
      </c>
      <c r="S1107" s="28">
        <v>0.9</v>
      </c>
      <c r="T1107" s="26">
        <v>0.80277349768875195</v>
      </c>
      <c r="U1107" s="26">
        <v>0.81021087680355164</v>
      </c>
      <c r="V1107" s="26">
        <v>0.74121699196326063</v>
      </c>
      <c r="W1107" s="26">
        <v>0.81430268985632492</v>
      </c>
      <c r="X1107" s="28">
        <v>0.92</v>
      </c>
      <c r="Y1107" s="28">
        <v>0</v>
      </c>
      <c r="Z1107" s="28">
        <v>0</v>
      </c>
      <c r="AA1107" s="28">
        <v>0</v>
      </c>
      <c r="AB1107" s="28">
        <v>0</v>
      </c>
      <c r="AC1107" s="28">
        <v>0.92</v>
      </c>
      <c r="AD1107" s="26">
        <v>0.98984771573604058</v>
      </c>
      <c r="AE1107" s="26">
        <v>0.82967032967032972</v>
      </c>
      <c r="AF1107" s="26">
        <v>0.97674418604651159</v>
      </c>
      <c r="AG1107" s="26">
        <v>0.96767676767676769</v>
      </c>
      <c r="AH1107" s="28">
        <v>0.92</v>
      </c>
      <c r="AI1107" s="26">
        <v>0.92881355932203391</v>
      </c>
      <c r="AJ1107" s="26">
        <v>0.93951165371809098</v>
      </c>
      <c r="AK1107" s="26">
        <v>0.95407577497129736</v>
      </c>
      <c r="AL1107" s="26">
        <v>0.9523620913149935</v>
      </c>
      <c r="AM1107" s="25">
        <v>0.99</v>
      </c>
      <c r="AN1107" s="30">
        <v>1</v>
      </c>
      <c r="AO1107" s="30">
        <v>1</v>
      </c>
      <c r="AP1107" s="30">
        <v>1</v>
      </c>
      <c r="AQ1107" s="30">
        <v>1</v>
      </c>
      <c r="AR1107" s="50">
        <v>7.2186152540827803E-2</v>
      </c>
      <c r="AS1107" s="34">
        <v>0</v>
      </c>
      <c r="AT1107" s="34">
        <v>9.0909090909090912E-2</v>
      </c>
      <c r="AU1107" s="34">
        <v>0</v>
      </c>
      <c r="AV1107" s="34">
        <v>5.4545454545454543E-2</v>
      </c>
      <c r="AW1107" s="10"/>
      <c r="AX1107" s="8"/>
    </row>
    <row r="1108" spans="1:50">
      <c r="A1108" s="7"/>
      <c r="B1108" s="10"/>
      <c r="C1108" s="45" t="s">
        <v>1100</v>
      </c>
      <c r="D1108" s="23" t="s">
        <v>25</v>
      </c>
      <c r="E1108" s="83" t="s">
        <v>1152</v>
      </c>
      <c r="F1108" s="83" t="s">
        <v>1152</v>
      </c>
      <c r="G1108" s="83" t="s">
        <v>1152</v>
      </c>
      <c r="H1108" s="83" t="s">
        <v>1152</v>
      </c>
      <c r="I1108" s="25">
        <v>0.9</v>
      </c>
      <c r="J1108" s="26">
        <v>0.82</v>
      </c>
      <c r="K1108" s="26">
        <v>0.84615384615384615</v>
      </c>
      <c r="L1108" s="27">
        <v>0.84210526315789469</v>
      </c>
      <c r="M1108" s="26">
        <v>0.82701421800947872</v>
      </c>
      <c r="N1108" s="28">
        <v>0.9</v>
      </c>
      <c r="O1108" s="26">
        <v>0.98856251624642577</v>
      </c>
      <c r="P1108" s="26">
        <v>0.99439161180199953</v>
      </c>
      <c r="Q1108" s="26">
        <v>0.99087663625545419</v>
      </c>
      <c r="R1108" s="26">
        <v>0.97628726287262868</v>
      </c>
      <c r="S1108" s="28">
        <v>0.9</v>
      </c>
      <c r="T1108" s="26">
        <v>0.85131271120353524</v>
      </c>
      <c r="U1108" s="26">
        <v>0.92757863935625462</v>
      </c>
      <c r="V1108" s="26">
        <v>0.91987306624355414</v>
      </c>
      <c r="W1108" s="26">
        <v>0.90022172949002222</v>
      </c>
      <c r="X1108" s="28">
        <v>0.92</v>
      </c>
      <c r="Y1108" s="28">
        <v>0</v>
      </c>
      <c r="Z1108" s="28">
        <v>0</v>
      </c>
      <c r="AA1108" s="28">
        <v>0</v>
      </c>
      <c r="AB1108" s="28">
        <v>0</v>
      </c>
      <c r="AC1108" s="28">
        <v>0.92</v>
      </c>
      <c r="AD1108" s="26">
        <v>1</v>
      </c>
      <c r="AE1108" s="26">
        <v>0.99616858237547889</v>
      </c>
      <c r="AF1108" s="26">
        <v>0.994991652754591</v>
      </c>
      <c r="AG1108" s="26">
        <v>0.99563619660082681</v>
      </c>
      <c r="AH1108" s="28">
        <v>0.92</v>
      </c>
      <c r="AI1108" s="26">
        <v>0.9261762412269301</v>
      </c>
      <c r="AJ1108" s="26">
        <v>0.96586198488173614</v>
      </c>
      <c r="AK1108" s="26">
        <v>0.96945656485521614</v>
      </c>
      <c r="AL1108" s="26">
        <v>0.95953436807095349</v>
      </c>
      <c r="AM1108" s="25">
        <v>0.99</v>
      </c>
      <c r="AN1108" s="30">
        <v>1</v>
      </c>
      <c r="AO1108" s="30">
        <v>1</v>
      </c>
      <c r="AP1108" s="30">
        <v>1</v>
      </c>
      <c r="AQ1108" s="30">
        <v>1</v>
      </c>
      <c r="AR1108" s="50">
        <v>7.2186152540827803E-2</v>
      </c>
      <c r="AS1108" s="34">
        <v>0</v>
      </c>
      <c r="AT1108" s="34">
        <v>0</v>
      </c>
      <c r="AU1108" s="34">
        <v>7.6923076923076927E-2</v>
      </c>
      <c r="AV1108" s="34">
        <v>2.3809523809523808E-2</v>
      </c>
      <c r="AW1108" s="10"/>
      <c r="AX1108" s="8"/>
    </row>
    <row r="1109" spans="1:50">
      <c r="A1109" s="7"/>
      <c r="B1109" s="10"/>
      <c r="C1109" s="45" t="s">
        <v>1100</v>
      </c>
      <c r="D1109" s="23" t="s">
        <v>25</v>
      </c>
      <c r="E1109" s="83" t="s">
        <v>1153</v>
      </c>
      <c r="F1109" s="83" t="s">
        <v>1153</v>
      </c>
      <c r="G1109" s="83" t="s">
        <v>1153</v>
      </c>
      <c r="H1109" s="83" t="s">
        <v>1153</v>
      </c>
      <c r="I1109" s="25">
        <v>0.9</v>
      </c>
      <c r="J1109" s="26">
        <v>0.97142857142857142</v>
      </c>
      <c r="K1109" s="26">
        <v>1</v>
      </c>
      <c r="L1109" s="27">
        <v>1</v>
      </c>
      <c r="M1109" s="26">
        <v>0.96</v>
      </c>
      <c r="N1109" s="28">
        <v>0.9</v>
      </c>
      <c r="O1109" s="26">
        <v>0.96121804079287565</v>
      </c>
      <c r="P1109" s="26">
        <v>0.97826086956521741</v>
      </c>
      <c r="Q1109" s="26">
        <v>0.85964912280701755</v>
      </c>
      <c r="R1109" s="26">
        <v>0.93994925288976605</v>
      </c>
      <c r="S1109" s="28">
        <v>0.9</v>
      </c>
      <c r="T1109" s="26">
        <v>0.80206837115771334</v>
      </c>
      <c r="U1109" s="26">
        <v>0.82720178372352282</v>
      </c>
      <c r="V1109" s="26">
        <v>0.72862536087053076</v>
      </c>
      <c r="W1109" s="26">
        <v>0.78883563574851989</v>
      </c>
      <c r="X1109" s="28">
        <v>0.92</v>
      </c>
      <c r="Y1109" s="28">
        <v>0</v>
      </c>
      <c r="Z1109" s="28">
        <v>0</v>
      </c>
      <c r="AA1109" s="28">
        <v>0</v>
      </c>
      <c r="AB1109" s="28">
        <v>0</v>
      </c>
      <c r="AC1109" s="28">
        <v>0.92</v>
      </c>
      <c r="AD1109" s="26">
        <v>0.98840579710144927</v>
      </c>
      <c r="AE1109" s="26">
        <v>0.98064516129032253</v>
      </c>
      <c r="AF1109" s="26">
        <v>0.99669966996699666</v>
      </c>
      <c r="AG1109" s="26">
        <v>0.98877374784110539</v>
      </c>
      <c r="AH1109" s="28">
        <v>0.92</v>
      </c>
      <c r="AI1109" s="26">
        <v>0.90634875035909224</v>
      </c>
      <c r="AJ1109" s="26">
        <v>0.9300445930880713</v>
      </c>
      <c r="AK1109" s="26">
        <v>0.9005107705973795</v>
      </c>
      <c r="AL1109" s="26">
        <v>0.92560614603890612</v>
      </c>
      <c r="AM1109" s="25">
        <v>0.99</v>
      </c>
      <c r="AN1109" s="30">
        <v>1</v>
      </c>
      <c r="AO1109" s="30">
        <v>1</v>
      </c>
      <c r="AP1109" s="30">
        <v>1</v>
      </c>
      <c r="AQ1109" s="30">
        <v>1</v>
      </c>
      <c r="AR1109" s="50">
        <v>7.2186152540827803E-2</v>
      </c>
      <c r="AS1109" s="34">
        <v>0</v>
      </c>
      <c r="AT1109" s="34">
        <v>0</v>
      </c>
      <c r="AU1109" s="34">
        <v>0.23076923076923078</v>
      </c>
      <c r="AV1109" s="34">
        <v>6.0606060606060608E-2</v>
      </c>
      <c r="AW1109" s="10"/>
      <c r="AX1109" s="8"/>
    </row>
    <row r="1110" spans="1:50">
      <c r="A1110" s="7"/>
      <c r="B1110" s="10"/>
      <c r="C1110" s="45" t="s">
        <v>1100</v>
      </c>
      <c r="D1110" s="23" t="s">
        <v>25</v>
      </c>
      <c r="E1110" s="83" t="s">
        <v>1154</v>
      </c>
      <c r="F1110" s="83" t="s">
        <v>1154</v>
      </c>
      <c r="G1110" s="83" t="s">
        <v>1154</v>
      </c>
      <c r="H1110" s="83" t="s">
        <v>1154</v>
      </c>
      <c r="I1110" s="25">
        <v>0.9</v>
      </c>
      <c r="J1110" s="26">
        <v>1</v>
      </c>
      <c r="K1110" s="26">
        <v>0.95</v>
      </c>
      <c r="L1110" s="27">
        <v>0.97619047619047616</v>
      </c>
      <c r="M1110" s="26">
        <v>0.98417721518987344</v>
      </c>
      <c r="N1110" s="28">
        <v>0.9</v>
      </c>
      <c r="O1110" s="26">
        <v>0.9814175736660472</v>
      </c>
      <c r="P1110" s="26">
        <v>0.9807463750891372</v>
      </c>
      <c r="Q1110" s="26">
        <v>0.94928966061562747</v>
      </c>
      <c r="R1110" s="26">
        <v>0.97408764940239045</v>
      </c>
      <c r="S1110" s="28">
        <v>0.9</v>
      </c>
      <c r="T1110" s="26">
        <v>0.950358375365012</v>
      </c>
      <c r="U1110" s="26">
        <v>0.95246018540527688</v>
      </c>
      <c r="V1110" s="26">
        <v>0.91633780584056823</v>
      </c>
      <c r="W1110" s="26">
        <v>0.93829482071713144</v>
      </c>
      <c r="X1110" s="28">
        <v>0.92</v>
      </c>
      <c r="Y1110" s="28">
        <v>0</v>
      </c>
      <c r="Z1110" s="28">
        <v>1</v>
      </c>
      <c r="AA1110" s="28">
        <v>0</v>
      </c>
      <c r="AB1110" s="28">
        <v>0.5</v>
      </c>
      <c r="AC1110" s="28">
        <v>0.92</v>
      </c>
      <c r="AD1110" s="26">
        <v>1</v>
      </c>
      <c r="AE1110" s="26">
        <v>1</v>
      </c>
      <c r="AF1110" s="26">
        <v>1</v>
      </c>
      <c r="AG1110" s="26">
        <v>0.99966021066938493</v>
      </c>
      <c r="AH1110" s="28">
        <v>0.92</v>
      </c>
      <c r="AI1110" s="26">
        <v>0.9678874734607219</v>
      </c>
      <c r="AJ1110" s="26">
        <v>0.98098859315589348</v>
      </c>
      <c r="AK1110" s="26">
        <v>0.97178374112075772</v>
      </c>
      <c r="AL1110" s="26">
        <v>0.97265512955349465</v>
      </c>
      <c r="AM1110" s="25">
        <v>0.99</v>
      </c>
      <c r="AN1110" s="30">
        <v>1</v>
      </c>
      <c r="AO1110" s="30">
        <v>1</v>
      </c>
      <c r="AP1110" s="30">
        <v>1</v>
      </c>
      <c r="AQ1110" s="30">
        <v>1</v>
      </c>
      <c r="AR1110" s="50">
        <v>7.2186152540827803E-2</v>
      </c>
      <c r="AS1110" s="34">
        <v>0.1</v>
      </c>
      <c r="AT1110" s="34">
        <v>0</v>
      </c>
      <c r="AU1110" s="34">
        <v>0</v>
      </c>
      <c r="AV1110" s="34">
        <v>4.6153846153846156E-2</v>
      </c>
      <c r="AW1110" s="10"/>
      <c r="AX1110" s="8"/>
    </row>
    <row r="1111" spans="1:50">
      <c r="A1111" s="7"/>
      <c r="B1111" s="10"/>
      <c r="C1111" s="45" t="s">
        <v>1100</v>
      </c>
      <c r="D1111" s="23" t="s">
        <v>25</v>
      </c>
      <c r="E1111" s="83" t="s">
        <v>1155</v>
      </c>
      <c r="F1111" s="83" t="s">
        <v>1155</v>
      </c>
      <c r="G1111" s="83" t="s">
        <v>1155</v>
      </c>
      <c r="H1111" s="83" t="s">
        <v>1155</v>
      </c>
      <c r="I1111" s="25">
        <v>0.9</v>
      </c>
      <c r="J1111" s="26">
        <v>0.95833333333333337</v>
      </c>
      <c r="K1111" s="26">
        <v>0.8571428571428571</v>
      </c>
      <c r="L1111" s="27">
        <v>1</v>
      </c>
      <c r="M1111" s="26">
        <v>0.93902439024390238</v>
      </c>
      <c r="N1111" s="28">
        <v>0.9</v>
      </c>
      <c r="O1111" s="26">
        <v>0.98104008667388953</v>
      </c>
      <c r="P1111" s="26">
        <v>0.92078708375378404</v>
      </c>
      <c r="Q1111" s="26">
        <v>0.97476340694006314</v>
      </c>
      <c r="R1111" s="26">
        <v>0.94267150773934649</v>
      </c>
      <c r="S1111" s="28">
        <v>0.9</v>
      </c>
      <c r="T1111" s="26">
        <v>0.93120260021668477</v>
      </c>
      <c r="U1111" s="26">
        <v>0.90262361251261347</v>
      </c>
      <c r="V1111" s="26">
        <v>0.89353312302839116</v>
      </c>
      <c r="W1111" s="26">
        <v>0.87890948468055285</v>
      </c>
      <c r="X1111" s="28">
        <v>0.92</v>
      </c>
      <c r="Y1111" s="28">
        <v>1</v>
      </c>
      <c r="Z1111" s="28">
        <v>0</v>
      </c>
      <c r="AA1111" s="28">
        <v>0</v>
      </c>
      <c r="AB1111" s="28">
        <v>1</v>
      </c>
      <c r="AC1111" s="28">
        <v>0.92</v>
      </c>
      <c r="AD1111" s="26">
        <v>1</v>
      </c>
      <c r="AE1111" s="26">
        <v>1</v>
      </c>
      <c r="AF1111" s="26">
        <v>0.99578059071729963</v>
      </c>
      <c r="AG1111" s="26">
        <v>0.99959216965742248</v>
      </c>
      <c r="AH1111" s="28">
        <v>0.92</v>
      </c>
      <c r="AI1111" s="26">
        <v>0.95560368164591225</v>
      </c>
      <c r="AJ1111" s="26">
        <v>0.93844601412714435</v>
      </c>
      <c r="AK1111" s="26">
        <v>0.96608832807570977</v>
      </c>
      <c r="AL1111" s="26">
        <v>0.94216560509554137</v>
      </c>
      <c r="AM1111" s="25">
        <v>0.99</v>
      </c>
      <c r="AN1111" s="30">
        <v>0</v>
      </c>
      <c r="AO1111" s="30">
        <v>1</v>
      </c>
      <c r="AP1111" s="30">
        <v>1</v>
      </c>
      <c r="AQ1111" s="30">
        <v>1</v>
      </c>
      <c r="AR1111" s="50">
        <v>7.2186152540827803E-2</v>
      </c>
      <c r="AS1111" s="34">
        <v>0</v>
      </c>
      <c r="AT1111" s="34">
        <v>0</v>
      </c>
      <c r="AU1111" s="34">
        <v>0</v>
      </c>
      <c r="AV1111" s="34">
        <v>9.0909090909090912E-2</v>
      </c>
      <c r="AW1111" s="10"/>
      <c r="AX1111" s="8"/>
    </row>
    <row r="1112" spans="1:50">
      <c r="A1112" s="7"/>
      <c r="B1112" s="10"/>
      <c r="C1112" s="45" t="s">
        <v>1100</v>
      </c>
      <c r="D1112" s="23" t="s">
        <v>25</v>
      </c>
      <c r="E1112" s="83" t="s">
        <v>1156</v>
      </c>
      <c r="F1112" s="83" t="s">
        <v>1156</v>
      </c>
      <c r="G1112" s="83" t="s">
        <v>1156</v>
      </c>
      <c r="H1112" s="83" t="s">
        <v>1156</v>
      </c>
      <c r="I1112" s="25">
        <v>0.9</v>
      </c>
      <c r="J1112" s="26">
        <v>0.95652173913043481</v>
      </c>
      <c r="K1112" s="26">
        <v>1</v>
      </c>
      <c r="L1112" s="27">
        <v>1</v>
      </c>
      <c r="M1112" s="26">
        <v>0.98369565217391308</v>
      </c>
      <c r="N1112" s="28">
        <v>0.9</v>
      </c>
      <c r="O1112" s="26">
        <v>0.97655502392344495</v>
      </c>
      <c r="P1112" s="26">
        <v>0.98923283983849264</v>
      </c>
      <c r="Q1112" s="26">
        <v>0.98257968865826539</v>
      </c>
      <c r="R1112" s="26">
        <v>0.98208069394510078</v>
      </c>
      <c r="S1112" s="28">
        <v>0.9</v>
      </c>
      <c r="T1112" s="26">
        <v>0.92775119617224877</v>
      </c>
      <c r="U1112" s="26">
        <v>0.95334230596680125</v>
      </c>
      <c r="V1112" s="26">
        <v>0.94477390659747962</v>
      </c>
      <c r="W1112" s="26">
        <v>0.93517091822176568</v>
      </c>
      <c r="X1112" s="28">
        <v>0.92</v>
      </c>
      <c r="Y1112" s="28">
        <v>0</v>
      </c>
      <c r="Z1112" s="28">
        <v>0</v>
      </c>
      <c r="AA1112" s="28">
        <v>0</v>
      </c>
      <c r="AB1112" s="28">
        <v>0</v>
      </c>
      <c r="AC1112" s="28">
        <v>0.92</v>
      </c>
      <c r="AD1112" s="26">
        <v>0.99022801302931596</v>
      </c>
      <c r="AE1112" s="26">
        <v>0.98717948717948723</v>
      </c>
      <c r="AF1112" s="26">
        <v>0.99356913183279738</v>
      </c>
      <c r="AG1112" s="26">
        <v>0.99184397163120563</v>
      </c>
      <c r="AH1112" s="28">
        <v>0.92</v>
      </c>
      <c r="AI1112" s="26">
        <v>0.95454545454545459</v>
      </c>
      <c r="AJ1112" s="26">
        <v>0.97936294302377747</v>
      </c>
      <c r="AK1112" s="26">
        <v>0.98295033358042994</v>
      </c>
      <c r="AL1112" s="26">
        <v>0.96895508759915538</v>
      </c>
      <c r="AM1112" s="25">
        <v>0.99</v>
      </c>
      <c r="AN1112" s="30">
        <v>1</v>
      </c>
      <c r="AO1112" s="30">
        <v>1</v>
      </c>
      <c r="AP1112" s="30">
        <v>1</v>
      </c>
      <c r="AQ1112" s="30">
        <v>1</v>
      </c>
      <c r="AR1112" s="50">
        <v>7.2186152540827803E-2</v>
      </c>
      <c r="AS1112" s="34">
        <v>0.125</v>
      </c>
      <c r="AT1112" s="34">
        <v>0</v>
      </c>
      <c r="AU1112" s="34">
        <v>0</v>
      </c>
      <c r="AV1112" s="34">
        <v>2.2727272727272728E-2</v>
      </c>
      <c r="AW1112" s="10"/>
      <c r="AX1112" s="8"/>
    </row>
    <row r="1113" spans="1:50">
      <c r="A1113" s="7"/>
      <c r="B1113" s="10"/>
      <c r="C1113" s="45" t="s">
        <v>1100</v>
      </c>
      <c r="D1113" s="23" t="s">
        <v>25</v>
      </c>
      <c r="E1113" s="83" t="s">
        <v>1157</v>
      </c>
      <c r="F1113" s="83" t="s">
        <v>1157</v>
      </c>
      <c r="G1113" s="83" t="s">
        <v>1157</v>
      </c>
      <c r="H1113" s="83" t="s">
        <v>1157</v>
      </c>
      <c r="I1113" s="25">
        <v>0.9</v>
      </c>
      <c r="J1113" s="26">
        <v>0.87022900763358779</v>
      </c>
      <c r="K1113" s="26">
        <v>0.86131386861313863</v>
      </c>
      <c r="L1113" s="27">
        <v>0.84563758389261745</v>
      </c>
      <c r="M1113" s="26">
        <v>0.84694835680751168</v>
      </c>
      <c r="N1113" s="28">
        <v>0.9</v>
      </c>
      <c r="O1113" s="26">
        <v>0.90400903444381708</v>
      </c>
      <c r="P1113" s="26">
        <v>0.93625813258308421</v>
      </c>
      <c r="Q1113" s="26">
        <v>0.91923403052572072</v>
      </c>
      <c r="R1113" s="26">
        <v>0.91431174908878188</v>
      </c>
      <c r="S1113" s="28">
        <v>0.9</v>
      </c>
      <c r="T1113" s="26">
        <v>0.73414266892527758</v>
      </c>
      <c r="U1113" s="26">
        <v>0.81528046421663447</v>
      </c>
      <c r="V1113" s="26">
        <v>0.76724137931034486</v>
      </c>
      <c r="W1113" s="26">
        <v>0.77481663141790036</v>
      </c>
      <c r="X1113" s="28">
        <v>0.92</v>
      </c>
      <c r="Y1113" s="28">
        <v>0</v>
      </c>
      <c r="Z1113" s="28">
        <v>0</v>
      </c>
      <c r="AA1113" s="28">
        <v>0</v>
      </c>
      <c r="AB1113" s="28">
        <v>0</v>
      </c>
      <c r="AC1113" s="28">
        <v>0.92</v>
      </c>
      <c r="AD1113" s="26">
        <v>1</v>
      </c>
      <c r="AE1113" s="26">
        <v>0.99385749385749389</v>
      </c>
      <c r="AF1113" s="26">
        <v>0.98963730569948183</v>
      </c>
      <c r="AG1113" s="26">
        <v>0.99556010928961747</v>
      </c>
      <c r="AH1113" s="28">
        <v>0.92</v>
      </c>
      <c r="AI1113" s="26">
        <v>0.90866334305333463</v>
      </c>
      <c r="AJ1113" s="26">
        <v>0.93432389660629511</v>
      </c>
      <c r="AK1113" s="26">
        <v>0.95696721311475408</v>
      </c>
      <c r="AL1113" s="26">
        <v>0.94419384231188908</v>
      </c>
      <c r="AM1113" s="25">
        <v>0.99</v>
      </c>
      <c r="AN1113" s="30">
        <v>1</v>
      </c>
      <c r="AO1113" s="30">
        <v>1</v>
      </c>
      <c r="AP1113" s="30">
        <v>1</v>
      </c>
      <c r="AQ1113" s="30">
        <v>1</v>
      </c>
      <c r="AR1113" s="50">
        <v>7.2186152540827803E-2</v>
      </c>
      <c r="AS1113" s="34">
        <v>0.05</v>
      </c>
      <c r="AT1113" s="34">
        <v>8.1081081081081086E-2</v>
      </c>
      <c r="AU1113" s="34">
        <v>0</v>
      </c>
      <c r="AV1113" s="34">
        <v>7.4999999999999997E-2</v>
      </c>
      <c r="AW1113" s="10"/>
      <c r="AX1113" s="8"/>
    </row>
    <row r="1114" spans="1:50">
      <c r="A1114" s="7"/>
      <c r="B1114" s="10"/>
      <c r="C1114" s="45" t="s">
        <v>1100</v>
      </c>
      <c r="D1114" s="23" t="s">
        <v>25</v>
      </c>
      <c r="E1114" s="83" t="s">
        <v>1158</v>
      </c>
      <c r="F1114" s="83" t="s">
        <v>1158</v>
      </c>
      <c r="G1114" s="83" t="s">
        <v>1158</v>
      </c>
      <c r="H1114" s="83" t="s">
        <v>1158</v>
      </c>
      <c r="I1114" s="25">
        <v>0.9</v>
      </c>
      <c r="J1114" s="26">
        <v>0.82926829268292679</v>
      </c>
      <c r="K1114" s="26">
        <v>0.78787878787878785</v>
      </c>
      <c r="L1114" s="27">
        <v>0.72727272727272729</v>
      </c>
      <c r="M1114" s="26">
        <v>0.77287066246056779</v>
      </c>
      <c r="N1114" s="28">
        <v>0.9</v>
      </c>
      <c r="O1114" s="26">
        <v>0.9271948608137045</v>
      </c>
      <c r="P1114" s="26">
        <v>0.86982643524699599</v>
      </c>
      <c r="Q1114" s="26">
        <v>0.92912705272255836</v>
      </c>
      <c r="R1114" s="26">
        <v>0.8987820428263642</v>
      </c>
      <c r="S1114" s="28">
        <v>0.9</v>
      </c>
      <c r="T1114" s="26">
        <v>0.67166309778729483</v>
      </c>
      <c r="U1114" s="26">
        <v>0.66388518024032039</v>
      </c>
      <c r="V1114" s="26">
        <v>0.70267934312878133</v>
      </c>
      <c r="W1114" s="26">
        <v>0.71274677922877372</v>
      </c>
      <c r="X1114" s="28">
        <v>0.92</v>
      </c>
      <c r="Y1114" s="28">
        <v>0</v>
      </c>
      <c r="Z1114" s="28">
        <v>0</v>
      </c>
      <c r="AA1114" s="28">
        <v>0</v>
      </c>
      <c r="AB1114" s="28">
        <v>0</v>
      </c>
      <c r="AC1114" s="28">
        <v>0.92</v>
      </c>
      <c r="AD1114" s="26">
        <v>0.97638888888888886</v>
      </c>
      <c r="AE1114" s="26">
        <v>0.98900091659028411</v>
      </c>
      <c r="AF1114" s="26">
        <v>0.99354838709677418</v>
      </c>
      <c r="AG1114" s="26">
        <v>0.99188023344328846</v>
      </c>
      <c r="AH1114" s="28">
        <v>0.92</v>
      </c>
      <c r="AI1114" s="26">
        <v>0.82905067808708066</v>
      </c>
      <c r="AJ1114" s="26">
        <v>0.78404539385847793</v>
      </c>
      <c r="AK1114" s="26">
        <v>0.90146931719965429</v>
      </c>
      <c r="AL1114" s="26">
        <v>0.86633249791144529</v>
      </c>
      <c r="AM1114" s="25">
        <v>0.99</v>
      </c>
      <c r="AN1114" s="30">
        <v>1</v>
      </c>
      <c r="AO1114" s="30">
        <v>1</v>
      </c>
      <c r="AP1114" s="30">
        <v>1</v>
      </c>
      <c r="AQ1114" s="30">
        <v>1</v>
      </c>
      <c r="AR1114" s="50">
        <v>7.2186152540827803E-2</v>
      </c>
      <c r="AS1114" s="34">
        <v>0</v>
      </c>
      <c r="AT1114" s="34">
        <v>0.5</v>
      </c>
      <c r="AU1114" s="34">
        <v>0.25</v>
      </c>
      <c r="AV1114" s="34">
        <v>0.125</v>
      </c>
      <c r="AW1114" s="10"/>
      <c r="AX1114" s="8"/>
    </row>
    <row r="1115" spans="1:50">
      <c r="A1115" s="7"/>
      <c r="B1115" s="10"/>
      <c r="C1115" s="45" t="s">
        <v>1100</v>
      </c>
      <c r="D1115" s="23" t="s">
        <v>25</v>
      </c>
      <c r="E1115" s="83" t="s">
        <v>1159</v>
      </c>
      <c r="F1115" s="83" t="s">
        <v>1159</v>
      </c>
      <c r="G1115" s="83" t="s">
        <v>1159</v>
      </c>
      <c r="H1115" s="83" t="s">
        <v>1159</v>
      </c>
      <c r="I1115" s="25">
        <v>0.9</v>
      </c>
      <c r="J1115" s="26">
        <v>1</v>
      </c>
      <c r="K1115" s="26">
        <v>0.97727272727272729</v>
      </c>
      <c r="L1115" s="27">
        <v>1</v>
      </c>
      <c r="M1115" s="26">
        <v>0.98461538461538467</v>
      </c>
      <c r="N1115" s="28">
        <v>0.9</v>
      </c>
      <c r="O1115" s="26">
        <v>0.98251366120218575</v>
      </c>
      <c r="P1115" s="26">
        <v>0.98347317569285531</v>
      </c>
      <c r="Q1115" s="26">
        <v>0.93402847403248446</v>
      </c>
      <c r="R1115" s="26">
        <v>0.96937899456262522</v>
      </c>
      <c r="S1115" s="28">
        <v>0.9</v>
      </c>
      <c r="T1115" s="26">
        <v>0.93579234972677594</v>
      </c>
      <c r="U1115" s="26">
        <v>0.94838545639460969</v>
      </c>
      <c r="V1115" s="26">
        <v>0.9324243031882895</v>
      </c>
      <c r="W1115" s="26">
        <v>0.9262297688320773</v>
      </c>
      <c r="X1115" s="28">
        <v>0.92</v>
      </c>
      <c r="Y1115" s="28">
        <v>0</v>
      </c>
      <c r="Z1115" s="28">
        <v>0</v>
      </c>
      <c r="AA1115" s="28">
        <v>0</v>
      </c>
      <c r="AB1115" s="28">
        <v>0</v>
      </c>
      <c r="AC1115" s="28">
        <v>0.92</v>
      </c>
      <c r="AD1115" s="26">
        <v>1</v>
      </c>
      <c r="AE1115" s="26">
        <v>1</v>
      </c>
      <c r="AF1115" s="26">
        <v>1</v>
      </c>
      <c r="AG1115" s="26">
        <v>0.99900924702774108</v>
      </c>
      <c r="AH1115" s="28">
        <v>0.92</v>
      </c>
      <c r="AI1115" s="26">
        <v>0.97024297024297024</v>
      </c>
      <c r="AJ1115" s="26">
        <v>0.97965929316043732</v>
      </c>
      <c r="AK1115" s="26">
        <v>0.98917184680168435</v>
      </c>
      <c r="AL1115" s="26">
        <v>0.98318125457031125</v>
      </c>
      <c r="AM1115" s="25">
        <v>0.99</v>
      </c>
      <c r="AN1115" s="30">
        <v>1</v>
      </c>
      <c r="AO1115" s="30">
        <v>1</v>
      </c>
      <c r="AP1115" s="30">
        <v>1</v>
      </c>
      <c r="AQ1115" s="30">
        <v>1</v>
      </c>
      <c r="AR1115" s="50">
        <v>7.2186152540827803E-2</v>
      </c>
      <c r="AS1115" s="34">
        <v>0</v>
      </c>
      <c r="AT1115" s="34">
        <v>0</v>
      </c>
      <c r="AU1115" s="34">
        <v>0</v>
      </c>
      <c r="AV1115" s="34">
        <v>3.5087719298245612E-2</v>
      </c>
      <c r="AW1115" s="10"/>
      <c r="AX1115" s="8"/>
    </row>
    <row r="1116" spans="1:50">
      <c r="A1116" s="7"/>
      <c r="B1116" s="10"/>
      <c r="C1116" s="45" t="s">
        <v>1100</v>
      </c>
      <c r="D1116" s="23" t="s">
        <v>25</v>
      </c>
      <c r="E1116" s="83" t="s">
        <v>1160</v>
      </c>
      <c r="F1116" s="83" t="s">
        <v>1160</v>
      </c>
      <c r="G1116" s="83" t="s">
        <v>1160</v>
      </c>
      <c r="H1116" s="83" t="s">
        <v>1160</v>
      </c>
      <c r="I1116" s="25">
        <v>0.9</v>
      </c>
      <c r="J1116" s="26">
        <v>0.75</v>
      </c>
      <c r="K1116" s="26">
        <v>0.76666666666666672</v>
      </c>
      <c r="L1116" s="27">
        <v>0.796875</v>
      </c>
      <c r="M1116" s="26">
        <v>0.78755364806866957</v>
      </c>
      <c r="N1116" s="28">
        <v>0.9</v>
      </c>
      <c r="O1116" s="26">
        <v>0.9164581328200192</v>
      </c>
      <c r="P1116" s="26">
        <v>0.93145089682116855</v>
      </c>
      <c r="Q1116" s="26">
        <v>0.81581272084805656</v>
      </c>
      <c r="R1116" s="26">
        <v>0.89810076983358689</v>
      </c>
      <c r="S1116" s="28">
        <v>0.9</v>
      </c>
      <c r="T1116" s="26">
        <v>0.84215591915303178</v>
      </c>
      <c r="U1116" s="26">
        <v>0.84620848872313981</v>
      </c>
      <c r="V1116" s="26">
        <v>0.79917550058892817</v>
      </c>
      <c r="W1116" s="26">
        <v>0.85363942285529892</v>
      </c>
      <c r="X1116" s="28">
        <v>0.92</v>
      </c>
      <c r="Y1116" s="28">
        <v>0</v>
      </c>
      <c r="Z1116" s="28">
        <v>0</v>
      </c>
      <c r="AA1116" s="28">
        <v>0</v>
      </c>
      <c r="AB1116" s="28">
        <v>0</v>
      </c>
      <c r="AC1116" s="28">
        <v>0.92</v>
      </c>
      <c r="AD1116" s="26">
        <v>0.99504950495049505</v>
      </c>
      <c r="AE1116" s="26">
        <v>0.93406593406593408</v>
      </c>
      <c r="AF1116" s="26">
        <v>1</v>
      </c>
      <c r="AG1116" s="26">
        <v>0.9872053872053872</v>
      </c>
      <c r="AH1116" s="28">
        <v>0.92</v>
      </c>
      <c r="AI1116" s="26">
        <v>0.95996150144369585</v>
      </c>
      <c r="AJ1116" s="26">
        <v>0.95329426389628835</v>
      </c>
      <c r="AK1116" s="26">
        <v>0.96819787985865724</v>
      </c>
      <c r="AL1116" s="26">
        <v>0.96819250449453742</v>
      </c>
      <c r="AM1116" s="25">
        <v>0.99</v>
      </c>
      <c r="AN1116" s="30">
        <v>1</v>
      </c>
      <c r="AO1116" s="30">
        <v>1</v>
      </c>
      <c r="AP1116" s="30">
        <v>1</v>
      </c>
      <c r="AQ1116" s="30">
        <v>1</v>
      </c>
      <c r="AR1116" s="50">
        <v>7.2186152540827803E-2</v>
      </c>
      <c r="AS1116" s="34">
        <v>8.3333333333333329E-2</v>
      </c>
      <c r="AT1116" s="34">
        <v>0</v>
      </c>
      <c r="AU1116" s="34">
        <v>0</v>
      </c>
      <c r="AV1116" s="34">
        <v>6.8493150684931503E-2</v>
      </c>
      <c r="AW1116" s="10"/>
      <c r="AX1116" s="8"/>
    </row>
    <row r="1117" spans="1:50">
      <c r="A1117" s="7"/>
      <c r="B1117" s="10"/>
      <c r="C1117" s="45" t="s">
        <v>1100</v>
      </c>
      <c r="D1117" s="23" t="s">
        <v>25</v>
      </c>
      <c r="E1117" s="83" t="s">
        <v>1161</v>
      </c>
      <c r="F1117" s="83" t="s">
        <v>1161</v>
      </c>
      <c r="G1117" s="83" t="s">
        <v>1161</v>
      </c>
      <c r="H1117" s="83" t="s">
        <v>1161</v>
      </c>
      <c r="I1117" s="25">
        <v>0.9</v>
      </c>
      <c r="J1117" s="26">
        <v>0.95121951219512191</v>
      </c>
      <c r="K1117" s="26">
        <v>0.95121951219512191</v>
      </c>
      <c r="L1117" s="27">
        <v>1</v>
      </c>
      <c r="M1117" s="26">
        <v>0.9375</v>
      </c>
      <c r="N1117" s="28">
        <v>0.9</v>
      </c>
      <c r="O1117" s="26">
        <v>0.90939293264874665</v>
      </c>
      <c r="P1117" s="26">
        <v>0.97811878374538219</v>
      </c>
      <c r="Q1117" s="26">
        <v>0.96302975653742107</v>
      </c>
      <c r="R1117" s="26">
        <v>0.93845770967397879</v>
      </c>
      <c r="S1117" s="28">
        <v>0.9</v>
      </c>
      <c r="T1117" s="26">
        <v>0.80821504077318029</v>
      </c>
      <c r="U1117" s="26">
        <v>0.82466609832338733</v>
      </c>
      <c r="V1117" s="26">
        <v>0.74481514878268706</v>
      </c>
      <c r="W1117" s="26">
        <v>0.77935791232623453</v>
      </c>
      <c r="X1117" s="28">
        <v>0.92</v>
      </c>
      <c r="Y1117" s="28">
        <v>0</v>
      </c>
      <c r="Z1117" s="28">
        <v>0</v>
      </c>
      <c r="AA1117" s="28">
        <v>0</v>
      </c>
      <c r="AB1117" s="28">
        <v>0</v>
      </c>
      <c r="AC1117" s="28">
        <v>0.92</v>
      </c>
      <c r="AD1117" s="26">
        <v>1</v>
      </c>
      <c r="AE1117" s="26">
        <v>1</v>
      </c>
      <c r="AF1117" s="26">
        <v>1</v>
      </c>
      <c r="AG1117" s="26">
        <v>1</v>
      </c>
      <c r="AH1117" s="28">
        <v>0.92</v>
      </c>
      <c r="AI1117" s="26">
        <v>0.8997281787979462</v>
      </c>
      <c r="AJ1117" s="26">
        <v>0.89485649332196648</v>
      </c>
      <c r="AK1117" s="26">
        <v>0.93372407574391347</v>
      </c>
      <c r="AL1117" s="26">
        <v>0.9032957656344438</v>
      </c>
      <c r="AM1117" s="25">
        <v>0.99</v>
      </c>
      <c r="AN1117" s="30">
        <v>1</v>
      </c>
      <c r="AO1117" s="30">
        <v>1</v>
      </c>
      <c r="AP1117" s="30">
        <v>1</v>
      </c>
      <c r="AQ1117" s="30">
        <v>1</v>
      </c>
      <c r="AR1117" s="50">
        <v>7.2186152540827803E-2</v>
      </c>
      <c r="AS1117" s="34">
        <v>0.1111111111111111</v>
      </c>
      <c r="AT1117" s="34">
        <v>0.2</v>
      </c>
      <c r="AU1117" s="34">
        <v>0</v>
      </c>
      <c r="AV1117" s="34">
        <v>0.14000000000000001</v>
      </c>
      <c r="AW1117" s="10"/>
      <c r="AX1117" s="8"/>
    </row>
    <row r="1118" spans="1:50">
      <c r="A1118" s="7"/>
      <c r="B1118" s="10"/>
      <c r="C1118" s="45" t="s">
        <v>1100</v>
      </c>
      <c r="D1118" s="23" t="s">
        <v>25</v>
      </c>
      <c r="E1118" s="83" t="s">
        <v>1162</v>
      </c>
      <c r="F1118" s="83" t="s">
        <v>1162</v>
      </c>
      <c r="G1118" s="83" t="s">
        <v>1162</v>
      </c>
      <c r="H1118" s="83" t="s">
        <v>1162</v>
      </c>
      <c r="I1118" s="25">
        <v>0.9</v>
      </c>
      <c r="J1118" s="26">
        <v>0.79411764705882348</v>
      </c>
      <c r="K1118" s="26">
        <v>0.81818181818181823</v>
      </c>
      <c r="L1118" s="27">
        <v>0.86842105263157898</v>
      </c>
      <c r="M1118" s="26">
        <v>0.77121771217712176</v>
      </c>
      <c r="N1118" s="28">
        <v>0.9</v>
      </c>
      <c r="O1118" s="26">
        <v>0.93533307362680174</v>
      </c>
      <c r="P1118" s="26">
        <v>0.96822563370224923</v>
      </c>
      <c r="Q1118" s="26">
        <v>0.88758092995879934</v>
      </c>
      <c r="R1118" s="26">
        <v>0.91804779782071244</v>
      </c>
      <c r="S1118" s="28">
        <v>0.9</v>
      </c>
      <c r="T1118" s="26">
        <v>0.73159329957148422</v>
      </c>
      <c r="U1118" s="26">
        <v>0.71010353445198149</v>
      </c>
      <c r="V1118" s="26">
        <v>0.73072395526780454</v>
      </c>
      <c r="W1118" s="26">
        <v>0.69325153374233128</v>
      </c>
      <c r="X1118" s="28">
        <v>0.92</v>
      </c>
      <c r="Y1118" s="28">
        <v>0</v>
      </c>
      <c r="Z1118" s="28">
        <v>0</v>
      </c>
      <c r="AA1118" s="28">
        <v>0</v>
      </c>
      <c r="AB1118" s="28">
        <v>1</v>
      </c>
      <c r="AC1118" s="28">
        <v>0.92</v>
      </c>
      <c r="AD1118" s="26">
        <v>1</v>
      </c>
      <c r="AE1118" s="26">
        <v>1</v>
      </c>
      <c r="AF1118" s="26">
        <v>0.98930481283422456</v>
      </c>
      <c r="AG1118" s="26">
        <v>0.99272833042466546</v>
      </c>
      <c r="AH1118" s="28">
        <v>0.92</v>
      </c>
      <c r="AI1118" s="26">
        <v>0.8422282820412933</v>
      </c>
      <c r="AJ1118" s="26">
        <v>0.84005712245626563</v>
      </c>
      <c r="AK1118" s="26">
        <v>0.91936433195997647</v>
      </c>
      <c r="AL1118" s="26">
        <v>0.88051091882983101</v>
      </c>
      <c r="AM1118" s="25">
        <v>0.99</v>
      </c>
      <c r="AN1118" s="30">
        <v>1</v>
      </c>
      <c r="AO1118" s="30">
        <v>1</v>
      </c>
      <c r="AP1118" s="30">
        <v>1</v>
      </c>
      <c r="AQ1118" s="30">
        <v>1</v>
      </c>
      <c r="AR1118" s="50">
        <v>7.2186152540827803E-2</v>
      </c>
      <c r="AS1118" s="34">
        <v>0</v>
      </c>
      <c r="AT1118" s="34">
        <v>0</v>
      </c>
      <c r="AU1118" s="34">
        <v>0.2</v>
      </c>
      <c r="AV1118" s="34">
        <v>0.10169491525423729</v>
      </c>
      <c r="AW1118" s="10"/>
      <c r="AX1118" s="8"/>
    </row>
    <row r="1119" spans="1:50">
      <c r="A1119" s="7"/>
      <c r="B1119" s="10"/>
      <c r="C1119" s="45" t="s">
        <v>1100</v>
      </c>
      <c r="D1119" s="23" t="s">
        <v>25</v>
      </c>
      <c r="E1119" s="83" t="s">
        <v>1163</v>
      </c>
      <c r="F1119" s="83" t="s">
        <v>1163</v>
      </c>
      <c r="G1119" s="83" t="s">
        <v>1163</v>
      </c>
      <c r="H1119" s="83" t="s">
        <v>1163</v>
      </c>
      <c r="I1119" s="25">
        <v>0.9</v>
      </c>
      <c r="J1119" s="26">
        <v>0.92592592592592593</v>
      </c>
      <c r="K1119" s="26">
        <v>0.91666666666666663</v>
      </c>
      <c r="L1119" s="27">
        <v>0.95161290322580649</v>
      </c>
      <c r="M1119" s="26">
        <v>0.91304347826086951</v>
      </c>
      <c r="N1119" s="28">
        <v>0.9</v>
      </c>
      <c r="O1119" s="26">
        <v>0.96227824463118583</v>
      </c>
      <c r="P1119" s="26">
        <v>0.98187154696132595</v>
      </c>
      <c r="Q1119" s="26">
        <v>0.90362308463411145</v>
      </c>
      <c r="R1119" s="26">
        <v>0.94681059010055812</v>
      </c>
      <c r="S1119" s="28">
        <v>0.9</v>
      </c>
      <c r="T1119" s="26">
        <v>0.80933706816059758</v>
      </c>
      <c r="U1119" s="26">
        <v>0.80127762430939231</v>
      </c>
      <c r="V1119" s="26">
        <v>0.79278247171702709</v>
      </c>
      <c r="W1119" s="26">
        <v>0.81625871467975586</v>
      </c>
      <c r="X1119" s="28">
        <v>0.92</v>
      </c>
      <c r="Y1119" s="28">
        <v>0</v>
      </c>
      <c r="Z1119" s="28">
        <v>0</v>
      </c>
      <c r="AA1119" s="28">
        <v>0</v>
      </c>
      <c r="AB1119" s="28">
        <v>0</v>
      </c>
      <c r="AC1119" s="28">
        <v>0.92</v>
      </c>
      <c r="AD1119" s="26">
        <v>0.99862258953168048</v>
      </c>
      <c r="AE1119" s="26">
        <v>0.99459093982420554</v>
      </c>
      <c r="AF1119" s="26">
        <v>0.99925760950259834</v>
      </c>
      <c r="AG1119" s="26">
        <v>0.99499788045782112</v>
      </c>
      <c r="AH1119" s="28">
        <v>0.92</v>
      </c>
      <c r="AI1119" s="26">
        <v>0.95238095238095233</v>
      </c>
      <c r="AJ1119" s="26">
        <v>0.95321132596685088</v>
      </c>
      <c r="AK1119" s="26">
        <v>0.96033223542889878</v>
      </c>
      <c r="AL1119" s="26">
        <v>0.95706187694112022</v>
      </c>
      <c r="AM1119" s="25">
        <v>0.99</v>
      </c>
      <c r="AN1119" s="30">
        <v>1</v>
      </c>
      <c r="AO1119" s="30">
        <v>1</v>
      </c>
      <c r="AP1119" s="30">
        <v>1</v>
      </c>
      <c r="AQ1119" s="30">
        <v>1</v>
      </c>
      <c r="AR1119" s="50">
        <v>7.2186152540827803E-2</v>
      </c>
      <c r="AS1119" s="34">
        <v>0.125</v>
      </c>
      <c r="AT1119" s="34">
        <v>0.2857142857142857</v>
      </c>
      <c r="AU1119" s="34">
        <v>0</v>
      </c>
      <c r="AV1119" s="34">
        <v>0.1044776119402985</v>
      </c>
      <c r="AW1119" s="10"/>
      <c r="AX1119" s="8"/>
    </row>
    <row r="1120" spans="1:50">
      <c r="A1120" s="7"/>
      <c r="B1120" s="10"/>
      <c r="C1120" s="45" t="s">
        <v>1100</v>
      </c>
      <c r="D1120" s="23" t="s">
        <v>25</v>
      </c>
      <c r="E1120" s="83" t="s">
        <v>1164</v>
      </c>
      <c r="F1120" s="83" t="s">
        <v>1164</v>
      </c>
      <c r="G1120" s="83" t="s">
        <v>1164</v>
      </c>
      <c r="H1120" s="83" t="s">
        <v>1164</v>
      </c>
      <c r="I1120" s="25">
        <v>0.9</v>
      </c>
      <c r="J1120" s="26">
        <v>0.93333333333333335</v>
      </c>
      <c r="K1120" s="26">
        <v>0.93333333333333335</v>
      </c>
      <c r="L1120" s="27">
        <v>0.96250000000000002</v>
      </c>
      <c r="M1120" s="26">
        <v>0.92808219178082196</v>
      </c>
      <c r="N1120" s="28">
        <v>0.9</v>
      </c>
      <c r="O1120" s="26">
        <v>0.94248507867607167</v>
      </c>
      <c r="P1120" s="26">
        <v>0.92452588416196824</v>
      </c>
      <c r="Q1120" s="26">
        <v>0.4779604229923568</v>
      </c>
      <c r="R1120" s="26">
        <v>0.81338364696964705</v>
      </c>
      <c r="S1120" s="28">
        <v>0.9</v>
      </c>
      <c r="T1120" s="26">
        <v>0.62561041779706994</v>
      </c>
      <c r="U1120" s="26">
        <v>0.60609943618657103</v>
      </c>
      <c r="V1120" s="26">
        <v>0.49261857397131192</v>
      </c>
      <c r="W1120" s="26">
        <v>0.57820584648848172</v>
      </c>
      <c r="X1120" s="28">
        <v>0.92</v>
      </c>
      <c r="Y1120" s="28">
        <v>0</v>
      </c>
      <c r="Z1120" s="28">
        <v>0</v>
      </c>
      <c r="AA1120" s="28">
        <v>0</v>
      </c>
      <c r="AB1120" s="28">
        <v>1</v>
      </c>
      <c r="AC1120" s="28">
        <v>0.92</v>
      </c>
      <c r="AD1120" s="26">
        <v>0.97991147429349679</v>
      </c>
      <c r="AE1120" s="26">
        <v>0.8484560570071259</v>
      </c>
      <c r="AF1120" s="26">
        <v>0.99608993157380255</v>
      </c>
      <c r="AG1120" s="26">
        <v>0.9691011235955056</v>
      </c>
      <c r="AH1120" s="28">
        <v>0.92</v>
      </c>
      <c r="AI1120" s="26">
        <v>0.89894194248507864</v>
      </c>
      <c r="AJ1120" s="26">
        <v>0.91606868272680675</v>
      </c>
      <c r="AK1120" s="26">
        <v>0.92890796775206785</v>
      </c>
      <c r="AL1120" s="26">
        <v>0.92484387101026577</v>
      </c>
      <c r="AM1120" s="25">
        <v>0.99</v>
      </c>
      <c r="AN1120" s="30">
        <v>1</v>
      </c>
      <c r="AO1120" s="30">
        <v>1</v>
      </c>
      <c r="AP1120" s="30">
        <v>1</v>
      </c>
      <c r="AQ1120" s="30">
        <v>1</v>
      </c>
      <c r="AR1120" s="50">
        <v>7.2186152540827803E-2</v>
      </c>
      <c r="AS1120" s="34">
        <v>3.3333333333333333E-2</v>
      </c>
      <c r="AT1120" s="34">
        <v>3.3333333333333333E-2</v>
      </c>
      <c r="AU1120" s="34">
        <v>3.7037037037037035E-2</v>
      </c>
      <c r="AV1120" s="34">
        <v>3.7037037037037035E-2</v>
      </c>
      <c r="AW1120" s="10"/>
      <c r="AX1120" s="8"/>
    </row>
    <row r="1121" spans="1:50">
      <c r="A1121" s="7"/>
      <c r="B1121" s="10"/>
      <c r="C1121" s="45" t="s">
        <v>1100</v>
      </c>
      <c r="D1121" s="23" t="s">
        <v>25</v>
      </c>
      <c r="E1121" s="83" t="s">
        <v>1165</v>
      </c>
      <c r="F1121" s="83" t="s">
        <v>1165</v>
      </c>
      <c r="G1121" s="83" t="s">
        <v>1165</v>
      </c>
      <c r="H1121" s="83" t="s">
        <v>1165</v>
      </c>
      <c r="I1121" s="25">
        <v>0.9</v>
      </c>
      <c r="J1121" s="26">
        <v>0</v>
      </c>
      <c r="K1121" s="26">
        <v>0</v>
      </c>
      <c r="L1121" s="27">
        <v>0</v>
      </c>
      <c r="M1121" s="26">
        <v>0</v>
      </c>
      <c r="N1121" s="28">
        <v>0.9</v>
      </c>
      <c r="O1121" s="26">
        <v>3.6042944785276074E-2</v>
      </c>
      <c r="P1121" s="26">
        <v>0.11813186813186813</v>
      </c>
      <c r="Q1121" s="26">
        <v>0.14905149051490515</v>
      </c>
      <c r="R1121" s="26">
        <v>0.11412487205731832</v>
      </c>
      <c r="S1121" s="28">
        <v>0.9</v>
      </c>
      <c r="T1121" s="26">
        <v>2.7607361963190184E-2</v>
      </c>
      <c r="U1121" s="26">
        <v>6.7994505494505489E-2</v>
      </c>
      <c r="V1121" s="26">
        <v>7.046070460704607E-3</v>
      </c>
      <c r="W1121" s="26">
        <v>4.0003411804844763E-2</v>
      </c>
      <c r="X1121" s="28">
        <v>0.92</v>
      </c>
      <c r="Y1121" s="28">
        <v>0</v>
      </c>
      <c r="Z1121" s="28">
        <v>1</v>
      </c>
      <c r="AA1121" s="28">
        <v>0</v>
      </c>
      <c r="AB1121" s="28">
        <v>1</v>
      </c>
      <c r="AC1121" s="28">
        <v>0.92</v>
      </c>
      <c r="AD1121" s="26">
        <v>1</v>
      </c>
      <c r="AE1121" s="26">
        <v>0</v>
      </c>
      <c r="AF1121" s="26">
        <v>0</v>
      </c>
      <c r="AG1121" s="26">
        <v>1</v>
      </c>
      <c r="AH1121" s="28">
        <v>0.92</v>
      </c>
      <c r="AI1121" s="26">
        <v>3.6042944785276074E-2</v>
      </c>
      <c r="AJ1121" s="26">
        <v>8.4420041180507888E-2</v>
      </c>
      <c r="AK1121" s="26">
        <v>7.1544715447154475E-2</v>
      </c>
      <c r="AL1121" s="26">
        <v>8.2132196162046908E-2</v>
      </c>
      <c r="AM1121" s="25">
        <v>0.99</v>
      </c>
      <c r="AN1121" s="30">
        <v>0</v>
      </c>
      <c r="AO1121" s="30">
        <v>0</v>
      </c>
      <c r="AP1121" s="30">
        <v>0</v>
      </c>
      <c r="AQ1121" s="30">
        <v>0</v>
      </c>
      <c r="AR1121" s="50">
        <v>7.2186152540827803E-2</v>
      </c>
      <c r="AS1121" s="34">
        <v>0.27272727272727271</v>
      </c>
      <c r="AT1121" s="34">
        <v>0.1875</v>
      </c>
      <c r="AU1121" s="34">
        <v>0.25</v>
      </c>
      <c r="AV1121" s="34">
        <v>0.19047619047619047</v>
      </c>
      <c r="AW1121" s="10"/>
      <c r="AX1121" s="8"/>
    </row>
    <row r="1122" spans="1:50">
      <c r="A1122" s="7"/>
      <c r="B1122" s="10"/>
      <c r="C1122" s="45" t="s">
        <v>1100</v>
      </c>
      <c r="D1122" s="23" t="s">
        <v>25</v>
      </c>
      <c r="E1122" s="83" t="s">
        <v>1166</v>
      </c>
      <c r="F1122" s="83" t="s">
        <v>1166</v>
      </c>
      <c r="G1122" s="83" t="s">
        <v>1166</v>
      </c>
      <c r="H1122" s="83" t="s">
        <v>1166</v>
      </c>
      <c r="I1122" s="25">
        <v>0.9</v>
      </c>
      <c r="J1122" s="26">
        <v>0.91666666666666663</v>
      </c>
      <c r="K1122" s="26">
        <v>0.91666666666666663</v>
      </c>
      <c r="L1122" s="27">
        <v>0.95454545454545459</v>
      </c>
      <c r="M1122" s="26">
        <v>0.93581780538302273</v>
      </c>
      <c r="N1122" s="28">
        <v>0.9</v>
      </c>
      <c r="O1122" s="26">
        <v>0.90728051391862952</v>
      </c>
      <c r="P1122" s="26">
        <v>0.85033216100039077</v>
      </c>
      <c r="Q1122" s="26">
        <v>0.88765743073047854</v>
      </c>
      <c r="R1122" s="26">
        <v>0.83095232053591817</v>
      </c>
      <c r="S1122" s="28">
        <v>0.9</v>
      </c>
      <c r="T1122" s="26">
        <v>0.60663811563169168</v>
      </c>
      <c r="U1122" s="26">
        <v>0.61273935130910517</v>
      </c>
      <c r="V1122" s="26">
        <v>0.58975650713685979</v>
      </c>
      <c r="W1122" s="26">
        <v>0.6128549316146058</v>
      </c>
      <c r="X1122" s="28">
        <v>0.92</v>
      </c>
      <c r="Y1122" s="28">
        <v>0</v>
      </c>
      <c r="Z1122" s="28">
        <v>0</v>
      </c>
      <c r="AA1122" s="28">
        <v>0</v>
      </c>
      <c r="AB1122" s="28">
        <v>0</v>
      </c>
      <c r="AC1122" s="28">
        <v>0.92</v>
      </c>
      <c r="AD1122" s="26">
        <v>1</v>
      </c>
      <c r="AE1122" s="26">
        <v>1</v>
      </c>
      <c r="AF1122" s="26">
        <v>1</v>
      </c>
      <c r="AG1122" s="26">
        <v>0.99950124688279307</v>
      </c>
      <c r="AH1122" s="28">
        <v>0.92</v>
      </c>
      <c r="AI1122" s="26">
        <v>0.84328837508028265</v>
      </c>
      <c r="AJ1122" s="26">
        <v>0.85775693630324346</v>
      </c>
      <c r="AK1122" s="26">
        <v>0.93282955499580189</v>
      </c>
      <c r="AL1122" s="26">
        <v>0.88561278863232684</v>
      </c>
      <c r="AM1122" s="25">
        <v>0.99</v>
      </c>
      <c r="AN1122" s="30">
        <v>1</v>
      </c>
      <c r="AO1122" s="30">
        <v>1</v>
      </c>
      <c r="AP1122" s="30">
        <v>1</v>
      </c>
      <c r="AQ1122" s="30">
        <v>1</v>
      </c>
      <c r="AR1122" s="50">
        <v>7.2186152540827803E-2</v>
      </c>
      <c r="AS1122" s="34">
        <v>6.6666666666666666E-2</v>
      </c>
      <c r="AT1122" s="34">
        <v>0</v>
      </c>
      <c r="AU1122" s="34">
        <v>5.8823529411764705E-2</v>
      </c>
      <c r="AV1122" s="34">
        <v>8.4210526315789472E-2</v>
      </c>
      <c r="AW1122" s="10"/>
      <c r="AX1122" s="8"/>
    </row>
    <row r="1123" spans="1:50">
      <c r="A1123" s="7"/>
      <c r="B1123" s="10"/>
      <c r="C1123" s="45" t="s">
        <v>1100</v>
      </c>
      <c r="D1123" s="23" t="s">
        <v>25</v>
      </c>
      <c r="E1123" s="83" t="s">
        <v>1167</v>
      </c>
      <c r="F1123" s="83" t="s">
        <v>1167</v>
      </c>
      <c r="G1123" s="83" t="s">
        <v>1167</v>
      </c>
      <c r="H1123" s="83" t="s">
        <v>1167</v>
      </c>
      <c r="I1123" s="25">
        <v>0.9</v>
      </c>
      <c r="J1123" s="26">
        <v>0.93846153846153846</v>
      </c>
      <c r="K1123" s="26">
        <v>0.90625</v>
      </c>
      <c r="L1123" s="27">
        <v>0.92307692307692313</v>
      </c>
      <c r="M1123" s="26">
        <v>0.90277777777777779</v>
      </c>
      <c r="N1123" s="28">
        <v>0.9</v>
      </c>
      <c r="O1123" s="26">
        <v>0.98317196864914702</v>
      </c>
      <c r="P1123" s="26">
        <v>0.99250535331905787</v>
      </c>
      <c r="Q1123" s="26">
        <v>0.97637934073682353</v>
      </c>
      <c r="R1123" s="26">
        <v>0.96607866054198033</v>
      </c>
      <c r="S1123" s="28">
        <v>0.9</v>
      </c>
      <c r="T1123" s="26">
        <v>0.74711848778238821</v>
      </c>
      <c r="U1123" s="26">
        <v>0.71948608137044967</v>
      </c>
      <c r="V1123" s="26">
        <v>0.64586638462894408</v>
      </c>
      <c r="W1123" s="26">
        <v>0.71300046206952783</v>
      </c>
      <c r="X1123" s="28">
        <v>0.92</v>
      </c>
      <c r="Y1123" s="28">
        <v>0</v>
      </c>
      <c r="Z1123" s="28">
        <v>0</v>
      </c>
      <c r="AA1123" s="28">
        <v>0</v>
      </c>
      <c r="AB1123" s="28">
        <v>0</v>
      </c>
      <c r="AC1123" s="28">
        <v>0.92</v>
      </c>
      <c r="AD1123" s="26">
        <v>1</v>
      </c>
      <c r="AE1123" s="26">
        <v>1</v>
      </c>
      <c r="AF1123" s="26">
        <v>1</v>
      </c>
      <c r="AG1123" s="26">
        <v>1</v>
      </c>
      <c r="AH1123" s="28">
        <v>0.92</v>
      </c>
      <c r="AI1123" s="26">
        <v>0.92949308755760374</v>
      </c>
      <c r="AJ1123" s="26">
        <v>0.92505353319057815</v>
      </c>
      <c r="AK1123" s="26">
        <v>0.96421646395205363</v>
      </c>
      <c r="AL1123" s="26">
        <v>0.93014975674720735</v>
      </c>
      <c r="AM1123" s="25">
        <v>0.99</v>
      </c>
      <c r="AN1123" s="30">
        <v>1</v>
      </c>
      <c r="AO1123" s="30">
        <v>1</v>
      </c>
      <c r="AP1123" s="30">
        <v>1</v>
      </c>
      <c r="AQ1123" s="30">
        <v>1</v>
      </c>
      <c r="AR1123" s="50">
        <v>7.2186152540827803E-2</v>
      </c>
      <c r="AS1123" s="34">
        <v>0</v>
      </c>
      <c r="AT1123" s="34">
        <v>9.0909090909090912E-2</v>
      </c>
      <c r="AU1123" s="34">
        <v>-0.1</v>
      </c>
      <c r="AV1123" s="34">
        <v>8.5106382978723402E-2</v>
      </c>
      <c r="AW1123" s="10"/>
      <c r="AX1123" s="8"/>
    </row>
    <row r="1124" spans="1:50">
      <c r="A1124" s="7"/>
      <c r="B1124" s="10"/>
      <c r="C1124" s="45" t="s">
        <v>1100</v>
      </c>
      <c r="D1124" s="23" t="s">
        <v>25</v>
      </c>
      <c r="E1124" s="83" t="s">
        <v>1168</v>
      </c>
      <c r="F1124" s="83" t="s">
        <v>1168</v>
      </c>
      <c r="G1124" s="83" t="s">
        <v>1168</v>
      </c>
      <c r="H1124" s="83" t="s">
        <v>1168</v>
      </c>
      <c r="I1124" s="25">
        <v>0.9</v>
      </c>
      <c r="J1124" s="26">
        <v>0.84444444444444444</v>
      </c>
      <c r="K1124" s="26">
        <v>0.89130434782608692</v>
      </c>
      <c r="L1124" s="27">
        <v>0.875</v>
      </c>
      <c r="M1124" s="26">
        <v>0.91553133514986373</v>
      </c>
      <c r="N1124" s="28">
        <v>0.9</v>
      </c>
      <c r="O1124" s="26">
        <v>0.83653846153846156</v>
      </c>
      <c r="P1124" s="26">
        <v>0.92443064182194612</v>
      </c>
      <c r="Q1124" s="26">
        <v>0.96989528795811519</v>
      </c>
      <c r="R1124" s="26">
        <v>0.93530144410408322</v>
      </c>
      <c r="S1124" s="28">
        <v>0.9</v>
      </c>
      <c r="T1124" s="26">
        <v>0.6589366515837104</v>
      </c>
      <c r="U1124" s="26">
        <v>0.7564699792960663</v>
      </c>
      <c r="V1124" s="26">
        <v>0.74585514834205935</v>
      </c>
      <c r="W1124" s="26">
        <v>0.75120342006934393</v>
      </c>
      <c r="X1124" s="28">
        <v>0.92</v>
      </c>
      <c r="Y1124" s="28">
        <v>0</v>
      </c>
      <c r="Z1124" s="28">
        <v>0</v>
      </c>
      <c r="AA1124" s="28">
        <v>0</v>
      </c>
      <c r="AB1124" s="28">
        <v>0.5</v>
      </c>
      <c r="AC1124" s="28">
        <v>0.92</v>
      </c>
      <c r="AD1124" s="26">
        <v>1</v>
      </c>
      <c r="AE1124" s="26">
        <v>1</v>
      </c>
      <c r="AF1124" s="26">
        <v>1</v>
      </c>
      <c r="AG1124" s="26">
        <v>1</v>
      </c>
      <c r="AH1124" s="28">
        <v>0.92</v>
      </c>
      <c r="AI1124" s="26">
        <v>0.91461690698331921</v>
      </c>
      <c r="AJ1124" s="26">
        <v>0.92675983436853004</v>
      </c>
      <c r="AK1124" s="26">
        <v>0.9456806282722513</v>
      </c>
      <c r="AL1124" s="26">
        <v>0.93264667272543678</v>
      </c>
      <c r="AM1124" s="25">
        <v>0.99</v>
      </c>
      <c r="AN1124" s="30">
        <v>1</v>
      </c>
      <c r="AO1124" s="30">
        <v>1</v>
      </c>
      <c r="AP1124" s="30">
        <v>1</v>
      </c>
      <c r="AQ1124" s="30">
        <v>1</v>
      </c>
      <c r="AR1124" s="50">
        <v>7.2186152540827803E-2</v>
      </c>
      <c r="AS1124" s="34">
        <v>0.2</v>
      </c>
      <c r="AT1124" s="34">
        <v>0</v>
      </c>
      <c r="AU1124" s="34">
        <v>0</v>
      </c>
      <c r="AV1124" s="34">
        <v>1.5873015873015872E-2</v>
      </c>
      <c r="AW1124" s="10"/>
      <c r="AX1124" s="8"/>
    </row>
    <row r="1125" spans="1:50">
      <c r="A1125" s="7"/>
      <c r="B1125" s="10"/>
      <c r="C1125" s="45" t="s">
        <v>1100</v>
      </c>
      <c r="D1125" s="23" t="s">
        <v>25</v>
      </c>
      <c r="E1125" s="83" t="s">
        <v>1169</v>
      </c>
      <c r="F1125" s="83" t="s">
        <v>1169</v>
      </c>
      <c r="G1125" s="83" t="s">
        <v>1169</v>
      </c>
      <c r="H1125" s="83" t="s">
        <v>1169</v>
      </c>
      <c r="I1125" s="25">
        <v>0.9</v>
      </c>
      <c r="J1125" s="26">
        <v>0.92682926829268297</v>
      </c>
      <c r="K1125" s="26">
        <v>0.9285714285714286</v>
      </c>
      <c r="L1125" s="27">
        <v>0.95348837209302328</v>
      </c>
      <c r="M1125" s="26">
        <v>0.89696969696969697</v>
      </c>
      <c r="N1125" s="28">
        <v>0.9</v>
      </c>
      <c r="O1125" s="26">
        <v>0.88825286212045795</v>
      </c>
      <c r="P1125" s="26">
        <v>0.87273134662782881</v>
      </c>
      <c r="Q1125" s="26">
        <v>0.81697863490262812</v>
      </c>
      <c r="R1125" s="26">
        <v>0.85226176115802166</v>
      </c>
      <c r="S1125" s="28">
        <v>0.9</v>
      </c>
      <c r="T1125" s="26">
        <v>0.65579890492782478</v>
      </c>
      <c r="U1125" s="26">
        <v>0.63723952498319514</v>
      </c>
      <c r="V1125" s="26">
        <v>0.59028171677065611</v>
      </c>
      <c r="W1125" s="26">
        <v>0.62246682750301563</v>
      </c>
      <c r="X1125" s="28">
        <v>0.92</v>
      </c>
      <c r="Y1125" s="28">
        <v>0</v>
      </c>
      <c r="Z1125" s="28">
        <v>0</v>
      </c>
      <c r="AA1125" s="28">
        <v>0</v>
      </c>
      <c r="AB1125" s="28">
        <v>0</v>
      </c>
      <c r="AC1125" s="28">
        <v>0.92</v>
      </c>
      <c r="AD1125" s="26">
        <v>0.97619047619047616</v>
      </c>
      <c r="AE1125" s="26">
        <v>1</v>
      </c>
      <c r="AF1125" s="26">
        <v>1</v>
      </c>
      <c r="AG1125" s="26">
        <v>0.99475341028331588</v>
      </c>
      <c r="AH1125" s="28">
        <v>0.92</v>
      </c>
      <c r="AI1125" s="26">
        <v>0.85021149539686491</v>
      </c>
      <c r="AJ1125" s="26">
        <v>0.866681604302039</v>
      </c>
      <c r="AK1125" s="26">
        <v>0.87956135375307243</v>
      </c>
      <c r="AL1125" s="26">
        <v>0.85317089351949582</v>
      </c>
      <c r="AM1125" s="25">
        <v>0.99</v>
      </c>
      <c r="AN1125" s="30">
        <v>1</v>
      </c>
      <c r="AO1125" s="30">
        <v>1</v>
      </c>
      <c r="AP1125" s="30">
        <v>1</v>
      </c>
      <c r="AQ1125" s="30">
        <v>1</v>
      </c>
      <c r="AR1125" s="50">
        <v>7.2186152540827803E-2</v>
      </c>
      <c r="AS1125" s="34">
        <v>0</v>
      </c>
      <c r="AT1125" s="34">
        <v>0.1111111111111111</v>
      </c>
      <c r="AU1125" s="34">
        <v>0.4</v>
      </c>
      <c r="AV1125" s="34">
        <v>0.14102564102564102</v>
      </c>
      <c r="AW1125" s="10"/>
      <c r="AX1125" s="8"/>
    </row>
    <row r="1126" spans="1:50">
      <c r="A1126" s="7"/>
      <c r="B1126" s="10"/>
      <c r="C1126" s="45" t="s">
        <v>1100</v>
      </c>
      <c r="D1126" s="23" t="s">
        <v>25</v>
      </c>
      <c r="E1126" s="83" t="s">
        <v>1170</v>
      </c>
      <c r="F1126" s="83" t="s">
        <v>1170</v>
      </c>
      <c r="G1126" s="83" t="s">
        <v>1170</v>
      </c>
      <c r="H1126" s="83" t="s">
        <v>1170</v>
      </c>
      <c r="I1126" s="25">
        <v>0.9</v>
      </c>
      <c r="J1126" s="26">
        <v>1</v>
      </c>
      <c r="K1126" s="26">
        <v>1</v>
      </c>
      <c r="L1126" s="27">
        <v>0.98148148148148151</v>
      </c>
      <c r="M1126" s="26">
        <v>0.98753117206982544</v>
      </c>
      <c r="N1126" s="28">
        <v>0.9</v>
      </c>
      <c r="O1126" s="26">
        <v>0.9815100154083205</v>
      </c>
      <c r="P1126" s="26">
        <v>0.98581400585453727</v>
      </c>
      <c r="Q1126" s="26">
        <v>0.9422756706753006</v>
      </c>
      <c r="R1126" s="26">
        <v>0.95337564916330064</v>
      </c>
      <c r="S1126" s="28">
        <v>0.9</v>
      </c>
      <c r="T1126" s="26">
        <v>0.81099126861838722</v>
      </c>
      <c r="U1126" s="26">
        <v>0.75140734068903403</v>
      </c>
      <c r="V1126" s="26">
        <v>0.65272895467160041</v>
      </c>
      <c r="W1126" s="26">
        <v>0.7285631852279284</v>
      </c>
      <c r="X1126" s="28">
        <v>0.92</v>
      </c>
      <c r="Y1126" s="28">
        <v>0</v>
      </c>
      <c r="Z1126" s="28">
        <v>0</v>
      </c>
      <c r="AA1126" s="28">
        <v>0</v>
      </c>
      <c r="AB1126" s="28">
        <v>0</v>
      </c>
      <c r="AC1126" s="28">
        <v>0.92</v>
      </c>
      <c r="AD1126" s="26">
        <v>0.99669966996699666</v>
      </c>
      <c r="AE1126" s="26">
        <v>0.99731182795698925</v>
      </c>
      <c r="AF1126" s="26">
        <v>0.9921671018276762</v>
      </c>
      <c r="AG1126" s="26">
        <v>0.9949980761831474</v>
      </c>
      <c r="AH1126" s="28">
        <v>0.92</v>
      </c>
      <c r="AI1126" s="26">
        <v>0.95968156137647664</v>
      </c>
      <c r="AJ1126" s="26">
        <v>0.95181265480747579</v>
      </c>
      <c r="AK1126" s="26">
        <v>0.97280296022201662</v>
      </c>
      <c r="AL1126" s="26">
        <v>0.95732833237160997</v>
      </c>
      <c r="AM1126" s="25">
        <v>0.99</v>
      </c>
      <c r="AN1126" s="30">
        <v>1</v>
      </c>
      <c r="AO1126" s="30">
        <v>1</v>
      </c>
      <c r="AP1126" s="30">
        <v>1</v>
      </c>
      <c r="AQ1126" s="30">
        <v>1</v>
      </c>
      <c r="AR1126" s="50">
        <v>7.2186152540827803E-2</v>
      </c>
      <c r="AS1126" s="34">
        <v>0.125</v>
      </c>
      <c r="AT1126" s="34">
        <v>0.1111111111111111</v>
      </c>
      <c r="AU1126" s="34">
        <v>0</v>
      </c>
      <c r="AV1126" s="34">
        <v>0.1276595744680851</v>
      </c>
      <c r="AW1126" s="10"/>
      <c r="AX1126" s="8"/>
    </row>
    <row r="1127" spans="1:50">
      <c r="A1127" s="7"/>
      <c r="B1127" s="10"/>
      <c r="C1127" s="45" t="s">
        <v>1100</v>
      </c>
      <c r="D1127" s="23" t="s">
        <v>25</v>
      </c>
      <c r="E1127" s="83" t="s">
        <v>1171</v>
      </c>
      <c r="F1127" s="83" t="s">
        <v>1171</v>
      </c>
      <c r="G1127" s="83" t="s">
        <v>1171</v>
      </c>
      <c r="H1127" s="83" t="s">
        <v>1171</v>
      </c>
      <c r="I1127" s="25">
        <v>0.9</v>
      </c>
      <c r="J1127" s="26">
        <v>1</v>
      </c>
      <c r="K1127" s="26">
        <v>1</v>
      </c>
      <c r="L1127" s="27">
        <v>1</v>
      </c>
      <c r="M1127" s="26">
        <v>0.99053627760252361</v>
      </c>
      <c r="N1127" s="28">
        <v>0.9</v>
      </c>
      <c r="O1127" s="26">
        <v>0.97839898348157561</v>
      </c>
      <c r="P1127" s="26">
        <v>0.98532317245272372</v>
      </c>
      <c r="Q1127" s="26">
        <v>0.98732426826457709</v>
      </c>
      <c r="R1127" s="26">
        <v>0.97999429427287643</v>
      </c>
      <c r="S1127" s="28">
        <v>0.9</v>
      </c>
      <c r="T1127" s="26">
        <v>0.90057179161372303</v>
      </c>
      <c r="U1127" s="26">
        <v>0.90036692068868196</v>
      </c>
      <c r="V1127" s="26">
        <v>0.83659829453791201</v>
      </c>
      <c r="W1127" s="26">
        <v>0.86038798944440487</v>
      </c>
      <c r="X1127" s="28">
        <v>0.92</v>
      </c>
      <c r="Y1127" s="28">
        <v>0</v>
      </c>
      <c r="Z1127" s="28">
        <v>0</v>
      </c>
      <c r="AA1127" s="28">
        <v>0</v>
      </c>
      <c r="AB1127" s="28">
        <v>0</v>
      </c>
      <c r="AC1127" s="28">
        <v>0.92</v>
      </c>
      <c r="AD1127" s="26">
        <v>0.99009900990099009</v>
      </c>
      <c r="AE1127" s="26">
        <v>1</v>
      </c>
      <c r="AF1127" s="26">
        <v>1</v>
      </c>
      <c r="AG1127" s="26">
        <v>0.99763593380614657</v>
      </c>
      <c r="AH1127" s="28">
        <v>0.92</v>
      </c>
      <c r="AI1127" s="26">
        <v>0.9485387547649301</v>
      </c>
      <c r="AJ1127" s="26">
        <v>0.95738075077617835</v>
      </c>
      <c r="AK1127" s="26">
        <v>0.96635169393869558</v>
      </c>
      <c r="AL1127" s="26">
        <v>0.95895442550460019</v>
      </c>
      <c r="AM1127" s="25">
        <v>0.99</v>
      </c>
      <c r="AN1127" s="30">
        <v>1</v>
      </c>
      <c r="AO1127" s="30">
        <v>1</v>
      </c>
      <c r="AP1127" s="30">
        <v>1</v>
      </c>
      <c r="AQ1127" s="30">
        <v>1</v>
      </c>
      <c r="AR1127" s="50">
        <v>7.2186152540827803E-2</v>
      </c>
      <c r="AS1127" s="34">
        <v>0</v>
      </c>
      <c r="AT1127" s="34">
        <v>0.14285714285714285</v>
      </c>
      <c r="AU1127" s="34">
        <v>0</v>
      </c>
      <c r="AV1127" s="34">
        <v>6.3492063492063489E-2</v>
      </c>
      <c r="AW1127" s="10"/>
      <c r="AX1127" s="8"/>
    </row>
    <row r="1128" spans="1:50">
      <c r="A1128" s="7"/>
      <c r="B1128" s="10"/>
      <c r="C1128" s="45" t="s">
        <v>1100</v>
      </c>
      <c r="D1128" s="23" t="s">
        <v>25</v>
      </c>
      <c r="E1128" s="83" t="s">
        <v>1172</v>
      </c>
      <c r="F1128" s="83" t="s">
        <v>1172</v>
      </c>
      <c r="G1128" s="83" t="s">
        <v>1172</v>
      </c>
      <c r="H1128" s="83" t="s">
        <v>1172</v>
      </c>
      <c r="I1128" s="25">
        <v>0.9</v>
      </c>
      <c r="J1128" s="26">
        <v>0.88571428571428568</v>
      </c>
      <c r="K1128" s="26">
        <v>0.93103448275862066</v>
      </c>
      <c r="L1128" s="27">
        <v>0.92105263157894735</v>
      </c>
      <c r="M1128" s="26">
        <v>0.95340501792114696</v>
      </c>
      <c r="N1128" s="28">
        <v>0.9</v>
      </c>
      <c r="O1128" s="26">
        <v>0.97367402245451029</v>
      </c>
      <c r="P1128" s="26">
        <v>0.95445847684653651</v>
      </c>
      <c r="Q1128" s="26">
        <v>0.95007564296520419</v>
      </c>
      <c r="R1128" s="26">
        <v>0.97010567296996664</v>
      </c>
      <c r="S1128" s="28">
        <v>0.9</v>
      </c>
      <c r="T1128" s="26">
        <v>0.57955865272938445</v>
      </c>
      <c r="U1128" s="26">
        <v>0.54688097971680061</v>
      </c>
      <c r="V1128" s="26">
        <v>0.63116490166414518</v>
      </c>
      <c r="W1128" s="26">
        <v>0.62569521690767516</v>
      </c>
      <c r="X1128" s="28">
        <v>0.92</v>
      </c>
      <c r="Y1128" s="28">
        <v>0</v>
      </c>
      <c r="Z1128" s="28">
        <v>0</v>
      </c>
      <c r="AA1128" s="28">
        <v>0</v>
      </c>
      <c r="AB1128" s="28">
        <v>0</v>
      </c>
      <c r="AC1128" s="28">
        <v>0.92</v>
      </c>
      <c r="AD1128" s="26">
        <v>1</v>
      </c>
      <c r="AE1128" s="26">
        <v>1</v>
      </c>
      <c r="AF1128" s="26">
        <v>1</v>
      </c>
      <c r="AG1128" s="26">
        <v>0.99610894941634243</v>
      </c>
      <c r="AH1128" s="28">
        <v>0.92</v>
      </c>
      <c r="AI1128" s="26">
        <v>0.88579171506000776</v>
      </c>
      <c r="AJ1128" s="26">
        <v>0.8166858017604286</v>
      </c>
      <c r="AK1128" s="26">
        <v>0.92435703479576403</v>
      </c>
      <c r="AL1128" s="26">
        <v>0.90846734949251517</v>
      </c>
      <c r="AM1128" s="25">
        <v>0.99</v>
      </c>
      <c r="AN1128" s="30">
        <v>1</v>
      </c>
      <c r="AO1128" s="30">
        <v>1</v>
      </c>
      <c r="AP1128" s="30">
        <v>1</v>
      </c>
      <c r="AQ1128" s="30">
        <v>1</v>
      </c>
      <c r="AR1128" s="50">
        <v>7.2186152540827803E-2</v>
      </c>
      <c r="AS1128" s="34">
        <v>0.2</v>
      </c>
      <c r="AT1128" s="34">
        <v>0.33333333333333331</v>
      </c>
      <c r="AU1128" s="34">
        <v>0.25</v>
      </c>
      <c r="AV1128" s="34">
        <v>0.14583333333333334</v>
      </c>
      <c r="AW1128" s="10"/>
      <c r="AX1128" s="8"/>
    </row>
    <row r="1129" spans="1:50">
      <c r="A1129" s="7"/>
      <c r="B1129" s="10"/>
      <c r="C1129" s="45" t="s">
        <v>1100</v>
      </c>
      <c r="D1129" s="23" t="s">
        <v>25</v>
      </c>
      <c r="E1129" s="83" t="s">
        <v>1173</v>
      </c>
      <c r="F1129" s="83" t="s">
        <v>1173</v>
      </c>
      <c r="G1129" s="83" t="s">
        <v>1173</v>
      </c>
      <c r="H1129" s="83" t="s">
        <v>1173</v>
      </c>
      <c r="I1129" s="25">
        <v>0.9</v>
      </c>
      <c r="J1129" s="26">
        <v>0.86274509803921573</v>
      </c>
      <c r="K1129" s="26">
        <v>0.85148514851485146</v>
      </c>
      <c r="L1129" s="27">
        <v>0.81</v>
      </c>
      <c r="M1129" s="26">
        <v>0.82625000000000004</v>
      </c>
      <c r="N1129" s="28">
        <v>0.9</v>
      </c>
      <c r="O1129" s="26">
        <v>0.90924684235147357</v>
      </c>
      <c r="P1129" s="26">
        <v>0.96173167848699759</v>
      </c>
      <c r="Q1129" s="26">
        <v>0.8966099650138738</v>
      </c>
      <c r="R1129" s="26">
        <v>0.91537979372043987</v>
      </c>
      <c r="S1129" s="28">
        <v>0.9</v>
      </c>
      <c r="T1129" s="26">
        <v>0.8117885544986746</v>
      </c>
      <c r="U1129" s="26">
        <v>0.82239952718676124</v>
      </c>
      <c r="V1129" s="26">
        <v>0.80830015683435874</v>
      </c>
      <c r="W1129" s="26">
        <v>0.8127718578456512</v>
      </c>
      <c r="X1129" s="28">
        <v>0.92</v>
      </c>
      <c r="Y1129" s="28">
        <v>0</v>
      </c>
      <c r="Z1129" s="28">
        <v>0</v>
      </c>
      <c r="AA1129" s="28">
        <v>0</v>
      </c>
      <c r="AB1129" s="28">
        <v>0</v>
      </c>
      <c r="AC1129" s="28">
        <v>0.92</v>
      </c>
      <c r="AD1129" s="26">
        <v>0.99025341130604283</v>
      </c>
      <c r="AE1129" s="26">
        <v>0.99896694214876036</v>
      </c>
      <c r="AF1129" s="26">
        <v>0.99911816578483248</v>
      </c>
      <c r="AG1129" s="26">
        <v>0.99744809186869277</v>
      </c>
      <c r="AH1129" s="28">
        <v>0.92</v>
      </c>
      <c r="AI1129" s="26">
        <v>0.92062997037268046</v>
      </c>
      <c r="AJ1129" s="26">
        <v>0.93661347517730498</v>
      </c>
      <c r="AK1129" s="26">
        <v>0.94896851248642777</v>
      </c>
      <c r="AL1129" s="26">
        <v>0.9476703325925504</v>
      </c>
      <c r="AM1129" s="25">
        <v>0.99</v>
      </c>
      <c r="AN1129" s="30">
        <v>1</v>
      </c>
      <c r="AO1129" s="30">
        <v>1</v>
      </c>
      <c r="AP1129" s="30">
        <v>1</v>
      </c>
      <c r="AQ1129" s="30">
        <v>1</v>
      </c>
      <c r="AR1129" s="50">
        <v>7.2186152540827803E-2</v>
      </c>
      <c r="AS1129" s="34">
        <v>0.18181818181818182</v>
      </c>
      <c r="AT1129" s="34">
        <v>5.5555555555555552E-2</v>
      </c>
      <c r="AU1129" s="34">
        <v>0.21052631578947367</v>
      </c>
      <c r="AV1129" s="34">
        <v>0.13513513513513514</v>
      </c>
      <c r="AW1129" s="10"/>
      <c r="AX1129" s="8"/>
    </row>
    <row r="1130" spans="1:50">
      <c r="A1130" s="7"/>
      <c r="B1130" s="10"/>
      <c r="C1130" s="45" t="s">
        <v>1100</v>
      </c>
      <c r="D1130" s="23" t="s">
        <v>25</v>
      </c>
      <c r="E1130" s="83" t="s">
        <v>1174</v>
      </c>
      <c r="F1130" s="83" t="s">
        <v>1174</v>
      </c>
      <c r="G1130" s="83" t="s">
        <v>1174</v>
      </c>
      <c r="H1130" s="83" t="s">
        <v>1174</v>
      </c>
      <c r="I1130" s="25">
        <v>0.9</v>
      </c>
      <c r="J1130" s="26">
        <v>0.93023255813953487</v>
      </c>
      <c r="K1130" s="26">
        <v>0.95121951219512191</v>
      </c>
      <c r="L1130" s="27">
        <v>1</v>
      </c>
      <c r="M1130" s="26">
        <v>0.94561933534743203</v>
      </c>
      <c r="N1130" s="28">
        <v>0.9</v>
      </c>
      <c r="O1130" s="26">
        <v>0.97649402390438245</v>
      </c>
      <c r="P1130" s="26">
        <v>0.9831223628691983</v>
      </c>
      <c r="Q1130" s="26">
        <v>0.98166819431714025</v>
      </c>
      <c r="R1130" s="26">
        <v>0.97805399106622648</v>
      </c>
      <c r="S1130" s="28">
        <v>0.9</v>
      </c>
      <c r="T1130" s="26">
        <v>0.80677290836653381</v>
      </c>
      <c r="U1130" s="26">
        <v>0.78941311852704255</v>
      </c>
      <c r="V1130" s="26">
        <v>0.75282615337610759</v>
      </c>
      <c r="W1130" s="26">
        <v>0.79316372111089528</v>
      </c>
      <c r="X1130" s="28">
        <v>0.92</v>
      </c>
      <c r="Y1130" s="28">
        <v>0</v>
      </c>
      <c r="Z1130" s="28">
        <v>0</v>
      </c>
      <c r="AA1130" s="28">
        <v>0</v>
      </c>
      <c r="AB1130" s="28">
        <v>0</v>
      </c>
      <c r="AC1130" s="28">
        <v>0.92</v>
      </c>
      <c r="AD1130" s="26">
        <v>1</v>
      </c>
      <c r="AE1130" s="26">
        <v>1</v>
      </c>
      <c r="AF1130" s="26">
        <v>1</v>
      </c>
      <c r="AG1130" s="26">
        <v>0.99881516587677721</v>
      </c>
      <c r="AH1130" s="28">
        <v>0.92</v>
      </c>
      <c r="AI1130" s="26">
        <v>0.92948207171314745</v>
      </c>
      <c r="AJ1130" s="26">
        <v>0.94131185270425777</v>
      </c>
      <c r="AK1130" s="26">
        <v>0.96700274977085243</v>
      </c>
      <c r="AL1130" s="26">
        <v>0.95076713925033984</v>
      </c>
      <c r="AM1130" s="25">
        <v>0.99</v>
      </c>
      <c r="AN1130" s="30">
        <v>1</v>
      </c>
      <c r="AO1130" s="30">
        <v>1</v>
      </c>
      <c r="AP1130" s="30">
        <v>1</v>
      </c>
      <c r="AQ1130" s="30">
        <v>1</v>
      </c>
      <c r="AR1130" s="50">
        <v>7.2186152540827803E-2</v>
      </c>
      <c r="AS1130" s="34">
        <v>0.16666666666666666</v>
      </c>
      <c r="AT1130" s="34">
        <v>0.33333333333333331</v>
      </c>
      <c r="AU1130" s="34">
        <v>0.2</v>
      </c>
      <c r="AV1130" s="34">
        <v>0.13953488372093023</v>
      </c>
      <c r="AW1130" s="10"/>
      <c r="AX1130" s="8"/>
    </row>
    <row r="1131" spans="1:50">
      <c r="A1131" s="7"/>
      <c r="B1131" s="10"/>
      <c r="C1131" s="45" t="s">
        <v>1100</v>
      </c>
      <c r="D1131" s="23" t="s">
        <v>25</v>
      </c>
      <c r="E1131" s="83" t="s">
        <v>1175</v>
      </c>
      <c r="F1131" s="83" t="s">
        <v>1175</v>
      </c>
      <c r="G1131" s="83" t="s">
        <v>1175</v>
      </c>
      <c r="H1131" s="83" t="s">
        <v>1175</v>
      </c>
      <c r="I1131" s="25">
        <v>0.9</v>
      </c>
      <c r="J1131" s="26">
        <v>0.93103448275862066</v>
      </c>
      <c r="K1131" s="26">
        <v>1</v>
      </c>
      <c r="L1131" s="27">
        <v>0.9</v>
      </c>
      <c r="M1131" s="26">
        <v>0.93534482758620685</v>
      </c>
      <c r="N1131" s="28">
        <v>0.9</v>
      </c>
      <c r="O1131" s="26">
        <v>0.98476454293628812</v>
      </c>
      <c r="P1131" s="26">
        <v>0.98119515252820733</v>
      </c>
      <c r="Q1131" s="26">
        <v>0.97567755385684507</v>
      </c>
      <c r="R1131" s="26">
        <v>0.97821280267486388</v>
      </c>
      <c r="S1131" s="28">
        <v>0.9</v>
      </c>
      <c r="T1131" s="26">
        <v>0.78901200369344415</v>
      </c>
      <c r="U1131" s="26">
        <v>0.80317592979523611</v>
      </c>
      <c r="V1131" s="26">
        <v>0.7369701181375955</v>
      </c>
      <c r="W1131" s="26">
        <v>0.77948552014237182</v>
      </c>
      <c r="X1131" s="28">
        <v>0.92</v>
      </c>
      <c r="Y1131" s="28">
        <v>0</v>
      </c>
      <c r="Z1131" s="28">
        <v>0</v>
      </c>
      <c r="AA1131" s="28">
        <v>0</v>
      </c>
      <c r="AB1131" s="28">
        <v>0</v>
      </c>
      <c r="AC1131" s="28">
        <v>0.92</v>
      </c>
      <c r="AD1131" s="26">
        <v>0.94117647058823528</v>
      </c>
      <c r="AE1131" s="26">
        <v>1</v>
      </c>
      <c r="AF1131" s="26">
        <v>1</v>
      </c>
      <c r="AG1131" s="26">
        <v>0.98742138364779874</v>
      </c>
      <c r="AH1131" s="28">
        <v>0.92</v>
      </c>
      <c r="AI1131" s="26">
        <v>0.92151431209602952</v>
      </c>
      <c r="AJ1131" s="26">
        <v>0.92645215211032172</v>
      </c>
      <c r="AK1131" s="26">
        <v>0.93537178596247395</v>
      </c>
      <c r="AL1131" s="26">
        <v>0.93334411907458337</v>
      </c>
      <c r="AM1131" s="25">
        <v>0.99</v>
      </c>
      <c r="AN1131" s="30">
        <v>1</v>
      </c>
      <c r="AO1131" s="30">
        <v>1</v>
      </c>
      <c r="AP1131" s="30">
        <v>1</v>
      </c>
      <c r="AQ1131" s="30">
        <v>1</v>
      </c>
      <c r="AR1131" s="50">
        <v>7.2186152540827803E-2</v>
      </c>
      <c r="AS1131" s="34">
        <v>0.33333333333333331</v>
      </c>
      <c r="AT1131" s="34">
        <v>0</v>
      </c>
      <c r="AU1131" s="34">
        <v>0</v>
      </c>
      <c r="AV1131" s="34">
        <v>0.27586206896551724</v>
      </c>
      <c r="AW1131" s="10"/>
      <c r="AX1131" s="8"/>
    </row>
    <row r="1132" spans="1:50">
      <c r="A1132" s="7"/>
      <c r="B1132" s="10"/>
      <c r="C1132" s="45" t="s">
        <v>1100</v>
      </c>
      <c r="D1132" s="23" t="s">
        <v>25</v>
      </c>
      <c r="E1132" s="83" t="s">
        <v>1176</v>
      </c>
      <c r="F1132" s="83" t="s">
        <v>1176</v>
      </c>
      <c r="G1132" s="83" t="s">
        <v>1176</v>
      </c>
      <c r="H1132" s="83" t="s">
        <v>1176</v>
      </c>
      <c r="I1132" s="25">
        <v>0.9</v>
      </c>
      <c r="J1132" s="26">
        <v>0.91891891891891897</v>
      </c>
      <c r="K1132" s="26">
        <v>0.89552238805970152</v>
      </c>
      <c r="L1132" s="27">
        <v>0.93055555555555558</v>
      </c>
      <c r="M1132" s="26">
        <v>0.90158172231985945</v>
      </c>
      <c r="N1132" s="28">
        <v>0.9</v>
      </c>
      <c r="O1132" s="26">
        <v>0.94019138755980858</v>
      </c>
      <c r="P1132" s="26">
        <v>0.91462418300653592</v>
      </c>
      <c r="Q1132" s="26">
        <v>0.95408918874444626</v>
      </c>
      <c r="R1132" s="26">
        <v>0.94669427826353736</v>
      </c>
      <c r="S1132" s="28">
        <v>0.9</v>
      </c>
      <c r="T1132" s="26">
        <v>0.7866463679860809</v>
      </c>
      <c r="U1132" s="26">
        <v>0.7408088235294118</v>
      </c>
      <c r="V1132" s="26">
        <v>0.76402830343919692</v>
      </c>
      <c r="W1132" s="26">
        <v>0.81277803344071176</v>
      </c>
      <c r="X1132" s="28">
        <v>0.92</v>
      </c>
      <c r="Y1132" s="28">
        <v>0</v>
      </c>
      <c r="Z1132" s="28">
        <v>0</v>
      </c>
      <c r="AA1132" s="28">
        <v>0</v>
      </c>
      <c r="AB1132" s="28">
        <v>0</v>
      </c>
      <c r="AC1132" s="28">
        <v>0.92</v>
      </c>
      <c r="AD1132" s="26">
        <v>0.99792315680166144</v>
      </c>
      <c r="AE1132" s="26">
        <v>0.99858757062146897</v>
      </c>
      <c r="AF1132" s="26">
        <v>0.99857142857142855</v>
      </c>
      <c r="AG1132" s="26">
        <v>0.99750664893617025</v>
      </c>
      <c r="AH1132" s="28">
        <v>0.92</v>
      </c>
      <c r="AI1132" s="26">
        <v>0.94214876033057848</v>
      </c>
      <c r="AJ1132" s="26">
        <v>0.9283088235294118</v>
      </c>
      <c r="AK1132" s="26">
        <v>0.96297515221326313</v>
      </c>
      <c r="AL1132" s="26">
        <v>0.9561282405276883</v>
      </c>
      <c r="AM1132" s="25">
        <v>0.99</v>
      </c>
      <c r="AN1132" s="30">
        <v>1</v>
      </c>
      <c r="AO1132" s="30">
        <v>1</v>
      </c>
      <c r="AP1132" s="30">
        <v>1</v>
      </c>
      <c r="AQ1132" s="30">
        <v>1</v>
      </c>
      <c r="AR1132" s="50">
        <v>7.2186152540827803E-2</v>
      </c>
      <c r="AS1132" s="34">
        <v>0.125</v>
      </c>
      <c r="AT1132" s="34">
        <v>0</v>
      </c>
      <c r="AU1132" s="34">
        <v>0</v>
      </c>
      <c r="AV1132" s="34">
        <v>8.6956521739130432E-2</v>
      </c>
      <c r="AW1132" s="10"/>
      <c r="AX1132" s="8"/>
    </row>
    <row r="1133" spans="1:50">
      <c r="A1133" s="7"/>
      <c r="B1133" s="10"/>
      <c r="C1133" s="45" t="s">
        <v>1100</v>
      </c>
      <c r="D1133" s="23" t="s">
        <v>25</v>
      </c>
      <c r="E1133" s="83" t="s">
        <v>1177</v>
      </c>
      <c r="F1133" s="83" t="s">
        <v>1177</v>
      </c>
      <c r="G1133" s="83" t="s">
        <v>1177</v>
      </c>
      <c r="H1133" s="83" t="s">
        <v>1177</v>
      </c>
      <c r="I1133" s="25">
        <v>0.9</v>
      </c>
      <c r="J1133" s="26">
        <v>0.76923076923076927</v>
      </c>
      <c r="K1133" s="26">
        <v>0.83673469387755106</v>
      </c>
      <c r="L1133" s="27">
        <v>0.8</v>
      </c>
      <c r="M1133" s="26">
        <v>0.80835380835380832</v>
      </c>
      <c r="N1133" s="28">
        <v>0.9</v>
      </c>
      <c r="O1133" s="26">
        <v>0.96565357054608347</v>
      </c>
      <c r="P1133" s="26">
        <v>0.96499166468206721</v>
      </c>
      <c r="Q1133" s="26">
        <v>0.92455066166304567</v>
      </c>
      <c r="R1133" s="26">
        <v>0.94908923924690036</v>
      </c>
      <c r="S1133" s="28">
        <v>0.9</v>
      </c>
      <c r="T1133" s="26">
        <v>0.68519891277489497</v>
      </c>
      <c r="U1133" s="26">
        <v>0.73065015479876161</v>
      </c>
      <c r="V1133" s="26">
        <v>0.68812956745012843</v>
      </c>
      <c r="W1133" s="26">
        <v>0.74063982856268173</v>
      </c>
      <c r="X1133" s="28">
        <v>0.92</v>
      </c>
      <c r="Y1133" s="28">
        <v>0</v>
      </c>
      <c r="Z1133" s="28">
        <v>0</v>
      </c>
      <c r="AA1133" s="28">
        <v>0</v>
      </c>
      <c r="AB1133" s="28">
        <v>0</v>
      </c>
      <c r="AC1133" s="28">
        <v>0.92</v>
      </c>
      <c r="AD1133" s="26">
        <v>1</v>
      </c>
      <c r="AE1133" s="26">
        <v>1</v>
      </c>
      <c r="AF1133" s="26">
        <v>1</v>
      </c>
      <c r="AG1133" s="26">
        <v>0.99612403100775193</v>
      </c>
      <c r="AH1133" s="28">
        <v>0.92</v>
      </c>
      <c r="AI1133" s="26">
        <v>0.9061032863849765</v>
      </c>
      <c r="AJ1133" s="26">
        <v>0.90450107168373417</v>
      </c>
      <c r="AK1133" s="26">
        <v>0.94390677463954176</v>
      </c>
      <c r="AL1133" s="26">
        <v>0.93261901117403945</v>
      </c>
      <c r="AM1133" s="25">
        <v>0.99</v>
      </c>
      <c r="AN1133" s="30">
        <v>1</v>
      </c>
      <c r="AO1133" s="30">
        <v>1</v>
      </c>
      <c r="AP1133" s="30">
        <v>1</v>
      </c>
      <c r="AQ1133" s="30">
        <v>1</v>
      </c>
      <c r="AR1133" s="50">
        <v>7.2186152540827803E-2</v>
      </c>
      <c r="AS1133" s="34">
        <v>6.6666666666666666E-2</v>
      </c>
      <c r="AT1133" s="34">
        <v>0.16666666666666666</v>
      </c>
      <c r="AU1133" s="34">
        <v>0</v>
      </c>
      <c r="AV1133" s="34">
        <v>7.1428571428571425E-2</v>
      </c>
      <c r="AW1133" s="10"/>
      <c r="AX1133" s="8"/>
    </row>
    <row r="1134" spans="1:50">
      <c r="A1134" s="7"/>
      <c r="B1134" s="10"/>
      <c r="C1134" s="45" t="s">
        <v>1100</v>
      </c>
      <c r="D1134" s="23" t="s">
        <v>25</v>
      </c>
      <c r="E1134" s="83" t="s">
        <v>1178</v>
      </c>
      <c r="F1134" s="83" t="s">
        <v>1178</v>
      </c>
      <c r="G1134" s="83" t="s">
        <v>1178</v>
      </c>
      <c r="H1134" s="83" t="s">
        <v>1178</v>
      </c>
      <c r="I1134" s="25">
        <v>0.9</v>
      </c>
      <c r="J1134" s="26">
        <v>0.74468085106382975</v>
      </c>
      <c r="K1134" s="26">
        <v>0.77083333333333337</v>
      </c>
      <c r="L1134" s="27">
        <v>0.82</v>
      </c>
      <c r="M1134" s="26">
        <v>0.793010752688172</v>
      </c>
      <c r="N1134" s="28">
        <v>0.9</v>
      </c>
      <c r="O1134" s="26">
        <v>0.97478726757012291</v>
      </c>
      <c r="P1134" s="26">
        <v>0.97722627737226275</v>
      </c>
      <c r="Q1134" s="26">
        <v>0.98446601941747569</v>
      </c>
      <c r="R1134" s="26">
        <v>0.96776052874269902</v>
      </c>
      <c r="S1134" s="28">
        <v>0.9</v>
      </c>
      <c r="T1134" s="26">
        <v>0.84084462653640091</v>
      </c>
      <c r="U1134" s="26">
        <v>0.86802919708029203</v>
      </c>
      <c r="V1134" s="26">
        <v>0.87451456310679609</v>
      </c>
      <c r="W1134" s="26">
        <v>0.85009990777743616</v>
      </c>
      <c r="X1134" s="28">
        <v>0.92</v>
      </c>
      <c r="Y1134" s="28">
        <v>0</v>
      </c>
      <c r="Z1134" s="28">
        <v>0</v>
      </c>
      <c r="AA1134" s="28">
        <v>0</v>
      </c>
      <c r="AB1134" s="28">
        <v>0</v>
      </c>
      <c r="AC1134" s="28">
        <v>0.92</v>
      </c>
      <c r="AD1134" s="26">
        <v>1</v>
      </c>
      <c r="AE1134" s="26">
        <v>1</v>
      </c>
      <c r="AF1134" s="26">
        <v>0.99857346647646217</v>
      </c>
      <c r="AG1134" s="26">
        <v>0.99600123039064903</v>
      </c>
      <c r="AH1134" s="28">
        <v>0.92</v>
      </c>
      <c r="AI1134" s="26">
        <v>0.93539237314843993</v>
      </c>
      <c r="AJ1134" s="26">
        <v>0.95680093403385869</v>
      </c>
      <c r="AK1134" s="26">
        <v>0.96868932038834954</v>
      </c>
      <c r="AL1134" s="26">
        <v>0.96196111580726962</v>
      </c>
      <c r="AM1134" s="25">
        <v>0.99</v>
      </c>
      <c r="AN1134" s="30">
        <v>1</v>
      </c>
      <c r="AO1134" s="30">
        <v>1</v>
      </c>
      <c r="AP1134" s="30">
        <v>1</v>
      </c>
      <c r="AQ1134" s="30">
        <v>1</v>
      </c>
      <c r="AR1134" s="50">
        <v>7.2186152540827803E-2</v>
      </c>
      <c r="AS1134" s="34">
        <v>0</v>
      </c>
      <c r="AT1134" s="34">
        <v>0</v>
      </c>
      <c r="AU1134" s="34">
        <v>0.2</v>
      </c>
      <c r="AV1134" s="34">
        <v>0.06</v>
      </c>
      <c r="AW1134" s="10"/>
      <c r="AX1134" s="8"/>
    </row>
    <row r="1135" spans="1:50">
      <c r="A1135" s="7"/>
      <c r="B1135" s="10"/>
      <c r="C1135" s="45" t="s">
        <v>1100</v>
      </c>
      <c r="D1135" s="23" t="s">
        <v>25</v>
      </c>
      <c r="E1135" s="83" t="s">
        <v>1179</v>
      </c>
      <c r="F1135" s="83" t="s">
        <v>1179</v>
      </c>
      <c r="G1135" s="83" t="s">
        <v>1179</v>
      </c>
      <c r="H1135" s="83" t="s">
        <v>1179</v>
      </c>
      <c r="I1135" s="25">
        <v>0.9</v>
      </c>
      <c r="J1135" s="26">
        <v>0.9</v>
      </c>
      <c r="K1135" s="26">
        <v>0.93103448275862066</v>
      </c>
      <c r="L1135" s="27">
        <v>0.93333333333333335</v>
      </c>
      <c r="M1135" s="26">
        <v>0.89699570815450647</v>
      </c>
      <c r="N1135" s="28">
        <v>0.9</v>
      </c>
      <c r="O1135" s="26">
        <v>0.98145806995364515</v>
      </c>
      <c r="P1135" s="26">
        <v>0.9811460258780037</v>
      </c>
      <c r="Q1135" s="26">
        <v>0.9777309659945832</v>
      </c>
      <c r="R1135" s="26">
        <v>0.97864279964010037</v>
      </c>
      <c r="S1135" s="28">
        <v>0.9</v>
      </c>
      <c r="T1135" s="26">
        <v>0.8086809945217025</v>
      </c>
      <c r="U1135" s="26">
        <v>0.76931608133086871</v>
      </c>
      <c r="V1135" s="26">
        <v>0.80740294914234123</v>
      </c>
      <c r="W1135" s="26">
        <v>0.80930056352701618</v>
      </c>
      <c r="X1135" s="28">
        <v>0.92</v>
      </c>
      <c r="Y1135" s="28">
        <v>0</v>
      </c>
      <c r="Z1135" s="28">
        <v>0</v>
      </c>
      <c r="AA1135" s="28">
        <v>0</v>
      </c>
      <c r="AB1135" s="28">
        <v>0</v>
      </c>
      <c r="AC1135" s="28">
        <v>0.92</v>
      </c>
      <c r="AD1135" s="26">
        <v>1</v>
      </c>
      <c r="AE1135" s="26">
        <v>1</v>
      </c>
      <c r="AF1135" s="26">
        <v>1</v>
      </c>
      <c r="AG1135" s="26">
        <v>1</v>
      </c>
      <c r="AH1135" s="28">
        <v>0.92</v>
      </c>
      <c r="AI1135" s="26">
        <v>0.93046776232616946</v>
      </c>
      <c r="AJ1135" s="26">
        <v>0.91829944547134934</v>
      </c>
      <c r="AK1135" s="26">
        <v>0.94523021366235327</v>
      </c>
      <c r="AL1135" s="26">
        <v>0.94189515556186953</v>
      </c>
      <c r="AM1135" s="25">
        <v>0.99</v>
      </c>
      <c r="AN1135" s="30">
        <v>1</v>
      </c>
      <c r="AO1135" s="30">
        <v>1</v>
      </c>
      <c r="AP1135" s="30">
        <v>1</v>
      </c>
      <c r="AQ1135" s="30">
        <v>1</v>
      </c>
      <c r="AR1135" s="50">
        <v>7.2186152540827803E-2</v>
      </c>
      <c r="AS1135" s="34">
        <v>0</v>
      </c>
      <c r="AT1135" s="34">
        <v>0</v>
      </c>
      <c r="AU1135" s="34">
        <v>0</v>
      </c>
      <c r="AV1135" s="34">
        <v>7.1428571428571425E-2</v>
      </c>
      <c r="AW1135" s="10"/>
      <c r="AX1135" s="8"/>
    </row>
    <row r="1136" spans="1:50">
      <c r="A1136" s="7"/>
      <c r="B1136" s="10"/>
      <c r="C1136" s="45" t="s">
        <v>1100</v>
      </c>
      <c r="D1136" s="23" t="s">
        <v>25</v>
      </c>
      <c r="E1136" s="83" t="s">
        <v>1180</v>
      </c>
      <c r="F1136" s="83" t="s">
        <v>1180</v>
      </c>
      <c r="G1136" s="83" t="s">
        <v>1180</v>
      </c>
      <c r="H1136" s="83" t="s">
        <v>1180</v>
      </c>
      <c r="I1136" s="25">
        <v>0.9</v>
      </c>
      <c r="J1136" s="26">
        <v>0.8571428571428571</v>
      </c>
      <c r="K1136" s="26">
        <v>0.69565217391304346</v>
      </c>
      <c r="L1136" s="27">
        <v>0.75</v>
      </c>
      <c r="M1136" s="26">
        <v>0.83908045977011492</v>
      </c>
      <c r="N1136" s="28">
        <v>0.9</v>
      </c>
      <c r="O1136" s="26">
        <v>0.92340686274509809</v>
      </c>
      <c r="P1136" s="26">
        <v>0.9850746268656716</v>
      </c>
      <c r="Q1136" s="26">
        <v>0.9664664664664665</v>
      </c>
      <c r="R1136" s="26">
        <v>0.9771986970684039</v>
      </c>
      <c r="S1136" s="28">
        <v>0.9</v>
      </c>
      <c r="T1136" s="26">
        <v>0.81495098039215685</v>
      </c>
      <c r="U1136" s="26">
        <v>0.86447761194029848</v>
      </c>
      <c r="V1136" s="26">
        <v>0.84634634634634631</v>
      </c>
      <c r="W1136" s="26">
        <v>0.86591924854177715</v>
      </c>
      <c r="X1136" s="28">
        <v>0.92</v>
      </c>
      <c r="Y1136" s="28">
        <v>0</v>
      </c>
      <c r="Z1136" s="28">
        <v>0</v>
      </c>
      <c r="AA1136" s="28">
        <v>0</v>
      </c>
      <c r="AB1136" s="28">
        <v>0</v>
      </c>
      <c r="AC1136" s="28">
        <v>0.92</v>
      </c>
      <c r="AD1136" s="26">
        <v>1</v>
      </c>
      <c r="AE1136" s="26">
        <v>1</v>
      </c>
      <c r="AF1136" s="26">
        <v>1</v>
      </c>
      <c r="AG1136" s="26">
        <v>1</v>
      </c>
      <c r="AH1136" s="28">
        <v>0.92</v>
      </c>
      <c r="AI1136" s="26">
        <v>0.91605392156862742</v>
      </c>
      <c r="AJ1136" s="26">
        <v>0.95940298507462685</v>
      </c>
      <c r="AK1136" s="26">
        <v>0.95345345345345345</v>
      </c>
      <c r="AL1136" s="26">
        <v>0.95273085372320276</v>
      </c>
      <c r="AM1136" s="25">
        <v>0.99</v>
      </c>
      <c r="AN1136" s="30">
        <v>1</v>
      </c>
      <c r="AO1136" s="30">
        <v>1</v>
      </c>
      <c r="AP1136" s="30">
        <v>1</v>
      </c>
      <c r="AQ1136" s="30">
        <v>1</v>
      </c>
      <c r="AR1136" s="50">
        <v>7.2186152540827803E-2</v>
      </c>
      <c r="AS1136" s="34">
        <v>0.1</v>
      </c>
      <c r="AT1136" s="34">
        <v>0</v>
      </c>
      <c r="AU1136" s="34">
        <v>0.5</v>
      </c>
      <c r="AV1136" s="34">
        <v>0.125</v>
      </c>
      <c r="AW1136" s="10"/>
      <c r="AX1136" s="8"/>
    </row>
    <row r="1137" spans="1:50">
      <c r="A1137" s="7"/>
      <c r="B1137" s="10"/>
      <c r="C1137" s="45" t="s">
        <v>1100</v>
      </c>
      <c r="D1137" s="23" t="s">
        <v>25</v>
      </c>
      <c r="E1137" s="83" t="s">
        <v>1181</v>
      </c>
      <c r="F1137" s="83" t="s">
        <v>1181</v>
      </c>
      <c r="G1137" s="83" t="s">
        <v>1181</v>
      </c>
      <c r="H1137" s="83" t="s">
        <v>1181</v>
      </c>
      <c r="I1137" s="25">
        <v>0.9</v>
      </c>
      <c r="J1137" s="26">
        <v>0.77419354838709675</v>
      </c>
      <c r="K1137" s="26">
        <v>0.80645161290322576</v>
      </c>
      <c r="L1137" s="27">
        <v>0.87878787878787878</v>
      </c>
      <c r="M1137" s="26">
        <v>0.78632478632478631</v>
      </c>
      <c r="N1137" s="28">
        <v>0.9</v>
      </c>
      <c r="O1137" s="26">
        <v>0.95956284153005467</v>
      </c>
      <c r="P1137" s="26">
        <v>0.98528428093645481</v>
      </c>
      <c r="Q1137" s="26">
        <v>0.9327978580990629</v>
      </c>
      <c r="R1137" s="26">
        <v>0.92679226198002274</v>
      </c>
      <c r="S1137" s="28">
        <v>0.9</v>
      </c>
      <c r="T1137" s="26">
        <v>0.84918032786885245</v>
      </c>
      <c r="U1137" s="26">
        <v>0.85685618729096991</v>
      </c>
      <c r="V1137" s="26">
        <v>0.80722891566265065</v>
      </c>
      <c r="W1137" s="26">
        <v>0.80692881527373883</v>
      </c>
      <c r="X1137" s="28">
        <v>0.92</v>
      </c>
      <c r="Y1137" s="28">
        <v>0</v>
      </c>
      <c r="Z1137" s="28">
        <v>0</v>
      </c>
      <c r="AA1137" s="28">
        <v>0</v>
      </c>
      <c r="AB1137" s="28">
        <v>0</v>
      </c>
      <c r="AC1137" s="28">
        <v>0.92</v>
      </c>
      <c r="AD1137" s="26">
        <v>0.9946737683089214</v>
      </c>
      <c r="AE1137" s="26">
        <v>0.96098562628336759</v>
      </c>
      <c r="AF1137" s="26">
        <v>0.87696019300361883</v>
      </c>
      <c r="AG1137" s="26">
        <v>0.79946027997976055</v>
      </c>
      <c r="AH1137" s="28">
        <v>0.92</v>
      </c>
      <c r="AI1137" s="26">
        <v>0.94280510018214936</v>
      </c>
      <c r="AJ1137" s="26">
        <v>0.95854229354730858</v>
      </c>
      <c r="AK1137" s="26">
        <v>0.95287817938420349</v>
      </c>
      <c r="AL1137" s="26">
        <v>0.94390593391773436</v>
      </c>
      <c r="AM1137" s="25">
        <v>0.99</v>
      </c>
      <c r="AN1137" s="30">
        <v>1</v>
      </c>
      <c r="AO1137" s="30">
        <v>1</v>
      </c>
      <c r="AP1137" s="30">
        <v>1</v>
      </c>
      <c r="AQ1137" s="30">
        <v>1</v>
      </c>
      <c r="AR1137" s="50">
        <v>7.2186152540827803E-2</v>
      </c>
      <c r="AS1137" s="34">
        <v>0.2857142857142857</v>
      </c>
      <c r="AT1137" s="34">
        <v>0.4</v>
      </c>
      <c r="AU1137" s="34">
        <v>0.22222222222222221</v>
      </c>
      <c r="AV1137" s="34">
        <v>0.15555555555555556</v>
      </c>
      <c r="AW1137" s="10"/>
      <c r="AX1137" s="8"/>
    </row>
    <row r="1138" spans="1:50">
      <c r="A1138" s="7"/>
      <c r="B1138" s="10"/>
      <c r="C1138" s="45" t="s">
        <v>1100</v>
      </c>
      <c r="D1138" s="23" t="s">
        <v>25</v>
      </c>
      <c r="E1138" s="83" t="s">
        <v>1182</v>
      </c>
      <c r="F1138" s="83" t="s">
        <v>1182</v>
      </c>
      <c r="G1138" s="83" t="s">
        <v>1182</v>
      </c>
      <c r="H1138" s="83" t="s">
        <v>1182</v>
      </c>
      <c r="I1138" s="25">
        <v>0.9</v>
      </c>
      <c r="J1138" s="26">
        <v>0.96153846153846156</v>
      </c>
      <c r="K1138" s="26">
        <v>0.84</v>
      </c>
      <c r="L1138" s="27">
        <v>0.66666666666666663</v>
      </c>
      <c r="M1138" s="26">
        <v>0.83253588516746413</v>
      </c>
      <c r="N1138" s="28">
        <v>0.9</v>
      </c>
      <c r="O1138" s="26">
        <v>0.95513748191027492</v>
      </c>
      <c r="P1138" s="26">
        <v>0.93508424182358774</v>
      </c>
      <c r="Q1138" s="26">
        <v>0.83389830508474572</v>
      </c>
      <c r="R1138" s="26">
        <v>0.9195832845604589</v>
      </c>
      <c r="S1138" s="28">
        <v>0.9</v>
      </c>
      <c r="T1138" s="26">
        <v>0.81572600096478531</v>
      </c>
      <c r="U1138" s="26">
        <v>0.82011892963330024</v>
      </c>
      <c r="V1138" s="26">
        <v>0.77664783427495288</v>
      </c>
      <c r="W1138" s="26">
        <v>0.82231066370127592</v>
      </c>
      <c r="X1138" s="28">
        <v>0.92</v>
      </c>
      <c r="Y1138" s="28">
        <v>0</v>
      </c>
      <c r="Z1138" s="28">
        <v>0</v>
      </c>
      <c r="AA1138" s="28">
        <v>0</v>
      </c>
      <c r="AB1138" s="28">
        <v>0</v>
      </c>
      <c r="AC1138" s="28">
        <v>0.92</v>
      </c>
      <c r="AD1138" s="26">
        <v>1</v>
      </c>
      <c r="AE1138" s="26">
        <v>1</v>
      </c>
      <c r="AF1138" s="26">
        <v>1</v>
      </c>
      <c r="AG1138" s="26">
        <v>0.90176647996553205</v>
      </c>
      <c r="AH1138" s="28">
        <v>0.92</v>
      </c>
      <c r="AI1138" s="26">
        <v>0.94452484322238306</v>
      </c>
      <c r="AJ1138" s="26">
        <v>0.91526263627353821</v>
      </c>
      <c r="AK1138" s="26">
        <v>0.93295668549905841</v>
      </c>
      <c r="AL1138" s="26">
        <v>0.94246751726559752</v>
      </c>
      <c r="AM1138" s="25">
        <v>0.99</v>
      </c>
      <c r="AN1138" s="30">
        <v>1</v>
      </c>
      <c r="AO1138" s="30">
        <v>1</v>
      </c>
      <c r="AP1138" s="30">
        <v>1</v>
      </c>
      <c r="AQ1138" s="30">
        <v>1</v>
      </c>
      <c r="AR1138" s="50">
        <v>7.2186152540827803E-2</v>
      </c>
      <c r="AS1138" s="34">
        <v>0</v>
      </c>
      <c r="AT1138" s="34">
        <v>0</v>
      </c>
      <c r="AU1138" s="34">
        <v>0</v>
      </c>
      <c r="AV1138" s="34">
        <v>6.8965517241379309E-2</v>
      </c>
      <c r="AW1138" s="10"/>
      <c r="AX1138" s="8"/>
    </row>
    <row r="1139" spans="1:50">
      <c r="A1139" s="7"/>
      <c r="B1139" s="10"/>
      <c r="C1139" s="45" t="s">
        <v>1100</v>
      </c>
      <c r="D1139" s="23" t="s">
        <v>25</v>
      </c>
      <c r="E1139" s="83" t="s">
        <v>1183</v>
      </c>
      <c r="F1139" s="83" t="s">
        <v>1183</v>
      </c>
      <c r="G1139" s="83" t="s">
        <v>1183</v>
      </c>
      <c r="H1139" s="83" t="s">
        <v>1183</v>
      </c>
      <c r="I1139" s="25">
        <v>0.9</v>
      </c>
      <c r="J1139" s="26">
        <v>0.83333333333333337</v>
      </c>
      <c r="K1139" s="26">
        <v>0.88888888888888884</v>
      </c>
      <c r="L1139" s="27">
        <v>0.77777777777777779</v>
      </c>
      <c r="M1139" s="26">
        <v>0.83660130718954251</v>
      </c>
      <c r="N1139" s="28">
        <v>0.9</v>
      </c>
      <c r="O1139" s="26">
        <v>0.9701715137956749</v>
      </c>
      <c r="P1139" s="26">
        <v>0.97252396166134181</v>
      </c>
      <c r="Q1139" s="26">
        <v>0.90322580645161288</v>
      </c>
      <c r="R1139" s="26">
        <v>0.9604256441825697</v>
      </c>
      <c r="S1139" s="28">
        <v>0.9</v>
      </c>
      <c r="T1139" s="26">
        <v>0.67710663683818051</v>
      </c>
      <c r="U1139" s="26">
        <v>0.64089456869009587</v>
      </c>
      <c r="V1139" s="26">
        <v>0.63477310005467469</v>
      </c>
      <c r="W1139" s="26">
        <v>0.69606894732213531</v>
      </c>
      <c r="X1139" s="28">
        <v>0.92</v>
      </c>
      <c r="Y1139" s="28">
        <v>0</v>
      </c>
      <c r="Z1139" s="28">
        <v>0</v>
      </c>
      <c r="AA1139" s="28">
        <v>0</v>
      </c>
      <c r="AB1139" s="28">
        <v>1</v>
      </c>
      <c r="AC1139" s="28">
        <v>0.92</v>
      </c>
      <c r="AD1139" s="26">
        <v>1</v>
      </c>
      <c r="AE1139" s="26">
        <v>1</v>
      </c>
      <c r="AF1139" s="26">
        <v>1</v>
      </c>
      <c r="AG1139" s="26">
        <v>1</v>
      </c>
      <c r="AH1139" s="28">
        <v>0.92</v>
      </c>
      <c r="AI1139" s="26">
        <v>0.9261744966442953</v>
      </c>
      <c r="AJ1139" s="26">
        <v>0.92651757188498407</v>
      </c>
      <c r="AK1139" s="26">
        <v>0.94040459267359211</v>
      </c>
      <c r="AL1139" s="26">
        <v>0.9413471684839958</v>
      </c>
      <c r="AM1139" s="25">
        <v>0.99</v>
      </c>
      <c r="AN1139" s="30">
        <v>0</v>
      </c>
      <c r="AO1139" s="30">
        <v>0</v>
      </c>
      <c r="AP1139" s="30">
        <v>0</v>
      </c>
      <c r="AQ1139" s="30">
        <v>1</v>
      </c>
      <c r="AR1139" s="50">
        <v>7.2186152540827803E-2</v>
      </c>
      <c r="AS1139" s="34">
        <v>0.2857142857142857</v>
      </c>
      <c r="AT1139" s="34">
        <v>0</v>
      </c>
      <c r="AU1139" s="34">
        <v>0</v>
      </c>
      <c r="AV1139" s="34">
        <v>7.1428571428571425E-2</v>
      </c>
      <c r="AW1139" s="10"/>
      <c r="AX1139" s="8"/>
    </row>
    <row r="1140" spans="1:50">
      <c r="A1140" s="7"/>
      <c r="B1140" s="10"/>
      <c r="C1140" s="45" t="s">
        <v>1100</v>
      </c>
      <c r="D1140" s="23" t="s">
        <v>25</v>
      </c>
      <c r="E1140" s="83" t="s">
        <v>1184</v>
      </c>
      <c r="F1140" s="83" t="s">
        <v>1184</v>
      </c>
      <c r="G1140" s="83" t="s">
        <v>1184</v>
      </c>
      <c r="H1140" s="83" t="s">
        <v>1184</v>
      </c>
      <c r="I1140" s="25">
        <v>0.9</v>
      </c>
      <c r="J1140" s="26">
        <v>0.9375</v>
      </c>
      <c r="K1140" s="26">
        <v>0.88235294117647056</v>
      </c>
      <c r="L1140" s="27">
        <v>0.88235294117647056</v>
      </c>
      <c r="M1140" s="26">
        <v>0.94029850746268662</v>
      </c>
      <c r="N1140" s="28">
        <v>0.9</v>
      </c>
      <c r="O1140" s="26">
        <v>0.9747434885556433</v>
      </c>
      <c r="P1140" s="26">
        <v>0.98462720983858565</v>
      </c>
      <c r="Q1140" s="26">
        <v>0.93419354838709678</v>
      </c>
      <c r="R1140" s="26">
        <v>0.9780546773293658</v>
      </c>
      <c r="S1140" s="28">
        <v>0.9</v>
      </c>
      <c r="T1140" s="26">
        <v>0.95895816890292029</v>
      </c>
      <c r="U1140" s="26">
        <v>0.96925441967717141</v>
      </c>
      <c r="V1140" s="26">
        <v>0.96</v>
      </c>
      <c r="W1140" s="26">
        <v>0.96215361725869442</v>
      </c>
      <c r="X1140" s="28">
        <v>0.92</v>
      </c>
      <c r="Y1140" s="28">
        <v>0.94052044609665431</v>
      </c>
      <c r="Z1140" s="28">
        <v>0.96761133603238869</v>
      </c>
      <c r="AA1140" s="28">
        <v>0.96253602305475505</v>
      </c>
      <c r="AB1140" s="28">
        <v>0.9605678233438486</v>
      </c>
      <c r="AC1140" s="28">
        <v>0.92</v>
      </c>
      <c r="AD1140" s="26">
        <v>0.99728113104948346</v>
      </c>
      <c r="AE1140" s="26">
        <v>0.99851337958374631</v>
      </c>
      <c r="AF1140" s="26">
        <v>0.9965957446808511</v>
      </c>
      <c r="AG1140" s="26">
        <v>0.99785322863115078</v>
      </c>
      <c r="AH1140" s="28">
        <v>0.92</v>
      </c>
      <c r="AI1140" s="26">
        <v>0.974609375</v>
      </c>
      <c r="AJ1140" s="26">
        <v>0.98449612403100772</v>
      </c>
      <c r="AK1140" s="26">
        <v>0.98629414865577225</v>
      </c>
      <c r="AL1140" s="26">
        <v>0.98066215199398044</v>
      </c>
      <c r="AM1140" s="25">
        <v>0.99</v>
      </c>
      <c r="AN1140" s="30">
        <v>1</v>
      </c>
      <c r="AO1140" s="30">
        <v>1</v>
      </c>
      <c r="AP1140" s="30">
        <v>1</v>
      </c>
      <c r="AQ1140" s="30">
        <v>1</v>
      </c>
      <c r="AR1140" s="50">
        <v>7.2186152540827803E-2</v>
      </c>
      <c r="AS1140" s="34">
        <v>0</v>
      </c>
      <c r="AT1140" s="34">
        <v>0</v>
      </c>
      <c r="AU1140" s="34">
        <v>0</v>
      </c>
      <c r="AV1140" s="34">
        <v>0</v>
      </c>
      <c r="AW1140" s="10"/>
      <c r="AX1140" s="8"/>
    </row>
    <row r="1141" spans="1:50">
      <c r="A1141" s="7"/>
      <c r="B1141" s="10"/>
      <c r="C1141" s="45" t="s">
        <v>1100</v>
      </c>
      <c r="D1141" s="23" t="s">
        <v>25</v>
      </c>
      <c r="E1141" s="83" t="s">
        <v>1185</v>
      </c>
      <c r="F1141" s="83" t="s">
        <v>1185</v>
      </c>
      <c r="G1141" s="83" t="s">
        <v>1185</v>
      </c>
      <c r="H1141" s="83" t="s">
        <v>1185</v>
      </c>
      <c r="I1141" s="25">
        <v>0.9</v>
      </c>
      <c r="J1141" s="26">
        <v>0.94117647058823528</v>
      </c>
      <c r="K1141" s="26">
        <v>0.98630136986301364</v>
      </c>
      <c r="L1141" s="27">
        <v>0.97368421052631582</v>
      </c>
      <c r="M1141" s="26">
        <v>0.9700176366843033</v>
      </c>
      <c r="N1141" s="28">
        <v>0.9</v>
      </c>
      <c r="O1141" s="26">
        <v>0.97440860215053759</v>
      </c>
      <c r="P1141" s="26">
        <v>0.97038255861785272</v>
      </c>
      <c r="Q1141" s="26">
        <v>0.96837653980511118</v>
      </c>
      <c r="R1141" s="26">
        <v>0.97325905292479109</v>
      </c>
      <c r="S1141" s="28">
        <v>0.9</v>
      </c>
      <c r="T1141" s="26">
        <v>0.95139784946236561</v>
      </c>
      <c r="U1141" s="26">
        <v>0.94590703414232824</v>
      </c>
      <c r="V1141" s="26">
        <v>0.94557823129251706</v>
      </c>
      <c r="W1141" s="26">
        <v>0.93909850595087363</v>
      </c>
      <c r="X1141" s="28">
        <v>0.92</v>
      </c>
      <c r="Y1141" s="28">
        <v>0.95516925892040261</v>
      </c>
      <c r="Z1141" s="28">
        <v>0.96239717978848416</v>
      </c>
      <c r="AA1141" s="28">
        <v>0.96013289036544847</v>
      </c>
      <c r="AB1141" s="28">
        <v>0.95348837209302328</v>
      </c>
      <c r="AC1141" s="28">
        <v>0.92</v>
      </c>
      <c r="AD1141" s="26">
        <v>0.99945404913557778</v>
      </c>
      <c r="AE1141" s="26">
        <v>0.99958428601122429</v>
      </c>
      <c r="AF1141" s="26">
        <v>0.99707846410684475</v>
      </c>
      <c r="AG1141" s="26">
        <v>0.99805930939814924</v>
      </c>
      <c r="AH1141" s="28">
        <v>0.92</v>
      </c>
      <c r="AI1141" s="26">
        <v>0.97388579387186625</v>
      </c>
      <c r="AJ1141" s="26">
        <v>0.97619464379485388</v>
      </c>
      <c r="AK1141" s="26">
        <v>0.97782258064516125</v>
      </c>
      <c r="AL1141" s="26">
        <v>0.97447974824890871</v>
      </c>
      <c r="AM1141" s="25">
        <v>0.99</v>
      </c>
      <c r="AN1141" s="30">
        <v>1</v>
      </c>
      <c r="AO1141" s="30">
        <v>1</v>
      </c>
      <c r="AP1141" s="30">
        <v>1</v>
      </c>
      <c r="AQ1141" s="30">
        <v>1</v>
      </c>
      <c r="AR1141" s="50">
        <v>7.2186152540827803E-2</v>
      </c>
      <c r="AS1141" s="34">
        <v>6.25E-2</v>
      </c>
      <c r="AT1141" s="34">
        <v>0</v>
      </c>
      <c r="AU1141" s="34">
        <v>0</v>
      </c>
      <c r="AV1141" s="34">
        <v>7.0422535211267607E-3</v>
      </c>
      <c r="AW1141" s="10"/>
      <c r="AX1141" s="8"/>
    </row>
    <row r="1142" spans="1:50">
      <c r="A1142" s="7"/>
      <c r="B1142" s="10"/>
      <c r="C1142" s="45" t="s">
        <v>1100</v>
      </c>
      <c r="D1142" s="23" t="s">
        <v>25</v>
      </c>
      <c r="E1142" s="83" t="s">
        <v>1186</v>
      </c>
      <c r="F1142" s="83" t="s">
        <v>1186</v>
      </c>
      <c r="G1142" s="83" t="s">
        <v>1186</v>
      </c>
      <c r="H1142" s="83" t="s">
        <v>1186</v>
      </c>
      <c r="I1142" s="25">
        <v>0.9</v>
      </c>
      <c r="J1142" s="26">
        <v>0.96969696969696972</v>
      </c>
      <c r="K1142" s="26">
        <v>0.93333333333333335</v>
      </c>
      <c r="L1142" s="27">
        <v>0.9859154929577465</v>
      </c>
      <c r="M1142" s="26">
        <v>0.94945848375451258</v>
      </c>
      <c r="N1142" s="28">
        <v>0.9</v>
      </c>
      <c r="O1142" s="26">
        <v>0.97211088844355376</v>
      </c>
      <c r="P1142" s="26">
        <v>0.98773923444976075</v>
      </c>
      <c r="Q1142" s="26">
        <v>0.99138616485555264</v>
      </c>
      <c r="R1142" s="26">
        <v>0.96394093181211127</v>
      </c>
      <c r="S1142" s="28">
        <v>0.9</v>
      </c>
      <c r="T1142" s="26">
        <v>0.94104876419505679</v>
      </c>
      <c r="U1142" s="26">
        <v>0.94826555023923442</v>
      </c>
      <c r="V1142" s="26">
        <v>0.9436787702093824</v>
      </c>
      <c r="W1142" s="26">
        <v>0.92980882970198797</v>
      </c>
      <c r="X1142" s="28">
        <v>0.92</v>
      </c>
      <c r="Y1142" s="28">
        <v>0</v>
      </c>
      <c r="Z1142" s="28">
        <v>0</v>
      </c>
      <c r="AA1142" s="28">
        <v>0</v>
      </c>
      <c r="AB1142" s="28">
        <v>0.5</v>
      </c>
      <c r="AC1142" s="28">
        <v>0.92</v>
      </c>
      <c r="AD1142" s="26">
        <v>0.99772382397572079</v>
      </c>
      <c r="AE1142" s="26">
        <v>0.9930413426115432</v>
      </c>
      <c r="AF1142" s="26">
        <v>0.99291497975708498</v>
      </c>
      <c r="AG1142" s="26">
        <v>0.99511939335269439</v>
      </c>
      <c r="AH1142" s="28">
        <v>0.92</v>
      </c>
      <c r="AI1142" s="26">
        <v>0.98346969443980636</v>
      </c>
      <c r="AJ1142" s="26">
        <v>0.98863636363636365</v>
      </c>
      <c r="AK1142" s="26">
        <v>0.98913331566392793</v>
      </c>
      <c r="AL1142" s="26">
        <v>0.98492826617826623</v>
      </c>
      <c r="AM1142" s="25">
        <v>0.99</v>
      </c>
      <c r="AN1142" s="30">
        <v>1</v>
      </c>
      <c r="AO1142" s="30">
        <v>1</v>
      </c>
      <c r="AP1142" s="30">
        <v>1</v>
      </c>
      <c r="AQ1142" s="30">
        <v>1</v>
      </c>
      <c r="AR1142" s="50">
        <v>7.2186152540827803E-2</v>
      </c>
      <c r="AS1142" s="34">
        <v>0</v>
      </c>
      <c r="AT1142" s="34">
        <v>5.4054054054054057E-2</v>
      </c>
      <c r="AU1142" s="34">
        <v>0.15</v>
      </c>
      <c r="AV1142" s="34">
        <v>5.434782608695652E-2</v>
      </c>
      <c r="AW1142" s="10"/>
      <c r="AX1142" s="8"/>
    </row>
    <row r="1143" spans="1:50">
      <c r="A1143" s="7"/>
      <c r="B1143" s="10"/>
      <c r="C1143" s="45" t="s">
        <v>1100</v>
      </c>
      <c r="D1143" s="23" t="s">
        <v>25</v>
      </c>
      <c r="E1143" s="83" t="s">
        <v>1187</v>
      </c>
      <c r="F1143" s="83" t="s">
        <v>1187</v>
      </c>
      <c r="G1143" s="83" t="s">
        <v>1187</v>
      </c>
      <c r="H1143" s="83" t="s">
        <v>1187</v>
      </c>
      <c r="I1143" s="25">
        <v>0.9</v>
      </c>
      <c r="J1143" s="26">
        <v>0.97916666666666663</v>
      </c>
      <c r="K1143" s="26">
        <v>1</v>
      </c>
      <c r="L1143" s="27">
        <v>0.87755102040816324</v>
      </c>
      <c r="M1143" s="26">
        <v>0.93600000000000005</v>
      </c>
      <c r="N1143" s="28">
        <v>0.9</v>
      </c>
      <c r="O1143" s="26">
        <v>0.98417721518987344</v>
      </c>
      <c r="P1143" s="26">
        <v>0.9815369261477046</v>
      </c>
      <c r="Q1143" s="26">
        <v>0.98869931309550185</v>
      </c>
      <c r="R1143" s="26">
        <v>0.9834508784954219</v>
      </c>
      <c r="S1143" s="28">
        <v>0.9</v>
      </c>
      <c r="T1143" s="26">
        <v>0.96017932489451474</v>
      </c>
      <c r="U1143" s="26">
        <v>0.95708582834331335</v>
      </c>
      <c r="V1143" s="26">
        <v>0.96210946155550636</v>
      </c>
      <c r="W1143" s="26">
        <v>0.95771467458549864</v>
      </c>
      <c r="X1143" s="28">
        <v>0.92</v>
      </c>
      <c r="Y1143" s="28">
        <v>0.97145993413830956</v>
      </c>
      <c r="Z1143" s="28">
        <v>0.96908602150537637</v>
      </c>
      <c r="AA1143" s="28">
        <v>0.97142857142857142</v>
      </c>
      <c r="AB1143" s="28">
        <v>0.96978161503301163</v>
      </c>
      <c r="AC1143" s="28">
        <v>0.92</v>
      </c>
      <c r="AD1143" s="26">
        <v>0.99920202154541826</v>
      </c>
      <c r="AE1143" s="26">
        <v>0.99766774309293149</v>
      </c>
      <c r="AF1143" s="26">
        <v>0.99875525128364706</v>
      </c>
      <c r="AG1143" s="26">
        <v>0.99855445209979909</v>
      </c>
      <c r="AH1143" s="28">
        <v>0.92</v>
      </c>
      <c r="AI1143" s="26">
        <v>0.98022538805018078</v>
      </c>
      <c r="AJ1143" s="26">
        <v>0.98295454545454541</v>
      </c>
      <c r="AK1143" s="26">
        <v>0.98832345765074936</v>
      </c>
      <c r="AL1143" s="26">
        <v>0.98338473783703118</v>
      </c>
      <c r="AM1143" s="25">
        <v>0.99</v>
      </c>
      <c r="AN1143" s="30">
        <v>1</v>
      </c>
      <c r="AO1143" s="30">
        <v>1</v>
      </c>
      <c r="AP1143" s="30">
        <v>1</v>
      </c>
      <c r="AQ1143" s="30">
        <v>1</v>
      </c>
      <c r="AR1143" s="50">
        <v>7.2186152540827803E-2</v>
      </c>
      <c r="AS1143" s="34">
        <v>0</v>
      </c>
      <c r="AT1143" s="34">
        <v>4.5454545454545456E-2</v>
      </c>
      <c r="AU1143" s="34">
        <v>0</v>
      </c>
      <c r="AV1143" s="34">
        <v>0</v>
      </c>
      <c r="AW1143" s="10"/>
      <c r="AX1143" s="8"/>
    </row>
    <row r="1144" spans="1:50">
      <c r="A1144" s="7"/>
      <c r="B1144" s="10"/>
      <c r="C1144" s="45" t="s">
        <v>1100</v>
      </c>
      <c r="D1144" s="23" t="s">
        <v>25</v>
      </c>
      <c r="E1144" s="83" t="s">
        <v>1188</v>
      </c>
      <c r="F1144" s="83" t="s">
        <v>1188</v>
      </c>
      <c r="G1144" s="83" t="s">
        <v>1188</v>
      </c>
      <c r="H1144" s="83" t="s">
        <v>1188</v>
      </c>
      <c r="I1144" s="25">
        <v>0.9</v>
      </c>
      <c r="J1144" s="26">
        <v>0.88888888888888884</v>
      </c>
      <c r="K1144" s="26">
        <v>1</v>
      </c>
      <c r="L1144" s="27">
        <v>0.83333333333333337</v>
      </c>
      <c r="M1144" s="26">
        <v>0.90419161676646709</v>
      </c>
      <c r="N1144" s="28">
        <v>0.9</v>
      </c>
      <c r="O1144" s="26">
        <v>0.88077581289218487</v>
      </c>
      <c r="P1144" s="26">
        <v>0.98055391868002362</v>
      </c>
      <c r="Q1144" s="26">
        <v>0.97346938775510206</v>
      </c>
      <c r="R1144" s="26">
        <v>0.93760181315957225</v>
      </c>
      <c r="S1144" s="28">
        <v>0.9</v>
      </c>
      <c r="T1144" s="26">
        <v>0.85453508271534517</v>
      </c>
      <c r="U1144" s="26">
        <v>0.92692987625220979</v>
      </c>
      <c r="V1144" s="26">
        <v>0.90408163265306118</v>
      </c>
      <c r="W1144" s="26">
        <v>0.89213117076280191</v>
      </c>
      <c r="X1144" s="28">
        <v>0.92</v>
      </c>
      <c r="Y1144" s="28">
        <v>0.9375</v>
      </c>
      <c r="Z1144" s="28">
        <v>0.9505494505494505</v>
      </c>
      <c r="AA1144" s="28">
        <v>0.95508274231678492</v>
      </c>
      <c r="AB1144" s="28">
        <v>0.93674698795180722</v>
      </c>
      <c r="AC1144" s="28">
        <v>0.92</v>
      </c>
      <c r="AD1144" s="26">
        <v>0.9964087495919034</v>
      </c>
      <c r="AE1144" s="26">
        <v>0.99764389094580952</v>
      </c>
      <c r="AF1144" s="26">
        <v>0.99595305544314039</v>
      </c>
      <c r="AG1144" s="26">
        <v>0.99801297648012977</v>
      </c>
      <c r="AH1144" s="28">
        <v>0.92</v>
      </c>
      <c r="AI1144" s="26">
        <v>0.9619136089177891</v>
      </c>
      <c r="AJ1144" s="26">
        <v>0.97429679922405432</v>
      </c>
      <c r="AK1144" s="26">
        <v>0.97398237515736463</v>
      </c>
      <c r="AL1144" s="26">
        <v>0.96680045871559628</v>
      </c>
      <c r="AM1144" s="25">
        <v>0.99</v>
      </c>
      <c r="AN1144" s="30">
        <v>1</v>
      </c>
      <c r="AO1144" s="30">
        <v>1</v>
      </c>
      <c r="AP1144" s="30">
        <v>1</v>
      </c>
      <c r="AQ1144" s="30">
        <v>1</v>
      </c>
      <c r="AR1144" s="50">
        <v>7.2186152540827803E-2</v>
      </c>
      <c r="AS1144" s="34">
        <v>0</v>
      </c>
      <c r="AT1144" s="34">
        <v>0.14285714285714285</v>
      </c>
      <c r="AU1144" s="34">
        <v>0</v>
      </c>
      <c r="AV1144" s="34">
        <v>4.2253521126760563E-2</v>
      </c>
      <c r="AW1144" s="10"/>
      <c r="AX1144" s="8"/>
    </row>
    <row r="1145" spans="1:50">
      <c r="A1145" s="7"/>
      <c r="B1145" s="10"/>
      <c r="C1145" s="45" t="s">
        <v>1100</v>
      </c>
      <c r="D1145" s="23" t="s">
        <v>25</v>
      </c>
      <c r="E1145" s="83" t="s">
        <v>1189</v>
      </c>
      <c r="F1145" s="83" t="s">
        <v>1189</v>
      </c>
      <c r="G1145" s="83" t="s">
        <v>1189</v>
      </c>
      <c r="H1145" s="83" t="s">
        <v>1189</v>
      </c>
      <c r="I1145" s="25">
        <v>0.9</v>
      </c>
      <c r="J1145" s="26">
        <v>1</v>
      </c>
      <c r="K1145" s="26">
        <v>1</v>
      </c>
      <c r="L1145" s="27">
        <v>1</v>
      </c>
      <c r="M1145" s="26">
        <v>0.9831223628691983</v>
      </c>
      <c r="N1145" s="28">
        <v>0.9</v>
      </c>
      <c r="O1145" s="26">
        <v>0.98396275219865492</v>
      </c>
      <c r="P1145" s="26">
        <v>0.98989435002296744</v>
      </c>
      <c r="Q1145" s="26">
        <v>0.98552472858866103</v>
      </c>
      <c r="R1145" s="26">
        <v>0.98739251684871021</v>
      </c>
      <c r="S1145" s="28">
        <v>0.9</v>
      </c>
      <c r="T1145" s="26">
        <v>0.95033626487325396</v>
      </c>
      <c r="U1145" s="26">
        <v>0.9545245751033532</v>
      </c>
      <c r="V1145" s="26">
        <v>0.94611982308001608</v>
      </c>
      <c r="W1145" s="26">
        <v>0.93574250522891012</v>
      </c>
      <c r="X1145" s="28">
        <v>0.92</v>
      </c>
      <c r="Y1145" s="28">
        <v>0.98161764705882348</v>
      </c>
      <c r="Z1145" s="28">
        <v>0.967741935483871</v>
      </c>
      <c r="AA1145" s="28">
        <v>0.97637795275590555</v>
      </c>
      <c r="AB1145" s="28">
        <v>0.9730357973035797</v>
      </c>
      <c r="AC1145" s="28">
        <v>0.92</v>
      </c>
      <c r="AD1145" s="26">
        <v>1</v>
      </c>
      <c r="AE1145" s="26">
        <v>0.99415204678362568</v>
      </c>
      <c r="AF1145" s="26">
        <v>0.99731903485254692</v>
      </c>
      <c r="AG1145" s="26">
        <v>0.99841017488076311</v>
      </c>
      <c r="AH1145" s="28">
        <v>0.92</v>
      </c>
      <c r="AI1145" s="26">
        <v>0.98062171982236579</v>
      </c>
      <c r="AJ1145" s="26">
        <v>0.98488372093023258</v>
      </c>
      <c r="AK1145" s="26">
        <v>0.98564273789649415</v>
      </c>
      <c r="AL1145" s="26">
        <v>0.98298782188342471</v>
      </c>
      <c r="AM1145" s="25">
        <v>0.99</v>
      </c>
      <c r="AN1145" s="30">
        <v>1</v>
      </c>
      <c r="AO1145" s="30">
        <v>1</v>
      </c>
      <c r="AP1145" s="30">
        <v>1</v>
      </c>
      <c r="AQ1145" s="30">
        <v>1</v>
      </c>
      <c r="AR1145" s="50">
        <v>7.2186152540827803E-2</v>
      </c>
      <c r="AS1145" s="34">
        <v>0.16666666666666666</v>
      </c>
      <c r="AT1145" s="34">
        <v>7.6923076923076927E-2</v>
      </c>
      <c r="AU1145" s="34">
        <v>0</v>
      </c>
      <c r="AV1145" s="34">
        <v>5.4545454545454543E-2</v>
      </c>
      <c r="AW1145" s="10"/>
      <c r="AX1145" s="8"/>
    </row>
    <row r="1146" spans="1:50">
      <c r="A1146" s="7"/>
      <c r="B1146" s="10"/>
      <c r="C1146" s="45" t="s">
        <v>1100</v>
      </c>
      <c r="D1146" s="23" t="s">
        <v>25</v>
      </c>
      <c r="E1146" s="83" t="s">
        <v>1190</v>
      </c>
      <c r="F1146" s="83" t="s">
        <v>1190</v>
      </c>
      <c r="G1146" s="83" t="s">
        <v>1190</v>
      </c>
      <c r="H1146" s="83" t="s">
        <v>1190</v>
      </c>
      <c r="I1146" s="25">
        <v>0.9</v>
      </c>
      <c r="J1146" s="26">
        <v>0.81034482758620685</v>
      </c>
      <c r="K1146" s="26">
        <v>0.87096774193548387</v>
      </c>
      <c r="L1146" s="27">
        <v>0.90769230769230769</v>
      </c>
      <c r="M1146" s="26">
        <v>0.87676767676767675</v>
      </c>
      <c r="N1146" s="28">
        <v>0.9</v>
      </c>
      <c r="O1146" s="26">
        <v>0.89196117927119578</v>
      </c>
      <c r="P1146" s="26">
        <v>0.91656131479140324</v>
      </c>
      <c r="Q1146" s="26">
        <v>0.92356591493870133</v>
      </c>
      <c r="R1146" s="26">
        <v>0.89687254302437325</v>
      </c>
      <c r="S1146" s="28">
        <v>0.9</v>
      </c>
      <c r="T1146" s="26">
        <v>0.83427943600073251</v>
      </c>
      <c r="U1146" s="26">
        <v>0.88603937150081269</v>
      </c>
      <c r="V1146" s="26">
        <v>0.89374905403360072</v>
      </c>
      <c r="W1146" s="26">
        <v>0.88409626976500388</v>
      </c>
      <c r="X1146" s="28">
        <v>0.92</v>
      </c>
      <c r="Y1146" s="28">
        <v>0.91160220994475138</v>
      </c>
      <c r="Z1146" s="28">
        <v>0.92619047619047623</v>
      </c>
      <c r="AA1146" s="28">
        <v>0.94011590470057949</v>
      </c>
      <c r="AB1146" s="28">
        <v>0.92015655577299416</v>
      </c>
      <c r="AC1146" s="28">
        <v>0.92</v>
      </c>
      <c r="AD1146" s="26">
        <v>0.99802955665024629</v>
      </c>
      <c r="AE1146" s="26">
        <v>0.99875000000000003</v>
      </c>
      <c r="AF1146" s="26">
        <v>0.99759615384615385</v>
      </c>
      <c r="AG1146" s="26">
        <v>0.99822912409753439</v>
      </c>
      <c r="AH1146" s="28">
        <v>0.92</v>
      </c>
      <c r="AI1146" s="26">
        <v>0.94129013079667068</v>
      </c>
      <c r="AJ1146" s="26">
        <v>0.95656264701270188</v>
      </c>
      <c r="AK1146" s="26">
        <v>0.97156862745098038</v>
      </c>
      <c r="AL1146" s="26">
        <v>0.95232908996768373</v>
      </c>
      <c r="AM1146" s="25">
        <v>0.99</v>
      </c>
      <c r="AN1146" s="30">
        <v>1</v>
      </c>
      <c r="AO1146" s="30">
        <v>1</v>
      </c>
      <c r="AP1146" s="30">
        <v>1</v>
      </c>
      <c r="AQ1146" s="30">
        <v>1</v>
      </c>
      <c r="AR1146" s="50">
        <v>7.2186152540827803E-2</v>
      </c>
      <c r="AS1146" s="34">
        <v>2.7027027027027029E-2</v>
      </c>
      <c r="AT1146" s="34">
        <v>3.2258064516129031E-2</v>
      </c>
      <c r="AU1146" s="34">
        <v>0</v>
      </c>
      <c r="AV1146" s="34">
        <v>-3.4364261168384879E-3</v>
      </c>
      <c r="AW1146" s="10"/>
      <c r="AX1146" s="8"/>
    </row>
    <row r="1147" spans="1:50">
      <c r="A1147" s="7"/>
      <c r="B1147" s="10"/>
      <c r="C1147" s="45" t="s">
        <v>1100</v>
      </c>
      <c r="D1147" s="23" t="s">
        <v>25</v>
      </c>
      <c r="E1147" s="83" t="s">
        <v>1191</v>
      </c>
      <c r="F1147" s="83" t="s">
        <v>1191</v>
      </c>
      <c r="G1147" s="83" t="s">
        <v>1191</v>
      </c>
      <c r="H1147" s="83" t="s">
        <v>1191</v>
      </c>
      <c r="I1147" s="25">
        <v>0.9</v>
      </c>
      <c r="J1147" s="26">
        <v>1</v>
      </c>
      <c r="K1147" s="26">
        <v>0.98275862068965514</v>
      </c>
      <c r="L1147" s="27">
        <v>0.9375</v>
      </c>
      <c r="M1147" s="26">
        <v>0.96982758620689657</v>
      </c>
      <c r="N1147" s="28">
        <v>0.9</v>
      </c>
      <c r="O1147" s="26">
        <v>0.99104700323302664</v>
      </c>
      <c r="P1147" s="26">
        <v>0.9900532037936618</v>
      </c>
      <c r="Q1147" s="26">
        <v>0.97543049139017224</v>
      </c>
      <c r="R1147" s="26">
        <v>0.98676176890156919</v>
      </c>
      <c r="S1147" s="28">
        <v>0.9</v>
      </c>
      <c r="T1147" s="26">
        <v>0.94503854762496886</v>
      </c>
      <c r="U1147" s="26">
        <v>0.96460791117279665</v>
      </c>
      <c r="V1147" s="26">
        <v>0.9573708525829483</v>
      </c>
      <c r="W1147" s="26">
        <v>0.94941512125534955</v>
      </c>
      <c r="X1147" s="28">
        <v>0.92</v>
      </c>
      <c r="Y1147" s="28">
        <v>0.98099260823653645</v>
      </c>
      <c r="Z1147" s="28">
        <v>0.9910714285714286</v>
      </c>
      <c r="AA1147" s="28">
        <v>0.9869565217391304</v>
      </c>
      <c r="AB1147" s="28">
        <v>0.98107448107448103</v>
      </c>
      <c r="AC1147" s="28">
        <v>0.92</v>
      </c>
      <c r="AD1147" s="26">
        <v>0.99506837032055595</v>
      </c>
      <c r="AE1147" s="26">
        <v>0.99615384615384617</v>
      </c>
      <c r="AF1147" s="26">
        <v>0.998691442030882</v>
      </c>
      <c r="AG1147" s="26">
        <v>0.99307413352357177</v>
      </c>
      <c r="AH1147" s="28">
        <v>0.92</v>
      </c>
      <c r="AI1147" s="26">
        <v>0.98691626409017719</v>
      </c>
      <c r="AJ1147" s="26">
        <v>0.99177599373409042</v>
      </c>
      <c r="AK1147" s="26">
        <v>0.99407983761840324</v>
      </c>
      <c r="AL1147" s="26">
        <v>0.98973220480088797</v>
      </c>
      <c r="AM1147" s="25">
        <v>0.99</v>
      </c>
      <c r="AN1147" s="30">
        <v>1</v>
      </c>
      <c r="AO1147" s="30">
        <v>1</v>
      </c>
      <c r="AP1147" s="30">
        <v>1</v>
      </c>
      <c r="AQ1147" s="30">
        <v>1</v>
      </c>
      <c r="AR1147" s="50">
        <v>7.2186152540827803E-2</v>
      </c>
      <c r="AS1147" s="34">
        <v>3.4482758620689655E-2</v>
      </c>
      <c r="AT1147" s="34">
        <v>0</v>
      </c>
      <c r="AU1147" s="34">
        <v>0</v>
      </c>
      <c r="AV1147" s="34">
        <v>3.5175879396984924E-2</v>
      </c>
      <c r="AW1147" s="10"/>
      <c r="AX1147" s="8"/>
    </row>
    <row r="1148" spans="1:50">
      <c r="A1148" s="7"/>
      <c r="B1148" s="10"/>
      <c r="C1148" s="45" t="s">
        <v>1100</v>
      </c>
      <c r="D1148" s="23" t="s">
        <v>25</v>
      </c>
      <c r="E1148" s="83" t="s">
        <v>1192</v>
      </c>
      <c r="F1148" s="83" t="s">
        <v>1192</v>
      </c>
      <c r="G1148" s="83" t="s">
        <v>1192</v>
      </c>
      <c r="H1148" s="83" t="s">
        <v>1192</v>
      </c>
      <c r="I1148" s="25">
        <v>0.9</v>
      </c>
      <c r="J1148" s="26">
        <v>0.78947368421052633</v>
      </c>
      <c r="K1148" s="26">
        <v>0.88524590163934425</v>
      </c>
      <c r="L1148" s="27">
        <v>0.87878787878787878</v>
      </c>
      <c r="M1148" s="26">
        <v>0.85594989561586643</v>
      </c>
      <c r="N1148" s="28">
        <v>0.9</v>
      </c>
      <c r="O1148" s="26">
        <v>0.88221561969439732</v>
      </c>
      <c r="P1148" s="26">
        <v>0.95652173913043481</v>
      </c>
      <c r="Q1148" s="26">
        <v>0.94745251198295755</v>
      </c>
      <c r="R1148" s="26">
        <v>0.9333080232852442</v>
      </c>
      <c r="S1148" s="28">
        <v>0.9</v>
      </c>
      <c r="T1148" s="26">
        <v>0.8699066213921901</v>
      </c>
      <c r="U1148" s="26">
        <v>0.93478260869565222</v>
      </c>
      <c r="V1148" s="26">
        <v>0.90857447186224038</v>
      </c>
      <c r="W1148" s="26">
        <v>0.89587446216147815</v>
      </c>
      <c r="X1148" s="28">
        <v>0.92</v>
      </c>
      <c r="Y1148" s="28">
        <v>0.9591623036649215</v>
      </c>
      <c r="Z1148" s="28">
        <v>0.96323529411764708</v>
      </c>
      <c r="AA1148" s="28">
        <v>0.96749358426005128</v>
      </c>
      <c r="AB1148" s="28">
        <v>0.96533082618404042</v>
      </c>
      <c r="AC1148" s="28">
        <v>0.92</v>
      </c>
      <c r="AD1148" s="26">
        <v>0.99861111111111112</v>
      </c>
      <c r="AE1148" s="26">
        <v>0.98784656285605776</v>
      </c>
      <c r="AF1148" s="26">
        <v>0.99656357388316152</v>
      </c>
      <c r="AG1148" s="26">
        <v>0.99615680245964644</v>
      </c>
      <c r="AH1148" s="28">
        <v>0.92</v>
      </c>
      <c r="AI1148" s="26">
        <v>0.97035991531404375</v>
      </c>
      <c r="AJ1148" s="26">
        <v>0.98548415648787391</v>
      </c>
      <c r="AK1148" s="26">
        <v>0.98485739488385771</v>
      </c>
      <c r="AL1148" s="26">
        <v>0.9809874846421357</v>
      </c>
      <c r="AM1148" s="25">
        <v>0.99</v>
      </c>
      <c r="AN1148" s="30">
        <v>1</v>
      </c>
      <c r="AO1148" s="30">
        <v>1</v>
      </c>
      <c r="AP1148" s="30">
        <v>1</v>
      </c>
      <c r="AQ1148" s="30">
        <v>1</v>
      </c>
      <c r="AR1148" s="50">
        <v>7.2186152540827803E-2</v>
      </c>
      <c r="AS1148" s="34">
        <v>0</v>
      </c>
      <c r="AT1148" s="34">
        <v>5.2631578947368418E-2</v>
      </c>
      <c r="AU1148" s="34">
        <v>-3.5714285714285712E-2</v>
      </c>
      <c r="AV1148" s="34">
        <v>4.1916167664670656E-2</v>
      </c>
      <c r="AW1148" s="10"/>
      <c r="AX1148" s="8"/>
    </row>
    <row r="1149" spans="1:50">
      <c r="A1149" s="7"/>
      <c r="B1149" s="10"/>
      <c r="C1149" s="45" t="s">
        <v>1100</v>
      </c>
      <c r="D1149" s="23" t="s">
        <v>25</v>
      </c>
      <c r="E1149" s="83" t="s">
        <v>1193</v>
      </c>
      <c r="F1149" s="83" t="s">
        <v>1193</v>
      </c>
      <c r="G1149" s="83" t="s">
        <v>1193</v>
      </c>
      <c r="H1149" s="83" t="s">
        <v>1193</v>
      </c>
      <c r="I1149" s="25">
        <v>0.9</v>
      </c>
      <c r="J1149" s="26">
        <v>0.97499999999999998</v>
      </c>
      <c r="K1149" s="26">
        <v>0.97499999999999998</v>
      </c>
      <c r="L1149" s="27">
        <v>0.97560975609756095</v>
      </c>
      <c r="M1149" s="26">
        <v>0.97151898734177211</v>
      </c>
      <c r="N1149" s="28">
        <v>0.9</v>
      </c>
      <c r="O1149" s="26">
        <v>0.99127534000513218</v>
      </c>
      <c r="P1149" s="26">
        <v>0.99167533818938602</v>
      </c>
      <c r="Q1149" s="26">
        <v>0.99353348729792146</v>
      </c>
      <c r="R1149" s="26">
        <v>0.99120345556010969</v>
      </c>
      <c r="S1149" s="28">
        <v>0.9</v>
      </c>
      <c r="T1149" s="26">
        <v>0.93892738003592502</v>
      </c>
      <c r="U1149" s="26">
        <v>0.95993756503642036</v>
      </c>
      <c r="V1149" s="26">
        <v>0.96050808314087754</v>
      </c>
      <c r="W1149" s="26">
        <v>0.95570198946936968</v>
      </c>
      <c r="X1149" s="28">
        <v>0.92</v>
      </c>
      <c r="Y1149" s="28">
        <v>0.98706338939197935</v>
      </c>
      <c r="Z1149" s="28">
        <v>0.98857142857142855</v>
      </c>
      <c r="AA1149" s="28">
        <v>0.98506069094304394</v>
      </c>
      <c r="AB1149" s="28">
        <v>0.98703602620087338</v>
      </c>
      <c r="AC1149" s="28">
        <v>0.92</v>
      </c>
      <c r="AD1149" s="26">
        <v>1</v>
      </c>
      <c r="AE1149" s="26">
        <v>0.99578059071729963</v>
      </c>
      <c r="AF1149" s="26">
        <v>1</v>
      </c>
      <c r="AG1149" s="26">
        <v>0.99900033322225923</v>
      </c>
      <c r="AH1149" s="28">
        <v>0.92</v>
      </c>
      <c r="AI1149" s="26">
        <v>0.99143468950749469</v>
      </c>
      <c r="AJ1149" s="26">
        <v>0.99251760563380287</v>
      </c>
      <c r="AK1149" s="26">
        <v>0.99277911497870763</v>
      </c>
      <c r="AL1149" s="26">
        <v>0.99336679813553241</v>
      </c>
      <c r="AM1149" s="25">
        <v>0.99</v>
      </c>
      <c r="AN1149" s="30">
        <v>1</v>
      </c>
      <c r="AO1149" s="30">
        <v>1</v>
      </c>
      <c r="AP1149" s="30">
        <v>1</v>
      </c>
      <c r="AQ1149" s="30">
        <v>1</v>
      </c>
      <c r="AR1149" s="50">
        <v>7.2186152540827803E-2</v>
      </c>
      <c r="AS1149" s="34">
        <v>5.8823529411764705E-2</v>
      </c>
      <c r="AT1149" s="34">
        <v>0</v>
      </c>
      <c r="AU1149" s="34">
        <v>0</v>
      </c>
      <c r="AV1149" s="34">
        <v>2.34375E-2</v>
      </c>
      <c r="AW1149" s="10"/>
      <c r="AX1149" s="8"/>
    </row>
    <row r="1150" spans="1:50">
      <c r="A1150" s="7"/>
      <c r="B1150" s="10"/>
      <c r="C1150" s="45" t="s">
        <v>1100</v>
      </c>
      <c r="D1150" s="23" t="s">
        <v>25</v>
      </c>
      <c r="E1150" s="83" t="s">
        <v>1194</v>
      </c>
      <c r="F1150" s="83" t="s">
        <v>1194</v>
      </c>
      <c r="G1150" s="83" t="s">
        <v>1194</v>
      </c>
      <c r="H1150" s="83" t="s">
        <v>1194</v>
      </c>
      <c r="I1150" s="25">
        <v>0.9</v>
      </c>
      <c r="J1150" s="26">
        <v>0.96153846153846156</v>
      </c>
      <c r="K1150" s="26">
        <v>0.96296296296296291</v>
      </c>
      <c r="L1150" s="27">
        <v>0.96153846153846156</v>
      </c>
      <c r="M1150" s="26">
        <v>0.94660194174757284</v>
      </c>
      <c r="N1150" s="28">
        <v>0.9</v>
      </c>
      <c r="O1150" s="26">
        <v>0.97738359201773839</v>
      </c>
      <c r="P1150" s="26">
        <v>0.9912804038549794</v>
      </c>
      <c r="Q1150" s="26">
        <v>0.9599843075715967</v>
      </c>
      <c r="R1150" s="26">
        <v>0.9796801402125096</v>
      </c>
      <c r="S1150" s="28">
        <v>0.9</v>
      </c>
      <c r="T1150" s="26">
        <v>0.95077605321507763</v>
      </c>
      <c r="U1150" s="26">
        <v>0.97016980266177144</v>
      </c>
      <c r="V1150" s="26">
        <v>0.9497842291094547</v>
      </c>
      <c r="W1150" s="26">
        <v>0.95054222806441013</v>
      </c>
      <c r="X1150" s="28">
        <v>0.92</v>
      </c>
      <c r="Y1150" s="28">
        <v>0.94847328244274809</v>
      </c>
      <c r="Z1150" s="28">
        <v>0.96573875802997855</v>
      </c>
      <c r="AA1150" s="28">
        <v>0.9706362153344209</v>
      </c>
      <c r="AB1150" s="28">
        <v>0.96648443071072021</v>
      </c>
      <c r="AC1150" s="28">
        <v>0.92</v>
      </c>
      <c r="AD1150" s="26">
        <v>0.99777613046701263</v>
      </c>
      <c r="AE1150" s="26">
        <v>0.99627213420316874</v>
      </c>
      <c r="AF1150" s="26">
        <v>0.99694889397406561</v>
      </c>
      <c r="AG1150" s="26">
        <v>0.99579041648007161</v>
      </c>
      <c r="AH1150" s="28">
        <v>0.92</v>
      </c>
      <c r="AI1150" s="26">
        <v>0.97445124145376039</v>
      </c>
      <c r="AJ1150" s="26">
        <v>0.9886621315192744</v>
      </c>
      <c r="AK1150" s="26">
        <v>0.98323845667299181</v>
      </c>
      <c r="AL1150" s="26">
        <v>0.98406480904477878</v>
      </c>
      <c r="AM1150" s="25">
        <v>0.99</v>
      </c>
      <c r="AN1150" s="30">
        <v>1</v>
      </c>
      <c r="AO1150" s="30">
        <v>1</v>
      </c>
      <c r="AP1150" s="30">
        <v>1</v>
      </c>
      <c r="AQ1150" s="30">
        <v>1</v>
      </c>
      <c r="AR1150" s="50">
        <v>7.2186152540827803E-2</v>
      </c>
      <c r="AS1150" s="34">
        <v>0</v>
      </c>
      <c r="AT1150" s="34">
        <v>0</v>
      </c>
      <c r="AU1150" s="34">
        <v>0.1</v>
      </c>
      <c r="AV1150" s="34">
        <v>1.282051282051282E-2</v>
      </c>
      <c r="AW1150" s="10"/>
      <c r="AX1150" s="8"/>
    </row>
    <row r="1151" spans="1:50">
      <c r="A1151" s="7"/>
      <c r="B1151" s="10"/>
      <c r="C1151" s="45" t="s">
        <v>1100</v>
      </c>
      <c r="D1151" s="23" t="s">
        <v>25</v>
      </c>
      <c r="E1151" s="83" t="s">
        <v>1195</v>
      </c>
      <c r="F1151" s="83" t="s">
        <v>1195</v>
      </c>
      <c r="G1151" s="83" t="s">
        <v>1195</v>
      </c>
      <c r="H1151" s="83" t="s">
        <v>1195</v>
      </c>
      <c r="I1151" s="25">
        <v>0.9</v>
      </c>
      <c r="J1151" s="26">
        <v>1</v>
      </c>
      <c r="K1151" s="26">
        <v>0.9885057471264368</v>
      </c>
      <c r="L1151" s="27">
        <v>1</v>
      </c>
      <c r="M1151" s="26">
        <v>0.98466257668711654</v>
      </c>
      <c r="N1151" s="28">
        <v>0.9</v>
      </c>
      <c r="O1151" s="26">
        <v>0.95148616330714042</v>
      </c>
      <c r="P1151" s="26">
        <v>0.97077713551701994</v>
      </c>
      <c r="Q1151" s="26">
        <v>0.94695565378582636</v>
      </c>
      <c r="R1151" s="26">
        <v>0.95922146408228171</v>
      </c>
      <c r="S1151" s="28">
        <v>0.9</v>
      </c>
      <c r="T1151" s="26">
        <v>0.9215920737956953</v>
      </c>
      <c r="U1151" s="26">
        <v>0.93978805394990361</v>
      </c>
      <c r="V1151" s="26">
        <v>0.94110936831598457</v>
      </c>
      <c r="W1151" s="26">
        <v>0.9262725680816376</v>
      </c>
      <c r="X1151" s="28">
        <v>0.92</v>
      </c>
      <c r="Y1151" s="28">
        <v>0.94876912840984695</v>
      </c>
      <c r="Z1151" s="28">
        <v>0.96346644010195415</v>
      </c>
      <c r="AA1151" s="28">
        <v>0.97142857142857142</v>
      </c>
      <c r="AB1151" s="28">
        <v>0.95847982588314085</v>
      </c>
      <c r="AC1151" s="28">
        <v>0.92</v>
      </c>
      <c r="AD1151" s="26">
        <v>0.99890290729566644</v>
      </c>
      <c r="AE1151" s="26">
        <v>0.9940867279894875</v>
      </c>
      <c r="AF1151" s="26">
        <v>0.98681471200555171</v>
      </c>
      <c r="AG1151" s="26">
        <v>0.99376478176736183</v>
      </c>
      <c r="AH1151" s="28">
        <v>0.92</v>
      </c>
      <c r="AI1151" s="26">
        <v>0.96683430746228083</v>
      </c>
      <c r="AJ1151" s="26">
        <v>0.98028625438833383</v>
      </c>
      <c r="AK1151" s="26">
        <v>0.98329165719481704</v>
      </c>
      <c r="AL1151" s="26">
        <v>0.9737790037319487</v>
      </c>
      <c r="AM1151" s="25">
        <v>0.99</v>
      </c>
      <c r="AN1151" s="30">
        <v>1</v>
      </c>
      <c r="AO1151" s="30">
        <v>1</v>
      </c>
      <c r="AP1151" s="30">
        <v>1</v>
      </c>
      <c r="AQ1151" s="30">
        <v>1</v>
      </c>
      <c r="AR1151" s="50">
        <v>7.2186152540827803E-2</v>
      </c>
      <c r="AS1151" s="34">
        <v>2.2222222222222223E-2</v>
      </c>
      <c r="AT1151" s="34">
        <v>0.11538461538461539</v>
      </c>
      <c r="AU1151" s="34">
        <v>3.0303030303030304E-2</v>
      </c>
      <c r="AV1151" s="34">
        <v>5.8823529411764705E-2</v>
      </c>
      <c r="AW1151" s="10"/>
      <c r="AX1151" s="8"/>
    </row>
    <row r="1152" spans="1:50">
      <c r="A1152" s="7"/>
      <c r="B1152" s="10"/>
      <c r="C1152" s="45" t="s">
        <v>1100</v>
      </c>
      <c r="D1152" s="23" t="s">
        <v>25</v>
      </c>
      <c r="E1152" s="83" t="s">
        <v>1196</v>
      </c>
      <c r="F1152" s="83" t="s">
        <v>1196</v>
      </c>
      <c r="G1152" s="83" t="s">
        <v>1196</v>
      </c>
      <c r="H1152" s="83" t="s">
        <v>1196</v>
      </c>
      <c r="I1152" s="25">
        <v>0.9</v>
      </c>
      <c r="J1152" s="26">
        <v>0.92452830188679247</v>
      </c>
      <c r="K1152" s="26">
        <v>0.93103448275862066</v>
      </c>
      <c r="L1152" s="27">
        <v>0.93650793650793651</v>
      </c>
      <c r="M1152" s="26">
        <v>0.92873051224944325</v>
      </c>
      <c r="N1152" s="28">
        <v>0.9</v>
      </c>
      <c r="O1152" s="26">
        <v>0.95743258301760636</v>
      </c>
      <c r="P1152" s="26">
        <v>0.97058187324248324</v>
      </c>
      <c r="Q1152" s="26">
        <v>0.94814814814814818</v>
      </c>
      <c r="R1152" s="26">
        <v>0.9391006790354488</v>
      </c>
      <c r="S1152" s="28">
        <v>0.9</v>
      </c>
      <c r="T1152" s="26">
        <v>0.85892578560285271</v>
      </c>
      <c r="U1152" s="26">
        <v>0.89422452952628162</v>
      </c>
      <c r="V1152" s="26">
        <v>0.89746588693957119</v>
      </c>
      <c r="W1152" s="26">
        <v>0.872694220178581</v>
      </c>
      <c r="X1152" s="28">
        <v>0.92</v>
      </c>
      <c r="Y1152" s="28">
        <v>0.8904494382022472</v>
      </c>
      <c r="Z1152" s="28">
        <v>0.92779783393501802</v>
      </c>
      <c r="AA1152" s="28">
        <v>0.94362934362934359</v>
      </c>
      <c r="AB1152" s="28">
        <v>0.90647655872402122</v>
      </c>
      <c r="AC1152" s="28">
        <v>0.92</v>
      </c>
      <c r="AD1152" s="26">
        <v>0.99618684461391804</v>
      </c>
      <c r="AE1152" s="26">
        <v>0.98296059637912669</v>
      </c>
      <c r="AF1152" s="26">
        <v>0.99176954732510292</v>
      </c>
      <c r="AG1152" s="26">
        <v>0.9885435451363106</v>
      </c>
      <c r="AH1152" s="28">
        <v>0.92</v>
      </c>
      <c r="AI1152" s="26">
        <v>0.95787578757875791</v>
      </c>
      <c r="AJ1152" s="26">
        <v>0.97488082141547483</v>
      </c>
      <c r="AK1152" s="26">
        <v>0.97665369649805445</v>
      </c>
      <c r="AL1152" s="26">
        <v>0.96701107657282959</v>
      </c>
      <c r="AM1152" s="25">
        <v>0.99</v>
      </c>
      <c r="AN1152" s="30">
        <v>1</v>
      </c>
      <c r="AO1152" s="30">
        <v>1</v>
      </c>
      <c r="AP1152" s="30">
        <v>1</v>
      </c>
      <c r="AQ1152" s="30">
        <v>1</v>
      </c>
      <c r="AR1152" s="50">
        <v>7.2186152540827803E-2</v>
      </c>
      <c r="AS1152" s="34">
        <v>0</v>
      </c>
      <c r="AT1152" s="34">
        <v>4.3478260869565216E-2</v>
      </c>
      <c r="AU1152" s="34">
        <v>0</v>
      </c>
      <c r="AV1152" s="34">
        <v>1.8867924528301886E-2</v>
      </c>
      <c r="AW1152" s="10"/>
      <c r="AX1152" s="8"/>
    </row>
    <row r="1153" spans="1:50">
      <c r="A1153" s="7"/>
      <c r="B1153" s="10"/>
      <c r="C1153" s="45" t="s">
        <v>1100</v>
      </c>
      <c r="D1153" s="23" t="s">
        <v>25</v>
      </c>
      <c r="E1153" s="83" t="s">
        <v>1197</v>
      </c>
      <c r="F1153" s="83" t="s">
        <v>1197</v>
      </c>
      <c r="G1153" s="83" t="s">
        <v>1197</v>
      </c>
      <c r="H1153" s="83" t="s">
        <v>1197</v>
      </c>
      <c r="I1153" s="25">
        <v>0.9</v>
      </c>
      <c r="J1153" s="26">
        <v>0.97560975609756095</v>
      </c>
      <c r="K1153" s="26">
        <v>0.90909090909090906</v>
      </c>
      <c r="L1153" s="27">
        <v>0.95744680851063835</v>
      </c>
      <c r="M1153" s="26">
        <v>0.94555873925501432</v>
      </c>
      <c r="N1153" s="28">
        <v>0.9</v>
      </c>
      <c r="O1153" s="26">
        <v>0.85303900816449951</v>
      </c>
      <c r="P1153" s="26">
        <v>0.9250291715285881</v>
      </c>
      <c r="Q1153" s="26">
        <v>0.91945288753799392</v>
      </c>
      <c r="R1153" s="26">
        <v>0.90819767231064863</v>
      </c>
      <c r="S1153" s="28">
        <v>0.9</v>
      </c>
      <c r="T1153" s="26">
        <v>0.83187178711823406</v>
      </c>
      <c r="U1153" s="26">
        <v>0.9037339556592765</v>
      </c>
      <c r="V1153" s="26">
        <v>0.87867274569402232</v>
      </c>
      <c r="W1153" s="26">
        <v>0.87204959936187953</v>
      </c>
      <c r="X1153" s="28">
        <v>0.92</v>
      </c>
      <c r="Y1153" s="28">
        <v>0.90145985401459849</v>
      </c>
      <c r="Z1153" s="28">
        <v>0.93944099378881984</v>
      </c>
      <c r="AA1153" s="28">
        <v>0.94493608652900685</v>
      </c>
      <c r="AB1153" s="28">
        <v>0.94127390453244997</v>
      </c>
      <c r="AC1153" s="28">
        <v>0.92</v>
      </c>
      <c r="AD1153" s="26">
        <v>0.98539435248296003</v>
      </c>
      <c r="AE1153" s="26">
        <v>0.99671412924424974</v>
      </c>
      <c r="AF1153" s="26">
        <v>0.99213372664700095</v>
      </c>
      <c r="AG1153" s="26">
        <v>0.99454432734035958</v>
      </c>
      <c r="AH1153" s="28">
        <v>0.92</v>
      </c>
      <c r="AI1153" s="26">
        <v>0.95471058367643502</v>
      </c>
      <c r="AJ1153" s="26">
        <v>0.97421414538310414</v>
      </c>
      <c r="AK1153" s="26">
        <v>0.96032225579053376</v>
      </c>
      <c r="AL1153" s="26">
        <v>0.96820758576354393</v>
      </c>
      <c r="AM1153" s="25">
        <v>0.99</v>
      </c>
      <c r="AN1153" s="30">
        <v>1</v>
      </c>
      <c r="AO1153" s="30">
        <v>1</v>
      </c>
      <c r="AP1153" s="30">
        <v>1</v>
      </c>
      <c r="AQ1153" s="30">
        <v>1</v>
      </c>
      <c r="AR1153" s="50">
        <v>7.2186152540827803E-2</v>
      </c>
      <c r="AS1153" s="34">
        <v>0.16666666666666666</v>
      </c>
      <c r="AT1153" s="34">
        <v>0.1111111111111111</v>
      </c>
      <c r="AU1153" s="34">
        <v>0</v>
      </c>
      <c r="AV1153" s="34">
        <v>3.4482758620689655E-2</v>
      </c>
      <c r="AW1153" s="10"/>
      <c r="AX1153" s="8"/>
    </row>
    <row r="1154" spans="1:50">
      <c r="A1154" s="7"/>
      <c r="B1154" s="10"/>
      <c r="C1154" s="45" t="s">
        <v>1100</v>
      </c>
      <c r="D1154" s="23" t="s">
        <v>25</v>
      </c>
      <c r="E1154" s="83" t="s">
        <v>1198</v>
      </c>
      <c r="F1154" s="83" t="s">
        <v>1198</v>
      </c>
      <c r="G1154" s="83" t="s">
        <v>1198</v>
      </c>
      <c r="H1154" s="83" t="s">
        <v>1198</v>
      </c>
      <c r="I1154" s="25">
        <v>0.9</v>
      </c>
      <c r="J1154" s="26">
        <v>1</v>
      </c>
      <c r="K1154" s="26">
        <v>0.98529411764705888</v>
      </c>
      <c r="L1154" s="27">
        <v>0.96923076923076923</v>
      </c>
      <c r="M1154" s="26">
        <v>0.98199999999999998</v>
      </c>
      <c r="N1154" s="28">
        <v>0.9</v>
      </c>
      <c r="O1154" s="26">
        <v>0.95820139328689047</v>
      </c>
      <c r="P1154" s="26">
        <v>0.96534855279249898</v>
      </c>
      <c r="Q1154" s="26">
        <v>0.95048975957257342</v>
      </c>
      <c r="R1154" s="26">
        <v>0.95782319601540844</v>
      </c>
      <c r="S1154" s="28">
        <v>0.9</v>
      </c>
      <c r="T1154" s="26">
        <v>0.90035887692632466</v>
      </c>
      <c r="U1154" s="26">
        <v>0.91153689359967383</v>
      </c>
      <c r="V1154" s="26">
        <v>0.88958147818343725</v>
      </c>
      <c r="W1154" s="26">
        <v>0.89167504968471678</v>
      </c>
      <c r="X1154" s="28">
        <v>0.92</v>
      </c>
      <c r="Y1154" s="28">
        <v>0.92586490939044486</v>
      </c>
      <c r="Z1154" s="28">
        <v>0.94117647058823528</v>
      </c>
      <c r="AA1154" s="28">
        <v>0.94877192982456138</v>
      </c>
      <c r="AB1154" s="28">
        <v>0.93010479194221185</v>
      </c>
      <c r="AC1154" s="28">
        <v>0.92</v>
      </c>
      <c r="AD1154" s="26">
        <v>0.99369747899159666</v>
      </c>
      <c r="AE1154" s="26">
        <v>0.99531615925058547</v>
      </c>
      <c r="AF1154" s="26">
        <v>0.99477351916376311</v>
      </c>
      <c r="AG1154" s="26">
        <v>0.99432585787624961</v>
      </c>
      <c r="AH1154" s="28">
        <v>0.92</v>
      </c>
      <c r="AI1154" s="26">
        <v>0.96672828096118302</v>
      </c>
      <c r="AJ1154" s="26">
        <v>0.97478849407783419</v>
      </c>
      <c r="AK1154" s="26">
        <v>0.97272727272727277</v>
      </c>
      <c r="AL1154" s="26">
        <v>0.9688272154025579</v>
      </c>
      <c r="AM1154" s="25">
        <v>0.99</v>
      </c>
      <c r="AN1154" s="30">
        <v>1</v>
      </c>
      <c r="AO1154" s="30">
        <v>1</v>
      </c>
      <c r="AP1154" s="30">
        <v>1</v>
      </c>
      <c r="AQ1154" s="30">
        <v>1</v>
      </c>
      <c r="AR1154" s="50">
        <v>7.2186152540827803E-2</v>
      </c>
      <c r="AS1154" s="34">
        <v>0</v>
      </c>
      <c r="AT1154" s="34">
        <v>6.4516129032258063E-2</v>
      </c>
      <c r="AU1154" s="34">
        <v>-4.1666666666666664E-2</v>
      </c>
      <c r="AV1154" s="34">
        <v>1.2195121951219513E-2</v>
      </c>
      <c r="AW1154" s="10"/>
      <c r="AX1154" s="8"/>
    </row>
    <row r="1155" spans="1:50">
      <c r="A1155" s="7"/>
      <c r="B1155" s="10"/>
      <c r="C1155" s="45" t="s">
        <v>1100</v>
      </c>
      <c r="D1155" s="23" t="s">
        <v>25</v>
      </c>
      <c r="E1155" s="83" t="s">
        <v>1199</v>
      </c>
      <c r="F1155" s="83" t="s">
        <v>1199</v>
      </c>
      <c r="G1155" s="83" t="s">
        <v>1199</v>
      </c>
      <c r="H1155" s="83" t="s">
        <v>1199</v>
      </c>
      <c r="I1155" s="25">
        <v>0.9</v>
      </c>
      <c r="J1155" s="26">
        <v>0.95238095238095233</v>
      </c>
      <c r="K1155" s="26">
        <v>0.95744680851063835</v>
      </c>
      <c r="L1155" s="27">
        <v>0.95652173913043481</v>
      </c>
      <c r="M1155" s="26">
        <v>0.96501457725947526</v>
      </c>
      <c r="N1155" s="28">
        <v>0.9</v>
      </c>
      <c r="O1155" s="26">
        <v>0.9780358495329462</v>
      </c>
      <c r="P1155" s="26">
        <v>0.98450458315146228</v>
      </c>
      <c r="Q1155" s="26">
        <v>0.97492784992784998</v>
      </c>
      <c r="R1155" s="26">
        <v>0.9831289194738887</v>
      </c>
      <c r="S1155" s="28">
        <v>0.9</v>
      </c>
      <c r="T1155" s="26">
        <v>0.89851047715223431</v>
      </c>
      <c r="U1155" s="26">
        <v>0.91706678306416411</v>
      </c>
      <c r="V1155" s="26">
        <v>0.91756854256854259</v>
      </c>
      <c r="W1155" s="26">
        <v>0.91045563016815578</v>
      </c>
      <c r="X1155" s="28">
        <v>0.92</v>
      </c>
      <c r="Y1155" s="28">
        <v>0</v>
      </c>
      <c r="Z1155" s="28">
        <v>0</v>
      </c>
      <c r="AA1155" s="28">
        <v>0</v>
      </c>
      <c r="AB1155" s="28">
        <v>0</v>
      </c>
      <c r="AC1155" s="28">
        <v>0.92</v>
      </c>
      <c r="AD1155" s="26">
        <v>0.99810785241248823</v>
      </c>
      <c r="AE1155" s="26">
        <v>1</v>
      </c>
      <c r="AF1155" s="26">
        <v>0.99683877766069551</v>
      </c>
      <c r="AG1155" s="26">
        <v>0.99860210954377937</v>
      </c>
      <c r="AH1155" s="28">
        <v>0.92</v>
      </c>
      <c r="AI1155" s="26">
        <v>0.95912187736563215</v>
      </c>
      <c r="AJ1155" s="26">
        <v>0.97599825441850319</v>
      </c>
      <c r="AK1155" s="26">
        <v>0.97871572871572876</v>
      </c>
      <c r="AL1155" s="26">
        <v>0.97855220443383928</v>
      </c>
      <c r="AM1155" s="25">
        <v>0.99</v>
      </c>
      <c r="AN1155" s="30">
        <v>1</v>
      </c>
      <c r="AO1155" s="30">
        <v>1</v>
      </c>
      <c r="AP1155" s="30">
        <v>1</v>
      </c>
      <c r="AQ1155" s="30">
        <v>1</v>
      </c>
      <c r="AR1155" s="50">
        <v>7.2186152540827803E-2</v>
      </c>
      <c r="AS1155" s="34">
        <v>4.5454545454545456E-2</v>
      </c>
      <c r="AT1155" s="34">
        <v>0</v>
      </c>
      <c r="AU1155" s="34">
        <v>0</v>
      </c>
      <c r="AV1155" s="34">
        <v>1.098901098901099E-2</v>
      </c>
      <c r="AW1155" s="10"/>
      <c r="AX1155" s="8"/>
    </row>
    <row r="1156" spans="1:50">
      <c r="A1156" s="7"/>
      <c r="B1156" s="10"/>
      <c r="C1156" s="45" t="s">
        <v>1100</v>
      </c>
      <c r="D1156" s="23" t="s">
        <v>25</v>
      </c>
      <c r="E1156" s="83" t="s">
        <v>1200</v>
      </c>
      <c r="F1156" s="83" t="s">
        <v>1200</v>
      </c>
      <c r="G1156" s="83" t="s">
        <v>1200</v>
      </c>
      <c r="H1156" s="83" t="s">
        <v>1200</v>
      </c>
      <c r="I1156" s="25">
        <v>0.9</v>
      </c>
      <c r="J1156" s="26">
        <v>0.95833333333333337</v>
      </c>
      <c r="K1156" s="26">
        <v>0.92592592592592593</v>
      </c>
      <c r="L1156" s="27">
        <v>0.7931034482758621</v>
      </c>
      <c r="M1156" s="26">
        <v>0.90243902439024393</v>
      </c>
      <c r="N1156" s="28">
        <v>0.9</v>
      </c>
      <c r="O1156" s="26">
        <v>0.97936016511867907</v>
      </c>
      <c r="P1156" s="26">
        <v>0.97398843930635837</v>
      </c>
      <c r="Q1156" s="26">
        <v>0.98343996989085436</v>
      </c>
      <c r="R1156" s="26">
        <v>0.97808508144849404</v>
      </c>
      <c r="S1156" s="28">
        <v>0.9</v>
      </c>
      <c r="T1156" s="26">
        <v>0.87358101135190913</v>
      </c>
      <c r="U1156" s="26">
        <v>0.84874759152215795</v>
      </c>
      <c r="V1156" s="26">
        <v>0.84493789988709067</v>
      </c>
      <c r="W1156" s="26">
        <v>0.84501347708894881</v>
      </c>
      <c r="X1156" s="28">
        <v>0.92</v>
      </c>
      <c r="Y1156" s="28">
        <v>0</v>
      </c>
      <c r="Z1156" s="28">
        <v>0</v>
      </c>
      <c r="AA1156" s="28">
        <v>0</v>
      </c>
      <c r="AB1156" s="28">
        <v>0</v>
      </c>
      <c r="AC1156" s="28">
        <v>0.92</v>
      </c>
      <c r="AD1156" s="26">
        <v>1</v>
      </c>
      <c r="AE1156" s="26">
        <v>1</v>
      </c>
      <c r="AF1156" s="26">
        <v>1</v>
      </c>
      <c r="AG1156" s="26">
        <v>0.99206349206349209</v>
      </c>
      <c r="AH1156" s="28">
        <v>0.92</v>
      </c>
      <c r="AI1156" s="26">
        <v>0.95100567302733363</v>
      </c>
      <c r="AJ1156" s="26">
        <v>0.97013487475915217</v>
      </c>
      <c r="AK1156" s="26">
        <v>0.97327813323296952</v>
      </c>
      <c r="AL1156" s="26">
        <v>0.96525458487138927</v>
      </c>
      <c r="AM1156" s="25">
        <v>0.99</v>
      </c>
      <c r="AN1156" s="30">
        <v>1</v>
      </c>
      <c r="AO1156" s="30">
        <v>1</v>
      </c>
      <c r="AP1156" s="30">
        <v>1</v>
      </c>
      <c r="AQ1156" s="30">
        <v>1</v>
      </c>
      <c r="AR1156" s="50">
        <v>7.2186152540827803E-2</v>
      </c>
      <c r="AS1156" s="34">
        <v>0</v>
      </c>
      <c r="AT1156" s="34">
        <v>0</v>
      </c>
      <c r="AU1156" s="34">
        <v>0.2857142857142857</v>
      </c>
      <c r="AV1156" s="34">
        <v>7.0175438596491224E-2</v>
      </c>
      <c r="AW1156" s="10"/>
      <c r="AX1156" s="8"/>
    </row>
    <row r="1157" spans="1:50">
      <c r="A1157" s="7"/>
      <c r="B1157" s="10"/>
      <c r="C1157" s="45" t="s">
        <v>1100</v>
      </c>
      <c r="D1157" s="23" t="s">
        <v>25</v>
      </c>
      <c r="E1157" s="83" t="s">
        <v>1201</v>
      </c>
      <c r="F1157" s="83" t="s">
        <v>1201</v>
      </c>
      <c r="G1157" s="83" t="s">
        <v>1201</v>
      </c>
      <c r="H1157" s="83" t="s">
        <v>1201</v>
      </c>
      <c r="I1157" s="25">
        <v>0.9</v>
      </c>
      <c r="J1157" s="26">
        <v>0.92592592592592593</v>
      </c>
      <c r="K1157" s="26">
        <v>0.90625</v>
      </c>
      <c r="L1157" s="27">
        <v>0.96969696969696972</v>
      </c>
      <c r="M1157" s="26">
        <v>0.92827004219409281</v>
      </c>
      <c r="N1157" s="28">
        <v>0.9</v>
      </c>
      <c r="O1157" s="26">
        <v>0.98316380217467558</v>
      </c>
      <c r="P1157" s="26">
        <v>0.98740629685157422</v>
      </c>
      <c r="Q1157" s="26">
        <v>0.986392811296534</v>
      </c>
      <c r="R1157" s="26">
        <v>0.8611857879822713</v>
      </c>
      <c r="S1157" s="28">
        <v>0.9</v>
      </c>
      <c r="T1157" s="26">
        <v>0.76253945983865312</v>
      </c>
      <c r="U1157" s="26">
        <v>0.85697151424287854</v>
      </c>
      <c r="V1157" s="26">
        <v>0.81668806161745833</v>
      </c>
      <c r="W1157" s="26">
        <v>0.80614691564339169</v>
      </c>
      <c r="X1157" s="28">
        <v>0.92</v>
      </c>
      <c r="Y1157" s="28">
        <v>0</v>
      </c>
      <c r="Z1157" s="28">
        <v>0</v>
      </c>
      <c r="AA1157" s="28">
        <v>0</v>
      </c>
      <c r="AB1157" s="28">
        <v>0</v>
      </c>
      <c r="AC1157" s="28">
        <v>0.92</v>
      </c>
      <c r="AD1157" s="26">
        <v>1</v>
      </c>
      <c r="AE1157" s="26">
        <v>1</v>
      </c>
      <c r="AF1157" s="26">
        <v>1</v>
      </c>
      <c r="AG1157" s="26">
        <v>1</v>
      </c>
      <c r="AH1157" s="28">
        <v>0.92</v>
      </c>
      <c r="AI1157" s="26">
        <v>0.95234758234057459</v>
      </c>
      <c r="AJ1157" s="26">
        <v>0.96315158777711207</v>
      </c>
      <c r="AK1157" s="26">
        <v>0.96508344030808724</v>
      </c>
      <c r="AL1157" s="26">
        <v>0.96883626325730055</v>
      </c>
      <c r="AM1157" s="25">
        <v>0.99</v>
      </c>
      <c r="AN1157" s="30">
        <v>1</v>
      </c>
      <c r="AO1157" s="30">
        <v>1</v>
      </c>
      <c r="AP1157" s="30">
        <v>1</v>
      </c>
      <c r="AQ1157" s="30">
        <v>1</v>
      </c>
      <c r="AR1157" s="50">
        <v>7.2186152540827803E-2</v>
      </c>
      <c r="AS1157" s="34">
        <v>0</v>
      </c>
      <c r="AT1157" s="34">
        <v>0.14285714285714285</v>
      </c>
      <c r="AU1157" s="34">
        <v>0</v>
      </c>
      <c r="AV1157" s="34">
        <v>5.6818181818181816E-2</v>
      </c>
      <c r="AW1157" s="10"/>
      <c r="AX1157" s="8"/>
    </row>
    <row r="1158" spans="1:50">
      <c r="A1158" s="7"/>
      <c r="B1158" s="10"/>
      <c r="C1158" s="45" t="s">
        <v>1100</v>
      </c>
      <c r="D1158" s="23" t="s">
        <v>25</v>
      </c>
      <c r="E1158" s="83" t="s">
        <v>1202</v>
      </c>
      <c r="F1158" s="83" t="s">
        <v>1202</v>
      </c>
      <c r="G1158" s="83" t="s">
        <v>1202</v>
      </c>
      <c r="H1158" s="83" t="s">
        <v>1202</v>
      </c>
      <c r="I1158" s="25">
        <v>0.9</v>
      </c>
      <c r="J1158" s="26">
        <v>0.87878787878787878</v>
      </c>
      <c r="K1158" s="26">
        <v>0.88571428571428568</v>
      </c>
      <c r="L1158" s="27">
        <v>0.88888888888888884</v>
      </c>
      <c r="M1158" s="26">
        <v>0.90530303030303028</v>
      </c>
      <c r="N1158" s="28">
        <v>0.9</v>
      </c>
      <c r="O1158" s="26">
        <v>0.98454963839579224</v>
      </c>
      <c r="P1158" s="26">
        <v>0.96076099881093935</v>
      </c>
      <c r="Q1158" s="26">
        <v>0.92586076903744663</v>
      </c>
      <c r="R1158" s="26">
        <v>0.96106019698064415</v>
      </c>
      <c r="S1158" s="28">
        <v>0.9</v>
      </c>
      <c r="T1158" s="26">
        <v>0.74589086127547666</v>
      </c>
      <c r="U1158" s="26">
        <v>0.78210463733650415</v>
      </c>
      <c r="V1158" s="26">
        <v>0.73661724051269162</v>
      </c>
      <c r="W1158" s="26">
        <v>0.73768870973875345</v>
      </c>
      <c r="X1158" s="28">
        <v>0.92</v>
      </c>
      <c r="Y1158" s="28">
        <v>0</v>
      </c>
      <c r="Z1158" s="28">
        <v>0</v>
      </c>
      <c r="AA1158" s="28">
        <v>0</v>
      </c>
      <c r="AB1158" s="28">
        <v>0</v>
      </c>
      <c r="AC1158" s="28">
        <v>0.92</v>
      </c>
      <c r="AD1158" s="26">
        <v>1</v>
      </c>
      <c r="AE1158" s="26">
        <v>1</v>
      </c>
      <c r="AF1158" s="26">
        <v>1</v>
      </c>
      <c r="AG1158" s="26">
        <v>1</v>
      </c>
      <c r="AH1158" s="28">
        <v>0.92</v>
      </c>
      <c r="AI1158" s="26">
        <v>0.94809461235216819</v>
      </c>
      <c r="AJ1158" s="26">
        <v>0.95897740784780028</v>
      </c>
      <c r="AK1158" s="26">
        <v>0.96858507162603669</v>
      </c>
      <c r="AL1158" s="26">
        <v>0.95657629567664171</v>
      </c>
      <c r="AM1158" s="25">
        <v>0.99</v>
      </c>
      <c r="AN1158" s="30">
        <v>1</v>
      </c>
      <c r="AO1158" s="30">
        <v>1</v>
      </c>
      <c r="AP1158" s="30">
        <v>1</v>
      </c>
      <c r="AQ1158" s="30">
        <v>1</v>
      </c>
      <c r="AR1158" s="50">
        <v>7.2186152540827803E-2</v>
      </c>
      <c r="AS1158" s="34">
        <v>7.1428571428571425E-2</v>
      </c>
      <c r="AT1158" s="34">
        <v>0.15384615384615385</v>
      </c>
      <c r="AU1158" s="34">
        <v>0</v>
      </c>
      <c r="AV1158" s="34">
        <v>0.11</v>
      </c>
      <c r="AW1158" s="10"/>
      <c r="AX1158" s="8"/>
    </row>
    <row r="1159" spans="1:50">
      <c r="A1159" s="7"/>
      <c r="B1159" s="10"/>
      <c r="C1159" s="45" t="s">
        <v>1100</v>
      </c>
      <c r="D1159" s="23" t="s">
        <v>25</v>
      </c>
      <c r="E1159" s="83" t="s">
        <v>1203</v>
      </c>
      <c r="F1159" s="83" t="s">
        <v>1203</v>
      </c>
      <c r="G1159" s="83" t="s">
        <v>1203</v>
      </c>
      <c r="H1159" s="83" t="s">
        <v>1203</v>
      </c>
      <c r="I1159" s="25">
        <v>0.9</v>
      </c>
      <c r="J1159" s="26">
        <v>0.96385542168674698</v>
      </c>
      <c r="K1159" s="26">
        <v>0.96470588235294119</v>
      </c>
      <c r="L1159" s="27">
        <v>0.96703296703296704</v>
      </c>
      <c r="M1159" s="26">
        <v>0.92974588938714497</v>
      </c>
      <c r="N1159" s="28">
        <v>0.9</v>
      </c>
      <c r="O1159" s="26">
        <v>0.95863180515759316</v>
      </c>
      <c r="P1159" s="26">
        <v>0.94697105878123311</v>
      </c>
      <c r="Q1159" s="26">
        <v>0.95994020926756352</v>
      </c>
      <c r="R1159" s="26">
        <v>0.95758682924681959</v>
      </c>
      <c r="S1159" s="28">
        <v>0.9</v>
      </c>
      <c r="T1159" s="26">
        <v>0.91851719197707737</v>
      </c>
      <c r="U1159" s="26">
        <v>0.91946791299658459</v>
      </c>
      <c r="V1159" s="26">
        <v>0.91958146487294468</v>
      </c>
      <c r="W1159" s="26">
        <v>0.9197737377294537</v>
      </c>
      <c r="X1159" s="28">
        <v>0.92</v>
      </c>
      <c r="Y1159" s="28">
        <v>0.9518434913468774</v>
      </c>
      <c r="Z1159" s="28">
        <v>0.95498084291187735</v>
      </c>
      <c r="AA1159" s="28">
        <v>0.95779816513761473</v>
      </c>
      <c r="AB1159" s="28">
        <v>0.95403546869344913</v>
      </c>
      <c r="AC1159" s="28">
        <v>0.92</v>
      </c>
      <c r="AD1159" s="26">
        <v>0.99572421165152325</v>
      </c>
      <c r="AE1159" s="26">
        <v>0.99947368421052629</v>
      </c>
      <c r="AF1159" s="26">
        <v>0.99894459102902378</v>
      </c>
      <c r="AG1159" s="26">
        <v>0.99886295231088218</v>
      </c>
      <c r="AH1159" s="28">
        <v>0.92</v>
      </c>
      <c r="AI1159" s="26">
        <v>0.96340228554896568</v>
      </c>
      <c r="AJ1159" s="26">
        <v>0.96792252988349226</v>
      </c>
      <c r="AK1159" s="26">
        <v>0.96696696696696693</v>
      </c>
      <c r="AL1159" s="26">
        <v>0.9673228067691001</v>
      </c>
      <c r="AM1159" s="25">
        <v>0.99</v>
      </c>
      <c r="AN1159" s="30">
        <v>1</v>
      </c>
      <c r="AO1159" s="30">
        <v>1</v>
      </c>
      <c r="AP1159" s="30">
        <v>1</v>
      </c>
      <c r="AQ1159" s="30">
        <v>1</v>
      </c>
      <c r="AR1159" s="50">
        <v>7.2186152540827803E-2</v>
      </c>
      <c r="AS1159" s="34">
        <v>0</v>
      </c>
      <c r="AT1159" s="34">
        <v>4.4444444444444446E-2</v>
      </c>
      <c r="AU1159" s="34">
        <v>8.1081081081081086E-2</v>
      </c>
      <c r="AV1159" s="34">
        <v>4.3343653250773995E-2</v>
      </c>
      <c r="AW1159" s="10"/>
      <c r="AX1159" s="8"/>
    </row>
    <row r="1160" spans="1:50">
      <c r="A1160" s="7"/>
      <c r="B1160" s="10"/>
      <c r="C1160" s="45" t="s">
        <v>1100</v>
      </c>
      <c r="D1160" s="23" t="s">
        <v>25</v>
      </c>
      <c r="E1160" s="83" t="s">
        <v>1204</v>
      </c>
      <c r="F1160" s="83" t="s">
        <v>1204</v>
      </c>
      <c r="G1160" s="83" t="s">
        <v>1204</v>
      </c>
      <c r="H1160" s="83" t="s">
        <v>1204</v>
      </c>
      <c r="I1160" s="25">
        <v>0.9</v>
      </c>
      <c r="J1160" s="26">
        <v>0.94117647058823528</v>
      </c>
      <c r="K1160" s="26">
        <v>0.86792452830188682</v>
      </c>
      <c r="L1160" s="27">
        <v>0.94827586206896552</v>
      </c>
      <c r="M1160" s="26">
        <v>0.92757009345794394</v>
      </c>
      <c r="N1160" s="28">
        <v>0.9</v>
      </c>
      <c r="O1160" s="26">
        <v>0.97817501558927455</v>
      </c>
      <c r="P1160" s="26">
        <v>0.97132102527334652</v>
      </c>
      <c r="Q1160" s="26">
        <v>0.92707340324118204</v>
      </c>
      <c r="R1160" s="26">
        <v>0.94694197595399898</v>
      </c>
      <c r="S1160" s="28">
        <v>0.9</v>
      </c>
      <c r="T1160" s="26">
        <v>0.90397006859280815</v>
      </c>
      <c r="U1160" s="26">
        <v>0.9227460118300771</v>
      </c>
      <c r="V1160" s="26">
        <v>0.91388624086431525</v>
      </c>
      <c r="W1160" s="26">
        <v>0.91567267024663779</v>
      </c>
      <c r="X1160" s="28">
        <v>0.92</v>
      </c>
      <c r="Y1160" s="28">
        <v>0</v>
      </c>
      <c r="Z1160" s="28">
        <v>0</v>
      </c>
      <c r="AA1160" s="28">
        <v>0</v>
      </c>
      <c r="AB1160" s="28">
        <v>0</v>
      </c>
      <c r="AC1160" s="28">
        <v>0.92</v>
      </c>
      <c r="AD1160" s="26">
        <v>0.9974025974025974</v>
      </c>
      <c r="AE1160" s="26">
        <v>0.99858356940509918</v>
      </c>
      <c r="AF1160" s="26">
        <v>0.99935233160621761</v>
      </c>
      <c r="AG1160" s="26">
        <v>0.99832982354222644</v>
      </c>
      <c r="AH1160" s="28">
        <v>0.92</v>
      </c>
      <c r="AI1160" s="26">
        <v>0.97569588699626086</v>
      </c>
      <c r="AJ1160" s="26">
        <v>0.97616060225846923</v>
      </c>
      <c r="AK1160" s="26">
        <v>0.98538290435335241</v>
      </c>
      <c r="AL1160" s="26">
        <v>0.97695359832735396</v>
      </c>
      <c r="AM1160" s="25">
        <v>0.99</v>
      </c>
      <c r="AN1160" s="30">
        <v>1</v>
      </c>
      <c r="AO1160" s="30">
        <v>1</v>
      </c>
      <c r="AP1160" s="30">
        <v>1</v>
      </c>
      <c r="AQ1160" s="30">
        <v>1</v>
      </c>
      <c r="AR1160" s="50">
        <v>7.2186152540827803E-2</v>
      </c>
      <c r="AS1160" s="34">
        <v>6.6666666666666666E-2</v>
      </c>
      <c r="AT1160" s="34">
        <v>0</v>
      </c>
      <c r="AU1160" s="34">
        <v>0</v>
      </c>
      <c r="AV1160" s="34">
        <v>3.7593984962406013E-2</v>
      </c>
      <c r="AW1160" s="10"/>
      <c r="AX1160" s="8"/>
    </row>
    <row r="1161" spans="1:50">
      <c r="A1161" s="7"/>
      <c r="B1161" s="10"/>
      <c r="C1161" s="45" t="s">
        <v>1100</v>
      </c>
      <c r="D1161" s="23" t="s">
        <v>25</v>
      </c>
      <c r="E1161" s="83" t="s">
        <v>1205</v>
      </c>
      <c r="F1161" s="83" t="s">
        <v>1205</v>
      </c>
      <c r="G1161" s="83" t="s">
        <v>1205</v>
      </c>
      <c r="H1161" s="83" t="s">
        <v>1205</v>
      </c>
      <c r="I1161" s="25">
        <v>0.9</v>
      </c>
      <c r="J1161" s="26">
        <v>0.98076923076923073</v>
      </c>
      <c r="K1161" s="26">
        <v>0.98245614035087714</v>
      </c>
      <c r="L1161" s="27">
        <v>0.98076923076923073</v>
      </c>
      <c r="M1161" s="26">
        <v>0.97399527186761226</v>
      </c>
      <c r="N1161" s="28">
        <v>0.9</v>
      </c>
      <c r="O1161" s="26">
        <v>0.95591877166914319</v>
      </c>
      <c r="P1161" s="26">
        <v>0.9719626168224299</v>
      </c>
      <c r="Q1161" s="26">
        <v>0.94973031283710896</v>
      </c>
      <c r="R1161" s="26">
        <v>0.93919695228880695</v>
      </c>
      <c r="S1161" s="28">
        <v>0.9</v>
      </c>
      <c r="T1161" s="26">
        <v>0.81946508172362553</v>
      </c>
      <c r="U1161" s="26">
        <v>0.855739276300024</v>
      </c>
      <c r="V1161" s="26">
        <v>0.77734627831715208</v>
      </c>
      <c r="W1161" s="26">
        <v>0.80471064884803778</v>
      </c>
      <c r="X1161" s="28">
        <v>0.92</v>
      </c>
      <c r="Y1161" s="28">
        <v>0.86624203821656054</v>
      </c>
      <c r="Z1161" s="28">
        <v>0.91629955947136565</v>
      </c>
      <c r="AA1161" s="28">
        <v>0.87630827783063747</v>
      </c>
      <c r="AB1161" s="28">
        <v>0.88172484599589318</v>
      </c>
      <c r="AC1161" s="28">
        <v>0.92</v>
      </c>
      <c r="AD1161" s="26">
        <v>0.9926578560939795</v>
      </c>
      <c r="AE1161" s="26">
        <v>0.99316939890710387</v>
      </c>
      <c r="AF1161" s="26">
        <v>0.99177631578947367</v>
      </c>
      <c r="AG1161" s="26">
        <v>0.99442508710801392</v>
      </c>
      <c r="AH1161" s="28">
        <v>0.92</v>
      </c>
      <c r="AI1161" s="26">
        <v>0.92515032137673647</v>
      </c>
      <c r="AJ1161" s="26">
        <v>0.94540585084466422</v>
      </c>
      <c r="AK1161" s="26">
        <v>0.93404854027435802</v>
      </c>
      <c r="AL1161" s="26">
        <v>0.93375597434436985</v>
      </c>
      <c r="AM1161" s="25">
        <v>0.99</v>
      </c>
      <c r="AN1161" s="30">
        <v>1</v>
      </c>
      <c r="AO1161" s="30">
        <v>1</v>
      </c>
      <c r="AP1161" s="30">
        <v>1</v>
      </c>
      <c r="AQ1161" s="30">
        <v>1</v>
      </c>
      <c r="AR1161" s="50">
        <v>7.2186152540827803E-2</v>
      </c>
      <c r="AS1161" s="34">
        <v>0</v>
      </c>
      <c r="AT1161" s="34">
        <v>0</v>
      </c>
      <c r="AU1161" s="34">
        <v>5.2631578947368418E-2</v>
      </c>
      <c r="AV1161" s="34">
        <v>4.195804195804196E-2</v>
      </c>
      <c r="AW1161" s="10"/>
      <c r="AX1161" s="8"/>
    </row>
    <row r="1162" spans="1:50">
      <c r="A1162" s="7"/>
      <c r="B1162" s="10"/>
      <c r="C1162" s="45" t="s">
        <v>1100</v>
      </c>
      <c r="D1162" s="23" t="s">
        <v>25</v>
      </c>
      <c r="E1162" s="83" t="s">
        <v>1206</v>
      </c>
      <c r="F1162" s="83" t="s">
        <v>1206</v>
      </c>
      <c r="G1162" s="83" t="s">
        <v>1206</v>
      </c>
      <c r="H1162" s="83" t="s">
        <v>1206</v>
      </c>
      <c r="I1162" s="25">
        <v>0.9</v>
      </c>
      <c r="J1162" s="26">
        <v>0.95454545454545459</v>
      </c>
      <c r="K1162" s="26">
        <v>0.97916666666666663</v>
      </c>
      <c r="L1162" s="27">
        <v>0.96</v>
      </c>
      <c r="M1162" s="26">
        <v>0.97252747252747251</v>
      </c>
      <c r="N1162" s="28">
        <v>0.9</v>
      </c>
      <c r="O1162" s="26">
        <v>0.96919285274183609</v>
      </c>
      <c r="P1162" s="26">
        <v>0.97848819838661483</v>
      </c>
      <c r="Q1162" s="26">
        <v>0.96645962732919255</v>
      </c>
      <c r="R1162" s="26">
        <v>0.94956534497304035</v>
      </c>
      <c r="S1162" s="28">
        <v>0.9</v>
      </c>
      <c r="T1162" s="26">
        <v>0.91959334565619222</v>
      </c>
      <c r="U1162" s="26">
        <v>0.90708096803107263</v>
      </c>
      <c r="V1162" s="26">
        <v>0.92322981366459622</v>
      </c>
      <c r="W1162" s="26">
        <v>0.90591644353152623</v>
      </c>
      <c r="X1162" s="28">
        <v>0.92</v>
      </c>
      <c r="Y1162" s="28">
        <v>0.94194484760522501</v>
      </c>
      <c r="Z1162" s="28">
        <v>0.94967532467532467</v>
      </c>
      <c r="AA1162" s="28">
        <v>0.94763343403826783</v>
      </c>
      <c r="AB1162" s="28">
        <v>0.94232602478550997</v>
      </c>
      <c r="AC1162" s="28">
        <v>0.92</v>
      </c>
      <c r="AD1162" s="26">
        <v>0.97914494264859231</v>
      </c>
      <c r="AE1162" s="26">
        <v>0.99523052464228934</v>
      </c>
      <c r="AF1162" s="26">
        <v>0.99342825848849947</v>
      </c>
      <c r="AG1162" s="26">
        <v>0.99168144006545755</v>
      </c>
      <c r="AH1162" s="28">
        <v>0.92</v>
      </c>
      <c r="AI1162" s="26">
        <v>0.96696315120711562</v>
      </c>
      <c r="AJ1162" s="26">
        <v>0.96896290688872067</v>
      </c>
      <c r="AK1162" s="26">
        <v>0.97429254683140698</v>
      </c>
      <c r="AL1162" s="26">
        <v>0.9688291563608189</v>
      </c>
      <c r="AM1162" s="25">
        <v>0.99</v>
      </c>
      <c r="AN1162" s="30">
        <v>1</v>
      </c>
      <c r="AO1162" s="30">
        <v>1</v>
      </c>
      <c r="AP1162" s="30">
        <v>1</v>
      </c>
      <c r="AQ1162" s="30">
        <v>1</v>
      </c>
      <c r="AR1162" s="50">
        <v>7.2186152540827803E-2</v>
      </c>
      <c r="AS1162" s="34">
        <v>0</v>
      </c>
      <c r="AT1162" s="34">
        <v>4.7619047619047616E-2</v>
      </c>
      <c r="AU1162" s="34">
        <v>4.5454545454545456E-2</v>
      </c>
      <c r="AV1162" s="34">
        <v>2.2222222222222223E-2</v>
      </c>
      <c r="AW1162" s="10"/>
      <c r="AX1162" s="8"/>
    </row>
    <row r="1163" spans="1:50">
      <c r="A1163" s="7"/>
      <c r="B1163" s="10"/>
      <c r="C1163" s="45" t="s">
        <v>1100</v>
      </c>
      <c r="D1163" s="23" t="s">
        <v>25</v>
      </c>
      <c r="E1163" s="83" t="s">
        <v>1207</v>
      </c>
      <c r="F1163" s="83" t="s">
        <v>1207</v>
      </c>
      <c r="G1163" s="83" t="s">
        <v>1207</v>
      </c>
      <c r="H1163" s="83" t="s">
        <v>1207</v>
      </c>
      <c r="I1163" s="25">
        <v>0.9</v>
      </c>
      <c r="J1163" s="26">
        <v>1</v>
      </c>
      <c r="K1163" s="26">
        <v>1</v>
      </c>
      <c r="L1163" s="27">
        <v>1</v>
      </c>
      <c r="M1163" s="26">
        <v>0.99103139013452912</v>
      </c>
      <c r="N1163" s="28">
        <v>0.9</v>
      </c>
      <c r="O1163" s="26">
        <v>0.96146283916633901</v>
      </c>
      <c r="P1163" s="26">
        <v>0.98080405650126767</v>
      </c>
      <c r="Q1163" s="26">
        <v>0.98530372305682556</v>
      </c>
      <c r="R1163" s="26">
        <v>0.97761091525113319</v>
      </c>
      <c r="S1163" s="28">
        <v>0.9</v>
      </c>
      <c r="T1163" s="26">
        <v>0.95359811246559179</v>
      </c>
      <c r="U1163" s="26">
        <v>0.95110467222021011</v>
      </c>
      <c r="V1163" s="26">
        <v>0.97060744611365124</v>
      </c>
      <c r="W1163" s="26">
        <v>0.9640584222334142</v>
      </c>
      <c r="X1163" s="28">
        <v>0.92</v>
      </c>
      <c r="Y1163" s="28">
        <v>0.97174447174447176</v>
      </c>
      <c r="Z1163" s="28">
        <v>0.95789473684210524</v>
      </c>
      <c r="AA1163" s="28">
        <v>0.98732171156893822</v>
      </c>
      <c r="AB1163" s="28">
        <v>0.98070681572304363</v>
      </c>
      <c r="AC1163" s="28">
        <v>0.92</v>
      </c>
      <c r="AD1163" s="26">
        <v>0.99816849816849818</v>
      </c>
      <c r="AE1163" s="26">
        <v>1</v>
      </c>
      <c r="AF1163" s="26">
        <v>0.99913194444444442</v>
      </c>
      <c r="AG1163" s="26">
        <v>0.99833277759253081</v>
      </c>
      <c r="AH1163" s="28">
        <v>0.92</v>
      </c>
      <c r="AI1163" s="26">
        <v>0.98004170390229373</v>
      </c>
      <c r="AJ1163" s="26">
        <v>0.98485784919653896</v>
      </c>
      <c r="AK1163" s="26">
        <v>0.99350121852152717</v>
      </c>
      <c r="AL1163" s="26">
        <v>0.98820651380166491</v>
      </c>
      <c r="AM1163" s="25">
        <v>0.99</v>
      </c>
      <c r="AN1163" s="30">
        <v>1</v>
      </c>
      <c r="AO1163" s="30">
        <v>1</v>
      </c>
      <c r="AP1163" s="30">
        <v>1</v>
      </c>
      <c r="AQ1163" s="30">
        <v>1</v>
      </c>
      <c r="AR1163" s="50">
        <v>7.2186152540827803E-2</v>
      </c>
      <c r="AS1163" s="34">
        <v>0</v>
      </c>
      <c r="AT1163" s="34">
        <v>0</v>
      </c>
      <c r="AU1163" s="34">
        <v>0</v>
      </c>
      <c r="AV1163" s="34">
        <v>2.8571428571428571E-2</v>
      </c>
      <c r="AW1163" s="10"/>
      <c r="AX1163" s="8"/>
    </row>
    <row r="1164" spans="1:50">
      <c r="A1164" s="7"/>
      <c r="B1164" s="10"/>
      <c r="C1164" s="45" t="s">
        <v>1100</v>
      </c>
      <c r="D1164" s="23" t="s">
        <v>25</v>
      </c>
      <c r="E1164" s="83" t="s">
        <v>1208</v>
      </c>
      <c r="F1164" s="83" t="s">
        <v>1208</v>
      </c>
      <c r="G1164" s="83" t="s">
        <v>1208</v>
      </c>
      <c r="H1164" s="83" t="s">
        <v>1208</v>
      </c>
      <c r="I1164" s="25">
        <v>0.9</v>
      </c>
      <c r="J1164" s="26">
        <v>0.91666666666666663</v>
      </c>
      <c r="K1164" s="26">
        <v>0.97435897435897434</v>
      </c>
      <c r="L1164" s="27">
        <v>0.95121951219512191</v>
      </c>
      <c r="M1164" s="26">
        <v>0.94788273615635177</v>
      </c>
      <c r="N1164" s="28">
        <v>0.9</v>
      </c>
      <c r="O1164" s="26">
        <v>0.98247477429633567</v>
      </c>
      <c r="P1164" s="26">
        <v>0.98966853207059835</v>
      </c>
      <c r="Q1164" s="26">
        <v>0.99046970728386663</v>
      </c>
      <c r="R1164" s="26">
        <v>0.98497662446814094</v>
      </c>
      <c r="S1164" s="28">
        <v>0.9</v>
      </c>
      <c r="T1164" s="26">
        <v>0.8927243759957515</v>
      </c>
      <c r="U1164" s="26">
        <v>0.92337494619027116</v>
      </c>
      <c r="V1164" s="26">
        <v>0.91763104152484687</v>
      </c>
      <c r="W1164" s="26">
        <v>0.90880916110731735</v>
      </c>
      <c r="X1164" s="28">
        <v>0.92</v>
      </c>
      <c r="Y1164" s="28">
        <v>0.93622001170275015</v>
      </c>
      <c r="Z1164" s="28">
        <v>0.96368352788586253</v>
      </c>
      <c r="AA1164" s="28">
        <v>0.96802841918294846</v>
      </c>
      <c r="AB1164" s="28">
        <v>0.95243243243243247</v>
      </c>
      <c r="AC1164" s="28">
        <v>0.92</v>
      </c>
      <c r="AD1164" s="26">
        <v>0.99206821336506046</v>
      </c>
      <c r="AE1164" s="26">
        <v>0.98921460176991149</v>
      </c>
      <c r="AF1164" s="26">
        <v>0.99350713231677323</v>
      </c>
      <c r="AG1164" s="26">
        <v>0.98621381848386613</v>
      </c>
      <c r="AH1164" s="28">
        <v>0.92</v>
      </c>
      <c r="AI1164" s="26">
        <v>0.95350779510022277</v>
      </c>
      <c r="AJ1164" s="26">
        <v>0.97360931435963782</v>
      </c>
      <c r="AK1164" s="26">
        <v>0.97817160146963478</v>
      </c>
      <c r="AL1164" s="26">
        <v>0.96623733900212583</v>
      </c>
      <c r="AM1164" s="25">
        <v>0.99</v>
      </c>
      <c r="AN1164" s="30">
        <v>1</v>
      </c>
      <c r="AO1164" s="30">
        <v>1</v>
      </c>
      <c r="AP1164" s="30">
        <v>1</v>
      </c>
      <c r="AQ1164" s="30">
        <v>1</v>
      </c>
      <c r="AR1164" s="50">
        <v>7.2186152540827803E-2</v>
      </c>
      <c r="AS1164" s="34">
        <v>0</v>
      </c>
      <c r="AT1164" s="34">
        <v>0.34782608695652173</v>
      </c>
      <c r="AU1164" s="34">
        <v>0.11764705882352941</v>
      </c>
      <c r="AV1164" s="34">
        <v>9.7826086956521743E-2</v>
      </c>
      <c r="AW1164" s="10"/>
      <c r="AX1164" s="8"/>
    </row>
    <row r="1165" spans="1:50">
      <c r="A1165" s="7"/>
      <c r="B1165" s="10"/>
      <c r="C1165" s="45" t="s">
        <v>1100</v>
      </c>
      <c r="D1165" s="23" t="s">
        <v>25</v>
      </c>
      <c r="E1165" s="83" t="s">
        <v>1209</v>
      </c>
      <c r="F1165" s="83" t="s">
        <v>1209</v>
      </c>
      <c r="G1165" s="83" t="s">
        <v>1209</v>
      </c>
      <c r="H1165" s="83" t="s">
        <v>1209</v>
      </c>
      <c r="I1165" s="25">
        <v>0.9</v>
      </c>
      <c r="J1165" s="26">
        <v>0.93617021276595747</v>
      </c>
      <c r="K1165" s="26">
        <v>1</v>
      </c>
      <c r="L1165" s="27">
        <v>1</v>
      </c>
      <c r="M1165" s="26">
        <v>0.99168975069252074</v>
      </c>
      <c r="N1165" s="28">
        <v>0.9</v>
      </c>
      <c r="O1165" s="26">
        <v>0.91631150716776444</v>
      </c>
      <c r="P1165" s="26">
        <v>0.904264837458992</v>
      </c>
      <c r="Q1165" s="26">
        <v>0.87356621480709074</v>
      </c>
      <c r="R1165" s="26">
        <v>0.87688756008023316</v>
      </c>
      <c r="S1165" s="28">
        <v>0.9</v>
      </c>
      <c r="T1165" s="26">
        <v>0.95660596667958153</v>
      </c>
      <c r="U1165" s="26">
        <v>0.90187891440501045</v>
      </c>
      <c r="V1165" s="26">
        <v>0.92622523461939521</v>
      </c>
      <c r="W1165" s="26">
        <v>0.91189494001438143</v>
      </c>
      <c r="X1165" s="28">
        <v>0.92</v>
      </c>
      <c r="Y1165" s="28">
        <v>0.93630573248407645</v>
      </c>
      <c r="Z1165" s="28">
        <v>0.95085470085470081</v>
      </c>
      <c r="AA1165" s="28">
        <v>0.96010638297872342</v>
      </c>
      <c r="AB1165" s="28">
        <v>0.93307383224510299</v>
      </c>
      <c r="AC1165" s="28">
        <v>0.92</v>
      </c>
      <c r="AD1165" s="26">
        <v>0.9927055702917772</v>
      </c>
      <c r="AE1165" s="26">
        <v>0.99421891058581702</v>
      </c>
      <c r="AF1165" s="26">
        <v>0.99666249478514812</v>
      </c>
      <c r="AG1165" s="26">
        <v>0.99331152663184108</v>
      </c>
      <c r="AH1165" s="28">
        <v>0.92</v>
      </c>
      <c r="AI1165" s="26">
        <v>0.9574554294975689</v>
      </c>
      <c r="AJ1165" s="26">
        <v>0.96804439341752779</v>
      </c>
      <c r="AK1165" s="26">
        <v>0.97767564018384767</v>
      </c>
      <c r="AL1165" s="26">
        <v>0.95523550938496049</v>
      </c>
      <c r="AM1165" s="25">
        <v>0.99</v>
      </c>
      <c r="AN1165" s="30">
        <v>1</v>
      </c>
      <c r="AO1165" s="30">
        <v>1</v>
      </c>
      <c r="AP1165" s="30">
        <v>1</v>
      </c>
      <c r="AQ1165" s="30">
        <v>1</v>
      </c>
      <c r="AR1165" s="50">
        <v>7.2186152540827803E-2</v>
      </c>
      <c r="AS1165" s="34">
        <v>5.5555555555555552E-2</v>
      </c>
      <c r="AT1165" s="34">
        <v>0.125</v>
      </c>
      <c r="AU1165" s="34">
        <v>0</v>
      </c>
      <c r="AV1165" s="34">
        <v>5.5045871559633031E-2</v>
      </c>
      <c r="AW1165" s="10"/>
      <c r="AX1165" s="8"/>
    </row>
    <row r="1166" spans="1:50">
      <c r="A1166" s="7"/>
      <c r="B1166" s="10"/>
      <c r="C1166" s="45" t="s">
        <v>1100</v>
      </c>
      <c r="D1166" s="23" t="s">
        <v>25</v>
      </c>
      <c r="E1166" s="83" t="s">
        <v>1210</v>
      </c>
      <c r="F1166" s="83" t="s">
        <v>1210</v>
      </c>
      <c r="G1166" s="83" t="s">
        <v>1210</v>
      </c>
      <c r="H1166" s="83" t="s">
        <v>1210</v>
      </c>
      <c r="I1166" s="25">
        <v>0.9</v>
      </c>
      <c r="J1166" s="26">
        <v>0.8214285714285714</v>
      </c>
      <c r="K1166" s="26">
        <v>0.96969696969696972</v>
      </c>
      <c r="L1166" s="27">
        <v>0.84848484848484851</v>
      </c>
      <c r="M1166" s="26">
        <v>0.89583333333333337</v>
      </c>
      <c r="N1166" s="28">
        <v>0.9</v>
      </c>
      <c r="O1166" s="26">
        <v>0.97583511016346836</v>
      </c>
      <c r="P1166" s="26">
        <v>0.97710396039603964</v>
      </c>
      <c r="Q1166" s="26">
        <v>0.97784491440080568</v>
      </c>
      <c r="R1166" s="26">
        <v>0.96607992747601423</v>
      </c>
      <c r="S1166" s="28">
        <v>0.9</v>
      </c>
      <c r="T1166" s="26">
        <v>0.92324093816631125</v>
      </c>
      <c r="U1166" s="26">
        <v>0.93688118811881194</v>
      </c>
      <c r="V1166" s="26">
        <v>0.92296072507552873</v>
      </c>
      <c r="W1166" s="26">
        <v>0.91727732869985645</v>
      </c>
      <c r="X1166" s="28">
        <v>0.92</v>
      </c>
      <c r="Y1166" s="28">
        <v>0.94333599361532328</v>
      </c>
      <c r="Z1166" s="28">
        <v>0.94044444444444442</v>
      </c>
      <c r="AA1166" s="28">
        <v>0.96487294469357254</v>
      </c>
      <c r="AB1166" s="28">
        <v>0.9500995911521124</v>
      </c>
      <c r="AC1166" s="28">
        <v>0.92</v>
      </c>
      <c r="AD1166" s="26">
        <v>0.9924782264449723</v>
      </c>
      <c r="AE1166" s="26">
        <v>0.99250883392226152</v>
      </c>
      <c r="AF1166" s="26">
        <v>0.99358169387470352</v>
      </c>
      <c r="AG1166" s="26">
        <v>0.90666572518005928</v>
      </c>
      <c r="AH1166" s="28">
        <v>0.92</v>
      </c>
      <c r="AI1166" s="26">
        <v>0.95413533834586461</v>
      </c>
      <c r="AJ1166" s="26">
        <v>0.96315213425757018</v>
      </c>
      <c r="AK1166" s="26">
        <v>0.97503008423586046</v>
      </c>
      <c r="AL1166" s="26">
        <v>0.96457107735534287</v>
      </c>
      <c r="AM1166" s="25">
        <v>0.99</v>
      </c>
      <c r="AN1166" s="30">
        <v>1</v>
      </c>
      <c r="AO1166" s="30">
        <v>1</v>
      </c>
      <c r="AP1166" s="30">
        <v>1</v>
      </c>
      <c r="AQ1166" s="30">
        <v>1</v>
      </c>
      <c r="AR1166" s="50">
        <v>7.2186152540827803E-2</v>
      </c>
      <c r="AS1166" s="34">
        <v>0.15384615384615385</v>
      </c>
      <c r="AT1166" s="34">
        <v>0</v>
      </c>
      <c r="AU1166" s="34">
        <v>0</v>
      </c>
      <c r="AV1166" s="34">
        <v>4.9019607843137254E-2</v>
      </c>
      <c r="AW1166" s="10"/>
      <c r="AX1166" s="8"/>
    </row>
    <row r="1167" spans="1:50">
      <c r="A1167" s="7"/>
      <c r="B1167" s="10"/>
      <c r="C1167" s="45" t="s">
        <v>1100</v>
      </c>
      <c r="D1167" s="23" t="s">
        <v>25</v>
      </c>
      <c r="E1167" s="83" t="s">
        <v>1211</v>
      </c>
      <c r="F1167" s="83" t="s">
        <v>1211</v>
      </c>
      <c r="G1167" s="83" t="s">
        <v>1211</v>
      </c>
      <c r="H1167" s="83" t="s">
        <v>1211</v>
      </c>
      <c r="I1167" s="25">
        <v>0.9</v>
      </c>
      <c r="J1167" s="26">
        <v>0.97435897435897434</v>
      </c>
      <c r="K1167" s="26">
        <v>0.94871794871794868</v>
      </c>
      <c r="L1167" s="27">
        <v>0.94736842105263153</v>
      </c>
      <c r="M1167" s="26">
        <v>0.94178082191780821</v>
      </c>
      <c r="N1167" s="28">
        <v>0.9</v>
      </c>
      <c r="O1167" s="26">
        <v>0.98916576381365118</v>
      </c>
      <c r="P1167" s="26">
        <v>0.98983833718244807</v>
      </c>
      <c r="Q1167" s="26">
        <v>0.99113737075332353</v>
      </c>
      <c r="R1167" s="26">
        <v>0.99088626937349922</v>
      </c>
      <c r="S1167" s="28">
        <v>0.9</v>
      </c>
      <c r="T1167" s="26">
        <v>0.93770314192849402</v>
      </c>
      <c r="U1167" s="26">
        <v>0.93441108545034646</v>
      </c>
      <c r="V1167" s="26">
        <v>0.95974889217134418</v>
      </c>
      <c r="W1167" s="26">
        <v>0.94117005020737832</v>
      </c>
      <c r="X1167" s="28">
        <v>0.92</v>
      </c>
      <c r="Y1167" s="28">
        <v>0.95654478007419186</v>
      </c>
      <c r="Z1167" s="28">
        <v>0.95779220779220775</v>
      </c>
      <c r="AA1167" s="28">
        <v>0.97303634232121927</v>
      </c>
      <c r="AB1167" s="28">
        <v>0.96233565351894823</v>
      </c>
      <c r="AC1167" s="28">
        <v>0.92</v>
      </c>
      <c r="AD1167" s="26">
        <v>0.99671424170859435</v>
      </c>
      <c r="AE1167" s="26">
        <v>0.99553952737970963</v>
      </c>
      <c r="AF1167" s="26">
        <v>0.99359369225083161</v>
      </c>
      <c r="AG1167" s="26">
        <v>0.98987101669195754</v>
      </c>
      <c r="AH1167" s="28">
        <v>0.92</v>
      </c>
      <c r="AI1167" s="26">
        <v>0.96517546209482985</v>
      </c>
      <c r="AJ1167" s="26">
        <v>0.96950067476383261</v>
      </c>
      <c r="AK1167" s="26">
        <v>0.98414855072463769</v>
      </c>
      <c r="AL1167" s="26">
        <v>0.97555903899676888</v>
      </c>
      <c r="AM1167" s="25">
        <v>0.99</v>
      </c>
      <c r="AN1167" s="30">
        <v>1</v>
      </c>
      <c r="AO1167" s="30">
        <v>1</v>
      </c>
      <c r="AP1167" s="30">
        <v>1</v>
      </c>
      <c r="AQ1167" s="30">
        <v>1</v>
      </c>
      <c r="AR1167" s="50">
        <v>7.2186152540827803E-2</v>
      </c>
      <c r="AS1167" s="34">
        <v>0</v>
      </c>
      <c r="AT1167" s="34">
        <v>8.3333333333333329E-2</v>
      </c>
      <c r="AU1167" s="34">
        <v>0</v>
      </c>
      <c r="AV1167" s="34">
        <v>3.2786885245901641E-2</v>
      </c>
      <c r="AW1167" s="10"/>
      <c r="AX1167" s="8"/>
    </row>
    <row r="1168" spans="1:50">
      <c r="A1168" s="7"/>
      <c r="B1168" s="10"/>
      <c r="C1168" s="45" t="s">
        <v>1100</v>
      </c>
      <c r="D1168" s="23" t="s">
        <v>25</v>
      </c>
      <c r="E1168" s="83" t="s">
        <v>1212</v>
      </c>
      <c r="F1168" s="83" t="s">
        <v>1212</v>
      </c>
      <c r="G1168" s="83" t="s">
        <v>1212</v>
      </c>
      <c r="H1168" s="83" t="s">
        <v>1212</v>
      </c>
      <c r="I1168" s="25">
        <v>0.9</v>
      </c>
      <c r="J1168" s="26">
        <v>0.84375</v>
      </c>
      <c r="K1168" s="26">
        <v>0.84848484848484851</v>
      </c>
      <c r="L1168" s="27">
        <v>0.88235294117647056</v>
      </c>
      <c r="M1168" s="26">
        <v>0.87984496124031009</v>
      </c>
      <c r="N1168" s="28">
        <v>0.9</v>
      </c>
      <c r="O1168" s="26">
        <v>0.96935584740462788</v>
      </c>
      <c r="P1168" s="26">
        <v>0.98260347930413916</v>
      </c>
      <c r="Q1168" s="26">
        <v>0.99252747252747253</v>
      </c>
      <c r="R1168" s="26">
        <v>0.9764134337815954</v>
      </c>
      <c r="S1168" s="28">
        <v>0.9</v>
      </c>
      <c r="T1168" s="26">
        <v>0.91244527829893685</v>
      </c>
      <c r="U1168" s="26">
        <v>0.91721655668866231</v>
      </c>
      <c r="V1168" s="26">
        <v>0.93142857142857138</v>
      </c>
      <c r="W1168" s="26">
        <v>0.91670773780187287</v>
      </c>
      <c r="X1168" s="28">
        <v>0.92</v>
      </c>
      <c r="Y1168" s="28">
        <v>0.93956043956043955</v>
      </c>
      <c r="Z1168" s="28">
        <v>0.9443207126948775</v>
      </c>
      <c r="AA1168" s="28">
        <v>0.96322378716744916</v>
      </c>
      <c r="AB1168" s="28">
        <v>0.94622230638136717</v>
      </c>
      <c r="AC1168" s="28">
        <v>0.92</v>
      </c>
      <c r="AD1168" s="26">
        <v>0.99418829910887252</v>
      </c>
      <c r="AE1168" s="26">
        <v>0.99732142857142858</v>
      </c>
      <c r="AF1168" s="26">
        <v>0.99702380952380953</v>
      </c>
      <c r="AG1168" s="26">
        <v>0.99104325699745544</v>
      </c>
      <c r="AH1168" s="28">
        <v>0.92</v>
      </c>
      <c r="AI1168" s="26">
        <v>0.94862565445026181</v>
      </c>
      <c r="AJ1168" s="26">
        <v>0.9591904445919045</v>
      </c>
      <c r="AK1168" s="26">
        <v>0.97213622291021673</v>
      </c>
      <c r="AL1168" s="26">
        <v>0.95917790519260271</v>
      </c>
      <c r="AM1168" s="25">
        <v>0.99</v>
      </c>
      <c r="AN1168" s="30">
        <v>1</v>
      </c>
      <c r="AO1168" s="30">
        <v>1</v>
      </c>
      <c r="AP1168" s="30">
        <v>0.99285714285714288</v>
      </c>
      <c r="AQ1168" s="30">
        <v>0.99911111111111106</v>
      </c>
      <c r="AR1168" s="50">
        <v>7.2186152540827803E-2</v>
      </c>
      <c r="AS1168" s="34">
        <v>0</v>
      </c>
      <c r="AT1168" s="34">
        <v>0</v>
      </c>
      <c r="AU1168" s="34">
        <v>0.05</v>
      </c>
      <c r="AV1168" s="34">
        <v>1.4285714285714285E-2</v>
      </c>
      <c r="AW1168" s="10"/>
      <c r="AX1168" s="8"/>
    </row>
    <row r="1169" spans="1:50">
      <c r="A1169" s="7"/>
      <c r="B1169" s="10"/>
      <c r="C1169" s="45" t="s">
        <v>1100</v>
      </c>
      <c r="D1169" s="23" t="s">
        <v>25</v>
      </c>
      <c r="E1169" s="83" t="s">
        <v>1213</v>
      </c>
      <c r="F1169" s="83" t="s">
        <v>1213</v>
      </c>
      <c r="G1169" s="83" t="s">
        <v>1213</v>
      </c>
      <c r="H1169" s="83" t="s">
        <v>1213</v>
      </c>
      <c r="I1169" s="25">
        <v>0.9</v>
      </c>
      <c r="J1169" s="26">
        <v>0.90566037735849059</v>
      </c>
      <c r="K1169" s="26">
        <v>0.92452830188679247</v>
      </c>
      <c r="L1169" s="27">
        <v>0.94444444444444442</v>
      </c>
      <c r="M1169" s="26">
        <v>0.94162436548223349</v>
      </c>
      <c r="N1169" s="28">
        <v>0.9</v>
      </c>
      <c r="O1169" s="26">
        <v>0.98872950819672134</v>
      </c>
      <c r="P1169" s="26">
        <v>0.98335509138381205</v>
      </c>
      <c r="Q1169" s="26">
        <v>0.98589420654911841</v>
      </c>
      <c r="R1169" s="26">
        <v>0.97657872471348361</v>
      </c>
      <c r="S1169" s="28">
        <v>0.9</v>
      </c>
      <c r="T1169" s="26">
        <v>0.95252732240437155</v>
      </c>
      <c r="U1169" s="26">
        <v>0.94223237597911225</v>
      </c>
      <c r="V1169" s="26">
        <v>0.96070528967254409</v>
      </c>
      <c r="W1169" s="26">
        <v>0.93746634874240442</v>
      </c>
      <c r="X1169" s="28">
        <v>0.92</v>
      </c>
      <c r="Y1169" s="28">
        <v>0.95659798334064006</v>
      </c>
      <c r="Z1169" s="28">
        <v>0.95909926470588236</v>
      </c>
      <c r="AA1169" s="28">
        <v>0.97455701953657425</v>
      </c>
      <c r="AB1169" s="28">
        <v>0.95924709745514247</v>
      </c>
      <c r="AC1169" s="28">
        <v>0.92</v>
      </c>
      <c r="AD1169" s="26">
        <v>0.99414729312306938</v>
      </c>
      <c r="AE1169" s="26">
        <v>0.99506462984723854</v>
      </c>
      <c r="AF1169" s="26">
        <v>0.99436678489463803</v>
      </c>
      <c r="AG1169" s="26">
        <v>0.99586786506361624</v>
      </c>
      <c r="AH1169" s="28">
        <v>0.92</v>
      </c>
      <c r="AI1169" s="26">
        <v>0.96891788181120486</v>
      </c>
      <c r="AJ1169" s="26">
        <v>0.97405075367296312</v>
      </c>
      <c r="AK1169" s="26">
        <v>0.98299044224850152</v>
      </c>
      <c r="AL1169" s="26">
        <v>0.97322589634033063</v>
      </c>
      <c r="AM1169" s="25">
        <v>0.99</v>
      </c>
      <c r="AN1169" s="30">
        <v>1</v>
      </c>
      <c r="AO1169" s="30">
        <v>1</v>
      </c>
      <c r="AP1169" s="30">
        <v>1</v>
      </c>
      <c r="AQ1169" s="30">
        <v>1</v>
      </c>
      <c r="AR1169" s="50">
        <v>7.2186152540827803E-2</v>
      </c>
      <c r="AS1169" s="34">
        <v>6.25E-2</v>
      </c>
      <c r="AT1169" s="34">
        <v>0</v>
      </c>
      <c r="AU1169" s="34">
        <v>0</v>
      </c>
      <c r="AV1169" s="34">
        <v>5.2980132450331126E-2</v>
      </c>
      <c r="AW1169" s="10"/>
      <c r="AX1169" s="8"/>
    </row>
    <row r="1170" spans="1:50">
      <c r="A1170" s="7"/>
      <c r="B1170" s="10"/>
      <c r="C1170" s="45" t="s">
        <v>1100</v>
      </c>
      <c r="D1170" s="23" t="s">
        <v>25</v>
      </c>
      <c r="E1170" s="83" t="s">
        <v>1214</v>
      </c>
      <c r="F1170" s="83" t="s">
        <v>1214</v>
      </c>
      <c r="G1170" s="83" t="s">
        <v>1214</v>
      </c>
      <c r="H1170" s="83" t="s">
        <v>1214</v>
      </c>
      <c r="I1170" s="25">
        <v>0.9</v>
      </c>
      <c r="J1170" s="26">
        <v>1</v>
      </c>
      <c r="K1170" s="26">
        <v>0.91666666666666663</v>
      </c>
      <c r="L1170" s="27">
        <v>0.92105263157894735</v>
      </c>
      <c r="M1170" s="26">
        <v>0.95804195804195802</v>
      </c>
      <c r="N1170" s="28">
        <v>0.9</v>
      </c>
      <c r="O1170" s="26">
        <v>0.97749567224466238</v>
      </c>
      <c r="P1170" s="26">
        <v>0.98309995171414777</v>
      </c>
      <c r="Q1170" s="26">
        <v>0.820046439628483</v>
      </c>
      <c r="R1170" s="26">
        <v>0.92568154193436358</v>
      </c>
      <c r="S1170" s="28">
        <v>0.9</v>
      </c>
      <c r="T1170" s="26">
        <v>0.92267743796884016</v>
      </c>
      <c r="U1170" s="26">
        <v>0.90825688073394495</v>
      </c>
      <c r="V1170" s="26">
        <v>0.9024767801857585</v>
      </c>
      <c r="W1170" s="26">
        <v>0.92394512936273654</v>
      </c>
      <c r="X1170" s="28">
        <v>0.92</v>
      </c>
      <c r="Y1170" s="28">
        <v>0.93884642112578176</v>
      </c>
      <c r="Z1170" s="28">
        <v>0.96433770014556042</v>
      </c>
      <c r="AA1170" s="28">
        <v>0.93701799485861181</v>
      </c>
      <c r="AB1170" s="28">
        <v>0.94872478450191056</v>
      </c>
      <c r="AC1170" s="28">
        <v>0.92</v>
      </c>
      <c r="AD1170" s="26">
        <v>0.99338510209951103</v>
      </c>
      <c r="AE1170" s="26">
        <v>0.98733634848845508</v>
      </c>
      <c r="AF1170" s="26">
        <v>0.98962153186189716</v>
      </c>
      <c r="AG1170" s="26">
        <v>0.95206524201464926</v>
      </c>
      <c r="AH1170" s="28">
        <v>0.92</v>
      </c>
      <c r="AI1170" s="26">
        <v>0.95617906683480458</v>
      </c>
      <c r="AJ1170" s="26">
        <v>0.97534087612416598</v>
      </c>
      <c r="AK1170" s="26">
        <v>0.96377686549142716</v>
      </c>
      <c r="AL1170" s="26">
        <v>0.96800981079187109</v>
      </c>
      <c r="AM1170" s="25">
        <v>0.99</v>
      </c>
      <c r="AN1170" s="30">
        <v>1</v>
      </c>
      <c r="AO1170" s="30">
        <v>1</v>
      </c>
      <c r="AP1170" s="30">
        <v>1</v>
      </c>
      <c r="AQ1170" s="30">
        <v>1</v>
      </c>
      <c r="AR1170" s="50">
        <v>7.2186152540827803E-2</v>
      </c>
      <c r="AS1170" s="34">
        <v>6.6666666666666666E-2</v>
      </c>
      <c r="AT1170" s="34">
        <v>0</v>
      </c>
      <c r="AU1170" s="34">
        <v>0</v>
      </c>
      <c r="AV1170" s="34">
        <v>2.8301886792452831E-2</v>
      </c>
      <c r="AW1170" s="10"/>
      <c r="AX1170" s="8"/>
    </row>
    <row r="1171" spans="1:50">
      <c r="A1171" s="7"/>
      <c r="B1171" s="10"/>
      <c r="C1171" s="45" t="s">
        <v>1100</v>
      </c>
      <c r="D1171" s="23" t="s">
        <v>25</v>
      </c>
      <c r="E1171" s="83" t="s">
        <v>1215</v>
      </c>
      <c r="F1171" s="83" t="s">
        <v>1215</v>
      </c>
      <c r="G1171" s="83" t="s">
        <v>1215</v>
      </c>
      <c r="H1171" s="83" t="s">
        <v>1215</v>
      </c>
      <c r="I1171" s="25">
        <v>0.9</v>
      </c>
      <c r="J1171" s="26">
        <v>0.93617021276595747</v>
      </c>
      <c r="K1171" s="26">
        <v>0.96</v>
      </c>
      <c r="L1171" s="27">
        <v>0.98181818181818181</v>
      </c>
      <c r="M1171" s="26">
        <v>0.93702770780856426</v>
      </c>
      <c r="N1171" s="28">
        <v>0.9</v>
      </c>
      <c r="O1171" s="26">
        <v>0.97194570135746605</v>
      </c>
      <c r="P1171" s="26">
        <v>0.96727019498607247</v>
      </c>
      <c r="Q1171" s="26">
        <v>0.97204876598275347</v>
      </c>
      <c r="R1171" s="26">
        <v>0.96642361262716669</v>
      </c>
      <c r="S1171" s="28">
        <v>0.9</v>
      </c>
      <c r="T1171" s="26">
        <v>0.95022624434389136</v>
      </c>
      <c r="U1171" s="26">
        <v>0.94011142061281339</v>
      </c>
      <c r="V1171" s="26">
        <v>0.95569432054713055</v>
      </c>
      <c r="W1171" s="26">
        <v>0.94664454438283197</v>
      </c>
      <c r="X1171" s="28">
        <v>0.92</v>
      </c>
      <c r="Y1171" s="28">
        <v>0.9486948694869487</v>
      </c>
      <c r="Z1171" s="28">
        <v>0.94221243808475508</v>
      </c>
      <c r="AA1171" s="28">
        <v>0.97011385199240985</v>
      </c>
      <c r="AB1171" s="28">
        <v>0.95243574990410429</v>
      </c>
      <c r="AC1171" s="28">
        <v>0.92</v>
      </c>
      <c r="AD1171" s="26">
        <v>0.99278296074634742</v>
      </c>
      <c r="AE1171" s="26">
        <v>0.98990825688073392</v>
      </c>
      <c r="AF1171" s="26">
        <v>0.99487886547173532</v>
      </c>
      <c r="AG1171" s="26">
        <v>0.91816831208664818</v>
      </c>
      <c r="AH1171" s="28">
        <v>0.92</v>
      </c>
      <c r="AI1171" s="26">
        <v>0.96141696750902528</v>
      </c>
      <c r="AJ1171" s="26">
        <v>0.96481876332622596</v>
      </c>
      <c r="AK1171" s="26">
        <v>0.98282163742690054</v>
      </c>
      <c r="AL1171" s="26">
        <v>0.97123067344609315</v>
      </c>
      <c r="AM1171" s="25">
        <v>0.99</v>
      </c>
      <c r="AN1171" s="30">
        <v>1</v>
      </c>
      <c r="AO1171" s="30">
        <v>1</v>
      </c>
      <c r="AP1171" s="30">
        <v>1</v>
      </c>
      <c r="AQ1171" s="30">
        <v>1</v>
      </c>
      <c r="AR1171" s="50">
        <v>7.2186152540827803E-2</v>
      </c>
      <c r="AS1171" s="34">
        <v>4.3478260869565216E-2</v>
      </c>
      <c r="AT1171" s="34">
        <v>7.6923076923076927E-2</v>
      </c>
      <c r="AU1171" s="34">
        <v>0</v>
      </c>
      <c r="AV1171" s="34">
        <v>4.1666666666666664E-2</v>
      </c>
      <c r="AW1171" s="10"/>
      <c r="AX1171" s="8"/>
    </row>
    <row r="1172" spans="1:50">
      <c r="A1172" s="7"/>
      <c r="B1172" s="10"/>
      <c r="C1172" s="45" t="s">
        <v>1100</v>
      </c>
      <c r="D1172" s="23" t="s">
        <v>25</v>
      </c>
      <c r="E1172" s="83" t="s">
        <v>1216</v>
      </c>
      <c r="F1172" s="83" t="s">
        <v>1216</v>
      </c>
      <c r="G1172" s="83" t="s">
        <v>1216</v>
      </c>
      <c r="H1172" s="83" t="s">
        <v>1216</v>
      </c>
      <c r="I1172" s="25">
        <v>0.9</v>
      </c>
      <c r="J1172" s="26">
        <v>0</v>
      </c>
      <c r="K1172" s="26">
        <v>0</v>
      </c>
      <c r="L1172" s="27">
        <v>0</v>
      </c>
      <c r="M1172" s="26">
        <v>0</v>
      </c>
      <c r="N1172" s="28">
        <v>0.9</v>
      </c>
      <c r="O1172" s="26">
        <v>0</v>
      </c>
      <c r="P1172" s="26">
        <v>0</v>
      </c>
      <c r="Q1172" s="26">
        <v>0</v>
      </c>
      <c r="R1172" s="26">
        <v>0</v>
      </c>
      <c r="S1172" s="28">
        <v>0.9</v>
      </c>
      <c r="T1172" s="26">
        <v>1</v>
      </c>
      <c r="U1172" s="26">
        <v>1</v>
      </c>
      <c r="V1172" s="26">
        <v>1</v>
      </c>
      <c r="W1172" s="26">
        <v>1</v>
      </c>
      <c r="X1172" s="28">
        <v>0.92</v>
      </c>
      <c r="Y1172" s="28">
        <v>0</v>
      </c>
      <c r="Z1172" s="28">
        <v>1</v>
      </c>
      <c r="AA1172" s="28">
        <v>0</v>
      </c>
      <c r="AB1172" s="28">
        <v>0.5</v>
      </c>
      <c r="AC1172" s="28">
        <v>0.92</v>
      </c>
      <c r="AD1172" s="26">
        <v>0.99881775190978539</v>
      </c>
      <c r="AE1172" s="26">
        <v>0.99381482538776289</v>
      </c>
      <c r="AF1172" s="26">
        <v>0.98170872887242422</v>
      </c>
      <c r="AG1172" s="26">
        <v>0.97740946318363542</v>
      </c>
      <c r="AH1172" s="28">
        <v>0.92</v>
      </c>
      <c r="AI1172" s="26">
        <v>0.5</v>
      </c>
      <c r="AJ1172" s="26">
        <v>1</v>
      </c>
      <c r="AK1172" s="26">
        <v>0.8</v>
      </c>
      <c r="AL1172" s="26">
        <v>0.92592592592592593</v>
      </c>
      <c r="AM1172" s="25">
        <v>0.99</v>
      </c>
      <c r="AN1172" s="30">
        <v>1</v>
      </c>
      <c r="AO1172" s="30">
        <v>1</v>
      </c>
      <c r="AP1172" s="30">
        <v>1</v>
      </c>
      <c r="AQ1172" s="30">
        <v>1</v>
      </c>
      <c r="AR1172" s="50">
        <v>7.2186152540827803E-2</v>
      </c>
      <c r="AS1172" s="34">
        <v>0</v>
      </c>
      <c r="AT1172" s="34">
        <v>0</v>
      </c>
      <c r="AU1172" s="34">
        <v>0</v>
      </c>
      <c r="AV1172" s="34">
        <v>0</v>
      </c>
      <c r="AW1172" s="10"/>
      <c r="AX1172" s="8"/>
    </row>
    <row r="1173" spans="1:50">
      <c r="A1173" s="7"/>
      <c r="B1173" s="10"/>
      <c r="C1173" s="45" t="s">
        <v>1100</v>
      </c>
      <c r="D1173" s="23" t="s">
        <v>25</v>
      </c>
      <c r="E1173" s="83" t="s">
        <v>1217</v>
      </c>
      <c r="F1173" s="83" t="s">
        <v>1217</v>
      </c>
      <c r="G1173" s="83" t="s">
        <v>1217</v>
      </c>
      <c r="H1173" s="83" t="s">
        <v>1217</v>
      </c>
      <c r="I1173" s="25">
        <v>0.9</v>
      </c>
      <c r="J1173" s="26">
        <v>0.93877551020408168</v>
      </c>
      <c r="K1173" s="26">
        <v>0.83333333333333337</v>
      </c>
      <c r="L1173" s="27">
        <v>0.92</v>
      </c>
      <c r="M1173" s="26">
        <v>0.92388451443569553</v>
      </c>
      <c r="N1173" s="28">
        <v>0.9</v>
      </c>
      <c r="O1173" s="26">
        <v>0.95738269479121829</v>
      </c>
      <c r="P1173" s="26">
        <v>0.97089639115250292</v>
      </c>
      <c r="Q1173" s="26">
        <v>0.946524064171123</v>
      </c>
      <c r="R1173" s="26">
        <v>0.96021108672301869</v>
      </c>
      <c r="S1173" s="28">
        <v>0.9</v>
      </c>
      <c r="T1173" s="26">
        <v>0.91476538958243647</v>
      </c>
      <c r="U1173" s="26">
        <v>0.90065968180054323</v>
      </c>
      <c r="V1173" s="26">
        <v>0.90248505819440072</v>
      </c>
      <c r="W1173" s="26">
        <v>0.90645869331714379</v>
      </c>
      <c r="X1173" s="28">
        <v>0.92</v>
      </c>
      <c r="Y1173" s="28">
        <v>0.94529046813310769</v>
      </c>
      <c r="Z1173" s="28">
        <v>0.96383957922419461</v>
      </c>
      <c r="AA1173" s="28">
        <v>0.95717592592592593</v>
      </c>
      <c r="AB1173" s="28">
        <v>0.95325218430289005</v>
      </c>
      <c r="AC1173" s="28">
        <v>0.92</v>
      </c>
      <c r="AD1173" s="26">
        <v>0.99800647894343386</v>
      </c>
      <c r="AE1173" s="26">
        <v>0.9972892382759555</v>
      </c>
      <c r="AF1173" s="26">
        <v>0.99849887415561667</v>
      </c>
      <c r="AG1173" s="26">
        <v>0.99796945842952911</v>
      </c>
      <c r="AH1173" s="28">
        <v>0.92</v>
      </c>
      <c r="AI1173" s="26">
        <v>0.959716796875</v>
      </c>
      <c r="AJ1173" s="26">
        <v>0.97437774524158127</v>
      </c>
      <c r="AK1173" s="26">
        <v>0.97880578765029547</v>
      </c>
      <c r="AL1173" s="26">
        <v>0.97262123649735688</v>
      </c>
      <c r="AM1173" s="25">
        <v>0.99</v>
      </c>
      <c r="AN1173" s="30">
        <v>1</v>
      </c>
      <c r="AO1173" s="30">
        <v>1</v>
      </c>
      <c r="AP1173" s="30">
        <v>1</v>
      </c>
      <c r="AQ1173" s="30">
        <v>1</v>
      </c>
      <c r="AR1173" s="50">
        <v>7.2186152540827803E-2</v>
      </c>
      <c r="AS1173" s="34">
        <v>0</v>
      </c>
      <c r="AT1173" s="34">
        <v>0</v>
      </c>
      <c r="AU1173" s="34">
        <v>0.1</v>
      </c>
      <c r="AV1173" s="34">
        <v>3.4188034188034191E-2</v>
      </c>
      <c r="AW1173" s="10"/>
      <c r="AX1173" s="8"/>
    </row>
    <row r="1174" spans="1:50">
      <c r="A1174" s="7"/>
      <c r="B1174" s="10"/>
      <c r="C1174" s="45" t="s">
        <v>1100</v>
      </c>
      <c r="D1174" s="23" t="s">
        <v>25</v>
      </c>
      <c r="E1174" s="83" t="s">
        <v>1218</v>
      </c>
      <c r="F1174" s="83" t="s">
        <v>1218</v>
      </c>
      <c r="G1174" s="83" t="s">
        <v>1218</v>
      </c>
      <c r="H1174" s="83" t="s">
        <v>1218</v>
      </c>
      <c r="I1174" s="25">
        <v>0.9</v>
      </c>
      <c r="J1174" s="26">
        <v>0.97777777777777775</v>
      </c>
      <c r="K1174" s="26">
        <v>0.97916666666666663</v>
      </c>
      <c r="L1174" s="27">
        <v>0.92156862745098034</v>
      </c>
      <c r="M1174" s="26">
        <v>0.96195652173913049</v>
      </c>
      <c r="N1174" s="28">
        <v>0.9</v>
      </c>
      <c r="O1174" s="26">
        <v>0.97110055423594621</v>
      </c>
      <c r="P1174" s="26">
        <v>0.96313517103952173</v>
      </c>
      <c r="Q1174" s="26">
        <v>0.97161697247706424</v>
      </c>
      <c r="R1174" s="26">
        <v>0.96972200421330912</v>
      </c>
      <c r="S1174" s="28">
        <v>0.9</v>
      </c>
      <c r="T1174" s="26">
        <v>0.94774346793349173</v>
      </c>
      <c r="U1174" s="26">
        <v>0.9375622716705414</v>
      </c>
      <c r="V1174" s="26">
        <v>0.94667431192660545</v>
      </c>
      <c r="W1174" s="26">
        <v>0.94654880416374076</v>
      </c>
      <c r="X1174" s="28">
        <v>0.92</v>
      </c>
      <c r="Y1174" s="28">
        <v>0.94993354009747455</v>
      </c>
      <c r="Z1174" s="28">
        <v>0.95002686727565822</v>
      </c>
      <c r="AA1174" s="28">
        <v>0.97683566433566438</v>
      </c>
      <c r="AB1174" s="28">
        <v>0.95538471233222</v>
      </c>
      <c r="AC1174" s="28">
        <v>0.92</v>
      </c>
      <c r="AD1174" s="26">
        <v>0.99574955043321889</v>
      </c>
      <c r="AE1174" s="26">
        <v>0.99831207801950483</v>
      </c>
      <c r="AF1174" s="26">
        <v>0.99882451721242649</v>
      </c>
      <c r="AG1174" s="26">
        <v>0.99175464440625261</v>
      </c>
      <c r="AH1174" s="28">
        <v>0.92</v>
      </c>
      <c r="AI1174" s="26">
        <v>0.96759356052686596</v>
      </c>
      <c r="AJ1174" s="26">
        <v>0.97373281346193308</v>
      </c>
      <c r="AK1174" s="26">
        <v>0.98251687727194048</v>
      </c>
      <c r="AL1174" s="26">
        <v>0.97457711691033377</v>
      </c>
      <c r="AM1174" s="25">
        <v>0.99</v>
      </c>
      <c r="AN1174" s="30">
        <v>1</v>
      </c>
      <c r="AO1174" s="30">
        <v>1</v>
      </c>
      <c r="AP1174" s="30">
        <v>1</v>
      </c>
      <c r="AQ1174" s="30">
        <v>1</v>
      </c>
      <c r="AR1174" s="50">
        <v>7.2186152540827803E-2</v>
      </c>
      <c r="AS1174" s="34">
        <v>5.8823529411764705E-2</v>
      </c>
      <c r="AT1174" s="34">
        <v>0</v>
      </c>
      <c r="AU1174" s="34">
        <v>0.14285714285714285</v>
      </c>
      <c r="AV1174" s="34">
        <v>6.5573770491803282E-2</v>
      </c>
      <c r="AW1174" s="10"/>
      <c r="AX1174" s="8"/>
    </row>
    <row r="1175" spans="1:50">
      <c r="A1175" s="7"/>
      <c r="B1175" s="10"/>
      <c r="C1175" s="45" t="s">
        <v>1100</v>
      </c>
      <c r="D1175" s="23" t="s">
        <v>25</v>
      </c>
      <c r="E1175" s="83" t="s">
        <v>1219</v>
      </c>
      <c r="F1175" s="83" t="s">
        <v>1219</v>
      </c>
      <c r="G1175" s="83" t="s">
        <v>1219</v>
      </c>
      <c r="H1175" s="83" t="s">
        <v>1219</v>
      </c>
      <c r="I1175" s="25">
        <v>0.9</v>
      </c>
      <c r="J1175" s="26">
        <v>0.79166666666666663</v>
      </c>
      <c r="K1175" s="26">
        <v>0.875</v>
      </c>
      <c r="L1175" s="27">
        <v>0.95652173913043481</v>
      </c>
      <c r="M1175" s="26">
        <v>0.92146596858638741</v>
      </c>
      <c r="N1175" s="28">
        <v>0.9</v>
      </c>
      <c r="O1175" s="26">
        <v>0.93661202185792347</v>
      </c>
      <c r="P1175" s="26">
        <v>0.98893572181243417</v>
      </c>
      <c r="Q1175" s="26">
        <v>0.98765432098765427</v>
      </c>
      <c r="R1175" s="26">
        <v>0.98313313001804947</v>
      </c>
      <c r="S1175" s="28">
        <v>0.9</v>
      </c>
      <c r="T1175" s="26">
        <v>0.95409836065573772</v>
      </c>
      <c r="U1175" s="26">
        <v>0.94889357218124337</v>
      </c>
      <c r="V1175" s="26">
        <v>0.92328042328042326</v>
      </c>
      <c r="W1175" s="26">
        <v>0.94087259600423223</v>
      </c>
      <c r="X1175" s="28">
        <v>0.92</v>
      </c>
      <c r="Y1175" s="28">
        <v>0.96244131455399062</v>
      </c>
      <c r="Z1175" s="28">
        <v>0.96293245469522237</v>
      </c>
      <c r="AA1175" s="28">
        <v>0.98100407055630934</v>
      </c>
      <c r="AB1175" s="28">
        <v>0.9679227053140097</v>
      </c>
      <c r="AC1175" s="28">
        <v>0.92</v>
      </c>
      <c r="AD1175" s="26">
        <v>0.99809038828771479</v>
      </c>
      <c r="AE1175" s="26">
        <v>0.99521195842578536</v>
      </c>
      <c r="AF1175" s="26">
        <v>0.99613989940343894</v>
      </c>
      <c r="AG1175" s="26">
        <v>0.99466433837795887</v>
      </c>
      <c r="AH1175" s="28">
        <v>0.92</v>
      </c>
      <c r="AI1175" s="26">
        <v>0.97380307136404698</v>
      </c>
      <c r="AJ1175" s="26">
        <v>0.97655748233782913</v>
      </c>
      <c r="AK1175" s="26">
        <v>0.984233030464992</v>
      </c>
      <c r="AL1175" s="26">
        <v>0.97800991635441503</v>
      </c>
      <c r="AM1175" s="25">
        <v>0.99</v>
      </c>
      <c r="AN1175" s="30">
        <v>1</v>
      </c>
      <c r="AO1175" s="30">
        <v>1</v>
      </c>
      <c r="AP1175" s="30">
        <v>1</v>
      </c>
      <c r="AQ1175" s="30">
        <v>1</v>
      </c>
      <c r="AR1175" s="50">
        <v>7.2186152540827803E-2</v>
      </c>
      <c r="AS1175" s="34">
        <v>5.8823529411764705E-2</v>
      </c>
      <c r="AT1175" s="34">
        <v>6.6666666666666666E-2</v>
      </c>
      <c r="AU1175" s="34">
        <v>0.13043478260869565</v>
      </c>
      <c r="AV1175" s="34">
        <v>7.2072072072072071E-2</v>
      </c>
      <c r="AW1175" s="10"/>
      <c r="AX1175" s="8"/>
    </row>
    <row r="1176" spans="1:50">
      <c r="A1176" s="7"/>
      <c r="B1176" s="10"/>
      <c r="C1176" s="45" t="s">
        <v>1100</v>
      </c>
      <c r="D1176" s="23" t="s">
        <v>25</v>
      </c>
      <c r="E1176" s="83" t="s">
        <v>1220</v>
      </c>
      <c r="F1176" s="83" t="s">
        <v>1220</v>
      </c>
      <c r="G1176" s="83" t="s">
        <v>1220</v>
      </c>
      <c r="H1176" s="83" t="s">
        <v>1220</v>
      </c>
      <c r="I1176" s="25">
        <v>0.9</v>
      </c>
      <c r="J1176" s="26">
        <v>0.92682926829268297</v>
      </c>
      <c r="K1176" s="26">
        <v>0.88888888888888884</v>
      </c>
      <c r="L1176" s="27">
        <v>0.93877551020408168</v>
      </c>
      <c r="M1176" s="26">
        <v>0.92500000000000004</v>
      </c>
      <c r="N1176" s="28">
        <v>0.9</v>
      </c>
      <c r="O1176" s="26">
        <v>0.93200270635994586</v>
      </c>
      <c r="P1176" s="26">
        <v>0.96409007912355449</v>
      </c>
      <c r="Q1176" s="26">
        <v>0.96323704941513488</v>
      </c>
      <c r="R1176" s="26">
        <v>0.95864895524572769</v>
      </c>
      <c r="S1176" s="28">
        <v>0.9</v>
      </c>
      <c r="T1176" s="26">
        <v>0.90358592692828144</v>
      </c>
      <c r="U1176" s="26">
        <v>0.92270237370663422</v>
      </c>
      <c r="V1176" s="26">
        <v>0.9195512055383146</v>
      </c>
      <c r="W1176" s="26">
        <v>0.91671240897281081</v>
      </c>
      <c r="X1176" s="28">
        <v>0.92</v>
      </c>
      <c r="Y1176" s="28">
        <v>0.93740095087163233</v>
      </c>
      <c r="Z1176" s="28">
        <v>0.95086206896551728</v>
      </c>
      <c r="AA1176" s="28">
        <v>0.955330804888327</v>
      </c>
      <c r="AB1176" s="28">
        <v>0.95446952960827636</v>
      </c>
      <c r="AC1176" s="28">
        <v>0.92</v>
      </c>
      <c r="AD1176" s="26">
        <v>0.99832464631422191</v>
      </c>
      <c r="AE1176" s="26">
        <v>0.99748500677113561</v>
      </c>
      <c r="AF1176" s="26">
        <v>0.99552143314139474</v>
      </c>
      <c r="AG1176" s="26">
        <v>0.9960950211519688</v>
      </c>
      <c r="AH1176" s="28">
        <v>0.92</v>
      </c>
      <c r="AI1176" s="26">
        <v>0.95036496350364963</v>
      </c>
      <c r="AJ1176" s="26">
        <v>0.96522204387372923</v>
      </c>
      <c r="AK1176" s="26">
        <v>0.97410115783059115</v>
      </c>
      <c r="AL1176" s="26">
        <v>0.967902203046349</v>
      </c>
      <c r="AM1176" s="25">
        <v>0.99</v>
      </c>
      <c r="AN1176" s="30">
        <v>1</v>
      </c>
      <c r="AO1176" s="30">
        <v>1</v>
      </c>
      <c r="AP1176" s="30">
        <v>1</v>
      </c>
      <c r="AQ1176" s="30">
        <v>1</v>
      </c>
      <c r="AR1176" s="50">
        <v>7.2186152540827803E-2</v>
      </c>
      <c r="AS1176" s="34">
        <v>0</v>
      </c>
      <c r="AT1176" s="34">
        <v>8.1081081081081086E-2</v>
      </c>
      <c r="AU1176" s="34">
        <v>-3.0303030303030304E-2</v>
      </c>
      <c r="AV1176" s="34">
        <v>3.3755274261603373E-2</v>
      </c>
      <c r="AW1176" s="10"/>
      <c r="AX1176" s="8"/>
    </row>
    <row r="1177" spans="1:50">
      <c r="A1177" s="7"/>
      <c r="B1177" s="10"/>
      <c r="C1177" s="45" t="s">
        <v>1100</v>
      </c>
      <c r="D1177" s="23" t="s">
        <v>25</v>
      </c>
      <c r="E1177" s="83" t="s">
        <v>1221</v>
      </c>
      <c r="F1177" s="83" t="s">
        <v>1221</v>
      </c>
      <c r="G1177" s="83" t="s">
        <v>1221</v>
      </c>
      <c r="H1177" s="83" t="s">
        <v>1221</v>
      </c>
      <c r="I1177" s="25">
        <v>0.9</v>
      </c>
      <c r="J1177" s="26">
        <v>0.96</v>
      </c>
      <c r="K1177" s="26">
        <v>0.96226415094339623</v>
      </c>
      <c r="L1177" s="27">
        <v>0.94545454545454544</v>
      </c>
      <c r="M1177" s="26">
        <v>0.91111111111111109</v>
      </c>
      <c r="N1177" s="28">
        <v>0.9</v>
      </c>
      <c r="O1177" s="26">
        <v>0.90598820974247596</v>
      </c>
      <c r="P1177" s="26">
        <v>0.93482688391038693</v>
      </c>
      <c r="Q1177" s="26">
        <v>0.94205745150994358</v>
      </c>
      <c r="R1177" s="26">
        <v>0.9069358469330332</v>
      </c>
      <c r="S1177" s="28">
        <v>0.9</v>
      </c>
      <c r="T1177" s="26">
        <v>0.92026062674526843</v>
      </c>
      <c r="U1177" s="26">
        <v>0.94501018329938902</v>
      </c>
      <c r="V1177" s="26">
        <v>0.93518291185858093</v>
      </c>
      <c r="W1177" s="26">
        <v>0.9179797411367473</v>
      </c>
      <c r="X1177" s="28">
        <v>0.92</v>
      </c>
      <c r="Y1177" s="28">
        <v>0.95010141987829611</v>
      </c>
      <c r="Z1177" s="28">
        <v>0.95792426367461425</v>
      </c>
      <c r="AA1177" s="28">
        <v>0.96467282215977523</v>
      </c>
      <c r="AB1177" s="28">
        <v>0.94558783600325824</v>
      </c>
      <c r="AC1177" s="28">
        <v>0.92</v>
      </c>
      <c r="AD1177" s="26">
        <v>0.99666470472827151</v>
      </c>
      <c r="AE1177" s="26">
        <v>0.9908373631967422</v>
      </c>
      <c r="AF1177" s="26">
        <v>0.99382034870889424</v>
      </c>
      <c r="AG1177" s="26">
        <v>0.98997364077550321</v>
      </c>
      <c r="AH1177" s="28">
        <v>0.92</v>
      </c>
      <c r="AI1177" s="26">
        <v>0.96061884669479602</v>
      </c>
      <c r="AJ1177" s="26">
        <v>0.97527767825152278</v>
      </c>
      <c r="AK1177" s="26">
        <v>0.97775746496038995</v>
      </c>
      <c r="AL1177" s="26">
        <v>0.96516839544115762</v>
      </c>
      <c r="AM1177" s="25">
        <v>0.99</v>
      </c>
      <c r="AN1177" s="30">
        <v>1</v>
      </c>
      <c r="AO1177" s="30">
        <v>1</v>
      </c>
      <c r="AP1177" s="30">
        <v>1</v>
      </c>
      <c r="AQ1177" s="30">
        <v>1</v>
      </c>
      <c r="AR1177" s="50">
        <v>7.2186152540827803E-2</v>
      </c>
      <c r="AS1177" s="34">
        <v>0</v>
      </c>
      <c r="AT1177" s="34">
        <v>0</v>
      </c>
      <c r="AU1177" s="34">
        <v>5.5555555555555552E-2</v>
      </c>
      <c r="AV1177" s="34">
        <v>2.2058823529411766E-2</v>
      </c>
      <c r="AW1177" s="10"/>
      <c r="AX1177" s="8"/>
    </row>
    <row r="1178" spans="1:50">
      <c r="A1178" s="7"/>
      <c r="B1178" s="10"/>
      <c r="C1178" s="45" t="s">
        <v>1100</v>
      </c>
      <c r="D1178" s="23" t="s">
        <v>25</v>
      </c>
      <c r="E1178" s="83" t="s">
        <v>1222</v>
      </c>
      <c r="F1178" s="83" t="s">
        <v>1222</v>
      </c>
      <c r="G1178" s="83" t="s">
        <v>1222</v>
      </c>
      <c r="H1178" s="83" t="s">
        <v>1222</v>
      </c>
      <c r="I1178" s="25">
        <v>0.9</v>
      </c>
      <c r="J1178" s="26">
        <v>0.94</v>
      </c>
      <c r="K1178" s="26">
        <v>0.96078431372549022</v>
      </c>
      <c r="L1178" s="27">
        <v>0.92727272727272725</v>
      </c>
      <c r="M1178" s="26">
        <v>0.94329896907216493</v>
      </c>
      <c r="N1178" s="28">
        <v>0.9</v>
      </c>
      <c r="O1178" s="26">
        <v>0.96631087391594395</v>
      </c>
      <c r="P1178" s="26">
        <v>0.9376506024096386</v>
      </c>
      <c r="Q1178" s="26">
        <v>0.95918367346938771</v>
      </c>
      <c r="R1178" s="26">
        <v>0.95905379442843419</v>
      </c>
      <c r="S1178" s="28">
        <v>0.9</v>
      </c>
      <c r="T1178" s="26">
        <v>0.93162108072048033</v>
      </c>
      <c r="U1178" s="26">
        <v>0.92439759036144575</v>
      </c>
      <c r="V1178" s="26">
        <v>0.95096371882086173</v>
      </c>
      <c r="W1178" s="26">
        <v>0.92587255843739991</v>
      </c>
      <c r="X1178" s="28">
        <v>0.92</v>
      </c>
      <c r="Y1178" s="28">
        <v>0.88198103266596417</v>
      </c>
      <c r="Z1178" s="28">
        <v>0.89717514124293785</v>
      </c>
      <c r="AA1178" s="28">
        <v>0.98757763975155277</v>
      </c>
      <c r="AB1178" s="28">
        <v>0.91015528715799854</v>
      </c>
      <c r="AC1178" s="28">
        <v>0.92</v>
      </c>
      <c r="AD1178" s="26">
        <v>0.99729364005412724</v>
      </c>
      <c r="AE1178" s="26">
        <v>0.99529802240354026</v>
      </c>
      <c r="AF1178" s="26">
        <v>0.99802970597150653</v>
      </c>
      <c r="AG1178" s="26">
        <v>0.99690407495056244</v>
      </c>
      <c r="AH1178" s="28">
        <v>0.92</v>
      </c>
      <c r="AI1178" s="26">
        <v>0.9420253164556962</v>
      </c>
      <c r="AJ1178" s="26">
        <v>0.94698050404184497</v>
      </c>
      <c r="AK1178" s="26">
        <v>0.98968850698174005</v>
      </c>
      <c r="AL1178" s="26">
        <v>0.95369139681005322</v>
      </c>
      <c r="AM1178" s="25">
        <v>0.99</v>
      </c>
      <c r="AN1178" s="30">
        <v>1</v>
      </c>
      <c r="AO1178" s="30">
        <v>1</v>
      </c>
      <c r="AP1178" s="30">
        <v>1</v>
      </c>
      <c r="AQ1178" s="30">
        <v>1</v>
      </c>
      <c r="AR1178" s="50">
        <v>7.2186152540827803E-2</v>
      </c>
      <c r="AS1178" s="34">
        <v>4.878048780487805E-2</v>
      </c>
      <c r="AT1178" s="34">
        <v>0</v>
      </c>
      <c r="AU1178" s="34">
        <v>0</v>
      </c>
      <c r="AV1178" s="34">
        <v>2.9239766081871343E-2</v>
      </c>
      <c r="AW1178" s="10"/>
      <c r="AX1178" s="8"/>
    </row>
    <row r="1179" spans="1:50">
      <c r="A1179" s="7"/>
      <c r="B1179" s="10"/>
      <c r="C1179" s="45" t="s">
        <v>1100</v>
      </c>
      <c r="D1179" s="23" t="s">
        <v>25</v>
      </c>
      <c r="E1179" s="83" t="s">
        <v>1223</v>
      </c>
      <c r="F1179" s="83" t="s">
        <v>1223</v>
      </c>
      <c r="G1179" s="83" t="s">
        <v>1223</v>
      </c>
      <c r="H1179" s="83" t="s">
        <v>1223</v>
      </c>
      <c r="I1179" s="25">
        <v>0.9</v>
      </c>
      <c r="J1179" s="26">
        <v>0.90566037735849059</v>
      </c>
      <c r="K1179" s="26">
        <v>0.94736842105263153</v>
      </c>
      <c r="L1179" s="27">
        <v>0.9642857142857143</v>
      </c>
      <c r="M1179" s="26">
        <v>0.93240093240093236</v>
      </c>
      <c r="N1179" s="28">
        <v>0.9</v>
      </c>
      <c r="O1179" s="26">
        <v>0.97226862679585702</v>
      </c>
      <c r="P1179" s="26">
        <v>0.96475895122638855</v>
      </c>
      <c r="Q1179" s="26">
        <v>0.96797520661157022</v>
      </c>
      <c r="R1179" s="26">
        <v>0.96842305497431991</v>
      </c>
      <c r="S1179" s="28">
        <v>0.9</v>
      </c>
      <c r="T1179" s="26">
        <v>0.94854660875375874</v>
      </c>
      <c r="U1179" s="26">
        <v>0.92585283338032143</v>
      </c>
      <c r="V1179" s="26">
        <v>0.92561983471074383</v>
      </c>
      <c r="W1179" s="26">
        <v>0.92973178618984209</v>
      </c>
      <c r="X1179" s="28">
        <v>0.92</v>
      </c>
      <c r="Y1179" s="28">
        <v>0.95446584938704027</v>
      </c>
      <c r="Z1179" s="28">
        <v>0.97204574332909788</v>
      </c>
      <c r="AA1179" s="28">
        <v>0.96261682242990654</v>
      </c>
      <c r="AB1179" s="28">
        <v>0.95922961480740365</v>
      </c>
      <c r="AC1179" s="28">
        <v>0.92</v>
      </c>
      <c r="AD1179" s="26">
        <v>0.99749498997995989</v>
      </c>
      <c r="AE1179" s="26">
        <v>0.99667458432304035</v>
      </c>
      <c r="AF1179" s="26">
        <v>0.99822222222222223</v>
      </c>
      <c r="AG1179" s="26">
        <v>0.99692479731618677</v>
      </c>
      <c r="AH1179" s="28">
        <v>0.92</v>
      </c>
      <c r="AI1179" s="26">
        <v>0.97194679564691655</v>
      </c>
      <c r="AJ1179" s="26">
        <v>0.97461928934010156</v>
      </c>
      <c r="AK1179" s="26">
        <v>0.97906091370558379</v>
      </c>
      <c r="AL1179" s="26">
        <v>0.97360130680823753</v>
      </c>
      <c r="AM1179" s="25">
        <v>0.99</v>
      </c>
      <c r="AN1179" s="30">
        <v>1</v>
      </c>
      <c r="AO1179" s="30">
        <v>1</v>
      </c>
      <c r="AP1179" s="30">
        <v>1</v>
      </c>
      <c r="AQ1179" s="30">
        <v>1</v>
      </c>
      <c r="AR1179" s="50">
        <v>7.2186152540827803E-2</v>
      </c>
      <c r="AS1179" s="34">
        <v>5.2631578947368418E-2</v>
      </c>
      <c r="AT1179" s="34">
        <v>0</v>
      </c>
      <c r="AU1179" s="34">
        <v>0.05</v>
      </c>
      <c r="AV1179" s="34">
        <v>2.3076923076923078E-2</v>
      </c>
      <c r="AW1179" s="10"/>
      <c r="AX1179" s="8"/>
    </row>
    <row r="1180" spans="1:50">
      <c r="A1180" s="7"/>
      <c r="B1180" s="10"/>
      <c r="C1180" s="45" t="s">
        <v>1100</v>
      </c>
      <c r="D1180" s="23" t="s">
        <v>25</v>
      </c>
      <c r="E1180" s="83" t="s">
        <v>1224</v>
      </c>
      <c r="F1180" s="83" t="s">
        <v>1224</v>
      </c>
      <c r="G1180" s="83" t="s">
        <v>1224</v>
      </c>
      <c r="H1180" s="83" t="s">
        <v>1224</v>
      </c>
      <c r="I1180" s="25">
        <v>0.9</v>
      </c>
      <c r="J1180" s="26">
        <v>0.89473684210526316</v>
      </c>
      <c r="K1180" s="26">
        <v>0.92682926829268297</v>
      </c>
      <c r="L1180" s="27">
        <v>0.91463414634146345</v>
      </c>
      <c r="M1180" s="26">
        <v>0.9173553719008265</v>
      </c>
      <c r="N1180" s="28">
        <v>0.9</v>
      </c>
      <c r="O1180" s="26">
        <v>0.94229691876750699</v>
      </c>
      <c r="P1180" s="26">
        <v>0.95918030077673111</v>
      </c>
      <c r="Q1180" s="26">
        <v>0.96183981427742304</v>
      </c>
      <c r="R1180" s="26">
        <v>0.96622850433941854</v>
      </c>
      <c r="S1180" s="28">
        <v>0.9</v>
      </c>
      <c r="T1180" s="26">
        <v>0.92661064425770312</v>
      </c>
      <c r="U1180" s="26">
        <v>0.94149727317798715</v>
      </c>
      <c r="V1180" s="26">
        <v>0.93717353453279162</v>
      </c>
      <c r="W1180" s="26">
        <v>0.94085959621538251</v>
      </c>
      <c r="X1180" s="28">
        <v>0.92</v>
      </c>
      <c r="Y1180" s="28">
        <v>0.93817250213492742</v>
      </c>
      <c r="Z1180" s="28">
        <v>0.90821917808219177</v>
      </c>
      <c r="AA1180" s="28">
        <v>0.88718220338983056</v>
      </c>
      <c r="AB1180" s="28">
        <v>0.89918769164559686</v>
      </c>
      <c r="AC1180" s="28">
        <v>0.92</v>
      </c>
      <c r="AD1180" s="26">
        <v>0.996046942557134</v>
      </c>
      <c r="AE1180" s="26">
        <v>0.733001088388612</v>
      </c>
      <c r="AF1180" s="26">
        <v>0.99592646751618963</v>
      </c>
      <c r="AG1180" s="26">
        <v>0.93967468243497021</v>
      </c>
      <c r="AH1180" s="28">
        <v>0.92</v>
      </c>
      <c r="AI1180" s="26">
        <v>0.94267015706806279</v>
      </c>
      <c r="AJ1180" s="26">
        <v>0.96805111821086265</v>
      </c>
      <c r="AK1180" s="26">
        <v>0.96252847380410023</v>
      </c>
      <c r="AL1180" s="26">
        <v>0.95951958729646947</v>
      </c>
      <c r="AM1180" s="25">
        <v>0.99</v>
      </c>
      <c r="AN1180" s="30">
        <v>1</v>
      </c>
      <c r="AO1180" s="30">
        <v>1</v>
      </c>
      <c r="AP1180" s="30">
        <v>1</v>
      </c>
      <c r="AQ1180" s="30">
        <v>1</v>
      </c>
      <c r="AR1180" s="50">
        <v>7.2186152540827803E-2</v>
      </c>
      <c r="AS1180" s="34">
        <v>0</v>
      </c>
      <c r="AT1180" s="34">
        <v>5.2631578947368418E-2</v>
      </c>
      <c r="AU1180" s="34">
        <v>5.7142857142857141E-2</v>
      </c>
      <c r="AV1180" s="34">
        <v>3.1872509960159362E-2</v>
      </c>
      <c r="AW1180" s="10"/>
      <c r="AX1180" s="8"/>
    </row>
    <row r="1181" spans="1:50">
      <c r="A1181" s="7"/>
      <c r="B1181" s="10"/>
      <c r="C1181" s="45" t="s">
        <v>1100</v>
      </c>
      <c r="D1181" s="23" t="s">
        <v>25</v>
      </c>
      <c r="E1181" s="83" t="s">
        <v>1225</v>
      </c>
      <c r="F1181" s="83" t="s">
        <v>1225</v>
      </c>
      <c r="G1181" s="83" t="s">
        <v>1225</v>
      </c>
      <c r="H1181" s="83" t="s">
        <v>1225</v>
      </c>
      <c r="I1181" s="25">
        <v>0.9</v>
      </c>
      <c r="J1181" s="26">
        <v>0.93103448275862066</v>
      </c>
      <c r="K1181" s="26">
        <v>0.8928571428571429</v>
      </c>
      <c r="L1181" s="27">
        <v>1</v>
      </c>
      <c r="M1181" s="26">
        <v>0.92165898617511521</v>
      </c>
      <c r="N1181" s="28">
        <v>0.9</v>
      </c>
      <c r="O1181" s="26">
        <v>0.96201780415430271</v>
      </c>
      <c r="P1181" s="26">
        <v>0.96292372881355937</v>
      </c>
      <c r="Q1181" s="26">
        <v>0.94701986754966883</v>
      </c>
      <c r="R1181" s="26">
        <v>0.9500916396447201</v>
      </c>
      <c r="S1181" s="28">
        <v>0.9</v>
      </c>
      <c r="T1181" s="26">
        <v>0.92166172106824928</v>
      </c>
      <c r="U1181" s="26">
        <v>0.94703389830508478</v>
      </c>
      <c r="V1181" s="26">
        <v>0.91532639545884575</v>
      </c>
      <c r="W1181" s="26">
        <v>0.92436204708867897</v>
      </c>
      <c r="X1181" s="28">
        <v>0.92</v>
      </c>
      <c r="Y1181" s="28">
        <v>0.96233521657250476</v>
      </c>
      <c r="Z1181" s="28">
        <v>0.94968553459119498</v>
      </c>
      <c r="AA1181" s="28">
        <v>0.95841584158415838</v>
      </c>
      <c r="AB1181" s="28">
        <v>0.95870020964360592</v>
      </c>
      <c r="AC1181" s="28">
        <v>0.92</v>
      </c>
      <c r="AD1181" s="26">
        <v>0.99338061465721039</v>
      </c>
      <c r="AE1181" s="26">
        <v>0.99536768963520561</v>
      </c>
      <c r="AF1181" s="26">
        <v>0.99481058640373643</v>
      </c>
      <c r="AG1181" s="26">
        <v>0.99351455774803366</v>
      </c>
      <c r="AH1181" s="28">
        <v>0.92</v>
      </c>
      <c r="AI1181" s="26">
        <v>0.96346414073071718</v>
      </c>
      <c r="AJ1181" s="26">
        <v>0.97589852008456657</v>
      </c>
      <c r="AK1181" s="26">
        <v>0.97747231767850329</v>
      </c>
      <c r="AL1181" s="26">
        <v>0.97526240835487099</v>
      </c>
      <c r="AM1181" s="25">
        <v>0.99</v>
      </c>
      <c r="AN1181" s="30">
        <v>1</v>
      </c>
      <c r="AO1181" s="30">
        <v>1</v>
      </c>
      <c r="AP1181" s="30">
        <v>1</v>
      </c>
      <c r="AQ1181" s="30">
        <v>1</v>
      </c>
      <c r="AR1181" s="50">
        <v>7.2186152540827803E-2</v>
      </c>
      <c r="AS1181" s="34">
        <v>0.2857142857142857</v>
      </c>
      <c r="AT1181" s="34">
        <v>0</v>
      </c>
      <c r="AU1181" s="34">
        <v>0</v>
      </c>
      <c r="AV1181" s="34">
        <v>0.10869565217391304</v>
      </c>
      <c r="AW1181" s="10"/>
      <c r="AX1181" s="8"/>
    </row>
    <row r="1182" spans="1:50">
      <c r="A1182" s="7"/>
      <c r="B1182" s="10"/>
      <c r="C1182" s="45" t="s">
        <v>1100</v>
      </c>
      <c r="D1182" s="23" t="s">
        <v>25</v>
      </c>
      <c r="E1182" s="83" t="s">
        <v>1226</v>
      </c>
      <c r="F1182" s="83" t="s">
        <v>1226</v>
      </c>
      <c r="G1182" s="83" t="s">
        <v>1226</v>
      </c>
      <c r="H1182" s="83" t="s">
        <v>1226</v>
      </c>
      <c r="I1182" s="25">
        <v>0.9</v>
      </c>
      <c r="J1182" s="26">
        <v>0.96153846153846156</v>
      </c>
      <c r="K1182" s="26">
        <v>0.92592592592592593</v>
      </c>
      <c r="L1182" s="27">
        <v>0.92727272727272725</v>
      </c>
      <c r="M1182" s="26">
        <v>0.95544554455445541</v>
      </c>
      <c r="N1182" s="28">
        <v>0.9</v>
      </c>
      <c r="O1182" s="26">
        <v>0.94567979669631508</v>
      </c>
      <c r="P1182" s="26">
        <v>0.98088064889918891</v>
      </c>
      <c r="Q1182" s="26">
        <v>0.98733174980205862</v>
      </c>
      <c r="R1182" s="26">
        <v>0.97729965930973184</v>
      </c>
      <c r="S1182" s="28">
        <v>0.9</v>
      </c>
      <c r="T1182" s="26">
        <v>0.92058449809402798</v>
      </c>
      <c r="U1182" s="26">
        <v>0.93250289687137888</v>
      </c>
      <c r="V1182" s="26">
        <v>0.93692267088941672</v>
      </c>
      <c r="W1182" s="26">
        <v>0.92608502444082363</v>
      </c>
      <c r="X1182" s="28">
        <v>0.92</v>
      </c>
      <c r="Y1182" s="28">
        <v>0.90151515151515149</v>
      </c>
      <c r="Z1182" s="28">
        <v>0.95478723404255317</v>
      </c>
      <c r="AA1182" s="28">
        <v>0.9673267326732673</v>
      </c>
      <c r="AB1182" s="28">
        <v>0.94560256568397683</v>
      </c>
      <c r="AC1182" s="28">
        <v>0.92</v>
      </c>
      <c r="AD1182" s="26">
        <v>0.99846232701178883</v>
      </c>
      <c r="AE1182" s="26">
        <v>0.99708454810495628</v>
      </c>
      <c r="AF1182" s="26">
        <v>1</v>
      </c>
      <c r="AG1182" s="26">
        <v>0.9986673213158449</v>
      </c>
      <c r="AH1182" s="28">
        <v>0.92</v>
      </c>
      <c r="AI1182" s="26">
        <v>0.94980970504281637</v>
      </c>
      <c r="AJ1182" s="26">
        <v>0.9747859181731684</v>
      </c>
      <c r="AK1182" s="26">
        <v>0.97707855803292354</v>
      </c>
      <c r="AL1182" s="26">
        <v>0.97092162223741174</v>
      </c>
      <c r="AM1182" s="25">
        <v>0.99</v>
      </c>
      <c r="AN1182" s="30">
        <v>1</v>
      </c>
      <c r="AO1182" s="30">
        <v>1</v>
      </c>
      <c r="AP1182" s="30">
        <v>1</v>
      </c>
      <c r="AQ1182" s="30">
        <v>1</v>
      </c>
      <c r="AR1182" s="50">
        <v>7.2186152540827803E-2</v>
      </c>
      <c r="AS1182" s="34">
        <v>0</v>
      </c>
      <c r="AT1182" s="34">
        <v>4.3478260869565216E-2</v>
      </c>
      <c r="AU1182" s="34">
        <v>-0.04</v>
      </c>
      <c r="AV1182" s="34">
        <v>4.0540540540540543E-2</v>
      </c>
      <c r="AW1182" s="10"/>
      <c r="AX1182" s="8"/>
    </row>
    <row r="1183" spans="1:50">
      <c r="A1183" s="7"/>
      <c r="B1183" s="10"/>
      <c r="C1183" s="45" t="s">
        <v>1100</v>
      </c>
      <c r="D1183" s="23" t="s">
        <v>25</v>
      </c>
      <c r="E1183" s="83" t="s">
        <v>1227</v>
      </c>
      <c r="F1183" s="83" t="s">
        <v>1227</v>
      </c>
      <c r="G1183" s="83" t="s">
        <v>1227</v>
      </c>
      <c r="H1183" s="83" t="s">
        <v>1227</v>
      </c>
      <c r="I1183" s="25">
        <v>0.9</v>
      </c>
      <c r="J1183" s="26">
        <v>1</v>
      </c>
      <c r="K1183" s="26">
        <v>1</v>
      </c>
      <c r="L1183" s="27">
        <v>0.97499999999999998</v>
      </c>
      <c r="M1183" s="26">
        <v>0.98480243161094227</v>
      </c>
      <c r="N1183" s="28">
        <v>0.9</v>
      </c>
      <c r="O1183" s="26">
        <v>0.95467289719626169</v>
      </c>
      <c r="P1183" s="26">
        <v>0.95342588446036725</v>
      </c>
      <c r="Q1183" s="26">
        <v>0.97235659986178302</v>
      </c>
      <c r="R1183" s="26">
        <v>0.96783625730994149</v>
      </c>
      <c r="S1183" s="28">
        <v>0.9</v>
      </c>
      <c r="T1183" s="26">
        <v>0.91121495327102808</v>
      </c>
      <c r="U1183" s="26">
        <v>0.91133004926108374</v>
      </c>
      <c r="V1183" s="26">
        <v>0.91637871458189357</v>
      </c>
      <c r="W1183" s="26">
        <v>0.92099848386398098</v>
      </c>
      <c r="X1183" s="28">
        <v>0.92</v>
      </c>
      <c r="Y1183" s="28">
        <v>0.89088575096277278</v>
      </c>
      <c r="Z1183" s="28">
        <v>0.93952802359882004</v>
      </c>
      <c r="AA1183" s="28">
        <v>0.94074074074074077</v>
      </c>
      <c r="AB1183" s="28">
        <v>0.92928159076330985</v>
      </c>
      <c r="AC1183" s="28">
        <v>0.92</v>
      </c>
      <c r="AD1183" s="26">
        <v>1</v>
      </c>
      <c r="AE1183" s="26">
        <v>0.99603174603174605</v>
      </c>
      <c r="AF1183" s="26">
        <v>0.99743589743589745</v>
      </c>
      <c r="AG1183" s="26">
        <v>0.99712267852471881</v>
      </c>
      <c r="AH1183" s="28">
        <v>0.92</v>
      </c>
      <c r="AI1183" s="26">
        <v>0.94039054470709149</v>
      </c>
      <c r="AJ1183" s="26">
        <v>0.95671590518722094</v>
      </c>
      <c r="AK1183" s="26">
        <v>0.96665732698234796</v>
      </c>
      <c r="AL1183" s="26">
        <v>0.96081606217616577</v>
      </c>
      <c r="AM1183" s="25">
        <v>0.99</v>
      </c>
      <c r="AN1183" s="30">
        <v>1</v>
      </c>
      <c r="AO1183" s="30">
        <v>1</v>
      </c>
      <c r="AP1183" s="30">
        <v>1</v>
      </c>
      <c r="AQ1183" s="30">
        <v>1</v>
      </c>
      <c r="AR1183" s="50">
        <v>7.2186152540827803E-2</v>
      </c>
      <c r="AS1183" s="34">
        <v>5.2631578947368418E-2</v>
      </c>
      <c r="AT1183" s="34">
        <v>8.3333333333333329E-2</v>
      </c>
      <c r="AU1183" s="34">
        <v>0.11764705882352941</v>
      </c>
      <c r="AV1183" s="34">
        <v>5.0847457627118647E-2</v>
      </c>
      <c r="AW1183" s="10"/>
      <c r="AX1183" s="8"/>
    </row>
    <row r="1184" spans="1:50">
      <c r="A1184" s="7"/>
      <c r="B1184" s="10"/>
      <c r="C1184" s="45" t="s">
        <v>1100</v>
      </c>
      <c r="D1184" s="23" t="s">
        <v>25</v>
      </c>
      <c r="E1184" s="83" t="s">
        <v>1228</v>
      </c>
      <c r="F1184" s="83" t="s">
        <v>1228</v>
      </c>
      <c r="G1184" s="83" t="s">
        <v>1228</v>
      </c>
      <c r="H1184" s="83" t="s">
        <v>1228</v>
      </c>
      <c r="I1184" s="25">
        <v>0.9</v>
      </c>
      <c r="J1184" s="26">
        <v>0.95238095238095233</v>
      </c>
      <c r="K1184" s="26">
        <v>1</v>
      </c>
      <c r="L1184" s="27">
        <v>1</v>
      </c>
      <c r="M1184" s="26">
        <v>0.97391304347826091</v>
      </c>
      <c r="N1184" s="28">
        <v>0.9</v>
      </c>
      <c r="O1184" s="26">
        <v>0.92813289996388593</v>
      </c>
      <c r="P1184" s="26">
        <v>0.94230185241421194</v>
      </c>
      <c r="Q1184" s="26">
        <v>0.95096665732698238</v>
      </c>
      <c r="R1184" s="26">
        <v>0.94320016559718489</v>
      </c>
      <c r="S1184" s="28">
        <v>0.9</v>
      </c>
      <c r="T1184" s="26">
        <v>0.89743589743589747</v>
      </c>
      <c r="U1184" s="26">
        <v>0.90798663832371695</v>
      </c>
      <c r="V1184" s="26">
        <v>0.93443541608293634</v>
      </c>
      <c r="W1184" s="26">
        <v>0.91132270751397226</v>
      </c>
      <c r="X1184" s="28">
        <v>0.92</v>
      </c>
      <c r="Y1184" s="28">
        <v>0.88718411552346566</v>
      </c>
      <c r="Z1184" s="28">
        <v>0.93229744728079911</v>
      </c>
      <c r="AA1184" s="28">
        <v>0.94022289766970613</v>
      </c>
      <c r="AB1184" s="28">
        <v>0.93036798414075084</v>
      </c>
      <c r="AC1184" s="28">
        <v>0.92</v>
      </c>
      <c r="AD1184" s="26">
        <v>0.99209396882764855</v>
      </c>
      <c r="AE1184" s="26">
        <v>0.9971509971509972</v>
      </c>
      <c r="AF1184" s="26">
        <v>0.99478930675124599</v>
      </c>
      <c r="AG1184" s="26">
        <v>0.9957723758135395</v>
      </c>
      <c r="AH1184" s="28">
        <v>0.92</v>
      </c>
      <c r="AI1184" s="26">
        <v>0.93579164517792679</v>
      </c>
      <c r="AJ1184" s="26">
        <v>0.96519666269368298</v>
      </c>
      <c r="AK1184" s="26">
        <v>0.97234416154521508</v>
      </c>
      <c r="AL1184" s="26">
        <v>0.96056224401141865</v>
      </c>
      <c r="AM1184" s="25">
        <v>0.99</v>
      </c>
      <c r="AN1184" s="30">
        <v>1</v>
      </c>
      <c r="AO1184" s="30">
        <v>1</v>
      </c>
      <c r="AP1184" s="30">
        <v>1</v>
      </c>
      <c r="AQ1184" s="30">
        <v>1</v>
      </c>
      <c r="AR1184" s="50">
        <v>7.2186152540827803E-2</v>
      </c>
      <c r="AS1184" s="34">
        <v>0</v>
      </c>
      <c r="AT1184" s="34">
        <v>4.5454545454545456E-2</v>
      </c>
      <c r="AU1184" s="34">
        <v>0</v>
      </c>
      <c r="AV1184" s="34">
        <v>0.05</v>
      </c>
      <c r="AW1184" s="10"/>
      <c r="AX1184" s="8"/>
    </row>
    <row r="1185" spans="1:50">
      <c r="A1185" s="7"/>
      <c r="B1185" s="10"/>
      <c r="C1185" s="45" t="s">
        <v>1100</v>
      </c>
      <c r="D1185" s="23" t="s">
        <v>25</v>
      </c>
      <c r="E1185" s="83" t="s">
        <v>1229</v>
      </c>
      <c r="F1185" s="83" t="s">
        <v>1229</v>
      </c>
      <c r="G1185" s="83" t="s">
        <v>1229</v>
      </c>
      <c r="H1185" s="83" t="s">
        <v>1229</v>
      </c>
      <c r="I1185" s="25">
        <v>0.9</v>
      </c>
      <c r="J1185" s="26">
        <v>0.92592592592592593</v>
      </c>
      <c r="K1185" s="26">
        <v>0.92982456140350878</v>
      </c>
      <c r="L1185" s="27">
        <v>0.93103448275862066</v>
      </c>
      <c r="M1185" s="26">
        <v>0.92583732057416268</v>
      </c>
      <c r="N1185" s="28">
        <v>0.9</v>
      </c>
      <c r="O1185" s="26">
        <v>0.97064268711980961</v>
      </c>
      <c r="P1185" s="26">
        <v>0.98000940733772346</v>
      </c>
      <c r="Q1185" s="26">
        <v>0.99006754072308301</v>
      </c>
      <c r="R1185" s="26">
        <v>0.9856828516942937</v>
      </c>
      <c r="S1185" s="28">
        <v>0.9</v>
      </c>
      <c r="T1185" s="26">
        <v>0.9624437979370537</v>
      </c>
      <c r="U1185" s="26">
        <v>0.96777986829727192</v>
      </c>
      <c r="V1185" s="26">
        <v>0.96086611044894721</v>
      </c>
      <c r="W1185" s="26">
        <v>0.95895555229573126</v>
      </c>
      <c r="X1185" s="28">
        <v>0.92</v>
      </c>
      <c r="Y1185" s="28">
        <v>0</v>
      </c>
      <c r="Z1185" s="28">
        <v>0</v>
      </c>
      <c r="AA1185" s="28">
        <v>0</v>
      </c>
      <c r="AB1185" s="28">
        <v>0</v>
      </c>
      <c r="AC1185" s="28">
        <v>0.92</v>
      </c>
      <c r="AD1185" s="26">
        <v>1</v>
      </c>
      <c r="AE1185" s="26">
        <v>0.99855838539163866</v>
      </c>
      <c r="AF1185" s="26">
        <v>1</v>
      </c>
      <c r="AG1185" s="26">
        <v>0.99902576315219749</v>
      </c>
      <c r="AH1185" s="28">
        <v>0.92</v>
      </c>
      <c r="AI1185" s="26">
        <v>0.9762093576526566</v>
      </c>
      <c r="AJ1185" s="26">
        <v>0.98283160865475072</v>
      </c>
      <c r="AK1185" s="26">
        <v>0.9864918553833929</v>
      </c>
      <c r="AL1185" s="26">
        <v>0.98163522750608734</v>
      </c>
      <c r="AM1185" s="25">
        <v>0.99</v>
      </c>
      <c r="AN1185" s="30">
        <v>1</v>
      </c>
      <c r="AO1185" s="30">
        <v>1</v>
      </c>
      <c r="AP1185" s="30">
        <v>1</v>
      </c>
      <c r="AQ1185" s="30">
        <v>1</v>
      </c>
      <c r="AR1185" s="50">
        <v>7.2186152540827803E-2</v>
      </c>
      <c r="AS1185" s="34">
        <v>7.6923076923076927E-2</v>
      </c>
      <c r="AT1185" s="34">
        <v>0</v>
      </c>
      <c r="AU1185" s="34">
        <v>0</v>
      </c>
      <c r="AV1185" s="34">
        <v>1.6393442622950821E-2</v>
      </c>
      <c r="AW1185" s="10"/>
      <c r="AX1185" s="8"/>
    </row>
    <row r="1186" spans="1:50">
      <c r="A1186" s="7"/>
      <c r="B1186" s="10"/>
      <c r="C1186" s="45" t="s">
        <v>1100</v>
      </c>
      <c r="D1186" s="23" t="s">
        <v>25</v>
      </c>
      <c r="E1186" s="83" t="s">
        <v>1230</v>
      </c>
      <c r="F1186" s="83" t="s">
        <v>1230</v>
      </c>
      <c r="G1186" s="83" t="s">
        <v>1230</v>
      </c>
      <c r="H1186" s="83" t="s">
        <v>1230</v>
      </c>
      <c r="I1186" s="25">
        <v>0.9</v>
      </c>
      <c r="J1186" s="26">
        <v>0.94666666666666666</v>
      </c>
      <c r="K1186" s="26">
        <v>0.93506493506493504</v>
      </c>
      <c r="L1186" s="27">
        <v>0.96153846153846156</v>
      </c>
      <c r="M1186" s="26">
        <v>0.90833333333333333</v>
      </c>
      <c r="N1186" s="28">
        <v>0.9</v>
      </c>
      <c r="O1186" s="26">
        <v>0.93564862104187951</v>
      </c>
      <c r="P1186" s="26">
        <v>0.95871833084947844</v>
      </c>
      <c r="Q1186" s="26">
        <v>0.9513263263263263</v>
      </c>
      <c r="R1186" s="26">
        <v>0.94711566391045876</v>
      </c>
      <c r="S1186" s="28">
        <v>0.9</v>
      </c>
      <c r="T1186" s="26">
        <v>0.92288049029622066</v>
      </c>
      <c r="U1186" s="26">
        <v>0.91639344262295086</v>
      </c>
      <c r="V1186" s="26">
        <v>0.92555055055055058</v>
      </c>
      <c r="W1186" s="26">
        <v>0.91338277725063421</v>
      </c>
      <c r="X1186" s="28">
        <v>0.92</v>
      </c>
      <c r="Y1186" s="28">
        <v>0</v>
      </c>
      <c r="Z1186" s="28">
        <v>0</v>
      </c>
      <c r="AA1186" s="28">
        <v>0</v>
      </c>
      <c r="AB1186" s="28">
        <v>0</v>
      </c>
      <c r="AC1186" s="28">
        <v>0.92</v>
      </c>
      <c r="AD1186" s="26">
        <v>0.99515738498789341</v>
      </c>
      <c r="AE1186" s="26">
        <v>0.9793621013133208</v>
      </c>
      <c r="AF1186" s="26">
        <v>0.99700149925037485</v>
      </c>
      <c r="AG1186" s="26">
        <v>0.98849334771664865</v>
      </c>
      <c r="AH1186" s="28">
        <v>0.92</v>
      </c>
      <c r="AI1186" s="26">
        <v>0.94351820347056825</v>
      </c>
      <c r="AJ1186" s="26">
        <v>0.95680023834351258</v>
      </c>
      <c r="AK1186" s="26">
        <v>0.95770770770770774</v>
      </c>
      <c r="AL1186" s="26">
        <v>0.95455777571251554</v>
      </c>
      <c r="AM1186" s="25">
        <v>0.99</v>
      </c>
      <c r="AN1186" s="30">
        <v>1</v>
      </c>
      <c r="AO1186" s="30">
        <v>1</v>
      </c>
      <c r="AP1186" s="30">
        <v>1</v>
      </c>
      <c r="AQ1186" s="30">
        <v>1</v>
      </c>
      <c r="AR1186" s="50">
        <v>7.2186152540827803E-2</v>
      </c>
      <c r="AS1186" s="34">
        <v>0</v>
      </c>
      <c r="AT1186" s="34">
        <v>3.7037037037037035E-2</v>
      </c>
      <c r="AU1186" s="34">
        <v>8.3333333333333329E-2</v>
      </c>
      <c r="AV1186" s="34">
        <v>3.9473684210526314E-2</v>
      </c>
      <c r="AW1186" s="10"/>
      <c r="AX1186" s="8"/>
    </row>
    <row r="1187" spans="1:50">
      <c r="A1187" s="7"/>
      <c r="B1187" s="10"/>
      <c r="C1187" s="45" t="s">
        <v>1100</v>
      </c>
      <c r="D1187" s="23" t="s">
        <v>25</v>
      </c>
      <c r="E1187" s="83" t="s">
        <v>1231</v>
      </c>
      <c r="F1187" s="83" t="s">
        <v>1231</v>
      </c>
      <c r="G1187" s="83" t="s">
        <v>1231</v>
      </c>
      <c r="H1187" s="83" t="s">
        <v>1231</v>
      </c>
      <c r="I1187" s="25">
        <v>0.9</v>
      </c>
      <c r="J1187" s="26">
        <v>0.91428571428571426</v>
      </c>
      <c r="K1187" s="26">
        <v>0.94594594594594594</v>
      </c>
      <c r="L1187" s="27">
        <v>0.91176470588235292</v>
      </c>
      <c r="M1187" s="26">
        <v>0.94139194139194138</v>
      </c>
      <c r="N1187" s="28">
        <v>0.9</v>
      </c>
      <c r="O1187" s="26">
        <v>0.989135158626684</v>
      </c>
      <c r="P1187" s="26">
        <v>0.99193047796399747</v>
      </c>
      <c r="Q1187" s="26">
        <v>0.97069358515141646</v>
      </c>
      <c r="R1187" s="26">
        <v>0.98708348932983903</v>
      </c>
      <c r="S1187" s="28">
        <v>0.9</v>
      </c>
      <c r="T1187" s="26">
        <v>0.98000869187309869</v>
      </c>
      <c r="U1187" s="26">
        <v>0.97548106765983866</v>
      </c>
      <c r="V1187" s="26">
        <v>0.97134483881471834</v>
      </c>
      <c r="W1187" s="26">
        <v>0.97196742792961432</v>
      </c>
      <c r="X1187" s="28">
        <v>0.92</v>
      </c>
      <c r="Y1187" s="28">
        <v>0</v>
      </c>
      <c r="Z1187" s="28">
        <v>0</v>
      </c>
      <c r="AA1187" s="28">
        <v>0</v>
      </c>
      <c r="AB1187" s="28">
        <v>0</v>
      </c>
      <c r="AC1187" s="28">
        <v>0.92</v>
      </c>
      <c r="AD1187" s="26">
        <v>1</v>
      </c>
      <c r="AE1187" s="26">
        <v>0.99891891891891893</v>
      </c>
      <c r="AF1187" s="26">
        <v>0.99778270509977829</v>
      </c>
      <c r="AG1187" s="26">
        <v>0.99859209010623318</v>
      </c>
      <c r="AH1187" s="28">
        <v>0.92</v>
      </c>
      <c r="AI1187" s="26">
        <v>0.98784722222222221</v>
      </c>
      <c r="AJ1187" s="26">
        <v>0.9906890130353817</v>
      </c>
      <c r="AK1187" s="26">
        <v>0.99088541666666663</v>
      </c>
      <c r="AL1187" s="26">
        <v>0.98956578701104247</v>
      </c>
      <c r="AM1187" s="25">
        <v>0.99</v>
      </c>
      <c r="AN1187" s="30">
        <v>1</v>
      </c>
      <c r="AO1187" s="30">
        <v>1</v>
      </c>
      <c r="AP1187" s="30">
        <v>1</v>
      </c>
      <c r="AQ1187" s="30">
        <v>1</v>
      </c>
      <c r="AR1187" s="50">
        <v>7.2186152540827803E-2</v>
      </c>
      <c r="AS1187" s="34">
        <v>0</v>
      </c>
      <c r="AT1187" s="34">
        <v>0</v>
      </c>
      <c r="AU1187" s="34">
        <v>0</v>
      </c>
      <c r="AV1187" s="34">
        <v>0.1</v>
      </c>
      <c r="AW1187" s="10"/>
      <c r="AX1187" s="8"/>
    </row>
    <row r="1188" spans="1:50">
      <c r="A1188" s="7"/>
      <c r="B1188" s="10"/>
      <c r="C1188" s="45" t="s">
        <v>1100</v>
      </c>
      <c r="D1188" s="23" t="s">
        <v>25</v>
      </c>
      <c r="E1188" s="83" t="s">
        <v>1232</v>
      </c>
      <c r="F1188" s="83" t="s">
        <v>1232</v>
      </c>
      <c r="G1188" s="83" t="s">
        <v>1232</v>
      </c>
      <c r="H1188" s="83" t="s">
        <v>1232</v>
      </c>
      <c r="I1188" s="25">
        <v>0.9</v>
      </c>
      <c r="J1188" s="26">
        <v>0.88888888888888884</v>
      </c>
      <c r="K1188" s="26">
        <v>0.89743589743589747</v>
      </c>
      <c r="L1188" s="27">
        <v>0.92105263157894735</v>
      </c>
      <c r="M1188" s="26">
        <v>0.91408934707903777</v>
      </c>
      <c r="N1188" s="28">
        <v>0.9</v>
      </c>
      <c r="O1188" s="26">
        <v>0.98221892943137623</v>
      </c>
      <c r="P1188" s="26">
        <v>0.9517362217266645</v>
      </c>
      <c r="Q1188" s="26">
        <v>0.90230769230769226</v>
      </c>
      <c r="R1188" s="26">
        <v>0.94048840947382695</v>
      </c>
      <c r="S1188" s="28">
        <v>0.9</v>
      </c>
      <c r="T1188" s="26">
        <v>0.93276532691239122</v>
      </c>
      <c r="U1188" s="26">
        <v>0.93835616438356162</v>
      </c>
      <c r="V1188" s="26">
        <v>0.92166666666666663</v>
      </c>
      <c r="W1188" s="26">
        <v>0.92284602126382242</v>
      </c>
      <c r="X1188" s="28">
        <v>0.92</v>
      </c>
      <c r="Y1188" s="28">
        <v>0</v>
      </c>
      <c r="Z1188" s="28">
        <v>0</v>
      </c>
      <c r="AA1188" s="28">
        <v>0</v>
      </c>
      <c r="AB1188" s="28">
        <v>0</v>
      </c>
      <c r="AC1188" s="28">
        <v>0.92</v>
      </c>
      <c r="AD1188" s="26">
        <v>0.98969072164948457</v>
      </c>
      <c r="AE1188" s="26">
        <v>0.9757834757834758</v>
      </c>
      <c r="AF1188" s="26">
        <v>0.99300699300699302</v>
      </c>
      <c r="AG1188" s="26">
        <v>0.98630405008804545</v>
      </c>
      <c r="AH1188" s="28">
        <v>0.92</v>
      </c>
      <c r="AI1188" s="26">
        <v>0.95370370370370372</v>
      </c>
      <c r="AJ1188" s="26">
        <v>0.96497373029772326</v>
      </c>
      <c r="AK1188" s="26">
        <v>0.96858974358974359</v>
      </c>
      <c r="AL1188" s="26">
        <v>0.96700296276214637</v>
      </c>
      <c r="AM1188" s="25">
        <v>0.99</v>
      </c>
      <c r="AN1188" s="30">
        <v>1</v>
      </c>
      <c r="AO1188" s="30">
        <v>1</v>
      </c>
      <c r="AP1188" s="30">
        <v>1</v>
      </c>
      <c r="AQ1188" s="30">
        <v>1</v>
      </c>
      <c r="AR1188" s="50">
        <v>7.2186152540827803E-2</v>
      </c>
      <c r="AS1188" s="34">
        <v>0.125</v>
      </c>
      <c r="AT1188" s="34">
        <v>5.5555555555555552E-2</v>
      </c>
      <c r="AU1188" s="34">
        <v>0</v>
      </c>
      <c r="AV1188" s="34">
        <v>4.8611111111111112E-2</v>
      </c>
      <c r="AW1188" s="10"/>
      <c r="AX1188" s="8"/>
    </row>
    <row r="1189" spans="1:50">
      <c r="A1189" s="7"/>
      <c r="B1189" s="10"/>
      <c r="C1189" s="45" t="s">
        <v>1100</v>
      </c>
      <c r="D1189" s="23" t="s">
        <v>25</v>
      </c>
      <c r="E1189" s="83" t="s">
        <v>1233</v>
      </c>
      <c r="F1189" s="83" t="s">
        <v>1233</v>
      </c>
      <c r="G1189" s="83" t="s">
        <v>1233</v>
      </c>
      <c r="H1189" s="83" t="s">
        <v>1233</v>
      </c>
      <c r="I1189" s="25">
        <v>0.9</v>
      </c>
      <c r="J1189" s="26">
        <v>0.9642857142857143</v>
      </c>
      <c r="K1189" s="26">
        <v>0.9642857142857143</v>
      </c>
      <c r="L1189" s="27">
        <v>1</v>
      </c>
      <c r="M1189" s="26">
        <v>0.97272727272727277</v>
      </c>
      <c r="N1189" s="28">
        <v>0.9</v>
      </c>
      <c r="O1189" s="26">
        <v>0.96889400921658986</v>
      </c>
      <c r="P1189" s="26">
        <v>0.95820271682340652</v>
      </c>
      <c r="Q1189" s="26">
        <v>0.98742956220199396</v>
      </c>
      <c r="R1189" s="26">
        <v>0.98156209987195908</v>
      </c>
      <c r="S1189" s="28">
        <v>0.9</v>
      </c>
      <c r="T1189" s="26">
        <v>0.94930875576036866</v>
      </c>
      <c r="U1189" s="26">
        <v>0.94096133751306166</v>
      </c>
      <c r="V1189" s="26">
        <v>0.96705678370177717</v>
      </c>
      <c r="W1189" s="26">
        <v>0.96024327784891161</v>
      </c>
      <c r="X1189" s="28">
        <v>0.92</v>
      </c>
      <c r="Y1189" s="28">
        <v>0.9609022556390977</v>
      </c>
      <c r="Z1189" s="28">
        <v>0.97058823529411764</v>
      </c>
      <c r="AA1189" s="28">
        <v>0.98345323741007196</v>
      </c>
      <c r="AB1189" s="28">
        <v>0.97486360093530788</v>
      </c>
      <c r="AC1189" s="28">
        <v>0.92</v>
      </c>
      <c r="AD1189" s="26">
        <v>0.99689985173203932</v>
      </c>
      <c r="AE1189" s="26">
        <v>0.99782664280235234</v>
      </c>
      <c r="AF1189" s="26">
        <v>0.99884600589819206</v>
      </c>
      <c r="AG1189" s="26">
        <v>0.99269063016995041</v>
      </c>
      <c r="AH1189" s="28">
        <v>0.92</v>
      </c>
      <c r="AI1189" s="26">
        <v>0.96999347684279191</v>
      </c>
      <c r="AJ1189" s="26">
        <v>0.98333333333333328</v>
      </c>
      <c r="AK1189" s="26">
        <v>0.9897213957262645</v>
      </c>
      <c r="AL1189" s="26">
        <v>0.98435447732364989</v>
      </c>
      <c r="AM1189" s="25">
        <v>0.99</v>
      </c>
      <c r="AN1189" s="30">
        <v>1</v>
      </c>
      <c r="AO1189" s="30">
        <v>1</v>
      </c>
      <c r="AP1189" s="30">
        <v>1</v>
      </c>
      <c r="AQ1189" s="30">
        <v>1</v>
      </c>
      <c r="AR1189" s="50">
        <v>7.2186152540827803E-2</v>
      </c>
      <c r="AS1189" s="34">
        <v>0</v>
      </c>
      <c r="AT1189" s="34">
        <v>0.1875</v>
      </c>
      <c r="AU1189" s="34">
        <v>7.1428571428571425E-2</v>
      </c>
      <c r="AV1189" s="34">
        <v>5.6451612903225805E-2</v>
      </c>
      <c r="AW1189" s="10"/>
      <c r="AX1189" s="8"/>
    </row>
    <row r="1190" spans="1:50">
      <c r="A1190" s="7"/>
      <c r="B1190" s="10"/>
      <c r="C1190" s="45" t="s">
        <v>1100</v>
      </c>
      <c r="D1190" s="23" t="s">
        <v>25</v>
      </c>
      <c r="E1190" s="83" t="s">
        <v>1234</v>
      </c>
      <c r="F1190" s="83" t="s">
        <v>1234</v>
      </c>
      <c r="G1190" s="83" t="s">
        <v>1234</v>
      </c>
      <c r="H1190" s="83" t="s">
        <v>1234</v>
      </c>
      <c r="I1190" s="25">
        <v>0.9</v>
      </c>
      <c r="J1190" s="26">
        <v>0.97333333333333338</v>
      </c>
      <c r="K1190" s="26">
        <v>0.96</v>
      </c>
      <c r="L1190" s="27">
        <v>0.95</v>
      </c>
      <c r="M1190" s="26">
        <v>0.95777027027027029</v>
      </c>
      <c r="N1190" s="28">
        <v>0.9</v>
      </c>
      <c r="O1190" s="26">
        <v>0.9879728843210146</v>
      </c>
      <c r="P1190" s="26">
        <v>0.97722960151802651</v>
      </c>
      <c r="Q1190" s="26">
        <v>0.99046344319892921</v>
      </c>
      <c r="R1190" s="26">
        <v>0.98492376220661304</v>
      </c>
      <c r="S1190" s="28">
        <v>0.9</v>
      </c>
      <c r="T1190" s="26">
        <v>0.95735840804723371</v>
      </c>
      <c r="U1190" s="26">
        <v>0.94250474383301708</v>
      </c>
      <c r="V1190" s="26">
        <v>0.94545758741843733</v>
      </c>
      <c r="W1190" s="26">
        <v>0.94928901833133461</v>
      </c>
      <c r="X1190" s="28">
        <v>0.92</v>
      </c>
      <c r="Y1190" s="28">
        <v>0.94114485353399624</v>
      </c>
      <c r="Z1190" s="28">
        <v>0.93742216687422164</v>
      </c>
      <c r="AA1190" s="28">
        <v>0.95525238744884033</v>
      </c>
      <c r="AB1190" s="28">
        <v>0.94558723571709657</v>
      </c>
      <c r="AC1190" s="28">
        <v>0.92</v>
      </c>
      <c r="AD1190" s="26">
        <v>0.99726695538830257</v>
      </c>
      <c r="AE1190" s="26">
        <v>0.99228583028826634</v>
      </c>
      <c r="AF1190" s="26">
        <v>0.9933337131787362</v>
      </c>
      <c r="AG1190" s="26">
        <v>0.99323612730272981</v>
      </c>
      <c r="AH1190" s="28">
        <v>0.92</v>
      </c>
      <c r="AI1190" s="26">
        <v>0.96165903062454783</v>
      </c>
      <c r="AJ1190" s="26">
        <v>0.96393210749646396</v>
      </c>
      <c r="AK1190" s="26">
        <v>0.97438290811035055</v>
      </c>
      <c r="AL1190" s="26">
        <v>0.96839351885490077</v>
      </c>
      <c r="AM1190" s="25">
        <v>0.99</v>
      </c>
      <c r="AN1190" s="30">
        <v>1</v>
      </c>
      <c r="AO1190" s="30">
        <v>1</v>
      </c>
      <c r="AP1190" s="30">
        <v>1</v>
      </c>
      <c r="AQ1190" s="30">
        <v>1</v>
      </c>
      <c r="AR1190" s="50">
        <v>7.2186152540827803E-2</v>
      </c>
      <c r="AS1190" s="34">
        <v>3.0303030303030304E-2</v>
      </c>
      <c r="AT1190" s="34">
        <v>3.3333333333333333E-2</v>
      </c>
      <c r="AU1190" s="34">
        <v>0</v>
      </c>
      <c r="AV1190" s="34">
        <v>4.0178571428571432E-2</v>
      </c>
      <c r="AW1190" s="10"/>
      <c r="AX1190" s="8"/>
    </row>
    <row r="1191" spans="1:50">
      <c r="A1191" s="7"/>
      <c r="B1191" s="10"/>
      <c r="C1191" s="45" t="s">
        <v>1100</v>
      </c>
      <c r="D1191" s="23" t="s">
        <v>25</v>
      </c>
      <c r="E1191" s="83" t="s">
        <v>1235</v>
      </c>
      <c r="F1191" s="83" t="s">
        <v>1235</v>
      </c>
      <c r="G1191" s="83" t="s">
        <v>1235</v>
      </c>
      <c r="H1191" s="83" t="s">
        <v>1235</v>
      </c>
      <c r="I1191" s="25">
        <v>0.9</v>
      </c>
      <c r="J1191" s="26">
        <v>1</v>
      </c>
      <c r="K1191" s="26">
        <v>0.97619047619047616</v>
      </c>
      <c r="L1191" s="27">
        <v>0.93333333333333335</v>
      </c>
      <c r="M1191" s="26">
        <v>0.98290598290598286</v>
      </c>
      <c r="N1191" s="28">
        <v>0.9</v>
      </c>
      <c r="O1191" s="26">
        <v>0.97291296625222023</v>
      </c>
      <c r="P1191" s="26">
        <v>0.99399914273467638</v>
      </c>
      <c r="Q1191" s="26">
        <v>0.98995983935742971</v>
      </c>
      <c r="R1191" s="26">
        <v>0.98620151002343137</v>
      </c>
      <c r="S1191" s="28">
        <v>0.9</v>
      </c>
      <c r="T1191" s="26">
        <v>0.93872113676731794</v>
      </c>
      <c r="U1191" s="26">
        <v>0.95627946849549939</v>
      </c>
      <c r="V1191" s="26">
        <v>0.96117804551539487</v>
      </c>
      <c r="W1191" s="26">
        <v>0.95855246029679775</v>
      </c>
      <c r="X1191" s="28">
        <v>0.92</v>
      </c>
      <c r="Y1191" s="28">
        <v>0.95346131471785922</v>
      </c>
      <c r="Z1191" s="28">
        <v>0.95699708454810495</v>
      </c>
      <c r="AA1191" s="28">
        <v>0.96108949416342415</v>
      </c>
      <c r="AB1191" s="28">
        <v>0.96302803452753805</v>
      </c>
      <c r="AC1191" s="28">
        <v>0.92</v>
      </c>
      <c r="AD1191" s="26">
        <v>1</v>
      </c>
      <c r="AE1191" s="26">
        <v>0.98860103626943008</v>
      </c>
      <c r="AF1191" s="26">
        <v>0.99112097669256383</v>
      </c>
      <c r="AG1191" s="26">
        <v>0.91940959409594092</v>
      </c>
      <c r="AH1191" s="28">
        <v>0.92</v>
      </c>
      <c r="AI1191" s="26">
        <v>0.96550855991943607</v>
      </c>
      <c r="AJ1191" s="26">
        <v>0.97679438747976255</v>
      </c>
      <c r="AK1191" s="26">
        <v>0.97764779611447672</v>
      </c>
      <c r="AL1191" s="26">
        <v>0.97736842105263155</v>
      </c>
      <c r="AM1191" s="25">
        <v>0.99</v>
      </c>
      <c r="AN1191" s="30">
        <v>1</v>
      </c>
      <c r="AO1191" s="30">
        <v>1</v>
      </c>
      <c r="AP1191" s="30">
        <v>1</v>
      </c>
      <c r="AQ1191" s="30">
        <v>1</v>
      </c>
      <c r="AR1191" s="50">
        <v>7.2186152540827803E-2</v>
      </c>
      <c r="AS1191" s="34">
        <v>0.10526315789473684</v>
      </c>
      <c r="AT1191" s="34">
        <v>0</v>
      </c>
      <c r="AU1191" s="34">
        <v>0</v>
      </c>
      <c r="AV1191" s="34">
        <v>2.4793388429752067E-2</v>
      </c>
      <c r="AW1191" s="10"/>
      <c r="AX1191" s="8"/>
    </row>
    <row r="1192" spans="1:50">
      <c r="A1192" s="7"/>
      <c r="B1192" s="10"/>
      <c r="C1192" s="45" t="s">
        <v>1100</v>
      </c>
      <c r="D1192" s="23" t="s">
        <v>25</v>
      </c>
      <c r="E1192" s="83" t="s">
        <v>1236</v>
      </c>
      <c r="F1192" s="83" t="s">
        <v>1236</v>
      </c>
      <c r="G1192" s="83" t="s">
        <v>1236</v>
      </c>
      <c r="H1192" s="83" t="s">
        <v>1236</v>
      </c>
      <c r="I1192" s="25">
        <v>0.9</v>
      </c>
      <c r="J1192" s="26">
        <v>1</v>
      </c>
      <c r="K1192" s="26">
        <v>1</v>
      </c>
      <c r="L1192" s="27">
        <v>0.9726027397260274</v>
      </c>
      <c r="M1192" s="26">
        <v>0.99060150375939848</v>
      </c>
      <c r="N1192" s="28">
        <v>0.9</v>
      </c>
      <c r="O1192" s="26">
        <v>0.98634903640256955</v>
      </c>
      <c r="P1192" s="26">
        <v>0.98331766917293228</v>
      </c>
      <c r="Q1192" s="26">
        <v>0.98994772818657017</v>
      </c>
      <c r="R1192" s="26">
        <v>0.98377986528528705</v>
      </c>
      <c r="S1192" s="28">
        <v>0.9</v>
      </c>
      <c r="T1192" s="26">
        <v>0.94860813704496783</v>
      </c>
      <c r="U1192" s="26">
        <v>0.95465225563909772</v>
      </c>
      <c r="V1192" s="26">
        <v>0.9597909127462807</v>
      </c>
      <c r="W1192" s="26">
        <v>0.94850031715347205</v>
      </c>
      <c r="X1192" s="28">
        <v>0.92</v>
      </c>
      <c r="Y1192" s="28">
        <v>0.95603305785123971</v>
      </c>
      <c r="Z1192" s="28">
        <v>0.96246842295200286</v>
      </c>
      <c r="AA1192" s="28">
        <v>0.968532626697582</v>
      </c>
      <c r="AB1192" s="28">
        <v>0.96287173873380771</v>
      </c>
      <c r="AC1192" s="28">
        <v>0.92</v>
      </c>
      <c r="AD1192" s="26">
        <v>0.99030019232377287</v>
      </c>
      <c r="AE1192" s="26">
        <v>0.98481580536623237</v>
      </c>
      <c r="AF1192" s="26">
        <v>0.99025800235520822</v>
      </c>
      <c r="AG1192" s="26">
        <v>0.987057562488597</v>
      </c>
      <c r="AH1192" s="28">
        <v>0.92</v>
      </c>
      <c r="AI1192" s="26">
        <v>0.96730769230769231</v>
      </c>
      <c r="AJ1192" s="26">
        <v>0.97595332953898695</v>
      </c>
      <c r="AK1192" s="26">
        <v>0.98110846991117229</v>
      </c>
      <c r="AL1192" s="26">
        <v>0.97450666860486246</v>
      </c>
      <c r="AM1192" s="25">
        <v>0.99</v>
      </c>
      <c r="AN1192" s="30">
        <v>1</v>
      </c>
      <c r="AO1192" s="30">
        <v>1</v>
      </c>
      <c r="AP1192" s="30">
        <v>1</v>
      </c>
      <c r="AQ1192" s="30">
        <v>1</v>
      </c>
      <c r="AR1192" s="50">
        <v>7.2186152540827803E-2</v>
      </c>
      <c r="AS1192" s="34">
        <v>0</v>
      </c>
      <c r="AT1192" s="34">
        <v>9.6774193548387094E-2</v>
      </c>
      <c r="AU1192" s="34">
        <v>0.08</v>
      </c>
      <c r="AV1192" s="34">
        <v>2.5454545454545455E-2</v>
      </c>
      <c r="AW1192" s="10"/>
      <c r="AX1192" s="8"/>
    </row>
    <row r="1193" spans="1:50">
      <c r="A1193" s="7"/>
      <c r="B1193" s="10"/>
      <c r="C1193" s="45" t="s">
        <v>1100</v>
      </c>
      <c r="D1193" s="23" t="s">
        <v>25</v>
      </c>
      <c r="E1193" s="83" t="s">
        <v>1237</v>
      </c>
      <c r="F1193" s="83" t="s">
        <v>1237</v>
      </c>
      <c r="G1193" s="83" t="s">
        <v>1237</v>
      </c>
      <c r="H1193" s="83" t="s">
        <v>1237</v>
      </c>
      <c r="I1193" s="25">
        <v>0.9</v>
      </c>
      <c r="J1193" s="26">
        <v>0.96</v>
      </c>
      <c r="K1193" s="26">
        <v>0.88</v>
      </c>
      <c r="L1193" s="27">
        <v>0.92307692307692313</v>
      </c>
      <c r="M1193" s="26">
        <v>0.87922705314009664</v>
      </c>
      <c r="N1193" s="28">
        <v>0.9</v>
      </c>
      <c r="O1193" s="26">
        <v>0.99032480995162409</v>
      </c>
      <c r="P1193" s="26">
        <v>0.99362244897959184</v>
      </c>
      <c r="Q1193" s="26">
        <v>0.98208469055374592</v>
      </c>
      <c r="R1193" s="26">
        <v>0.97315490673154903</v>
      </c>
      <c r="S1193" s="28">
        <v>0.9</v>
      </c>
      <c r="T1193" s="26">
        <v>0.95093296475466482</v>
      </c>
      <c r="U1193" s="26">
        <v>0.9553571428571429</v>
      </c>
      <c r="V1193" s="26">
        <v>0.9321389793702497</v>
      </c>
      <c r="W1193" s="26">
        <v>0.94849959448499599</v>
      </c>
      <c r="X1193" s="28">
        <v>0.92</v>
      </c>
      <c r="Y1193" s="28">
        <v>0.95039682539682535</v>
      </c>
      <c r="Z1193" s="28">
        <v>0.9575371549893843</v>
      </c>
      <c r="AA1193" s="28">
        <v>0.96937799043062201</v>
      </c>
      <c r="AB1193" s="28">
        <v>0.96269871072725</v>
      </c>
      <c r="AC1193" s="28">
        <v>0.92</v>
      </c>
      <c r="AD1193" s="26">
        <v>0.99951052373959859</v>
      </c>
      <c r="AE1193" s="26">
        <v>0.99596050269299818</v>
      </c>
      <c r="AF1193" s="26">
        <v>0.99694055944055948</v>
      </c>
      <c r="AG1193" s="26">
        <v>0.9500516497539041</v>
      </c>
      <c r="AH1193" s="28">
        <v>0.92</v>
      </c>
      <c r="AI1193" s="26">
        <v>0.96415478615071282</v>
      </c>
      <c r="AJ1193" s="26">
        <v>0.97450199203187249</v>
      </c>
      <c r="AK1193" s="26">
        <v>0.98060270176653963</v>
      </c>
      <c r="AL1193" s="26">
        <v>0.9767212953393376</v>
      </c>
      <c r="AM1193" s="25">
        <v>0.99</v>
      </c>
      <c r="AN1193" s="30">
        <v>1</v>
      </c>
      <c r="AO1193" s="30">
        <v>1</v>
      </c>
      <c r="AP1193" s="30">
        <v>1</v>
      </c>
      <c r="AQ1193" s="30">
        <v>1</v>
      </c>
      <c r="AR1193" s="50">
        <v>7.2186152540827803E-2</v>
      </c>
      <c r="AS1193" s="34">
        <v>0.1</v>
      </c>
      <c r="AT1193" s="34">
        <v>8.3333333333333329E-2</v>
      </c>
      <c r="AU1193" s="34">
        <v>0.375</v>
      </c>
      <c r="AV1193" s="34">
        <v>0.14634146341463414</v>
      </c>
      <c r="AW1193" s="10"/>
      <c r="AX1193" s="8"/>
    </row>
    <row r="1194" spans="1:50">
      <c r="A1194" s="7"/>
      <c r="B1194" s="10"/>
      <c r="C1194" s="45" t="s">
        <v>1100</v>
      </c>
      <c r="D1194" s="23" t="s">
        <v>25</v>
      </c>
      <c r="E1194" s="83" t="s">
        <v>1238</v>
      </c>
      <c r="F1194" s="83" t="s">
        <v>1238</v>
      </c>
      <c r="G1194" s="83" t="s">
        <v>1238</v>
      </c>
      <c r="H1194" s="83" t="s">
        <v>1238</v>
      </c>
      <c r="I1194" s="25">
        <v>0.9</v>
      </c>
      <c r="J1194" s="26">
        <v>0.93478260869565222</v>
      </c>
      <c r="K1194" s="26">
        <v>0.89795918367346939</v>
      </c>
      <c r="L1194" s="27">
        <v>0.92307692307692313</v>
      </c>
      <c r="M1194" s="26">
        <v>0.91361256544502623</v>
      </c>
      <c r="N1194" s="28">
        <v>0.9</v>
      </c>
      <c r="O1194" s="26">
        <v>0.92492046659597027</v>
      </c>
      <c r="P1194" s="26">
        <v>0.87149339933993397</v>
      </c>
      <c r="Q1194" s="26">
        <v>0.90865384615384615</v>
      </c>
      <c r="R1194" s="26">
        <v>0.91478540661165608</v>
      </c>
      <c r="S1194" s="28">
        <v>0.9</v>
      </c>
      <c r="T1194" s="26">
        <v>0.9051961823966066</v>
      </c>
      <c r="U1194" s="26">
        <v>0.92574257425742579</v>
      </c>
      <c r="V1194" s="26">
        <v>0.9237891737891738</v>
      </c>
      <c r="W1194" s="26">
        <v>0.92145414915148682</v>
      </c>
      <c r="X1194" s="28">
        <v>0.92</v>
      </c>
      <c r="Y1194" s="28">
        <v>0</v>
      </c>
      <c r="Z1194" s="28">
        <v>0</v>
      </c>
      <c r="AA1194" s="28">
        <v>0</v>
      </c>
      <c r="AB1194" s="28">
        <v>0.2</v>
      </c>
      <c r="AC1194" s="28">
        <v>0.92</v>
      </c>
      <c r="AD1194" s="26">
        <v>0.99949815991970559</v>
      </c>
      <c r="AE1194" s="26">
        <v>0.99380092100602191</v>
      </c>
      <c r="AF1194" s="26">
        <v>0.99659751948194486</v>
      </c>
      <c r="AG1194" s="26">
        <v>0.97712014674411496</v>
      </c>
      <c r="AH1194" s="28">
        <v>0.92</v>
      </c>
      <c r="AI1194" s="26">
        <v>0.96253175275190517</v>
      </c>
      <c r="AJ1194" s="26">
        <v>0.96701030927835052</v>
      </c>
      <c r="AK1194" s="26">
        <v>0.97810218978102192</v>
      </c>
      <c r="AL1194" s="26">
        <v>0.97074385309679423</v>
      </c>
      <c r="AM1194" s="25">
        <v>0.99</v>
      </c>
      <c r="AN1194" s="30">
        <v>1</v>
      </c>
      <c r="AO1194" s="30">
        <v>1</v>
      </c>
      <c r="AP1194" s="30">
        <v>1</v>
      </c>
      <c r="AQ1194" s="30">
        <v>1</v>
      </c>
      <c r="AR1194" s="50">
        <v>7.2186152540827803E-2</v>
      </c>
      <c r="AS1194" s="34">
        <v>0</v>
      </c>
      <c r="AT1194" s="34">
        <v>0</v>
      </c>
      <c r="AU1194" s="34">
        <v>0</v>
      </c>
      <c r="AV1194" s="34">
        <v>5.4545454545454543E-2</v>
      </c>
      <c r="AW1194" s="10"/>
      <c r="AX1194" s="8"/>
    </row>
    <row r="1195" spans="1:50">
      <c r="A1195" s="7"/>
      <c r="B1195" s="10"/>
      <c r="C1195" s="45" t="s">
        <v>1100</v>
      </c>
      <c r="D1195" s="23" t="s">
        <v>25</v>
      </c>
      <c r="E1195" s="83" t="s">
        <v>1239</v>
      </c>
      <c r="F1195" s="83" t="s">
        <v>1239</v>
      </c>
      <c r="G1195" s="83" t="s">
        <v>1239</v>
      </c>
      <c r="H1195" s="83" t="s">
        <v>1239</v>
      </c>
      <c r="I1195" s="25">
        <v>0.9</v>
      </c>
      <c r="J1195" s="26">
        <v>0.94285714285714284</v>
      </c>
      <c r="K1195" s="26">
        <v>0.97142857142857142</v>
      </c>
      <c r="L1195" s="27">
        <v>0.97333333333333338</v>
      </c>
      <c r="M1195" s="26">
        <v>0.97522123893805313</v>
      </c>
      <c r="N1195" s="28">
        <v>0.9</v>
      </c>
      <c r="O1195" s="26">
        <v>0.94338689740420267</v>
      </c>
      <c r="P1195" s="26">
        <v>0.95748613678373384</v>
      </c>
      <c r="Q1195" s="26">
        <v>0.95802098950524739</v>
      </c>
      <c r="R1195" s="26">
        <v>0.9618888376383764</v>
      </c>
      <c r="S1195" s="28">
        <v>0.9</v>
      </c>
      <c r="T1195" s="26">
        <v>0.94536464771322626</v>
      </c>
      <c r="U1195" s="26">
        <v>0.93530499075785578</v>
      </c>
      <c r="V1195" s="26">
        <v>0.94827586206896552</v>
      </c>
      <c r="W1195" s="26">
        <v>0.94242965867158668</v>
      </c>
      <c r="X1195" s="28">
        <v>0.92</v>
      </c>
      <c r="Y1195" s="28">
        <v>0.92128744423199493</v>
      </c>
      <c r="Z1195" s="28">
        <v>0.95557383792677908</v>
      </c>
      <c r="AA1195" s="28">
        <v>0.95408661673721917</v>
      </c>
      <c r="AB1195" s="28">
        <v>0.93655184336776587</v>
      </c>
      <c r="AC1195" s="28">
        <v>0.92</v>
      </c>
      <c r="AD1195" s="26">
        <v>0.99665783831504606</v>
      </c>
      <c r="AE1195" s="26">
        <v>0.99749338532237852</v>
      </c>
      <c r="AF1195" s="26">
        <v>0.99753199268738579</v>
      </c>
      <c r="AG1195" s="26">
        <v>0.99475851740921006</v>
      </c>
      <c r="AH1195" s="28">
        <v>0.92</v>
      </c>
      <c r="AI1195" s="26">
        <v>0.94946401225114851</v>
      </c>
      <c r="AJ1195" s="26">
        <v>0.97159343098091433</v>
      </c>
      <c r="AK1195" s="26">
        <v>0.97359971459150907</v>
      </c>
      <c r="AL1195" s="26">
        <v>0.9634272868753242</v>
      </c>
      <c r="AM1195" s="25">
        <v>0.99</v>
      </c>
      <c r="AN1195" s="30">
        <v>1</v>
      </c>
      <c r="AO1195" s="30">
        <v>1</v>
      </c>
      <c r="AP1195" s="30">
        <v>1</v>
      </c>
      <c r="AQ1195" s="30">
        <v>1</v>
      </c>
      <c r="AR1195" s="50">
        <v>7.2186152540827803E-2</v>
      </c>
      <c r="AS1195" s="34">
        <v>0.10714285714285714</v>
      </c>
      <c r="AT1195" s="34">
        <v>3.7037037037037035E-2</v>
      </c>
      <c r="AU1195" s="34">
        <v>0</v>
      </c>
      <c r="AV1195" s="34">
        <v>5.2941176470588235E-2</v>
      </c>
      <c r="AW1195" s="10"/>
      <c r="AX1195" s="8"/>
    </row>
    <row r="1196" spans="1:50">
      <c r="A1196" s="7"/>
      <c r="B1196" s="10"/>
      <c r="C1196" s="45" t="s">
        <v>1100</v>
      </c>
      <c r="D1196" s="23" t="s">
        <v>25</v>
      </c>
      <c r="E1196" s="83" t="s">
        <v>1240</v>
      </c>
      <c r="F1196" s="83" t="s">
        <v>1240</v>
      </c>
      <c r="G1196" s="83" t="s">
        <v>1240</v>
      </c>
      <c r="H1196" s="83" t="s">
        <v>1240</v>
      </c>
      <c r="I1196" s="25">
        <v>0.9</v>
      </c>
      <c r="J1196" s="26">
        <v>1</v>
      </c>
      <c r="K1196" s="26">
        <v>0.95</v>
      </c>
      <c r="L1196" s="27">
        <v>0.97560975609756095</v>
      </c>
      <c r="M1196" s="26">
        <v>0.97777777777777775</v>
      </c>
      <c r="N1196" s="28">
        <v>0.9</v>
      </c>
      <c r="O1196" s="26">
        <v>0.95437685459940658</v>
      </c>
      <c r="P1196" s="26">
        <v>0.96301369863013697</v>
      </c>
      <c r="Q1196" s="26">
        <v>0.92785994566857832</v>
      </c>
      <c r="R1196" s="26">
        <v>0.92152653025456777</v>
      </c>
      <c r="S1196" s="28">
        <v>0.9</v>
      </c>
      <c r="T1196" s="26">
        <v>0.95623145400593468</v>
      </c>
      <c r="U1196" s="26">
        <v>0.94691780821917804</v>
      </c>
      <c r="V1196" s="26">
        <v>0.90703290069423481</v>
      </c>
      <c r="W1196" s="26">
        <v>0.927222538667134</v>
      </c>
      <c r="X1196" s="28">
        <v>0.92</v>
      </c>
      <c r="Y1196" s="28">
        <v>0.94674220963172806</v>
      </c>
      <c r="Z1196" s="28">
        <v>0.9599728629579376</v>
      </c>
      <c r="AA1196" s="28">
        <v>0.96896370331404524</v>
      </c>
      <c r="AB1196" s="28">
        <v>0.95365782570679103</v>
      </c>
      <c r="AC1196" s="28">
        <v>0.92</v>
      </c>
      <c r="AD1196" s="26">
        <v>0.99206133434832255</v>
      </c>
      <c r="AE1196" s="26">
        <v>0.99274784826267137</v>
      </c>
      <c r="AF1196" s="26">
        <v>0.9854659184987582</v>
      </c>
      <c r="AG1196" s="26">
        <v>0.99019299246522796</v>
      </c>
      <c r="AH1196" s="28">
        <v>0.92</v>
      </c>
      <c r="AI1196" s="26">
        <v>0.96907909477929643</v>
      </c>
      <c r="AJ1196" s="26">
        <v>0.9758761948111061</v>
      </c>
      <c r="AK1196" s="26">
        <v>0.96491564417177911</v>
      </c>
      <c r="AL1196" s="26">
        <v>0.96698035782677683</v>
      </c>
      <c r="AM1196" s="25">
        <v>0.99</v>
      </c>
      <c r="AN1196" s="30">
        <v>1</v>
      </c>
      <c r="AO1196" s="30">
        <v>1</v>
      </c>
      <c r="AP1196" s="30">
        <v>1</v>
      </c>
      <c r="AQ1196" s="30">
        <v>1</v>
      </c>
      <c r="AR1196" s="50">
        <v>7.2186152540827803E-2</v>
      </c>
      <c r="AS1196" s="34">
        <v>0</v>
      </c>
      <c r="AT1196" s="34">
        <v>6.25E-2</v>
      </c>
      <c r="AU1196" s="34">
        <v>0.1</v>
      </c>
      <c r="AV1196" s="34">
        <v>3.5211267605633804E-2</v>
      </c>
      <c r="AW1196" s="10"/>
      <c r="AX1196" s="8"/>
    </row>
    <row r="1197" spans="1:50">
      <c r="A1197" s="7"/>
      <c r="B1197" s="10"/>
      <c r="C1197" s="45" t="s">
        <v>1100</v>
      </c>
      <c r="D1197" s="23" t="s">
        <v>25</v>
      </c>
      <c r="E1197" s="83" t="s">
        <v>1241</v>
      </c>
      <c r="F1197" s="83" t="s">
        <v>1241</v>
      </c>
      <c r="G1197" s="83" t="s">
        <v>1241</v>
      </c>
      <c r="H1197" s="83" t="s">
        <v>1241</v>
      </c>
      <c r="I1197" s="25">
        <v>0.9</v>
      </c>
      <c r="J1197" s="26">
        <v>1</v>
      </c>
      <c r="K1197" s="26">
        <v>1</v>
      </c>
      <c r="L1197" s="27">
        <v>1</v>
      </c>
      <c r="M1197" s="26">
        <v>0.99516908212560384</v>
      </c>
      <c r="N1197" s="28">
        <v>0.9</v>
      </c>
      <c r="O1197" s="26">
        <v>0.98953619909502266</v>
      </c>
      <c r="P1197" s="26">
        <v>0.984744094488189</v>
      </c>
      <c r="Q1197" s="26">
        <v>0.98108284409654267</v>
      </c>
      <c r="R1197" s="26">
        <v>0.98580451703457961</v>
      </c>
      <c r="S1197" s="28">
        <v>0.9</v>
      </c>
      <c r="T1197" s="26">
        <v>0.93523755656108598</v>
      </c>
      <c r="U1197" s="26">
        <v>0.92421259842519687</v>
      </c>
      <c r="V1197" s="26">
        <v>0.91215481626440531</v>
      </c>
      <c r="W1197" s="26">
        <v>0.91996299604440479</v>
      </c>
      <c r="X1197" s="28">
        <v>0.92</v>
      </c>
      <c r="Y1197" s="28">
        <v>0.85333333333333339</v>
      </c>
      <c r="Z1197" s="28">
        <v>0.96469465648854957</v>
      </c>
      <c r="AA1197" s="28">
        <v>0.96646859083191849</v>
      </c>
      <c r="AB1197" s="28">
        <v>0.95871389780301164</v>
      </c>
      <c r="AC1197" s="28">
        <v>0.92</v>
      </c>
      <c r="AD1197" s="26">
        <v>0.9988636363636364</v>
      </c>
      <c r="AE1197" s="26">
        <v>0.99877675840978597</v>
      </c>
      <c r="AF1197" s="26">
        <v>0.99947396107311937</v>
      </c>
      <c r="AG1197" s="26">
        <v>0.99857152574654784</v>
      </c>
      <c r="AH1197" s="28">
        <v>0.92</v>
      </c>
      <c r="AI1197" s="26">
        <v>0.98033785654943228</v>
      </c>
      <c r="AJ1197" s="26">
        <v>0.97792566141860082</v>
      </c>
      <c r="AK1197" s="26">
        <v>0.97972681524083394</v>
      </c>
      <c r="AL1197" s="26">
        <v>0.97594415005467239</v>
      </c>
      <c r="AM1197" s="25">
        <v>0.99</v>
      </c>
      <c r="AN1197" s="30">
        <v>1</v>
      </c>
      <c r="AO1197" s="30">
        <v>1</v>
      </c>
      <c r="AP1197" s="30">
        <v>1</v>
      </c>
      <c r="AQ1197" s="30">
        <v>1</v>
      </c>
      <c r="AR1197" s="50">
        <v>7.2186152540827803E-2</v>
      </c>
      <c r="AS1197" s="34">
        <v>0.04</v>
      </c>
      <c r="AT1197" s="34">
        <v>0</v>
      </c>
      <c r="AU1197" s="34">
        <v>0</v>
      </c>
      <c r="AV1197" s="34">
        <v>1.0362694300518135E-2</v>
      </c>
      <c r="AW1197" s="10"/>
      <c r="AX1197" s="8"/>
    </row>
    <row r="1198" spans="1:50">
      <c r="A1198" s="7"/>
      <c r="B1198" s="10"/>
      <c r="C1198" s="45" t="s">
        <v>1100</v>
      </c>
      <c r="D1198" s="23" t="s">
        <v>25</v>
      </c>
      <c r="E1198" s="83" t="s">
        <v>1242</v>
      </c>
      <c r="F1198" s="83" t="s">
        <v>1242</v>
      </c>
      <c r="G1198" s="83" t="s">
        <v>1242</v>
      </c>
      <c r="H1198" s="83" t="s">
        <v>1242</v>
      </c>
      <c r="I1198" s="25">
        <v>0.9</v>
      </c>
      <c r="J1198" s="26">
        <v>0.98529411764705888</v>
      </c>
      <c r="K1198" s="26">
        <v>0.98666666666666669</v>
      </c>
      <c r="L1198" s="27">
        <v>0.97333333333333338</v>
      </c>
      <c r="M1198" s="26">
        <v>0.97007042253521125</v>
      </c>
      <c r="N1198" s="28">
        <v>0.9</v>
      </c>
      <c r="O1198" s="26">
        <v>0.97950530035335692</v>
      </c>
      <c r="P1198" s="26">
        <v>0.98104988020039208</v>
      </c>
      <c r="Q1198" s="26">
        <v>0.93850605896183759</v>
      </c>
      <c r="R1198" s="26">
        <v>0.95755088730059512</v>
      </c>
      <c r="S1198" s="28">
        <v>0.9</v>
      </c>
      <c r="T1198" s="26">
        <v>0.94676089517078921</v>
      </c>
      <c r="U1198" s="26">
        <v>0.96144630799390107</v>
      </c>
      <c r="V1198" s="26">
        <v>0.94791101465002714</v>
      </c>
      <c r="W1198" s="26">
        <v>0.94950675326792944</v>
      </c>
      <c r="X1198" s="28">
        <v>0.92</v>
      </c>
      <c r="Y1198" s="28">
        <v>0.96632886564236675</v>
      </c>
      <c r="Z1198" s="28">
        <v>0.97626240828657751</v>
      </c>
      <c r="AA1198" s="28">
        <v>0.97564370215727214</v>
      </c>
      <c r="AB1198" s="28">
        <v>0.96919890124735442</v>
      </c>
      <c r="AC1198" s="28">
        <v>0.92</v>
      </c>
      <c r="AD1198" s="26">
        <v>0.99529311082584515</v>
      </c>
      <c r="AE1198" s="26">
        <v>0.99796195652173914</v>
      </c>
      <c r="AF1198" s="26">
        <v>0.99721137757947576</v>
      </c>
      <c r="AG1198" s="26">
        <v>0.99696581484727931</v>
      </c>
      <c r="AH1198" s="28">
        <v>0.92</v>
      </c>
      <c r="AI1198" s="26">
        <v>0.97631434830230013</v>
      </c>
      <c r="AJ1198" s="26">
        <v>0.98755066589461493</v>
      </c>
      <c r="AK1198" s="26">
        <v>0.98584007615421232</v>
      </c>
      <c r="AL1198" s="26">
        <v>0.98186717280414848</v>
      </c>
      <c r="AM1198" s="25">
        <v>0.99</v>
      </c>
      <c r="AN1198" s="30">
        <v>1</v>
      </c>
      <c r="AO1198" s="30">
        <v>1</v>
      </c>
      <c r="AP1198" s="30">
        <v>1</v>
      </c>
      <c r="AQ1198" s="30">
        <v>1</v>
      </c>
      <c r="AR1198" s="50">
        <v>7.2186152540827803E-2</v>
      </c>
      <c r="AS1198" s="34">
        <v>3.8461538461538464E-2</v>
      </c>
      <c r="AT1198" s="34">
        <v>4.3478260869565216E-2</v>
      </c>
      <c r="AU1198" s="34">
        <v>9.0909090909090912E-2</v>
      </c>
      <c r="AV1198" s="34">
        <v>7.1038251366120214E-2</v>
      </c>
      <c r="AW1198" s="10"/>
      <c r="AX1198" s="8"/>
    </row>
    <row r="1199" spans="1:50">
      <c r="A1199" s="7"/>
      <c r="B1199" s="10"/>
      <c r="C1199" s="45" t="s">
        <v>1100</v>
      </c>
      <c r="D1199" s="23" t="s">
        <v>25</v>
      </c>
      <c r="E1199" s="83" t="s">
        <v>1243</v>
      </c>
      <c r="F1199" s="83" t="s">
        <v>1243</v>
      </c>
      <c r="G1199" s="83" t="s">
        <v>1243</v>
      </c>
      <c r="H1199" s="83" t="s">
        <v>1243</v>
      </c>
      <c r="I1199" s="25">
        <v>0.9</v>
      </c>
      <c r="J1199" s="26">
        <v>0.93939393939393945</v>
      </c>
      <c r="K1199" s="26">
        <v>0.91666666666666663</v>
      </c>
      <c r="L1199" s="27">
        <v>0.94736842105263153</v>
      </c>
      <c r="M1199" s="26">
        <v>0.95255474452554745</v>
      </c>
      <c r="N1199" s="28">
        <v>0.9</v>
      </c>
      <c r="O1199" s="26">
        <v>0.94395280235988199</v>
      </c>
      <c r="P1199" s="26">
        <v>0.96480144404332135</v>
      </c>
      <c r="Q1199" s="26">
        <v>0.98370429252782199</v>
      </c>
      <c r="R1199" s="26">
        <v>0.96443885426790921</v>
      </c>
      <c r="S1199" s="28">
        <v>0.9</v>
      </c>
      <c r="T1199" s="26">
        <v>0.93657817109144548</v>
      </c>
      <c r="U1199" s="26">
        <v>0.94404332129963897</v>
      </c>
      <c r="V1199" s="26">
        <v>0.95588235294117652</v>
      </c>
      <c r="W1199" s="26">
        <v>0.94419987422102791</v>
      </c>
      <c r="X1199" s="28">
        <v>0.92</v>
      </c>
      <c r="Y1199" s="28">
        <v>0.93398349587396845</v>
      </c>
      <c r="Z1199" s="28">
        <v>0.9561478933791917</v>
      </c>
      <c r="AA1199" s="28">
        <v>0.96556671449067433</v>
      </c>
      <c r="AB1199" s="28">
        <v>0.95052583447645178</v>
      </c>
      <c r="AC1199" s="28">
        <v>0.92</v>
      </c>
      <c r="AD1199" s="26">
        <v>0.99463519313304716</v>
      </c>
      <c r="AE1199" s="26">
        <v>0.99702823179791977</v>
      </c>
      <c r="AF1199" s="26">
        <v>0.99601116872756279</v>
      </c>
      <c r="AG1199" s="26">
        <v>0.99632257730356866</v>
      </c>
      <c r="AH1199" s="28">
        <v>0.92</v>
      </c>
      <c r="AI1199" s="26">
        <v>0.96168696168696166</v>
      </c>
      <c r="AJ1199" s="26">
        <v>0.97543651968037881</v>
      </c>
      <c r="AK1199" s="26">
        <v>0.98235294117647054</v>
      </c>
      <c r="AL1199" s="26">
        <v>0.97326391331879269</v>
      </c>
      <c r="AM1199" s="25">
        <v>0.99</v>
      </c>
      <c r="AN1199" s="30">
        <v>1</v>
      </c>
      <c r="AO1199" s="30">
        <v>1</v>
      </c>
      <c r="AP1199" s="30">
        <v>1</v>
      </c>
      <c r="AQ1199" s="30">
        <v>1</v>
      </c>
      <c r="AR1199" s="50">
        <v>7.2186152540827803E-2</v>
      </c>
      <c r="AS1199" s="34">
        <v>0</v>
      </c>
      <c r="AT1199" s="34">
        <v>0</v>
      </c>
      <c r="AU1199" s="34">
        <v>0</v>
      </c>
      <c r="AV1199" s="34">
        <v>3.1578947368421054E-2</v>
      </c>
      <c r="AW1199" s="10"/>
      <c r="AX1199" s="8"/>
    </row>
    <row r="1200" spans="1:50">
      <c r="A1200" s="7"/>
      <c r="B1200" s="10"/>
      <c r="C1200" s="45" t="s">
        <v>1100</v>
      </c>
      <c r="D1200" s="23" t="s">
        <v>25</v>
      </c>
      <c r="E1200" s="83" t="s">
        <v>1244</v>
      </c>
      <c r="F1200" s="83" t="s">
        <v>1244</v>
      </c>
      <c r="G1200" s="83" t="s">
        <v>1244</v>
      </c>
      <c r="H1200" s="83" t="s">
        <v>1244</v>
      </c>
      <c r="I1200" s="25">
        <v>0.9</v>
      </c>
      <c r="J1200" s="26">
        <v>1</v>
      </c>
      <c r="K1200" s="26">
        <v>1</v>
      </c>
      <c r="L1200" s="27">
        <v>1</v>
      </c>
      <c r="M1200" s="26">
        <v>1</v>
      </c>
      <c r="N1200" s="28">
        <v>0.9</v>
      </c>
      <c r="O1200" s="26">
        <v>0.95506503744580218</v>
      </c>
      <c r="P1200" s="26">
        <v>0.9778254649499285</v>
      </c>
      <c r="Q1200" s="26">
        <v>0.97502341554792382</v>
      </c>
      <c r="R1200" s="26">
        <v>0.9508015722298282</v>
      </c>
      <c r="S1200" s="28">
        <v>0.9</v>
      </c>
      <c r="T1200" s="26">
        <v>0.94284588096176591</v>
      </c>
      <c r="U1200" s="26">
        <v>0.94170243204577964</v>
      </c>
      <c r="V1200" s="26">
        <v>0.95441773337496094</v>
      </c>
      <c r="W1200" s="26">
        <v>0.94426533586538886</v>
      </c>
      <c r="X1200" s="28">
        <v>0.92</v>
      </c>
      <c r="Y1200" s="28">
        <v>0.90322580645161288</v>
      </c>
      <c r="Z1200" s="28">
        <v>0.95481335952848723</v>
      </c>
      <c r="AA1200" s="28">
        <v>0.9622331691297209</v>
      </c>
      <c r="AB1200" s="28">
        <v>0.95248694461090655</v>
      </c>
      <c r="AC1200" s="28">
        <v>0.92</v>
      </c>
      <c r="AD1200" s="26">
        <v>0.99640933572710955</v>
      </c>
      <c r="AE1200" s="26">
        <v>0.99872935196950441</v>
      </c>
      <c r="AF1200" s="26">
        <v>0.99705780546902045</v>
      </c>
      <c r="AG1200" s="26">
        <v>0.9956693122160748</v>
      </c>
      <c r="AH1200" s="28">
        <v>0.92</v>
      </c>
      <c r="AI1200" s="26">
        <v>0.97461538461538466</v>
      </c>
      <c r="AJ1200" s="26">
        <v>0.9710915818686402</v>
      </c>
      <c r="AK1200" s="26">
        <v>0.97892644135188867</v>
      </c>
      <c r="AL1200" s="26">
        <v>0.97314458813934523</v>
      </c>
      <c r="AM1200" s="25">
        <v>0.99</v>
      </c>
      <c r="AN1200" s="30">
        <v>1</v>
      </c>
      <c r="AO1200" s="30">
        <v>1</v>
      </c>
      <c r="AP1200" s="30">
        <v>1</v>
      </c>
      <c r="AQ1200" s="30">
        <v>1</v>
      </c>
      <c r="AR1200" s="50">
        <v>7.2186152540827803E-2</v>
      </c>
      <c r="AS1200" s="34">
        <v>0.15</v>
      </c>
      <c r="AT1200" s="34">
        <v>0</v>
      </c>
      <c r="AU1200" s="34">
        <v>4.5454545454545456E-2</v>
      </c>
      <c r="AV1200" s="34">
        <v>9.7744360902255634E-2</v>
      </c>
      <c r="AW1200" s="10"/>
      <c r="AX1200" s="8"/>
    </row>
    <row r="1201" spans="1:50">
      <c r="A1201" s="7"/>
      <c r="B1201" s="10"/>
      <c r="C1201" s="45" t="s">
        <v>1100</v>
      </c>
      <c r="D1201" s="23" t="s">
        <v>25</v>
      </c>
      <c r="E1201" s="83" t="s">
        <v>1245</v>
      </c>
      <c r="F1201" s="83" t="s">
        <v>1245</v>
      </c>
      <c r="G1201" s="83" t="s">
        <v>1245</v>
      </c>
      <c r="H1201" s="83" t="s">
        <v>1245</v>
      </c>
      <c r="I1201" s="25">
        <v>0.9</v>
      </c>
      <c r="J1201" s="26">
        <v>0.94285714285714284</v>
      </c>
      <c r="K1201" s="26">
        <v>0.92307692307692313</v>
      </c>
      <c r="L1201" s="27">
        <v>0.95</v>
      </c>
      <c r="M1201" s="26">
        <v>0.94415357766143104</v>
      </c>
      <c r="N1201" s="28">
        <v>0.9</v>
      </c>
      <c r="O1201" s="26">
        <v>0.96459179070816414</v>
      </c>
      <c r="P1201" s="26">
        <v>0.97026502908855849</v>
      </c>
      <c r="Q1201" s="26">
        <v>0.97221736851301765</v>
      </c>
      <c r="R1201" s="26">
        <v>0.96355438662408421</v>
      </c>
      <c r="S1201" s="28">
        <v>0.9</v>
      </c>
      <c r="T1201" s="26">
        <v>0.93121335137573302</v>
      </c>
      <c r="U1201" s="26">
        <v>0.94246929541047186</v>
      </c>
      <c r="V1201" s="26">
        <v>0.93587279398916656</v>
      </c>
      <c r="W1201" s="26">
        <v>0.93526743780360166</v>
      </c>
      <c r="X1201" s="28">
        <v>0.92</v>
      </c>
      <c r="Y1201" s="28">
        <v>0.93573614416865014</v>
      </c>
      <c r="Z1201" s="28">
        <v>0.95473421926910296</v>
      </c>
      <c r="AA1201" s="28">
        <v>0.95187917105725328</v>
      </c>
      <c r="AB1201" s="28">
        <v>0.95028484956382409</v>
      </c>
      <c r="AC1201" s="28">
        <v>0.92</v>
      </c>
      <c r="AD1201" s="26">
        <v>0.99972368057474437</v>
      </c>
      <c r="AE1201" s="26">
        <v>0.99530775600331223</v>
      </c>
      <c r="AF1201" s="26">
        <v>0.99577294685990336</v>
      </c>
      <c r="AG1201" s="26">
        <v>0.99442594740189294</v>
      </c>
      <c r="AH1201" s="28">
        <v>0.92</v>
      </c>
      <c r="AI1201" s="26">
        <v>0.96203904555314534</v>
      </c>
      <c r="AJ1201" s="26">
        <v>0.97716635938164798</v>
      </c>
      <c r="AK1201" s="26">
        <v>0.97795146990200654</v>
      </c>
      <c r="AL1201" s="26">
        <v>0.97266442357588845</v>
      </c>
      <c r="AM1201" s="25">
        <v>0.99</v>
      </c>
      <c r="AN1201" s="30">
        <v>1</v>
      </c>
      <c r="AO1201" s="30">
        <v>1</v>
      </c>
      <c r="AP1201" s="30">
        <v>1</v>
      </c>
      <c r="AQ1201" s="30">
        <v>1</v>
      </c>
      <c r="AR1201" s="50">
        <v>7.2186152540827803E-2</v>
      </c>
      <c r="AS1201" s="34">
        <v>5.2631578947368418E-2</v>
      </c>
      <c r="AT1201" s="34">
        <v>0</v>
      </c>
      <c r="AU1201" s="34">
        <v>6.6666666666666666E-2</v>
      </c>
      <c r="AV1201" s="34">
        <v>5.8823529411764705E-2</v>
      </c>
      <c r="AW1201" s="10"/>
      <c r="AX1201" s="8"/>
    </row>
    <row r="1202" spans="1:50">
      <c r="A1202" s="7"/>
      <c r="B1202" s="10"/>
      <c r="C1202" s="45" t="s">
        <v>1100</v>
      </c>
      <c r="D1202" s="23" t="s">
        <v>25</v>
      </c>
      <c r="E1202" s="83" t="s">
        <v>1246</v>
      </c>
      <c r="F1202" s="83" t="s">
        <v>1246</v>
      </c>
      <c r="G1202" s="83" t="s">
        <v>1246</v>
      </c>
      <c r="H1202" s="83" t="s">
        <v>1246</v>
      </c>
      <c r="I1202" s="25">
        <v>0.9</v>
      </c>
      <c r="J1202" s="26">
        <v>0.98305084745762716</v>
      </c>
      <c r="K1202" s="26">
        <v>1</v>
      </c>
      <c r="L1202" s="27">
        <v>1</v>
      </c>
      <c r="M1202" s="26">
        <v>0.99360341151385922</v>
      </c>
      <c r="N1202" s="28">
        <v>0.9</v>
      </c>
      <c r="O1202" s="26">
        <v>0.98637911464245176</v>
      </c>
      <c r="P1202" s="26">
        <v>0.98826739427012278</v>
      </c>
      <c r="Q1202" s="26">
        <v>0.98544917756221007</v>
      </c>
      <c r="R1202" s="26">
        <v>0.98793247534681594</v>
      </c>
      <c r="S1202" s="28">
        <v>0.9</v>
      </c>
      <c r="T1202" s="26">
        <v>0.94778660612939836</v>
      </c>
      <c r="U1202" s="26">
        <v>0.94952251023192358</v>
      </c>
      <c r="V1202" s="26">
        <v>0.95065373260227748</v>
      </c>
      <c r="W1202" s="26">
        <v>0.94360688617750288</v>
      </c>
      <c r="X1202" s="28">
        <v>0.92</v>
      </c>
      <c r="Y1202" s="28">
        <v>0.96652542372881356</v>
      </c>
      <c r="Z1202" s="28">
        <v>0.97674418604651159</v>
      </c>
      <c r="AA1202" s="28">
        <v>0.97169811320754718</v>
      </c>
      <c r="AB1202" s="28">
        <v>0.96711736073553267</v>
      </c>
      <c r="AC1202" s="28">
        <v>0.92</v>
      </c>
      <c r="AD1202" s="26">
        <v>0.99803407601572736</v>
      </c>
      <c r="AE1202" s="26">
        <v>0.98293838862559246</v>
      </c>
      <c r="AF1202" s="26">
        <v>0.97933604336043356</v>
      </c>
      <c r="AG1202" s="26">
        <v>0.95720142661911267</v>
      </c>
      <c r="AH1202" s="28">
        <v>0.92</v>
      </c>
      <c r="AI1202" s="26">
        <v>0.97705252422233557</v>
      </c>
      <c r="AJ1202" s="26">
        <v>0.98497780812564018</v>
      </c>
      <c r="AK1202" s="26">
        <v>0.98462805380181173</v>
      </c>
      <c r="AL1202" s="26">
        <v>0.98093172192955269</v>
      </c>
      <c r="AM1202" s="25">
        <v>0.99</v>
      </c>
      <c r="AN1202" s="30">
        <v>1</v>
      </c>
      <c r="AO1202" s="30">
        <v>1</v>
      </c>
      <c r="AP1202" s="30">
        <v>1</v>
      </c>
      <c r="AQ1202" s="30">
        <v>1</v>
      </c>
      <c r="AR1202" s="50">
        <v>7.2186152540827803E-2</v>
      </c>
      <c r="AS1202" s="34">
        <v>0.05</v>
      </c>
      <c r="AT1202" s="34">
        <v>9.5238095238095233E-2</v>
      </c>
      <c r="AU1202" s="34">
        <v>3.3333333333333333E-2</v>
      </c>
      <c r="AV1202" s="34">
        <v>4.4303797468354431E-2</v>
      </c>
      <c r="AW1202" s="10"/>
      <c r="AX1202" s="8"/>
    </row>
    <row r="1203" spans="1:50">
      <c r="A1203" s="7"/>
      <c r="B1203" s="10"/>
      <c r="C1203" s="45" t="s">
        <v>1100</v>
      </c>
      <c r="D1203" s="23" t="s">
        <v>25</v>
      </c>
      <c r="E1203" s="83" t="s">
        <v>1247</v>
      </c>
      <c r="F1203" s="83" t="s">
        <v>1247</v>
      </c>
      <c r="G1203" s="83" t="s">
        <v>1247</v>
      </c>
      <c r="H1203" s="83" t="s">
        <v>1247</v>
      </c>
      <c r="I1203" s="25">
        <v>0.9</v>
      </c>
      <c r="J1203" s="26">
        <v>1</v>
      </c>
      <c r="K1203" s="26">
        <v>0.9850746268656716</v>
      </c>
      <c r="L1203" s="27">
        <v>0.98666666666666669</v>
      </c>
      <c r="M1203" s="26">
        <v>0.98729582577132491</v>
      </c>
      <c r="N1203" s="28">
        <v>0.9</v>
      </c>
      <c r="O1203" s="26">
        <v>0.98307952622673433</v>
      </c>
      <c r="P1203" s="26">
        <v>0.98546255506607927</v>
      </c>
      <c r="Q1203" s="26">
        <v>0.97174948944860451</v>
      </c>
      <c r="R1203" s="26">
        <v>0.98147849462365588</v>
      </c>
      <c r="S1203" s="28">
        <v>0.9</v>
      </c>
      <c r="T1203" s="26">
        <v>0.95358955765047138</v>
      </c>
      <c r="U1203" s="26">
        <v>0.96277533039647578</v>
      </c>
      <c r="V1203" s="26">
        <v>0.94571136827773994</v>
      </c>
      <c r="W1203" s="26">
        <v>0.95190860215053763</v>
      </c>
      <c r="X1203" s="28">
        <v>0.92</v>
      </c>
      <c r="Y1203" s="28">
        <v>0.95587751070134996</v>
      </c>
      <c r="Z1203" s="28">
        <v>0.97483161999291035</v>
      </c>
      <c r="AA1203" s="28">
        <v>0.97085336538461542</v>
      </c>
      <c r="AB1203" s="28">
        <v>0.96664388827197401</v>
      </c>
      <c r="AC1203" s="28">
        <v>0.92</v>
      </c>
      <c r="AD1203" s="26">
        <v>0.99254457050243117</v>
      </c>
      <c r="AE1203" s="26">
        <v>0.97893855468246815</v>
      </c>
      <c r="AF1203" s="26">
        <v>0.99036724864539438</v>
      </c>
      <c r="AG1203" s="26">
        <v>0.95057153727812604</v>
      </c>
      <c r="AH1203" s="28">
        <v>0.92</v>
      </c>
      <c r="AI1203" s="26">
        <v>0.97171125975473804</v>
      </c>
      <c r="AJ1203" s="26">
        <v>0.98411189570885393</v>
      </c>
      <c r="AK1203" s="26">
        <v>0.98435802737345213</v>
      </c>
      <c r="AL1203" s="26">
        <v>0.98033846864381613</v>
      </c>
      <c r="AM1203" s="25">
        <v>0.99</v>
      </c>
      <c r="AN1203" s="30">
        <v>1</v>
      </c>
      <c r="AO1203" s="30">
        <v>1</v>
      </c>
      <c r="AP1203" s="30">
        <v>1</v>
      </c>
      <c r="AQ1203" s="30">
        <v>1</v>
      </c>
      <c r="AR1203" s="50">
        <v>7.2186152540827803E-2</v>
      </c>
      <c r="AS1203" s="34">
        <v>2.6315789473684209E-2</v>
      </c>
      <c r="AT1203" s="34">
        <v>0</v>
      </c>
      <c r="AU1203" s="34">
        <v>2.3809523809523808E-2</v>
      </c>
      <c r="AV1203" s="34">
        <v>3.9215686274509803E-2</v>
      </c>
      <c r="AW1203" s="10"/>
      <c r="AX1203" s="8"/>
    </row>
    <row r="1204" spans="1:50">
      <c r="A1204" s="7"/>
      <c r="B1204" s="10"/>
      <c r="C1204" s="45" t="s">
        <v>1100</v>
      </c>
      <c r="D1204" s="23" t="s">
        <v>25</v>
      </c>
      <c r="E1204" s="83" t="s">
        <v>1248</v>
      </c>
      <c r="F1204" s="83" t="s">
        <v>1248</v>
      </c>
      <c r="G1204" s="83" t="s">
        <v>1248</v>
      </c>
      <c r="H1204" s="83" t="s">
        <v>1248</v>
      </c>
      <c r="I1204" s="25">
        <v>0.9</v>
      </c>
      <c r="J1204" s="26">
        <v>0.96296296296296291</v>
      </c>
      <c r="K1204" s="26">
        <v>1</v>
      </c>
      <c r="L1204" s="27">
        <v>1</v>
      </c>
      <c r="M1204" s="26">
        <v>0.98237885462555063</v>
      </c>
      <c r="N1204" s="28">
        <v>0.9</v>
      </c>
      <c r="O1204" s="26">
        <v>0.99024139702105807</v>
      </c>
      <c r="P1204" s="26">
        <v>0.98545101842870997</v>
      </c>
      <c r="Q1204" s="26">
        <v>0.98810939357907257</v>
      </c>
      <c r="R1204" s="26">
        <v>0.98984677865977477</v>
      </c>
      <c r="S1204" s="28">
        <v>0.9</v>
      </c>
      <c r="T1204" s="26">
        <v>0.96199280945043653</v>
      </c>
      <c r="U1204" s="26">
        <v>0.96362754607177492</v>
      </c>
      <c r="V1204" s="26">
        <v>0.96393182718985337</v>
      </c>
      <c r="W1204" s="26">
        <v>0.96578672081718053</v>
      </c>
      <c r="X1204" s="28">
        <v>0.92</v>
      </c>
      <c r="Y1204" s="28">
        <v>0.97259201252936567</v>
      </c>
      <c r="Z1204" s="28">
        <v>0.98348348348348347</v>
      </c>
      <c r="AA1204" s="28">
        <v>0.99036323202372123</v>
      </c>
      <c r="AB1204" s="28">
        <v>0.97956459231875126</v>
      </c>
      <c r="AC1204" s="28">
        <v>0.92</v>
      </c>
      <c r="AD1204" s="26">
        <v>0.99869637354823415</v>
      </c>
      <c r="AE1204" s="26">
        <v>0.99174341060654181</v>
      </c>
      <c r="AF1204" s="26">
        <v>0.99355962624716254</v>
      </c>
      <c r="AG1204" s="26">
        <v>0.93872371283538791</v>
      </c>
      <c r="AH1204" s="28">
        <v>0.92</v>
      </c>
      <c r="AI1204" s="26">
        <v>0.98232558139534887</v>
      </c>
      <c r="AJ1204" s="26">
        <v>0.98791985857395404</v>
      </c>
      <c r="AK1204" s="26">
        <v>0.99225206611570249</v>
      </c>
      <c r="AL1204" s="26">
        <v>0.98788042014543498</v>
      </c>
      <c r="AM1204" s="25">
        <v>0.99</v>
      </c>
      <c r="AN1204" s="30">
        <v>1</v>
      </c>
      <c r="AO1204" s="30">
        <v>1</v>
      </c>
      <c r="AP1204" s="30">
        <v>1</v>
      </c>
      <c r="AQ1204" s="30">
        <v>0.99425287356321834</v>
      </c>
      <c r="AR1204" s="50">
        <v>7.2186152540827803E-2</v>
      </c>
      <c r="AS1204" s="34">
        <v>7.1428571428571425E-2</v>
      </c>
      <c r="AT1204" s="34">
        <v>0.125</v>
      </c>
      <c r="AU1204" s="34">
        <v>4.3478260869565216E-2</v>
      </c>
      <c r="AV1204" s="34">
        <v>5.6603773584905662E-2</v>
      </c>
      <c r="AW1204" s="10"/>
      <c r="AX1204" s="8"/>
    </row>
    <row r="1205" spans="1:50">
      <c r="A1205" s="7"/>
      <c r="B1205" s="10"/>
      <c r="C1205" s="45" t="s">
        <v>1100</v>
      </c>
      <c r="D1205" s="23" t="s">
        <v>25</v>
      </c>
      <c r="E1205" s="83" t="s">
        <v>1249</v>
      </c>
      <c r="F1205" s="83" t="s">
        <v>1249</v>
      </c>
      <c r="G1205" s="83" t="s">
        <v>1249</v>
      </c>
      <c r="H1205" s="83" t="s">
        <v>1249</v>
      </c>
      <c r="I1205" s="25">
        <v>0.9</v>
      </c>
      <c r="J1205" s="26">
        <v>1</v>
      </c>
      <c r="K1205" s="26">
        <v>0.97297297297297303</v>
      </c>
      <c r="L1205" s="27">
        <v>1</v>
      </c>
      <c r="M1205" s="26">
        <v>0.97552447552447552</v>
      </c>
      <c r="N1205" s="28">
        <v>0.9</v>
      </c>
      <c r="O1205" s="26">
        <v>0.98781082398829834</v>
      </c>
      <c r="P1205" s="26">
        <v>0.99209138840070299</v>
      </c>
      <c r="Q1205" s="26">
        <v>0.9913164293157346</v>
      </c>
      <c r="R1205" s="26">
        <v>0.99119785686949868</v>
      </c>
      <c r="S1205" s="28">
        <v>0.9</v>
      </c>
      <c r="T1205" s="26">
        <v>0.94978059483178934</v>
      </c>
      <c r="U1205" s="26">
        <v>0.95606326889279436</v>
      </c>
      <c r="V1205" s="26">
        <v>0.9538034039597082</v>
      </c>
      <c r="W1205" s="26">
        <v>0.9522169372915642</v>
      </c>
      <c r="X1205" s="28">
        <v>0.92</v>
      </c>
      <c r="Y1205" s="28">
        <v>0.94546649145860706</v>
      </c>
      <c r="Z1205" s="28">
        <v>0.96655791190864604</v>
      </c>
      <c r="AA1205" s="28">
        <v>0.97681905988409534</v>
      </c>
      <c r="AB1205" s="28">
        <v>0.96759174730691988</v>
      </c>
      <c r="AC1205" s="28">
        <v>0.92</v>
      </c>
      <c r="AD1205" s="26">
        <v>0.99703646437314775</v>
      </c>
      <c r="AE1205" s="26">
        <v>0.99667017174903605</v>
      </c>
      <c r="AF1205" s="26">
        <v>0.99597958868099579</v>
      </c>
      <c r="AG1205" s="26">
        <v>0.99722407072915675</v>
      </c>
      <c r="AH1205" s="28">
        <v>0.92</v>
      </c>
      <c r="AI1205" s="26">
        <v>0.96810296586457756</v>
      </c>
      <c r="AJ1205" s="26">
        <v>0.98229583095374073</v>
      </c>
      <c r="AK1205" s="26">
        <v>0.98849537559214984</v>
      </c>
      <c r="AL1205" s="26">
        <v>0.9821214918128055</v>
      </c>
      <c r="AM1205" s="25">
        <v>0.99</v>
      </c>
      <c r="AN1205" s="30">
        <v>1</v>
      </c>
      <c r="AO1205" s="30">
        <v>1</v>
      </c>
      <c r="AP1205" s="30">
        <v>1</v>
      </c>
      <c r="AQ1205" s="30">
        <v>1</v>
      </c>
      <c r="AR1205" s="50">
        <v>7.2186152540827803E-2</v>
      </c>
      <c r="AS1205" s="34">
        <v>0</v>
      </c>
      <c r="AT1205" s="34">
        <v>0.14285714285714285</v>
      </c>
      <c r="AU1205" s="34">
        <v>0</v>
      </c>
      <c r="AV1205" s="34">
        <v>4.6153846153846156E-2</v>
      </c>
      <c r="AW1205" s="10"/>
      <c r="AX1205" s="8"/>
    </row>
    <row r="1206" spans="1:50">
      <c r="A1206" s="7"/>
      <c r="B1206" s="10"/>
      <c r="C1206" s="45" t="s">
        <v>1100</v>
      </c>
      <c r="D1206" s="23" t="s">
        <v>25</v>
      </c>
      <c r="E1206" s="83" t="s">
        <v>1250</v>
      </c>
      <c r="F1206" s="83" t="s">
        <v>1250</v>
      </c>
      <c r="G1206" s="83" t="s">
        <v>1250</v>
      </c>
      <c r="H1206" s="83" t="s">
        <v>1250</v>
      </c>
      <c r="I1206" s="25">
        <v>0.9</v>
      </c>
      <c r="J1206" s="26">
        <v>0.94736842105263153</v>
      </c>
      <c r="K1206" s="26">
        <v>1</v>
      </c>
      <c r="L1206" s="27">
        <v>1</v>
      </c>
      <c r="M1206" s="26">
        <v>0.99032258064516132</v>
      </c>
      <c r="N1206" s="28">
        <v>0.9</v>
      </c>
      <c r="O1206" s="26">
        <v>0.98849595227950571</v>
      </c>
      <c r="P1206" s="26">
        <v>0.98397699260476579</v>
      </c>
      <c r="Q1206" s="26">
        <v>0.98581560283687941</v>
      </c>
      <c r="R1206" s="26">
        <v>0.9868543679795948</v>
      </c>
      <c r="S1206" s="28">
        <v>0.9</v>
      </c>
      <c r="T1206" s="26">
        <v>0.95398380911802305</v>
      </c>
      <c r="U1206" s="26">
        <v>0.96138044371405096</v>
      </c>
      <c r="V1206" s="26">
        <v>0.95373184734886862</v>
      </c>
      <c r="W1206" s="26">
        <v>0.9515867955069407</v>
      </c>
      <c r="X1206" s="28">
        <v>0.92</v>
      </c>
      <c r="Y1206" s="28">
        <v>0.9627690517742874</v>
      </c>
      <c r="Z1206" s="28">
        <v>0.97308781869688388</v>
      </c>
      <c r="AA1206" s="28">
        <v>0.97515886770652804</v>
      </c>
      <c r="AB1206" s="28">
        <v>0.97303388249922285</v>
      </c>
      <c r="AC1206" s="28">
        <v>0.92</v>
      </c>
      <c r="AD1206" s="26">
        <v>0.9975644957604185</v>
      </c>
      <c r="AE1206" s="26">
        <v>0.99550783389941933</v>
      </c>
      <c r="AF1206" s="26">
        <v>0.99902067464635469</v>
      </c>
      <c r="AG1206" s="26">
        <v>0.9602039423899964</v>
      </c>
      <c r="AH1206" s="28">
        <v>0.92</v>
      </c>
      <c r="AI1206" s="26">
        <v>0.97663551401869164</v>
      </c>
      <c r="AJ1206" s="26">
        <v>0.98491939677587104</v>
      </c>
      <c r="AK1206" s="26">
        <v>0.98465473145780047</v>
      </c>
      <c r="AL1206" s="26">
        <v>0.98427446028023335</v>
      </c>
      <c r="AM1206" s="25">
        <v>0.99</v>
      </c>
      <c r="AN1206" s="30">
        <v>1</v>
      </c>
      <c r="AO1206" s="30">
        <v>1</v>
      </c>
      <c r="AP1206" s="30">
        <v>1</v>
      </c>
      <c r="AQ1206" s="30">
        <v>1</v>
      </c>
      <c r="AR1206" s="50">
        <v>7.2186152540827803E-2</v>
      </c>
      <c r="AS1206" s="34">
        <v>0</v>
      </c>
      <c r="AT1206" s="34">
        <v>0.18181818181818182</v>
      </c>
      <c r="AU1206" s="34">
        <v>-6.6666666666666666E-2</v>
      </c>
      <c r="AV1206" s="34">
        <v>2.5316455696202531E-2</v>
      </c>
      <c r="AW1206" s="10"/>
      <c r="AX1206" s="8"/>
    </row>
    <row r="1207" spans="1:50">
      <c r="A1207" s="7"/>
      <c r="B1207" s="10"/>
      <c r="C1207" s="45" t="s">
        <v>1100</v>
      </c>
      <c r="D1207" s="23" t="s">
        <v>25</v>
      </c>
      <c r="E1207" s="83" t="s">
        <v>1251</v>
      </c>
      <c r="F1207" s="83" t="s">
        <v>1251</v>
      </c>
      <c r="G1207" s="83" t="s">
        <v>1251</v>
      </c>
      <c r="H1207" s="83" t="s">
        <v>1251</v>
      </c>
      <c r="I1207" s="25">
        <v>0.9</v>
      </c>
      <c r="J1207" s="26">
        <v>1</v>
      </c>
      <c r="K1207" s="26">
        <v>0.96</v>
      </c>
      <c r="L1207" s="27">
        <v>0.9642857142857143</v>
      </c>
      <c r="M1207" s="26">
        <v>0.94117647058823528</v>
      </c>
      <c r="N1207" s="28">
        <v>0.9</v>
      </c>
      <c r="O1207" s="26">
        <v>0.98085846867749416</v>
      </c>
      <c r="P1207" s="26">
        <v>0.99597006332757632</v>
      </c>
      <c r="Q1207" s="26">
        <v>0.99391233766233766</v>
      </c>
      <c r="R1207" s="26">
        <v>0.985288522511097</v>
      </c>
      <c r="S1207" s="28">
        <v>0.9</v>
      </c>
      <c r="T1207" s="26">
        <v>0.94083526682134566</v>
      </c>
      <c r="U1207" s="26">
        <v>0.92285549798503164</v>
      </c>
      <c r="V1207" s="26">
        <v>0.95008116883116878</v>
      </c>
      <c r="W1207" s="26">
        <v>0.94521242866201649</v>
      </c>
      <c r="X1207" s="28">
        <v>0.92</v>
      </c>
      <c r="Y1207" s="28">
        <v>0.95272435897435892</v>
      </c>
      <c r="Z1207" s="28">
        <v>0.95891690009337072</v>
      </c>
      <c r="AA1207" s="28">
        <v>0.96224832214765099</v>
      </c>
      <c r="AB1207" s="28">
        <v>0.9536933581626319</v>
      </c>
      <c r="AC1207" s="28">
        <v>0.92</v>
      </c>
      <c r="AD1207" s="26">
        <v>0.99808978032473739</v>
      </c>
      <c r="AE1207" s="26">
        <v>0.99726214921286793</v>
      </c>
      <c r="AF1207" s="26">
        <v>0.99614838840462194</v>
      </c>
      <c r="AG1207" s="26">
        <v>0.99728487388953724</v>
      </c>
      <c r="AH1207" s="28">
        <v>0.92</v>
      </c>
      <c r="AI1207" s="26">
        <v>0.96803499327052489</v>
      </c>
      <c r="AJ1207" s="26">
        <v>0.96830484330484334</v>
      </c>
      <c r="AK1207" s="26">
        <v>0.97620350109409193</v>
      </c>
      <c r="AL1207" s="26">
        <v>0.97221406086044071</v>
      </c>
      <c r="AM1207" s="25">
        <v>0.99</v>
      </c>
      <c r="AN1207" s="30">
        <v>1</v>
      </c>
      <c r="AO1207" s="30">
        <v>1</v>
      </c>
      <c r="AP1207" s="30">
        <v>1</v>
      </c>
      <c r="AQ1207" s="30">
        <v>1</v>
      </c>
      <c r="AR1207" s="50">
        <v>7.2186152540827803E-2</v>
      </c>
      <c r="AS1207" s="34">
        <v>0</v>
      </c>
      <c r="AT1207" s="34">
        <v>0.125</v>
      </c>
      <c r="AU1207" s="34">
        <v>0</v>
      </c>
      <c r="AV1207" s="34">
        <v>3.5294117647058823E-2</v>
      </c>
      <c r="AW1207" s="10"/>
      <c r="AX1207" s="8"/>
    </row>
    <row r="1208" spans="1:50">
      <c r="A1208" s="7"/>
      <c r="B1208" s="10"/>
      <c r="C1208" s="45" t="s">
        <v>1100</v>
      </c>
      <c r="D1208" s="23" t="s">
        <v>25</v>
      </c>
      <c r="E1208" s="83" t="s">
        <v>1252</v>
      </c>
      <c r="F1208" s="83" t="s">
        <v>1252</v>
      </c>
      <c r="G1208" s="83" t="s">
        <v>1252</v>
      </c>
      <c r="H1208" s="83" t="s">
        <v>1252</v>
      </c>
      <c r="I1208" s="25">
        <v>0.9</v>
      </c>
      <c r="J1208" s="26">
        <v>0.93478260869565222</v>
      </c>
      <c r="K1208" s="26">
        <v>0.92156862745098034</v>
      </c>
      <c r="L1208" s="27">
        <v>0.92592592592592593</v>
      </c>
      <c r="M1208" s="26">
        <v>0.93500000000000005</v>
      </c>
      <c r="N1208" s="28">
        <v>0.9</v>
      </c>
      <c r="O1208" s="26">
        <v>0.98402323892519972</v>
      </c>
      <c r="P1208" s="26">
        <v>0.90694750078591635</v>
      </c>
      <c r="Q1208" s="26">
        <v>0.93256363159275779</v>
      </c>
      <c r="R1208" s="26">
        <v>0.93701665675193335</v>
      </c>
      <c r="S1208" s="28">
        <v>0.9</v>
      </c>
      <c r="T1208" s="26">
        <v>0.92846768336964414</v>
      </c>
      <c r="U1208" s="26">
        <v>0.91417793146809179</v>
      </c>
      <c r="V1208" s="26">
        <v>0.9441091577013907</v>
      </c>
      <c r="W1208" s="26">
        <v>0.92783313503866749</v>
      </c>
      <c r="X1208" s="28">
        <v>0.92</v>
      </c>
      <c r="Y1208" s="28">
        <v>0.9375</v>
      </c>
      <c r="Z1208" s="28">
        <v>0.95928753180661575</v>
      </c>
      <c r="AA1208" s="28">
        <v>0.96908602150537637</v>
      </c>
      <c r="AB1208" s="28">
        <v>0.95765219842164595</v>
      </c>
      <c r="AC1208" s="28">
        <v>0.92</v>
      </c>
      <c r="AD1208" s="26">
        <v>0.99669471153846156</v>
      </c>
      <c r="AE1208" s="26">
        <v>0.99676225716928768</v>
      </c>
      <c r="AF1208" s="26">
        <v>0.99556541019955658</v>
      </c>
      <c r="AG1208" s="26">
        <v>0.99485150114074583</v>
      </c>
      <c r="AH1208" s="28">
        <v>0.92</v>
      </c>
      <c r="AI1208" s="26">
        <v>0.95946510656080231</v>
      </c>
      <c r="AJ1208" s="26">
        <v>0.97513597513597516</v>
      </c>
      <c r="AK1208" s="26">
        <v>0.98395102581072136</v>
      </c>
      <c r="AL1208" s="26">
        <v>0.97634691195795009</v>
      </c>
      <c r="AM1208" s="25">
        <v>0.99</v>
      </c>
      <c r="AN1208" s="30">
        <v>1</v>
      </c>
      <c r="AO1208" s="30">
        <v>1</v>
      </c>
      <c r="AP1208" s="30">
        <v>1</v>
      </c>
      <c r="AQ1208" s="30">
        <v>1</v>
      </c>
      <c r="AR1208" s="50">
        <v>7.2186152540827803E-2</v>
      </c>
      <c r="AS1208" s="34">
        <v>9.0909090909090912E-2</v>
      </c>
      <c r="AT1208" s="34">
        <v>5.2631578947368418E-2</v>
      </c>
      <c r="AU1208" s="34">
        <v>5.5555555555555552E-2</v>
      </c>
      <c r="AV1208" s="34">
        <v>5.1546391752577317E-2</v>
      </c>
      <c r="AW1208" s="10"/>
      <c r="AX1208" s="8"/>
    </row>
    <row r="1209" spans="1:50">
      <c r="A1209" s="7"/>
      <c r="B1209" s="10"/>
      <c r="C1209" s="45" t="s">
        <v>1100</v>
      </c>
      <c r="D1209" s="23" t="s">
        <v>25</v>
      </c>
      <c r="E1209" s="83" t="s">
        <v>1253</v>
      </c>
      <c r="F1209" s="83" t="s">
        <v>1253</v>
      </c>
      <c r="G1209" s="83" t="s">
        <v>1253</v>
      </c>
      <c r="H1209" s="83" t="s">
        <v>1253</v>
      </c>
      <c r="I1209" s="25">
        <v>0.9</v>
      </c>
      <c r="J1209" s="26">
        <v>1</v>
      </c>
      <c r="K1209" s="26">
        <v>0.97368421052631582</v>
      </c>
      <c r="L1209" s="27">
        <v>1</v>
      </c>
      <c r="M1209" s="26">
        <v>0.99659863945578231</v>
      </c>
      <c r="N1209" s="28">
        <v>0.9</v>
      </c>
      <c r="O1209" s="26">
        <v>0.99311023622047245</v>
      </c>
      <c r="P1209" s="26">
        <v>0.99468085106382975</v>
      </c>
      <c r="Q1209" s="26">
        <v>0.99400564174894213</v>
      </c>
      <c r="R1209" s="26">
        <v>0.99273215184211994</v>
      </c>
      <c r="S1209" s="28">
        <v>0.9</v>
      </c>
      <c r="T1209" s="26">
        <v>0.95620078740157477</v>
      </c>
      <c r="U1209" s="26">
        <v>0.9561170212765957</v>
      </c>
      <c r="V1209" s="26">
        <v>0.94358251057827924</v>
      </c>
      <c r="W1209" s="26">
        <v>0.95510706099401799</v>
      </c>
      <c r="X1209" s="28">
        <v>0.92</v>
      </c>
      <c r="Y1209" s="28">
        <v>0.96441947565543074</v>
      </c>
      <c r="Z1209" s="28">
        <v>0.98249158249158253</v>
      </c>
      <c r="AA1209" s="28">
        <v>0.98212226066897346</v>
      </c>
      <c r="AB1209" s="28">
        <v>0.97677053824362603</v>
      </c>
      <c r="AC1209" s="28">
        <v>0.92</v>
      </c>
      <c r="AD1209" s="26">
        <v>1</v>
      </c>
      <c r="AE1209" s="26">
        <v>0.95027027027027022</v>
      </c>
      <c r="AF1209" s="26">
        <v>0.96237172177879138</v>
      </c>
      <c r="AG1209" s="26">
        <v>0.98875686725437584</v>
      </c>
      <c r="AH1209" s="28">
        <v>0.92</v>
      </c>
      <c r="AI1209" s="26">
        <v>0.97743533296642815</v>
      </c>
      <c r="AJ1209" s="26">
        <v>0.98663458968190321</v>
      </c>
      <c r="AK1209" s="26">
        <v>0.98818380743982492</v>
      </c>
      <c r="AL1209" s="26">
        <v>0.98584843274699119</v>
      </c>
      <c r="AM1209" s="25">
        <v>0.99</v>
      </c>
      <c r="AN1209" s="30">
        <v>1</v>
      </c>
      <c r="AO1209" s="30">
        <v>1</v>
      </c>
      <c r="AP1209" s="30">
        <v>1</v>
      </c>
      <c r="AQ1209" s="30">
        <v>1</v>
      </c>
      <c r="AR1209" s="50">
        <v>7.2186152540827803E-2</v>
      </c>
      <c r="AS1209" s="34">
        <v>0</v>
      </c>
      <c r="AT1209" s="34">
        <v>0</v>
      </c>
      <c r="AU1209" s="34">
        <v>0.1111111111111111</v>
      </c>
      <c r="AV1209" s="34">
        <v>5.9701492537313432E-2</v>
      </c>
      <c r="AW1209" s="10"/>
      <c r="AX1209" s="8"/>
    </row>
    <row r="1210" spans="1:50">
      <c r="A1210" s="7"/>
      <c r="B1210" s="10"/>
      <c r="C1210" s="45" t="s">
        <v>1100</v>
      </c>
      <c r="D1210" s="23" t="s">
        <v>25</v>
      </c>
      <c r="E1210" s="83" t="s">
        <v>1254</v>
      </c>
      <c r="F1210" s="83" t="s">
        <v>1254</v>
      </c>
      <c r="G1210" s="83" t="s">
        <v>1254</v>
      </c>
      <c r="H1210" s="83" t="s">
        <v>1254</v>
      </c>
      <c r="I1210" s="25">
        <v>0.9</v>
      </c>
      <c r="J1210" s="26">
        <v>1</v>
      </c>
      <c r="K1210" s="26">
        <v>1</v>
      </c>
      <c r="L1210" s="27">
        <v>0.97058823529411764</v>
      </c>
      <c r="M1210" s="26">
        <v>0.98859315589353614</v>
      </c>
      <c r="N1210" s="28">
        <v>0.9</v>
      </c>
      <c r="O1210" s="26">
        <v>0.94456641053787049</v>
      </c>
      <c r="P1210" s="26">
        <v>0.94814814814814818</v>
      </c>
      <c r="Q1210" s="26">
        <v>0.93757802746566787</v>
      </c>
      <c r="R1210" s="26">
        <v>0.95332321699544764</v>
      </c>
      <c r="S1210" s="28">
        <v>0.9</v>
      </c>
      <c r="T1210" s="26">
        <v>0.93688254665203075</v>
      </c>
      <c r="U1210" s="26">
        <v>0.9555555555555556</v>
      </c>
      <c r="V1210" s="26">
        <v>0.95172700790678322</v>
      </c>
      <c r="W1210" s="26">
        <v>0.95022761760242791</v>
      </c>
      <c r="X1210" s="28">
        <v>0.92</v>
      </c>
      <c r="Y1210" s="28">
        <v>0.94988780852655197</v>
      </c>
      <c r="Z1210" s="28">
        <v>0.96012509773260357</v>
      </c>
      <c r="AA1210" s="28">
        <v>0.97617426820966646</v>
      </c>
      <c r="AB1210" s="28">
        <v>0.96852526384608195</v>
      </c>
      <c r="AC1210" s="28">
        <v>0.92</v>
      </c>
      <c r="AD1210" s="26">
        <v>0.99875272840661056</v>
      </c>
      <c r="AE1210" s="26">
        <v>0.99480306345733038</v>
      </c>
      <c r="AF1210" s="26">
        <v>0.98268675857646681</v>
      </c>
      <c r="AG1210" s="26">
        <v>0.99429679054683717</v>
      </c>
      <c r="AH1210" s="28">
        <v>0.92</v>
      </c>
      <c r="AI1210" s="26">
        <v>0.96802785691674575</v>
      </c>
      <c r="AJ1210" s="26">
        <v>0.9733656174334141</v>
      </c>
      <c r="AK1210" s="26">
        <v>0.9850206611570248</v>
      </c>
      <c r="AL1210" s="26">
        <v>0.98094327128246639</v>
      </c>
      <c r="AM1210" s="25">
        <v>0.99</v>
      </c>
      <c r="AN1210" s="30">
        <v>1</v>
      </c>
      <c r="AO1210" s="30">
        <v>1</v>
      </c>
      <c r="AP1210" s="30">
        <v>1</v>
      </c>
      <c r="AQ1210" s="30">
        <v>1</v>
      </c>
      <c r="AR1210" s="50">
        <v>7.2186152540827803E-2</v>
      </c>
      <c r="AS1210" s="34">
        <v>0</v>
      </c>
      <c r="AT1210" s="34">
        <v>0</v>
      </c>
      <c r="AU1210" s="34">
        <v>0</v>
      </c>
      <c r="AV1210" s="34">
        <v>3.5294117647058823E-2</v>
      </c>
      <c r="AW1210" s="10"/>
      <c r="AX1210" s="8"/>
    </row>
    <row r="1211" spans="1:50">
      <c r="A1211" s="7"/>
      <c r="B1211" s="10"/>
      <c r="C1211" s="45" t="s">
        <v>1100</v>
      </c>
      <c r="D1211" s="23" t="s">
        <v>25</v>
      </c>
      <c r="E1211" s="83" t="s">
        <v>1255</v>
      </c>
      <c r="F1211" s="83" t="s">
        <v>1255</v>
      </c>
      <c r="G1211" s="83" t="s">
        <v>1255</v>
      </c>
      <c r="H1211" s="83" t="s">
        <v>1255</v>
      </c>
      <c r="I1211" s="25">
        <v>0.9</v>
      </c>
      <c r="J1211" s="26">
        <v>0.96226415094339623</v>
      </c>
      <c r="K1211" s="26">
        <v>0.98148148148148151</v>
      </c>
      <c r="L1211" s="27">
        <v>1</v>
      </c>
      <c r="M1211" s="26">
        <v>0.97104677060133626</v>
      </c>
      <c r="N1211" s="28">
        <v>0.9</v>
      </c>
      <c r="O1211" s="26">
        <v>0.97014465989535237</v>
      </c>
      <c r="P1211" s="26">
        <v>0.98767201834862384</v>
      </c>
      <c r="Q1211" s="26">
        <v>0.98564249820531225</v>
      </c>
      <c r="R1211" s="26">
        <v>0.97499445143153063</v>
      </c>
      <c r="S1211" s="28">
        <v>0.9</v>
      </c>
      <c r="T1211" s="26">
        <v>0.93167128347183747</v>
      </c>
      <c r="U1211" s="26">
        <v>0.94868119266055051</v>
      </c>
      <c r="V1211" s="26">
        <v>0.93874132567599899</v>
      </c>
      <c r="W1211" s="26">
        <v>0.93408300658430121</v>
      </c>
      <c r="X1211" s="28">
        <v>0.92</v>
      </c>
      <c r="Y1211" s="28">
        <v>0.95066495066495071</v>
      </c>
      <c r="Z1211" s="28">
        <v>0.96244131455399062</v>
      </c>
      <c r="AA1211" s="28">
        <v>0.96027016289233214</v>
      </c>
      <c r="AB1211" s="28">
        <v>0.93936279547790336</v>
      </c>
      <c r="AC1211" s="28">
        <v>0.92</v>
      </c>
      <c r="AD1211" s="26">
        <v>0.98990825688073392</v>
      </c>
      <c r="AE1211" s="26">
        <v>0.99321705426356588</v>
      </c>
      <c r="AF1211" s="26">
        <v>0.99182561307901906</v>
      </c>
      <c r="AG1211" s="26">
        <v>0.99158091674462112</v>
      </c>
      <c r="AH1211" s="28">
        <v>0.92</v>
      </c>
      <c r="AI1211" s="26">
        <v>0.96971326164874549</v>
      </c>
      <c r="AJ1211" s="26">
        <v>0.97753387069113362</v>
      </c>
      <c r="AK1211" s="26">
        <v>0.97909199522102752</v>
      </c>
      <c r="AL1211" s="26">
        <v>0.96748824744079787</v>
      </c>
      <c r="AM1211" s="25">
        <v>0.99</v>
      </c>
      <c r="AN1211" s="30">
        <v>1</v>
      </c>
      <c r="AO1211" s="30">
        <v>1</v>
      </c>
      <c r="AP1211" s="30">
        <v>1</v>
      </c>
      <c r="AQ1211" s="30">
        <v>1</v>
      </c>
      <c r="AR1211" s="50">
        <v>7.2186152540827803E-2</v>
      </c>
      <c r="AS1211" s="34">
        <v>0</v>
      </c>
      <c r="AT1211" s="34">
        <v>0</v>
      </c>
      <c r="AU1211" s="34">
        <v>0</v>
      </c>
      <c r="AV1211" s="34">
        <v>2.8571428571428571E-2</v>
      </c>
      <c r="AW1211" s="10"/>
      <c r="AX1211" s="8"/>
    </row>
    <row r="1212" spans="1:50">
      <c r="A1212" s="7"/>
      <c r="B1212" s="10"/>
      <c r="C1212" s="45" t="s">
        <v>1100</v>
      </c>
      <c r="D1212" s="23" t="s">
        <v>25</v>
      </c>
      <c r="E1212" s="83" t="s">
        <v>1256</v>
      </c>
      <c r="F1212" s="83" t="s">
        <v>1256</v>
      </c>
      <c r="G1212" s="83" t="s">
        <v>1256</v>
      </c>
      <c r="H1212" s="83" t="s">
        <v>1256</v>
      </c>
      <c r="I1212" s="25">
        <v>0.9</v>
      </c>
      <c r="J1212" s="26">
        <v>0.88235294117647056</v>
      </c>
      <c r="K1212" s="26">
        <v>1</v>
      </c>
      <c r="L1212" s="27">
        <v>0.97368421052631582</v>
      </c>
      <c r="M1212" s="26">
        <v>0.89818181818181819</v>
      </c>
      <c r="N1212" s="28">
        <v>0.9</v>
      </c>
      <c r="O1212" s="26">
        <v>0.88943188759926695</v>
      </c>
      <c r="P1212" s="26">
        <v>0.92086770546898866</v>
      </c>
      <c r="Q1212" s="26">
        <v>0.89639758085721799</v>
      </c>
      <c r="R1212" s="26">
        <v>0.91829094137172407</v>
      </c>
      <c r="S1212" s="28">
        <v>0.9</v>
      </c>
      <c r="T1212" s="26">
        <v>0.85094685400122172</v>
      </c>
      <c r="U1212" s="26">
        <v>0.85578979529483656</v>
      </c>
      <c r="V1212" s="26">
        <v>0.86878779910596893</v>
      </c>
      <c r="W1212" s="26">
        <v>0.84773630784669418</v>
      </c>
      <c r="X1212" s="28">
        <v>0.92</v>
      </c>
      <c r="Y1212" s="28">
        <v>0.88964346349745327</v>
      </c>
      <c r="Z1212" s="28">
        <v>0.95445920303605314</v>
      </c>
      <c r="AA1212" s="28">
        <v>0.93273542600896864</v>
      </c>
      <c r="AB1212" s="28">
        <v>0.92825928623452292</v>
      </c>
      <c r="AC1212" s="28">
        <v>0.92</v>
      </c>
      <c r="AD1212" s="26">
        <v>0.99941639918295888</v>
      </c>
      <c r="AE1212" s="26">
        <v>0.99731310257626049</v>
      </c>
      <c r="AF1212" s="26">
        <v>0.99265306122448982</v>
      </c>
      <c r="AG1212" s="26">
        <v>0.99545212923040571</v>
      </c>
      <c r="AH1212" s="28">
        <v>0.92</v>
      </c>
      <c r="AI1212" s="26">
        <v>0.95029769609112091</v>
      </c>
      <c r="AJ1212" s="26">
        <v>0.96736842105263154</v>
      </c>
      <c r="AK1212" s="26">
        <v>0.96601073345259392</v>
      </c>
      <c r="AL1212" s="26">
        <v>0.96022672993026148</v>
      </c>
      <c r="AM1212" s="25">
        <v>0.99</v>
      </c>
      <c r="AN1212" s="30">
        <v>1</v>
      </c>
      <c r="AO1212" s="30">
        <v>1</v>
      </c>
      <c r="AP1212" s="30">
        <v>1</v>
      </c>
      <c r="AQ1212" s="30">
        <v>1</v>
      </c>
      <c r="AR1212" s="50">
        <v>7.2186152540827803E-2</v>
      </c>
      <c r="AS1212" s="34">
        <v>0</v>
      </c>
      <c r="AT1212" s="34">
        <v>0.13333333333333333</v>
      </c>
      <c r="AU1212" s="34">
        <v>0</v>
      </c>
      <c r="AV1212" s="34">
        <v>4.0322580645161289E-2</v>
      </c>
      <c r="AW1212" s="10"/>
      <c r="AX1212" s="8"/>
    </row>
    <row r="1213" spans="1:50">
      <c r="A1213" s="7"/>
      <c r="B1213" s="10"/>
      <c r="C1213" s="45" t="s">
        <v>1100</v>
      </c>
      <c r="D1213" s="23" t="s">
        <v>25</v>
      </c>
      <c r="E1213" s="83" t="s">
        <v>1257</v>
      </c>
      <c r="F1213" s="83" t="s">
        <v>1257</v>
      </c>
      <c r="G1213" s="83" t="s">
        <v>1257</v>
      </c>
      <c r="H1213" s="83" t="s">
        <v>1257</v>
      </c>
      <c r="I1213" s="25">
        <v>0.9</v>
      </c>
      <c r="J1213" s="26">
        <v>0.88461538461538458</v>
      </c>
      <c r="K1213" s="26">
        <v>0.89130434782608692</v>
      </c>
      <c r="L1213" s="27">
        <v>0.9</v>
      </c>
      <c r="M1213" s="26">
        <v>0.87403598971722363</v>
      </c>
      <c r="N1213" s="28">
        <v>0.9</v>
      </c>
      <c r="O1213" s="26">
        <v>0.95198329853862218</v>
      </c>
      <c r="P1213" s="26">
        <v>0.8799368088467614</v>
      </c>
      <c r="Q1213" s="26">
        <v>0.87106257874842508</v>
      </c>
      <c r="R1213" s="26">
        <v>0.85370147317705924</v>
      </c>
      <c r="S1213" s="28">
        <v>0.9</v>
      </c>
      <c r="T1213" s="26">
        <v>0.70093945720250517</v>
      </c>
      <c r="U1213" s="26">
        <v>0.62690889942074779</v>
      </c>
      <c r="V1213" s="26">
        <v>0.62410751784964302</v>
      </c>
      <c r="W1213" s="26">
        <v>0.63105716668210876</v>
      </c>
      <c r="X1213" s="28">
        <v>0.92</v>
      </c>
      <c r="Y1213" s="28">
        <v>0.66058394160583944</v>
      </c>
      <c r="Z1213" s="28">
        <v>0.60165484633569744</v>
      </c>
      <c r="AA1213" s="28">
        <v>0.62758620689655176</v>
      </c>
      <c r="AB1213" s="28">
        <v>0.63174825174825178</v>
      </c>
      <c r="AC1213" s="28">
        <v>0.92</v>
      </c>
      <c r="AD1213" s="26">
        <v>0.74509803921568629</v>
      </c>
      <c r="AE1213" s="26">
        <v>1</v>
      </c>
      <c r="AF1213" s="26">
        <v>0.9941860465116279</v>
      </c>
      <c r="AG1213" s="26">
        <v>0.96082209377007066</v>
      </c>
      <c r="AH1213" s="28">
        <v>0.92</v>
      </c>
      <c r="AI1213" s="26">
        <v>0.82943071965628357</v>
      </c>
      <c r="AJ1213" s="26">
        <v>0.78660637381567611</v>
      </c>
      <c r="AK1213" s="26">
        <v>0.84144176136363635</v>
      </c>
      <c r="AL1213" s="26">
        <v>0.82763330972376814</v>
      </c>
      <c r="AM1213" s="25">
        <v>0.99</v>
      </c>
      <c r="AN1213" s="30">
        <v>1</v>
      </c>
      <c r="AO1213" s="30">
        <v>1</v>
      </c>
      <c r="AP1213" s="30">
        <v>1</v>
      </c>
      <c r="AQ1213" s="30">
        <v>1</v>
      </c>
      <c r="AR1213" s="50">
        <v>7.2186152540827803E-2</v>
      </c>
      <c r="AS1213" s="34">
        <v>0</v>
      </c>
      <c r="AT1213" s="34">
        <v>0</v>
      </c>
      <c r="AU1213" s="34">
        <v>0.16</v>
      </c>
      <c r="AV1213" s="34">
        <v>4.5714285714285714E-2</v>
      </c>
      <c r="AW1213" s="10"/>
      <c r="AX1213" s="8"/>
    </row>
    <row r="1214" spans="1:50">
      <c r="A1214" s="7"/>
      <c r="B1214" s="10"/>
      <c r="C1214" s="45" t="s">
        <v>1100</v>
      </c>
      <c r="D1214" s="23" t="s">
        <v>25</v>
      </c>
      <c r="E1214" s="83" t="s">
        <v>1258</v>
      </c>
      <c r="F1214" s="83" t="s">
        <v>1258</v>
      </c>
      <c r="G1214" s="83" t="s">
        <v>1258</v>
      </c>
      <c r="H1214" s="83" t="s">
        <v>1258</v>
      </c>
      <c r="I1214" s="25">
        <v>0.9</v>
      </c>
      <c r="J1214" s="26">
        <v>0.90476190476190477</v>
      </c>
      <c r="K1214" s="26">
        <v>0.78723404255319152</v>
      </c>
      <c r="L1214" s="27">
        <v>0.93877551020408168</v>
      </c>
      <c r="M1214" s="26">
        <v>0.86908077994428967</v>
      </c>
      <c r="N1214" s="28">
        <v>0.9</v>
      </c>
      <c r="O1214" s="26">
        <v>0.99278267842822776</v>
      </c>
      <c r="P1214" s="26">
        <v>0.99757477768795477</v>
      </c>
      <c r="Q1214" s="26">
        <v>0.94636363636363641</v>
      </c>
      <c r="R1214" s="26">
        <v>0.97991424802110816</v>
      </c>
      <c r="S1214" s="28">
        <v>0.9</v>
      </c>
      <c r="T1214" s="26">
        <v>0.8906709435979685</v>
      </c>
      <c r="U1214" s="26">
        <v>0.9129614659121531</v>
      </c>
      <c r="V1214" s="26">
        <v>0.87818181818181817</v>
      </c>
      <c r="W1214" s="26">
        <v>0.89366754617414246</v>
      </c>
      <c r="X1214" s="28">
        <v>0.92</v>
      </c>
      <c r="Y1214" s="28">
        <v>0.91764705882352937</v>
      </c>
      <c r="Z1214" s="28">
        <v>0.92782152230971127</v>
      </c>
      <c r="AA1214" s="28">
        <v>0.94928478543563066</v>
      </c>
      <c r="AB1214" s="28">
        <v>0.93692997372082243</v>
      </c>
      <c r="AC1214" s="28">
        <v>0.92</v>
      </c>
      <c r="AD1214" s="26">
        <v>1</v>
      </c>
      <c r="AE1214" s="26">
        <v>1</v>
      </c>
      <c r="AF1214" s="26">
        <v>1</v>
      </c>
      <c r="AG1214" s="26">
        <v>0.99908382959230413</v>
      </c>
      <c r="AH1214" s="28">
        <v>0.92</v>
      </c>
      <c r="AI1214" s="26">
        <v>0.96629721782402167</v>
      </c>
      <c r="AJ1214" s="26">
        <v>0.97295485024586503</v>
      </c>
      <c r="AK1214" s="26">
        <v>0.97891274908106019</v>
      </c>
      <c r="AL1214" s="26">
        <v>0.96887741234030988</v>
      </c>
      <c r="AM1214" s="25">
        <v>0.99</v>
      </c>
      <c r="AN1214" s="30">
        <v>1</v>
      </c>
      <c r="AO1214" s="30">
        <v>1</v>
      </c>
      <c r="AP1214" s="30">
        <v>1</v>
      </c>
      <c r="AQ1214" s="30">
        <v>1</v>
      </c>
      <c r="AR1214" s="50">
        <v>7.2186152540827803E-2</v>
      </c>
      <c r="AS1214" s="34">
        <v>0.08</v>
      </c>
      <c r="AT1214" s="34">
        <v>0.04</v>
      </c>
      <c r="AU1214" s="34">
        <v>0</v>
      </c>
      <c r="AV1214" s="34">
        <v>1.0582010582010581E-2</v>
      </c>
      <c r="AW1214" s="10"/>
      <c r="AX1214" s="8"/>
    </row>
    <row r="1215" spans="1:50">
      <c r="A1215" s="7"/>
      <c r="B1215" s="10"/>
      <c r="C1215" s="45" t="s">
        <v>1100</v>
      </c>
      <c r="D1215" s="23" t="s">
        <v>25</v>
      </c>
      <c r="E1215" s="83" t="s">
        <v>1259</v>
      </c>
      <c r="F1215" s="83" t="s">
        <v>1259</v>
      </c>
      <c r="G1215" s="83" t="s">
        <v>1259</v>
      </c>
      <c r="H1215" s="83" t="s">
        <v>1259</v>
      </c>
      <c r="I1215" s="25">
        <v>0.9</v>
      </c>
      <c r="J1215" s="26">
        <v>0</v>
      </c>
      <c r="K1215" s="26">
        <v>0</v>
      </c>
      <c r="L1215" s="27">
        <v>0</v>
      </c>
      <c r="M1215" s="26">
        <v>0</v>
      </c>
      <c r="N1215" s="28">
        <v>0.9</v>
      </c>
      <c r="O1215" s="26">
        <v>0</v>
      </c>
      <c r="P1215" s="26">
        <v>0</v>
      </c>
      <c r="Q1215" s="26">
        <v>0</v>
      </c>
      <c r="R1215" s="26">
        <v>0</v>
      </c>
      <c r="S1215" s="28">
        <v>0.9</v>
      </c>
      <c r="T1215" s="26">
        <v>0</v>
      </c>
      <c r="U1215" s="26">
        <v>1</v>
      </c>
      <c r="V1215" s="26">
        <v>0</v>
      </c>
      <c r="W1215" s="26">
        <v>0.27777777777777779</v>
      </c>
      <c r="X1215" s="28">
        <v>0.92</v>
      </c>
      <c r="Y1215" s="28">
        <v>0</v>
      </c>
      <c r="Z1215" s="28">
        <v>0</v>
      </c>
      <c r="AA1215" s="28">
        <v>0</v>
      </c>
      <c r="AB1215" s="28">
        <v>1</v>
      </c>
      <c r="AC1215" s="28">
        <v>0.92</v>
      </c>
      <c r="AD1215" s="26">
        <v>0.65814502016282428</v>
      </c>
      <c r="AE1215" s="26">
        <v>0.67104542966611935</v>
      </c>
      <c r="AF1215" s="26">
        <v>0.99464831804281351</v>
      </c>
      <c r="AG1215" s="26">
        <v>0.81613893867454856</v>
      </c>
      <c r="AH1215" s="28">
        <v>0.92</v>
      </c>
      <c r="AI1215" s="26">
        <v>0.30769230769230771</v>
      </c>
      <c r="AJ1215" s="26">
        <v>1</v>
      </c>
      <c r="AK1215" s="26">
        <v>0</v>
      </c>
      <c r="AL1215" s="26">
        <v>0.52631578947368418</v>
      </c>
      <c r="AM1215" s="25">
        <v>0.99</v>
      </c>
      <c r="AN1215" s="30">
        <v>1</v>
      </c>
      <c r="AO1215" s="30">
        <v>1</v>
      </c>
      <c r="AP1215" s="30">
        <v>1</v>
      </c>
      <c r="AQ1215" s="30">
        <v>1</v>
      </c>
      <c r="AR1215" s="50">
        <v>7.2186152540827803E-2</v>
      </c>
      <c r="AS1215" s="34">
        <v>0</v>
      </c>
      <c r="AT1215" s="34">
        <v>0</v>
      </c>
      <c r="AU1215" s="34">
        <v>0</v>
      </c>
      <c r="AV1215" s="34">
        <v>0</v>
      </c>
      <c r="AW1215" s="10"/>
      <c r="AX1215" s="8"/>
    </row>
    <row r="1216" spans="1:50">
      <c r="A1216" s="7"/>
      <c r="B1216" s="10"/>
      <c r="C1216" s="45" t="s">
        <v>1100</v>
      </c>
      <c r="D1216" s="23" t="s">
        <v>25</v>
      </c>
      <c r="E1216" s="83" t="s">
        <v>1260</v>
      </c>
      <c r="F1216" s="83" t="s">
        <v>1260</v>
      </c>
      <c r="G1216" s="83" t="s">
        <v>1260</v>
      </c>
      <c r="H1216" s="83" t="s">
        <v>1260</v>
      </c>
      <c r="I1216" s="25">
        <v>0.9</v>
      </c>
      <c r="J1216" s="26">
        <v>0.97499999999999998</v>
      </c>
      <c r="K1216" s="26">
        <v>1</v>
      </c>
      <c r="L1216" s="27">
        <v>0.95833333333333337</v>
      </c>
      <c r="M1216" s="26">
        <v>0.95639534883720934</v>
      </c>
      <c r="N1216" s="28">
        <v>0.9</v>
      </c>
      <c r="O1216" s="26">
        <v>0.98587877471214425</v>
      </c>
      <c r="P1216" s="26">
        <v>0.98382574940694412</v>
      </c>
      <c r="Q1216" s="26">
        <v>0.98684210526315785</v>
      </c>
      <c r="R1216" s="26">
        <v>0.91873744461872919</v>
      </c>
      <c r="S1216" s="28">
        <v>0.9</v>
      </c>
      <c r="T1216" s="26">
        <v>0.83206604388442318</v>
      </c>
      <c r="U1216" s="26">
        <v>0.84623679102868232</v>
      </c>
      <c r="V1216" s="26">
        <v>0.83409610983981697</v>
      </c>
      <c r="W1216" s="26">
        <v>0.81427667244558188</v>
      </c>
      <c r="X1216" s="28">
        <v>0.92</v>
      </c>
      <c r="Y1216" s="28">
        <v>0.90726817042606511</v>
      </c>
      <c r="Z1216" s="28">
        <v>0.92251815980629537</v>
      </c>
      <c r="AA1216" s="28">
        <v>0.94620253164556967</v>
      </c>
      <c r="AB1216" s="28">
        <v>0.91362936344969203</v>
      </c>
      <c r="AC1216" s="28">
        <v>0.92</v>
      </c>
      <c r="AD1216" s="26">
        <v>0.99789439585357953</v>
      </c>
      <c r="AE1216" s="26">
        <v>0.99756850275881415</v>
      </c>
      <c r="AF1216" s="26">
        <v>0.99482958742217997</v>
      </c>
      <c r="AG1216" s="26">
        <v>0.99048244918307693</v>
      </c>
      <c r="AH1216" s="28">
        <v>0.92</v>
      </c>
      <c r="AI1216" s="26">
        <v>0.94130716533975189</v>
      </c>
      <c r="AJ1216" s="26">
        <v>0.95313930075050335</v>
      </c>
      <c r="AK1216" s="26">
        <v>0.96527777777777779</v>
      </c>
      <c r="AL1216" s="26">
        <v>0.94655035685963518</v>
      </c>
      <c r="AM1216" s="25">
        <v>0.99</v>
      </c>
      <c r="AN1216" s="30">
        <v>1</v>
      </c>
      <c r="AO1216" s="30">
        <v>1</v>
      </c>
      <c r="AP1216" s="30">
        <v>1</v>
      </c>
      <c r="AQ1216" s="30">
        <v>1</v>
      </c>
      <c r="AR1216" s="50">
        <v>7.2186152540827803E-2</v>
      </c>
      <c r="AS1216" s="34">
        <v>8.1081081081081086E-2</v>
      </c>
      <c r="AT1216" s="34">
        <v>-2.5000000000000001E-2</v>
      </c>
      <c r="AU1216" s="34">
        <v>-0.125</v>
      </c>
      <c r="AV1216" s="34">
        <v>0</v>
      </c>
      <c r="AW1216" s="10"/>
      <c r="AX1216" s="8"/>
    </row>
    <row r="1217" spans="1:50">
      <c r="A1217" s="7"/>
      <c r="B1217" s="10"/>
      <c r="C1217" s="45" t="s">
        <v>1100</v>
      </c>
      <c r="D1217" s="23" t="s">
        <v>25</v>
      </c>
      <c r="E1217" s="84" t="s">
        <v>1261</v>
      </c>
      <c r="F1217" s="84" t="s">
        <v>1261</v>
      </c>
      <c r="G1217" s="84" t="s">
        <v>1261</v>
      </c>
      <c r="H1217" s="84" t="s">
        <v>1261</v>
      </c>
      <c r="I1217" s="25">
        <v>0.9</v>
      </c>
      <c r="J1217" s="26">
        <v>0.9642857142857143</v>
      </c>
      <c r="K1217" s="26">
        <v>0.93333333333333335</v>
      </c>
      <c r="L1217" s="27">
        <v>1</v>
      </c>
      <c r="M1217" s="26">
        <v>0.94067796610169496</v>
      </c>
      <c r="N1217" s="28">
        <v>0.9</v>
      </c>
      <c r="O1217" s="26">
        <v>0.94893260778568433</v>
      </c>
      <c r="P1217" s="26">
        <v>0.97238017871649063</v>
      </c>
      <c r="Q1217" s="26">
        <v>0.98700386371619253</v>
      </c>
      <c r="R1217" s="26">
        <v>0.97373119102269834</v>
      </c>
      <c r="S1217" s="28">
        <v>0.9</v>
      </c>
      <c r="T1217" s="26">
        <v>0.82796149016324827</v>
      </c>
      <c r="U1217" s="26">
        <v>0.88139723801787162</v>
      </c>
      <c r="V1217" s="26">
        <v>0.8689848963821567</v>
      </c>
      <c r="W1217" s="26">
        <v>0.86034174955368525</v>
      </c>
      <c r="X1217" s="28">
        <v>0.92</v>
      </c>
      <c r="Y1217" s="28">
        <v>0.86399999999999999</v>
      </c>
      <c r="Z1217" s="28">
        <v>0.91493775933609955</v>
      </c>
      <c r="AA1217" s="28">
        <v>0.89690721649484539</v>
      </c>
      <c r="AB1217" s="28">
        <v>0.87823893602384773</v>
      </c>
      <c r="AC1217" s="28">
        <v>0.92</v>
      </c>
      <c r="AD1217" s="26">
        <v>0.99809251311397229</v>
      </c>
      <c r="AE1217" s="26">
        <v>0.99795640326975477</v>
      </c>
      <c r="AF1217" s="26">
        <v>0.9987781036168133</v>
      </c>
      <c r="AG1217" s="26">
        <v>0.9976272775206515</v>
      </c>
      <c r="AH1217" s="28">
        <v>0.92</v>
      </c>
      <c r="AI1217" s="26">
        <v>0.92142609899619243</v>
      </c>
      <c r="AJ1217" s="26">
        <v>0.95176630434782605</v>
      </c>
      <c r="AK1217" s="26">
        <v>0.96668667466986791</v>
      </c>
      <c r="AL1217" s="26">
        <v>0.93837102561962782</v>
      </c>
      <c r="AM1217" s="25">
        <v>0.99</v>
      </c>
      <c r="AN1217" s="30">
        <v>1</v>
      </c>
      <c r="AO1217" s="30">
        <v>1</v>
      </c>
      <c r="AP1217" s="30">
        <v>1</v>
      </c>
      <c r="AQ1217" s="30">
        <v>1</v>
      </c>
      <c r="AR1217" s="50">
        <v>7.2186152540827803E-2</v>
      </c>
      <c r="AS1217" s="34">
        <v>0.05</v>
      </c>
      <c r="AT1217" s="34">
        <v>0.10526315789473684</v>
      </c>
      <c r="AU1217" s="34">
        <v>0.11764705882352941</v>
      </c>
      <c r="AV1217" s="34">
        <v>5.0359712230215826E-2</v>
      </c>
      <c r="AW1217" s="10"/>
      <c r="AX1217" s="8"/>
    </row>
    <row r="1218" spans="1:50">
      <c r="A1218" s="7"/>
      <c r="B1218" s="10"/>
      <c r="C1218" s="45" t="s">
        <v>1100</v>
      </c>
      <c r="D1218" s="23" t="s">
        <v>25</v>
      </c>
      <c r="E1218" s="83" t="s">
        <v>1262</v>
      </c>
      <c r="F1218" s="83" t="s">
        <v>1262</v>
      </c>
      <c r="G1218" s="83" t="s">
        <v>1262</v>
      </c>
      <c r="H1218" s="83" t="s">
        <v>1262</v>
      </c>
      <c r="I1218" s="25">
        <v>0.9</v>
      </c>
      <c r="J1218" s="26">
        <v>0</v>
      </c>
      <c r="K1218" s="26">
        <v>0</v>
      </c>
      <c r="L1218" s="27">
        <v>0</v>
      </c>
      <c r="M1218" s="26">
        <v>0</v>
      </c>
      <c r="N1218" s="28">
        <v>0.9</v>
      </c>
      <c r="O1218" s="26">
        <v>0</v>
      </c>
      <c r="P1218" s="26">
        <v>0</v>
      </c>
      <c r="Q1218" s="26">
        <v>0.33333333333333331</v>
      </c>
      <c r="R1218" s="26">
        <v>0.25</v>
      </c>
      <c r="S1218" s="28">
        <v>0.9</v>
      </c>
      <c r="T1218" s="26">
        <v>0.5</v>
      </c>
      <c r="U1218" s="26">
        <v>1</v>
      </c>
      <c r="V1218" s="26">
        <v>1</v>
      </c>
      <c r="W1218" s="26">
        <v>0.875</v>
      </c>
      <c r="X1218" s="28">
        <v>0.92</v>
      </c>
      <c r="Y1218" s="28">
        <v>0</v>
      </c>
      <c r="Z1218" s="28">
        <v>0</v>
      </c>
      <c r="AA1218" s="28">
        <v>0</v>
      </c>
      <c r="AB1218" s="28">
        <v>0</v>
      </c>
      <c r="AC1218" s="28">
        <v>0.92</v>
      </c>
      <c r="AD1218" s="26">
        <v>0.95870337477797518</v>
      </c>
      <c r="AE1218" s="26">
        <v>0.9892481619100324</v>
      </c>
      <c r="AF1218" s="26">
        <v>0.96602902374670185</v>
      </c>
      <c r="AG1218" s="26">
        <v>0.97540642379086917</v>
      </c>
      <c r="AH1218" s="28">
        <v>0.92</v>
      </c>
      <c r="AI1218" s="26">
        <v>0.66666666666666663</v>
      </c>
      <c r="AJ1218" s="26">
        <v>1</v>
      </c>
      <c r="AK1218" s="26">
        <v>1</v>
      </c>
      <c r="AL1218" s="26">
        <v>0.91666666666666663</v>
      </c>
      <c r="AM1218" s="25">
        <v>0.99</v>
      </c>
      <c r="AN1218" s="30">
        <v>1</v>
      </c>
      <c r="AO1218" s="30">
        <v>1</v>
      </c>
      <c r="AP1218" s="30">
        <v>1</v>
      </c>
      <c r="AQ1218" s="30">
        <v>1</v>
      </c>
      <c r="AR1218" s="50">
        <v>7.2186152540827803E-2</v>
      </c>
      <c r="AS1218" s="34">
        <v>0</v>
      </c>
      <c r="AT1218" s="34">
        <v>0</v>
      </c>
      <c r="AU1218" s="34">
        <v>0</v>
      </c>
      <c r="AV1218" s="34">
        <v>0</v>
      </c>
      <c r="AW1218" s="10"/>
      <c r="AX1218" s="8"/>
    </row>
    <row r="1219" spans="1:50">
      <c r="A1219" s="7"/>
      <c r="B1219" s="10"/>
      <c r="C1219" s="45" t="s">
        <v>1100</v>
      </c>
      <c r="D1219" s="23" t="s">
        <v>25</v>
      </c>
      <c r="E1219" s="83" t="s">
        <v>1263</v>
      </c>
      <c r="F1219" s="83" t="s">
        <v>1263</v>
      </c>
      <c r="G1219" s="83" t="s">
        <v>1263</v>
      </c>
      <c r="H1219" s="83" t="s">
        <v>1263</v>
      </c>
      <c r="I1219" s="25">
        <v>0.9</v>
      </c>
      <c r="J1219" s="26">
        <v>0</v>
      </c>
      <c r="K1219" s="26">
        <v>0</v>
      </c>
      <c r="L1219" s="27">
        <v>0</v>
      </c>
      <c r="M1219" s="26">
        <v>0</v>
      </c>
      <c r="N1219" s="28">
        <v>0.9</v>
      </c>
      <c r="O1219" s="26">
        <v>0.99650959860383947</v>
      </c>
      <c r="P1219" s="26">
        <v>1</v>
      </c>
      <c r="Q1219" s="26">
        <v>0.99372056514913654</v>
      </c>
      <c r="R1219" s="26">
        <v>0.99667604193300952</v>
      </c>
      <c r="S1219" s="28">
        <v>0.9</v>
      </c>
      <c r="T1219" s="26">
        <v>0.99476439790575921</v>
      </c>
      <c r="U1219" s="26">
        <v>1</v>
      </c>
      <c r="V1219" s="26">
        <v>0.99843014128728413</v>
      </c>
      <c r="W1219" s="26">
        <v>0.99769879826131425</v>
      </c>
      <c r="X1219" s="28">
        <v>0.92</v>
      </c>
      <c r="Y1219" s="28">
        <v>1</v>
      </c>
      <c r="Z1219" s="28">
        <v>1</v>
      </c>
      <c r="AA1219" s="28">
        <v>1</v>
      </c>
      <c r="AB1219" s="28">
        <v>0.99881796690307334</v>
      </c>
      <c r="AC1219" s="28">
        <v>0.92</v>
      </c>
      <c r="AD1219" s="26">
        <v>0.99286953170167658</v>
      </c>
      <c r="AE1219" s="26">
        <v>0.99740111561866129</v>
      </c>
      <c r="AF1219" s="26">
        <v>0.75255499153976313</v>
      </c>
      <c r="AG1219" s="26">
        <v>0.9648001060137984</v>
      </c>
      <c r="AH1219" s="28">
        <v>0.92</v>
      </c>
      <c r="AI1219" s="26">
        <v>0.99543378995433784</v>
      </c>
      <c r="AJ1219" s="26">
        <v>1</v>
      </c>
      <c r="AK1219" s="26">
        <v>0.99857142857142855</v>
      </c>
      <c r="AL1219" s="26">
        <v>0.99789960092417562</v>
      </c>
      <c r="AM1219" s="25">
        <v>0.99</v>
      </c>
      <c r="AN1219" s="30">
        <v>1</v>
      </c>
      <c r="AO1219" s="30">
        <v>1</v>
      </c>
      <c r="AP1219" s="30">
        <v>1</v>
      </c>
      <c r="AQ1219" s="30">
        <v>1</v>
      </c>
      <c r="AR1219" s="50">
        <v>7.2186152540827803E-2</v>
      </c>
      <c r="AS1219" s="34">
        <v>0</v>
      </c>
      <c r="AT1219" s="34">
        <v>0</v>
      </c>
      <c r="AU1219" s="34">
        <v>0</v>
      </c>
      <c r="AV1219" s="34">
        <v>7.7519379844961239E-3</v>
      </c>
      <c r="AW1219" s="10"/>
      <c r="AX1219" s="8"/>
    </row>
    <row r="1220" spans="1:50">
      <c r="A1220" s="7"/>
      <c r="B1220" s="10"/>
      <c r="C1220" s="45" t="s">
        <v>1100</v>
      </c>
      <c r="D1220" s="23" t="s">
        <v>25</v>
      </c>
      <c r="E1220" s="85" t="s">
        <v>1264</v>
      </c>
      <c r="F1220" s="85" t="s">
        <v>1264</v>
      </c>
      <c r="G1220" s="85" t="s">
        <v>1264</v>
      </c>
      <c r="H1220" s="85" t="s">
        <v>1264</v>
      </c>
      <c r="I1220" s="25">
        <v>0.9</v>
      </c>
      <c r="J1220" s="26">
        <v>1</v>
      </c>
      <c r="K1220" s="26">
        <v>0.9375</v>
      </c>
      <c r="L1220" s="27">
        <v>0.88235294117647056</v>
      </c>
      <c r="M1220" s="26">
        <v>0.91240875912408759</v>
      </c>
      <c r="N1220" s="28">
        <v>0.9</v>
      </c>
      <c r="O1220" s="26">
        <v>0.89539748953974896</v>
      </c>
      <c r="P1220" s="26">
        <v>0.91878487290762556</v>
      </c>
      <c r="Q1220" s="26">
        <v>0.94123931623931623</v>
      </c>
      <c r="R1220" s="26">
        <v>0.93556844363231906</v>
      </c>
      <c r="S1220" s="28">
        <v>0.9</v>
      </c>
      <c r="T1220" s="26">
        <v>0.91751344889420205</v>
      </c>
      <c r="U1220" s="26">
        <v>0.89150650960942346</v>
      </c>
      <c r="V1220" s="26">
        <v>0.90384615384615385</v>
      </c>
      <c r="W1220" s="26">
        <v>0.90696750615714627</v>
      </c>
      <c r="X1220" s="28">
        <v>0.92</v>
      </c>
      <c r="Y1220" s="28">
        <v>0.91569767441860461</v>
      </c>
      <c r="Z1220" s="28">
        <v>0.95355191256830596</v>
      </c>
      <c r="AA1220" s="28">
        <v>0.94303797468354433</v>
      </c>
      <c r="AB1220" s="28">
        <v>0.94113689875546591</v>
      </c>
      <c r="AC1220" s="28">
        <v>0.92</v>
      </c>
      <c r="AD1220" s="26">
        <v>0.90298773955481493</v>
      </c>
      <c r="AE1220" s="26">
        <v>0.94455312727069474</v>
      </c>
      <c r="AF1220" s="26">
        <v>0.91885728764173058</v>
      </c>
      <c r="AG1220" s="26">
        <v>0.86992889427846987</v>
      </c>
      <c r="AH1220" s="28">
        <v>0.92</v>
      </c>
      <c r="AI1220" s="26">
        <v>0.94695091720376801</v>
      </c>
      <c r="AJ1220" s="26">
        <v>0.96767676767676769</v>
      </c>
      <c r="AK1220" s="26">
        <v>0.97624486066697125</v>
      </c>
      <c r="AL1220" s="26">
        <v>0.96954314720812185</v>
      </c>
      <c r="AM1220" s="25">
        <v>0.99</v>
      </c>
      <c r="AN1220" s="30">
        <v>1</v>
      </c>
      <c r="AO1220" s="30">
        <v>1</v>
      </c>
      <c r="AP1220" s="30">
        <v>1</v>
      </c>
      <c r="AQ1220" s="30">
        <v>1</v>
      </c>
      <c r="AR1220" s="50">
        <v>7.2186152540827803E-2</v>
      </c>
      <c r="AS1220" s="34">
        <v>0</v>
      </c>
      <c r="AT1220" s="34">
        <v>8.3333333333333329E-2</v>
      </c>
      <c r="AU1220" s="34">
        <v>0</v>
      </c>
      <c r="AV1220" s="34">
        <v>6.4102564102564097E-2</v>
      </c>
      <c r="AW1220" s="10"/>
      <c r="AX1220" s="8"/>
    </row>
    <row r="1221" spans="1:50">
      <c r="A1221" s="7"/>
      <c r="B1221" s="10"/>
      <c r="C1221" s="45" t="s">
        <v>1100</v>
      </c>
      <c r="D1221" s="23" t="s">
        <v>25</v>
      </c>
      <c r="E1221" s="83" t="s">
        <v>1265</v>
      </c>
      <c r="F1221" s="83" t="s">
        <v>1265</v>
      </c>
      <c r="G1221" s="83" t="s">
        <v>1265</v>
      </c>
      <c r="H1221" s="83" t="s">
        <v>1265</v>
      </c>
      <c r="I1221" s="25">
        <v>0.9</v>
      </c>
      <c r="J1221" s="26">
        <v>0</v>
      </c>
      <c r="K1221" s="26">
        <v>0</v>
      </c>
      <c r="L1221" s="27">
        <v>0</v>
      </c>
      <c r="M1221" s="26">
        <v>0</v>
      </c>
      <c r="N1221" s="28">
        <v>0.9</v>
      </c>
      <c r="O1221" s="26">
        <v>0</v>
      </c>
      <c r="P1221" s="26">
        <v>0</v>
      </c>
      <c r="Q1221" s="26">
        <v>0</v>
      </c>
      <c r="R1221" s="26">
        <v>0</v>
      </c>
      <c r="S1221" s="28">
        <v>0.9</v>
      </c>
      <c r="T1221" s="26">
        <v>0.5</v>
      </c>
      <c r="U1221" s="26">
        <v>0</v>
      </c>
      <c r="V1221" s="26">
        <v>0</v>
      </c>
      <c r="W1221" s="26">
        <v>0.75</v>
      </c>
      <c r="X1221" s="28">
        <v>0.92</v>
      </c>
      <c r="Y1221" s="28">
        <v>0</v>
      </c>
      <c r="Z1221" s="28">
        <v>0</v>
      </c>
      <c r="AA1221" s="28">
        <v>0</v>
      </c>
      <c r="AB1221" s="28">
        <v>0</v>
      </c>
      <c r="AC1221" s="28">
        <v>0.92</v>
      </c>
      <c r="AD1221" s="26">
        <v>0.99943922613206226</v>
      </c>
      <c r="AE1221" s="26">
        <v>0.99921691464369611</v>
      </c>
      <c r="AF1221" s="26">
        <v>0.99835715459175289</v>
      </c>
      <c r="AG1221" s="26">
        <v>0.89728085469451346</v>
      </c>
      <c r="AH1221" s="28">
        <v>0.92</v>
      </c>
      <c r="AI1221" s="26">
        <v>0.5</v>
      </c>
      <c r="AJ1221" s="26">
        <v>0</v>
      </c>
      <c r="AK1221" s="26">
        <v>0</v>
      </c>
      <c r="AL1221" s="26">
        <v>0.75</v>
      </c>
      <c r="AM1221" s="25">
        <v>0.99</v>
      </c>
      <c r="AN1221" s="30">
        <v>1</v>
      </c>
      <c r="AO1221" s="30">
        <v>1</v>
      </c>
      <c r="AP1221" s="30">
        <v>1</v>
      </c>
      <c r="AQ1221" s="30">
        <v>1</v>
      </c>
      <c r="AR1221" s="50">
        <v>7.2186152540827803E-2</v>
      </c>
      <c r="AS1221" s="34">
        <v>0</v>
      </c>
      <c r="AT1221" s="34">
        <v>0</v>
      </c>
      <c r="AU1221" s="34">
        <v>0</v>
      </c>
      <c r="AV1221" s="34">
        <v>0</v>
      </c>
      <c r="AW1221" s="10"/>
      <c r="AX1221" s="8"/>
    </row>
    <row r="1222" spans="1:50">
      <c r="A1222" s="7"/>
      <c r="B1222" s="10"/>
      <c r="C1222" s="45" t="s">
        <v>1100</v>
      </c>
      <c r="D1222" s="23" t="s">
        <v>25</v>
      </c>
      <c r="E1222" s="83" t="s">
        <v>1266</v>
      </c>
      <c r="F1222" s="83" t="s">
        <v>1266</v>
      </c>
      <c r="G1222" s="83" t="s">
        <v>1266</v>
      </c>
      <c r="H1222" s="83" t="s">
        <v>1266</v>
      </c>
      <c r="I1222" s="25">
        <v>0.9</v>
      </c>
      <c r="J1222" s="26">
        <v>0.9538461538461539</v>
      </c>
      <c r="K1222" s="26">
        <v>0.91044776119402981</v>
      </c>
      <c r="L1222" s="27">
        <v>0.95833333333333337</v>
      </c>
      <c r="M1222" s="26">
        <v>0.96101364522417154</v>
      </c>
      <c r="N1222" s="28">
        <v>0.9</v>
      </c>
      <c r="O1222" s="26">
        <v>0.97932207826200757</v>
      </c>
      <c r="P1222" s="26">
        <v>0.9610035096841284</v>
      </c>
      <c r="Q1222" s="26">
        <v>0.9165566094369072</v>
      </c>
      <c r="R1222" s="26">
        <v>0.94909346885516099</v>
      </c>
      <c r="S1222" s="28">
        <v>0.9</v>
      </c>
      <c r="T1222" s="26">
        <v>0.91283863368669027</v>
      </c>
      <c r="U1222" s="26">
        <v>0.93903548680618742</v>
      </c>
      <c r="V1222" s="26">
        <v>0.92159923160043222</v>
      </c>
      <c r="W1222" s="26">
        <v>0.90893482590481423</v>
      </c>
      <c r="X1222" s="28">
        <v>0.92</v>
      </c>
      <c r="Y1222" s="28">
        <v>0.91861240827218149</v>
      </c>
      <c r="Z1222" s="28">
        <v>0.93538067818298143</v>
      </c>
      <c r="AA1222" s="28">
        <v>0.93295019157088122</v>
      </c>
      <c r="AB1222" s="28">
        <v>0.93163751987281396</v>
      </c>
      <c r="AC1222" s="28">
        <v>0.92</v>
      </c>
      <c r="AD1222" s="26">
        <v>0.99477861319966587</v>
      </c>
      <c r="AE1222" s="26">
        <v>0.98402366863905322</v>
      </c>
      <c r="AF1222" s="26">
        <v>0.95856703114082298</v>
      </c>
      <c r="AG1222" s="26">
        <v>0.94223427391466108</v>
      </c>
      <c r="AH1222" s="28">
        <v>0.92</v>
      </c>
      <c r="AI1222" s="26">
        <v>0.96017505470459519</v>
      </c>
      <c r="AJ1222" s="26">
        <v>0.96607972345252247</v>
      </c>
      <c r="AK1222" s="26">
        <v>0.96766043456291051</v>
      </c>
      <c r="AL1222" s="26">
        <v>0.96372897483977493</v>
      </c>
      <c r="AM1222" s="25">
        <v>0.99</v>
      </c>
      <c r="AN1222" s="30">
        <v>1</v>
      </c>
      <c r="AO1222" s="30">
        <v>1</v>
      </c>
      <c r="AP1222" s="30">
        <v>1</v>
      </c>
      <c r="AQ1222" s="30">
        <v>1</v>
      </c>
      <c r="AR1222" s="50">
        <v>7.2186152540827803E-2</v>
      </c>
      <c r="AS1222" s="34">
        <v>2.8571428571428571E-2</v>
      </c>
      <c r="AT1222" s="34">
        <v>2.9411764705882353E-2</v>
      </c>
      <c r="AU1222" s="34">
        <v>8.3333333333333329E-2</v>
      </c>
      <c r="AV1222" s="34">
        <v>4.797047970479705E-2</v>
      </c>
      <c r="AW1222" s="10"/>
      <c r="AX1222" s="8"/>
    </row>
    <row r="1223" spans="1:50">
      <c r="A1223" s="7"/>
      <c r="B1223" s="10"/>
      <c r="C1223" s="45" t="s">
        <v>1100</v>
      </c>
      <c r="D1223" s="23" t="s">
        <v>25</v>
      </c>
      <c r="E1223" s="83" t="s">
        <v>1267</v>
      </c>
      <c r="F1223" s="83" t="s">
        <v>1267</v>
      </c>
      <c r="G1223" s="83" t="s">
        <v>1267</v>
      </c>
      <c r="H1223" s="83" t="s">
        <v>1267</v>
      </c>
      <c r="I1223" s="25">
        <v>0.9</v>
      </c>
      <c r="J1223" s="26">
        <v>0.96052631578947367</v>
      </c>
      <c r="K1223" s="26">
        <v>0.92957746478873238</v>
      </c>
      <c r="L1223" s="27">
        <v>1</v>
      </c>
      <c r="M1223" s="26">
        <v>0.89643463497453313</v>
      </c>
      <c r="N1223" s="28">
        <v>0.9</v>
      </c>
      <c r="O1223" s="26">
        <v>0.95709688952449057</v>
      </c>
      <c r="P1223" s="26">
        <v>0.95032165832737669</v>
      </c>
      <c r="Q1223" s="26">
        <v>0.96104087033225527</v>
      </c>
      <c r="R1223" s="26">
        <v>0.95452234696038973</v>
      </c>
      <c r="S1223" s="28">
        <v>0.9</v>
      </c>
      <c r="T1223" s="26">
        <v>0.90972470504111547</v>
      </c>
      <c r="U1223" s="26">
        <v>0.90868477483917087</v>
      </c>
      <c r="V1223" s="26">
        <v>0.90120552778594532</v>
      </c>
      <c r="W1223" s="26">
        <v>0.89042575725481887</v>
      </c>
      <c r="X1223" s="28">
        <v>0.92</v>
      </c>
      <c r="Y1223" s="28">
        <v>0.90902729181245623</v>
      </c>
      <c r="Z1223" s="28">
        <v>0.93569131832797425</v>
      </c>
      <c r="AA1223" s="28">
        <v>0.94626865671641791</v>
      </c>
      <c r="AB1223" s="28">
        <v>0.93444347063978961</v>
      </c>
      <c r="AC1223" s="28">
        <v>0.92</v>
      </c>
      <c r="AD1223" s="26">
        <v>0.99572527785693932</v>
      </c>
      <c r="AE1223" s="26">
        <v>0.99626612355736588</v>
      </c>
      <c r="AF1223" s="26">
        <v>0.992776886035313</v>
      </c>
      <c r="AG1223" s="26">
        <v>0.9958308516974389</v>
      </c>
      <c r="AH1223" s="28">
        <v>0.92</v>
      </c>
      <c r="AI1223" s="26">
        <v>0.95088268792710706</v>
      </c>
      <c r="AJ1223" s="26">
        <v>0.96330945768162546</v>
      </c>
      <c r="AK1223" s="26">
        <v>0.97101449275362317</v>
      </c>
      <c r="AL1223" s="26">
        <v>0.96395858563460524</v>
      </c>
      <c r="AM1223" s="25">
        <v>0.99</v>
      </c>
      <c r="AN1223" s="30">
        <v>1</v>
      </c>
      <c r="AO1223" s="30">
        <v>1</v>
      </c>
      <c r="AP1223" s="30">
        <v>1</v>
      </c>
      <c r="AQ1223" s="30">
        <v>1</v>
      </c>
      <c r="AR1223" s="50">
        <v>7.2186152540827803E-2</v>
      </c>
      <c r="AS1223" s="34">
        <v>0</v>
      </c>
      <c r="AT1223" s="34">
        <v>0.1</v>
      </c>
      <c r="AU1223" s="34">
        <v>7.8947368421052627E-2</v>
      </c>
      <c r="AV1223" s="34">
        <v>3.237410071942446E-2</v>
      </c>
      <c r="AW1223" s="10"/>
      <c r="AX1223" s="8"/>
    </row>
    <row r="1224" spans="1:50">
      <c r="A1224" s="7"/>
      <c r="B1224" s="10"/>
      <c r="C1224" s="45" t="s">
        <v>1100</v>
      </c>
      <c r="D1224" s="23" t="s">
        <v>25</v>
      </c>
      <c r="E1224" s="83" t="s">
        <v>1268</v>
      </c>
      <c r="F1224" s="83" t="s">
        <v>1268</v>
      </c>
      <c r="G1224" s="83" t="s">
        <v>1268</v>
      </c>
      <c r="H1224" s="83" t="s">
        <v>1268</v>
      </c>
      <c r="I1224" s="25">
        <v>0.9</v>
      </c>
      <c r="J1224" s="26">
        <v>0</v>
      </c>
      <c r="K1224" s="26">
        <v>0</v>
      </c>
      <c r="L1224" s="27">
        <v>0</v>
      </c>
      <c r="M1224" s="26">
        <v>0</v>
      </c>
      <c r="N1224" s="28">
        <v>0.9</v>
      </c>
      <c r="O1224" s="26">
        <v>0</v>
      </c>
      <c r="P1224" s="26">
        <v>0</v>
      </c>
      <c r="Q1224" s="26">
        <v>0</v>
      </c>
      <c r="R1224" s="26">
        <v>1</v>
      </c>
      <c r="S1224" s="28">
        <v>0.9</v>
      </c>
      <c r="T1224" s="26">
        <v>0</v>
      </c>
      <c r="U1224" s="26">
        <v>0</v>
      </c>
      <c r="V1224" s="26">
        <v>0</v>
      </c>
      <c r="W1224" s="26">
        <v>1</v>
      </c>
      <c r="X1224" s="28">
        <v>0.92</v>
      </c>
      <c r="Y1224" s="28">
        <v>0</v>
      </c>
      <c r="Z1224" s="28">
        <v>0</v>
      </c>
      <c r="AA1224" s="28">
        <v>1</v>
      </c>
      <c r="AB1224" s="28">
        <v>1</v>
      </c>
      <c r="AC1224" s="28">
        <v>0.92</v>
      </c>
      <c r="AD1224" s="26">
        <v>1</v>
      </c>
      <c r="AE1224" s="26">
        <v>0.99954545454545451</v>
      </c>
      <c r="AF1224" s="26">
        <v>0.99954483386436044</v>
      </c>
      <c r="AG1224" s="26">
        <v>0.99901811576415145</v>
      </c>
      <c r="AH1224" s="28">
        <v>0.92</v>
      </c>
      <c r="AI1224" s="26">
        <v>0</v>
      </c>
      <c r="AJ1224" s="26">
        <v>0</v>
      </c>
      <c r="AK1224" s="26">
        <v>1</v>
      </c>
      <c r="AL1224" s="26">
        <v>1</v>
      </c>
      <c r="AM1224" s="25">
        <v>0.99</v>
      </c>
      <c r="AN1224" s="30">
        <v>1</v>
      </c>
      <c r="AO1224" s="30">
        <v>1</v>
      </c>
      <c r="AP1224" s="30">
        <v>1</v>
      </c>
      <c r="AQ1224" s="30">
        <v>1</v>
      </c>
      <c r="AR1224" s="50">
        <v>7.2186152540827803E-2</v>
      </c>
      <c r="AS1224" s="34">
        <v>0</v>
      </c>
      <c r="AT1224" s="34">
        <v>0</v>
      </c>
      <c r="AU1224" s="34">
        <v>0</v>
      </c>
      <c r="AV1224" s="34">
        <v>0</v>
      </c>
      <c r="AW1224" s="10"/>
      <c r="AX1224" s="8"/>
    </row>
    <row r="1225" spans="1:50">
      <c r="A1225" s="7"/>
      <c r="B1225" s="10"/>
      <c r="C1225" s="45" t="s">
        <v>1100</v>
      </c>
      <c r="D1225" s="23" t="s">
        <v>25</v>
      </c>
      <c r="E1225" s="83" t="s">
        <v>1269</v>
      </c>
      <c r="F1225" s="83" t="s">
        <v>1269</v>
      </c>
      <c r="G1225" s="83" t="s">
        <v>1269</v>
      </c>
      <c r="H1225" s="83" t="s">
        <v>1269</v>
      </c>
      <c r="I1225" s="25">
        <v>0.9</v>
      </c>
      <c r="J1225" s="26">
        <v>1</v>
      </c>
      <c r="K1225" s="26">
        <v>0.92982456140350878</v>
      </c>
      <c r="L1225" s="27">
        <v>0.90566037735849059</v>
      </c>
      <c r="M1225" s="26">
        <v>0.93302540415704383</v>
      </c>
      <c r="N1225" s="28">
        <v>0.9</v>
      </c>
      <c r="O1225" s="26">
        <v>0.95042400521852577</v>
      </c>
      <c r="P1225" s="26">
        <v>0.95349309504467916</v>
      </c>
      <c r="Q1225" s="26">
        <v>0.90239149689991138</v>
      </c>
      <c r="R1225" s="26">
        <v>0.95348534201954394</v>
      </c>
      <c r="S1225" s="28">
        <v>0.9</v>
      </c>
      <c r="T1225" s="26">
        <v>0.90128288758425745</v>
      </c>
      <c r="U1225" s="26">
        <v>0.93948009748172223</v>
      </c>
      <c r="V1225" s="26">
        <v>0.90487156775907884</v>
      </c>
      <c r="W1225" s="26">
        <v>0.91114006514657986</v>
      </c>
      <c r="X1225" s="28">
        <v>0.92</v>
      </c>
      <c r="Y1225" s="28">
        <v>0.93297297297297299</v>
      </c>
      <c r="Z1225" s="28">
        <v>0.96218905472636818</v>
      </c>
      <c r="AA1225" s="28">
        <v>0.93659942363112392</v>
      </c>
      <c r="AB1225" s="28">
        <v>0.94686046511627908</v>
      </c>
      <c r="AC1225" s="28">
        <v>0.92</v>
      </c>
      <c r="AD1225" s="26">
        <v>0.99636941229861586</v>
      </c>
      <c r="AE1225" s="26">
        <v>0.99958986978365627</v>
      </c>
      <c r="AF1225" s="26">
        <v>0.99958626396359118</v>
      </c>
      <c r="AG1225" s="26">
        <v>0.92198427411621808</v>
      </c>
      <c r="AH1225" s="28">
        <v>0.92</v>
      </c>
      <c r="AI1225" s="26">
        <v>0.96162201303403327</v>
      </c>
      <c r="AJ1225" s="26">
        <v>0.97453625632377738</v>
      </c>
      <c r="AK1225" s="26">
        <v>0.97248803827751196</v>
      </c>
      <c r="AL1225" s="26">
        <v>0.97017879948914432</v>
      </c>
      <c r="AM1225" s="25">
        <v>0.99</v>
      </c>
      <c r="AN1225" s="30">
        <v>1</v>
      </c>
      <c r="AO1225" s="30">
        <v>1</v>
      </c>
      <c r="AP1225" s="30">
        <v>1</v>
      </c>
      <c r="AQ1225" s="30">
        <v>1</v>
      </c>
      <c r="AR1225" s="50">
        <v>7.2186152540827803E-2</v>
      </c>
      <c r="AS1225" s="34">
        <v>4.7619047619047616E-2</v>
      </c>
      <c r="AT1225" s="34">
        <v>0</v>
      </c>
      <c r="AU1225" s="34">
        <v>5.8823529411764705E-2</v>
      </c>
      <c r="AV1225" s="34">
        <v>1.6447368421052631E-2</v>
      </c>
      <c r="AW1225" s="10"/>
      <c r="AX1225" s="8"/>
    </row>
    <row r="1226" spans="1:50">
      <c r="A1226" s="7"/>
      <c r="B1226" s="10"/>
      <c r="C1226" s="45" t="s">
        <v>1100</v>
      </c>
      <c r="D1226" s="23" t="s">
        <v>25</v>
      </c>
      <c r="E1226" s="83" t="s">
        <v>1270</v>
      </c>
      <c r="F1226" s="83" t="s">
        <v>1270</v>
      </c>
      <c r="G1226" s="83" t="s">
        <v>1270</v>
      </c>
      <c r="H1226" s="83" t="s">
        <v>1270</v>
      </c>
      <c r="I1226" s="25">
        <v>0.9</v>
      </c>
      <c r="J1226" s="26">
        <v>0</v>
      </c>
      <c r="K1226" s="26">
        <v>0</v>
      </c>
      <c r="L1226" s="27">
        <v>0</v>
      </c>
      <c r="M1226" s="26">
        <v>0</v>
      </c>
      <c r="N1226" s="28">
        <v>0.9</v>
      </c>
      <c r="O1226" s="26">
        <v>0</v>
      </c>
      <c r="P1226" s="26">
        <v>0</v>
      </c>
      <c r="Q1226" s="26">
        <v>0</v>
      </c>
      <c r="R1226" s="26">
        <v>0</v>
      </c>
      <c r="S1226" s="28">
        <v>0.9</v>
      </c>
      <c r="T1226" s="26">
        <v>0</v>
      </c>
      <c r="U1226" s="26">
        <v>1</v>
      </c>
      <c r="V1226" s="26">
        <v>1</v>
      </c>
      <c r="W1226" s="26">
        <v>0.83333333333333337</v>
      </c>
      <c r="X1226" s="28">
        <v>0.92</v>
      </c>
      <c r="Y1226" s="28">
        <v>0</v>
      </c>
      <c r="Z1226" s="28">
        <v>0</v>
      </c>
      <c r="AA1226" s="28">
        <v>0</v>
      </c>
      <c r="AB1226" s="28">
        <v>0</v>
      </c>
      <c r="AC1226" s="28">
        <v>0.92</v>
      </c>
      <c r="AD1226" s="26">
        <v>0.99470613656006912</v>
      </c>
      <c r="AE1226" s="26">
        <v>0.99788569540799477</v>
      </c>
      <c r="AF1226" s="26">
        <v>0.99908752186145544</v>
      </c>
      <c r="AG1226" s="26">
        <v>0.99090693703482813</v>
      </c>
      <c r="AH1226" s="28">
        <v>0.92</v>
      </c>
      <c r="AI1226" s="26">
        <v>0</v>
      </c>
      <c r="AJ1226" s="26">
        <v>1</v>
      </c>
      <c r="AK1226" s="26">
        <v>0.75</v>
      </c>
      <c r="AL1226" s="26">
        <v>0.8</v>
      </c>
      <c r="AM1226" s="25">
        <v>0.99</v>
      </c>
      <c r="AN1226" s="30">
        <v>1</v>
      </c>
      <c r="AO1226" s="30">
        <v>1</v>
      </c>
      <c r="AP1226" s="30">
        <v>1</v>
      </c>
      <c r="AQ1226" s="30">
        <v>1</v>
      </c>
      <c r="AR1226" s="50">
        <v>7.2186152540827803E-2</v>
      </c>
      <c r="AS1226" s="34">
        <v>0</v>
      </c>
      <c r="AT1226" s="34">
        <v>0</v>
      </c>
      <c r="AU1226" s="34">
        <v>0</v>
      </c>
      <c r="AV1226" s="34">
        <v>0</v>
      </c>
      <c r="AW1226" s="10"/>
      <c r="AX1226" s="8"/>
    </row>
    <row r="1227" spans="1:50">
      <c r="A1227" s="7"/>
      <c r="B1227" s="10"/>
      <c r="C1227" s="45" t="s">
        <v>1100</v>
      </c>
      <c r="D1227" s="23" t="s">
        <v>25</v>
      </c>
      <c r="E1227" s="83" t="s">
        <v>1271</v>
      </c>
      <c r="F1227" s="83" t="s">
        <v>1271</v>
      </c>
      <c r="G1227" s="83" t="s">
        <v>1271</v>
      </c>
      <c r="H1227" s="83" t="s">
        <v>1271</v>
      </c>
      <c r="I1227" s="25">
        <v>0.9</v>
      </c>
      <c r="J1227" s="26">
        <v>0</v>
      </c>
      <c r="K1227" s="26">
        <v>0</v>
      </c>
      <c r="L1227" s="27">
        <v>0</v>
      </c>
      <c r="M1227" s="26">
        <v>0</v>
      </c>
      <c r="N1227" s="28">
        <v>0.9</v>
      </c>
      <c r="O1227" s="26">
        <v>0</v>
      </c>
      <c r="P1227" s="26">
        <v>0</v>
      </c>
      <c r="Q1227" s="26">
        <v>0</v>
      </c>
      <c r="R1227" s="26">
        <v>0</v>
      </c>
      <c r="S1227" s="28">
        <v>0.9</v>
      </c>
      <c r="T1227" s="26">
        <v>0</v>
      </c>
      <c r="U1227" s="26">
        <v>0</v>
      </c>
      <c r="V1227" s="26">
        <v>0</v>
      </c>
      <c r="W1227" s="26">
        <v>1</v>
      </c>
      <c r="X1227" s="28">
        <v>0.92</v>
      </c>
      <c r="Y1227" s="28">
        <v>0</v>
      </c>
      <c r="Z1227" s="28">
        <v>0</v>
      </c>
      <c r="AA1227" s="28">
        <v>0</v>
      </c>
      <c r="AB1227" s="28">
        <v>1</v>
      </c>
      <c r="AC1227" s="28">
        <v>0.92</v>
      </c>
      <c r="AD1227" s="26">
        <v>0.99798081776880365</v>
      </c>
      <c r="AE1227" s="26">
        <v>0.99883359253499227</v>
      </c>
      <c r="AF1227" s="26">
        <v>0.99468475073313778</v>
      </c>
      <c r="AG1227" s="26">
        <v>0.99636562671045426</v>
      </c>
      <c r="AH1227" s="28">
        <v>0.92</v>
      </c>
      <c r="AI1227" s="26">
        <v>0</v>
      </c>
      <c r="AJ1227" s="26">
        <v>0</v>
      </c>
      <c r="AK1227" s="26">
        <v>0</v>
      </c>
      <c r="AL1227" s="26">
        <v>1</v>
      </c>
      <c r="AM1227" s="25">
        <v>0.99</v>
      </c>
      <c r="AN1227" s="30">
        <v>1</v>
      </c>
      <c r="AO1227" s="30">
        <v>1</v>
      </c>
      <c r="AP1227" s="30">
        <v>1</v>
      </c>
      <c r="AQ1227" s="30">
        <v>1</v>
      </c>
      <c r="AR1227" s="50">
        <v>7.2186152540827803E-2</v>
      </c>
      <c r="AS1227" s="34">
        <v>0</v>
      </c>
      <c r="AT1227" s="34">
        <v>0</v>
      </c>
      <c r="AU1227" s="34">
        <v>0</v>
      </c>
      <c r="AV1227" s="34">
        <v>0</v>
      </c>
      <c r="AW1227" s="10"/>
      <c r="AX1227" s="8"/>
    </row>
    <row r="1228" spans="1:50">
      <c r="A1228" s="7"/>
      <c r="B1228" s="10"/>
      <c r="C1228" s="45" t="s">
        <v>1100</v>
      </c>
      <c r="D1228" s="23" t="s">
        <v>25</v>
      </c>
      <c r="E1228" s="83" t="s">
        <v>1272</v>
      </c>
      <c r="F1228" s="83" t="s">
        <v>1272</v>
      </c>
      <c r="G1228" s="83" t="s">
        <v>1272</v>
      </c>
      <c r="H1228" s="83" t="s">
        <v>1272</v>
      </c>
      <c r="I1228" s="25">
        <v>0.9</v>
      </c>
      <c r="J1228" s="26">
        <v>0.91666666666666663</v>
      </c>
      <c r="K1228" s="26">
        <v>0.95833333333333337</v>
      </c>
      <c r="L1228" s="27">
        <v>0.92307692307692313</v>
      </c>
      <c r="M1228" s="26">
        <v>0.95628415300546443</v>
      </c>
      <c r="N1228" s="28">
        <v>0.9</v>
      </c>
      <c r="O1228" s="26">
        <v>0.88668320926385447</v>
      </c>
      <c r="P1228" s="26">
        <v>0.91984569224174884</v>
      </c>
      <c r="Q1228" s="26">
        <v>0.82197392923649903</v>
      </c>
      <c r="R1228" s="26">
        <v>0.80962041535422558</v>
      </c>
      <c r="S1228" s="28">
        <v>0.9</v>
      </c>
      <c r="T1228" s="26">
        <v>0.82216708023159635</v>
      </c>
      <c r="U1228" s="26">
        <v>0.81483069009858555</v>
      </c>
      <c r="V1228" s="26">
        <v>0.79664804469273742</v>
      </c>
      <c r="W1228" s="26">
        <v>0.79648710693502744</v>
      </c>
      <c r="X1228" s="28">
        <v>0.92</v>
      </c>
      <c r="Y1228" s="28">
        <v>0.88571428571428568</v>
      </c>
      <c r="Z1228" s="28">
        <v>0.83518930957683746</v>
      </c>
      <c r="AA1228" s="28">
        <v>0.87096774193548387</v>
      </c>
      <c r="AB1228" s="28">
        <v>0.83018392542202069</v>
      </c>
      <c r="AC1228" s="28">
        <v>0.92</v>
      </c>
      <c r="AD1228" s="26">
        <v>0.99753269183320992</v>
      </c>
      <c r="AE1228" s="26">
        <v>0.99541809851088203</v>
      </c>
      <c r="AF1228" s="26">
        <v>0.99886941775014138</v>
      </c>
      <c r="AG1228" s="26">
        <v>0.99867325616106672</v>
      </c>
      <c r="AH1228" s="28">
        <v>0.92</v>
      </c>
      <c r="AI1228" s="26">
        <v>0.94222067525234943</v>
      </c>
      <c r="AJ1228" s="26">
        <v>0.92631200575125805</v>
      </c>
      <c r="AK1228" s="26">
        <v>0.95650793650793653</v>
      </c>
      <c r="AL1228" s="26">
        <v>0.92559471365638768</v>
      </c>
      <c r="AM1228" s="25">
        <v>0.99</v>
      </c>
      <c r="AN1228" s="30">
        <v>1</v>
      </c>
      <c r="AO1228" s="30">
        <v>1</v>
      </c>
      <c r="AP1228" s="30">
        <v>1</v>
      </c>
      <c r="AQ1228" s="30">
        <v>1</v>
      </c>
      <c r="AR1228" s="50">
        <v>7.2186152540827803E-2</v>
      </c>
      <c r="AS1228" s="34">
        <v>0.14814814814814814</v>
      </c>
      <c r="AT1228" s="34">
        <v>0</v>
      </c>
      <c r="AU1228" s="34">
        <v>-3.5714285714285712E-2</v>
      </c>
      <c r="AV1228" s="34">
        <v>-1.2195121951219513E-2</v>
      </c>
      <c r="AW1228" s="10"/>
      <c r="AX1228" s="8"/>
    </row>
    <row r="1229" spans="1:50">
      <c r="A1229" s="7"/>
      <c r="B1229" s="10"/>
      <c r="C1229" s="45" t="s">
        <v>1100</v>
      </c>
      <c r="D1229" s="23" t="s">
        <v>25</v>
      </c>
      <c r="E1229" s="83" t="s">
        <v>1273</v>
      </c>
      <c r="F1229" s="83" t="s">
        <v>1273</v>
      </c>
      <c r="G1229" s="83" t="s">
        <v>1273</v>
      </c>
      <c r="H1229" s="83" t="s">
        <v>1273</v>
      </c>
      <c r="I1229" s="25">
        <v>0.9</v>
      </c>
      <c r="J1229" s="26">
        <v>0.89655172413793105</v>
      </c>
      <c r="K1229" s="26">
        <v>1</v>
      </c>
      <c r="L1229" s="27">
        <v>1</v>
      </c>
      <c r="M1229" s="26">
        <v>0.97083333333333333</v>
      </c>
      <c r="N1229" s="28">
        <v>0.9</v>
      </c>
      <c r="O1229" s="26">
        <v>0.95490981963927857</v>
      </c>
      <c r="P1229" s="26">
        <v>0.95128022759601705</v>
      </c>
      <c r="Q1229" s="26">
        <v>0.94570928196147108</v>
      </c>
      <c r="R1229" s="26">
        <v>0.95770486019229073</v>
      </c>
      <c r="S1229" s="28">
        <v>0.9</v>
      </c>
      <c r="T1229" s="26">
        <v>0.92952571810287243</v>
      </c>
      <c r="U1229" s="26">
        <v>0.94310099573257467</v>
      </c>
      <c r="V1229" s="26">
        <v>0.93403385872737887</v>
      </c>
      <c r="W1229" s="26">
        <v>0.93168386698421102</v>
      </c>
      <c r="X1229" s="28">
        <v>0.92</v>
      </c>
      <c r="Y1229" s="28">
        <v>0.94608695652173913</v>
      </c>
      <c r="Z1229" s="28">
        <v>0.97760000000000002</v>
      </c>
      <c r="AA1229" s="28">
        <v>0.95173453996983404</v>
      </c>
      <c r="AB1229" s="28">
        <v>0.96659545542823855</v>
      </c>
      <c r="AC1229" s="28">
        <v>0.92</v>
      </c>
      <c r="AD1229" s="26">
        <v>0.99979652740097669</v>
      </c>
      <c r="AE1229" s="26">
        <v>0.99906254185081023</v>
      </c>
      <c r="AF1229" s="26">
        <v>0.99565341313951827</v>
      </c>
      <c r="AG1229" s="26">
        <v>0.99761240205804214</v>
      </c>
      <c r="AH1229" s="28">
        <v>0.92</v>
      </c>
      <c r="AI1229" s="26">
        <v>0.97282913165266105</v>
      </c>
      <c r="AJ1229" s="26">
        <v>0.98632926119837117</v>
      </c>
      <c r="AK1229" s="26">
        <v>0.98166259168704162</v>
      </c>
      <c r="AL1229" s="26">
        <v>0.98200754174896754</v>
      </c>
      <c r="AM1229" s="25">
        <v>0.99</v>
      </c>
      <c r="AN1229" s="30">
        <v>1</v>
      </c>
      <c r="AO1229" s="30">
        <v>1</v>
      </c>
      <c r="AP1229" s="30">
        <v>1</v>
      </c>
      <c r="AQ1229" s="30">
        <v>1</v>
      </c>
      <c r="AR1229" s="50">
        <v>7.2186152540827803E-2</v>
      </c>
      <c r="AS1229" s="34">
        <v>5.8823529411764705E-2</v>
      </c>
      <c r="AT1229" s="34">
        <v>0</v>
      </c>
      <c r="AU1229" s="34">
        <v>0</v>
      </c>
      <c r="AV1229" s="34">
        <v>-6.4516129032258064E-3</v>
      </c>
      <c r="AW1229" s="10"/>
      <c r="AX1229" s="8"/>
    </row>
    <row r="1230" spans="1:50">
      <c r="A1230" s="7"/>
      <c r="B1230" s="10"/>
      <c r="C1230" s="45" t="s">
        <v>1100</v>
      </c>
      <c r="D1230" s="23" t="s">
        <v>25</v>
      </c>
      <c r="E1230" s="83" t="s">
        <v>1274</v>
      </c>
      <c r="F1230" s="83" t="s">
        <v>1274</v>
      </c>
      <c r="G1230" s="83" t="s">
        <v>1274</v>
      </c>
      <c r="H1230" s="83" t="s">
        <v>1274</v>
      </c>
      <c r="I1230" s="25">
        <v>0.9</v>
      </c>
      <c r="J1230" s="26">
        <v>1</v>
      </c>
      <c r="K1230" s="26">
        <v>1</v>
      </c>
      <c r="L1230" s="27">
        <v>0.98571428571428577</v>
      </c>
      <c r="M1230" s="26">
        <v>0.98854961832061072</v>
      </c>
      <c r="N1230" s="28">
        <v>0.9</v>
      </c>
      <c r="O1230" s="26">
        <v>0.95008244640983364</v>
      </c>
      <c r="P1230" s="26">
        <v>0.95294655093650071</v>
      </c>
      <c r="Q1230" s="26">
        <v>0.90396659707724425</v>
      </c>
      <c r="R1230" s="26">
        <v>0.92752295293479681</v>
      </c>
      <c r="S1230" s="28">
        <v>0.9</v>
      </c>
      <c r="T1230" s="26">
        <v>0.79748163693599161</v>
      </c>
      <c r="U1230" s="26">
        <v>0.840109639104614</v>
      </c>
      <c r="V1230" s="26">
        <v>0.80068770723320648</v>
      </c>
      <c r="W1230" s="26">
        <v>0.8100749827034911</v>
      </c>
      <c r="X1230" s="28">
        <v>0.92</v>
      </c>
      <c r="Y1230" s="28">
        <v>0.8419220055710307</v>
      </c>
      <c r="Z1230" s="28">
        <v>0.8828297715549005</v>
      </c>
      <c r="AA1230" s="28">
        <v>0.89722572509457754</v>
      </c>
      <c r="AB1230" s="28">
        <v>0.87841666666666662</v>
      </c>
      <c r="AC1230" s="28">
        <v>0.92</v>
      </c>
      <c r="AD1230" s="26">
        <v>0.99400544959128068</v>
      </c>
      <c r="AE1230" s="26">
        <v>0.99672017952701542</v>
      </c>
      <c r="AF1230" s="26">
        <v>0.9943239408068113</v>
      </c>
      <c r="AG1230" s="26">
        <v>0.98272852121691767</v>
      </c>
      <c r="AH1230" s="28">
        <v>0.92</v>
      </c>
      <c r="AI1230" s="26">
        <v>0.92796348834340692</v>
      </c>
      <c r="AJ1230" s="26">
        <v>0.955205047318612</v>
      </c>
      <c r="AK1230" s="26">
        <v>0.95878725590955804</v>
      </c>
      <c r="AL1230" s="26">
        <v>0.94522158761186281</v>
      </c>
      <c r="AM1230" s="25">
        <v>0.99</v>
      </c>
      <c r="AN1230" s="30">
        <v>1</v>
      </c>
      <c r="AO1230" s="30">
        <v>1</v>
      </c>
      <c r="AP1230" s="30">
        <v>1</v>
      </c>
      <c r="AQ1230" s="30">
        <v>1</v>
      </c>
      <c r="AR1230" s="50">
        <v>7.2186152540827803E-2</v>
      </c>
      <c r="AS1230" s="34">
        <v>5.1948051948051951E-2</v>
      </c>
      <c r="AT1230" s="34">
        <v>6.4102564102564097E-2</v>
      </c>
      <c r="AU1230" s="34">
        <v>4.1095890410958902E-2</v>
      </c>
      <c r="AV1230" s="34">
        <v>3.6101083032490974E-2</v>
      </c>
      <c r="AW1230" s="10"/>
      <c r="AX1230" s="8"/>
    </row>
    <row r="1231" spans="1:50">
      <c r="A1231" s="7"/>
      <c r="B1231" s="10"/>
      <c r="C1231" s="45" t="s">
        <v>1100</v>
      </c>
      <c r="D1231" s="23" t="s">
        <v>25</v>
      </c>
      <c r="E1231" s="83" t="s">
        <v>1275</v>
      </c>
      <c r="F1231" s="83" t="s">
        <v>1275</v>
      </c>
      <c r="G1231" s="83" t="s">
        <v>1275</v>
      </c>
      <c r="H1231" s="83" t="s">
        <v>1275</v>
      </c>
      <c r="I1231" s="25">
        <v>0.9</v>
      </c>
      <c r="J1231" s="26">
        <v>0</v>
      </c>
      <c r="K1231" s="26">
        <v>0</v>
      </c>
      <c r="L1231" s="27">
        <v>0</v>
      </c>
      <c r="M1231" s="26">
        <v>0</v>
      </c>
      <c r="N1231" s="28">
        <v>0.9</v>
      </c>
      <c r="O1231" s="26">
        <v>0</v>
      </c>
      <c r="P1231" s="26">
        <v>0</v>
      </c>
      <c r="Q1231" s="26">
        <v>0</v>
      </c>
      <c r="R1231" s="26">
        <v>0</v>
      </c>
      <c r="S1231" s="28">
        <v>0.9</v>
      </c>
      <c r="T1231" s="26">
        <v>0</v>
      </c>
      <c r="U1231" s="26">
        <v>0</v>
      </c>
      <c r="V1231" s="26">
        <v>0</v>
      </c>
      <c r="W1231" s="26">
        <v>0</v>
      </c>
      <c r="X1231" s="28">
        <v>0.92</v>
      </c>
      <c r="Y1231" s="28">
        <v>0</v>
      </c>
      <c r="Z1231" s="28">
        <v>0</v>
      </c>
      <c r="AA1231" s="28">
        <v>0</v>
      </c>
      <c r="AB1231" s="28">
        <v>0</v>
      </c>
      <c r="AC1231" s="28">
        <v>0.92</v>
      </c>
      <c r="AD1231" s="26">
        <v>0.98273155416012559</v>
      </c>
      <c r="AE1231" s="26">
        <v>0.92842215256008365</v>
      </c>
      <c r="AF1231" s="26">
        <v>0.91178211959739486</v>
      </c>
      <c r="AG1231" s="26">
        <v>0.80134515438703757</v>
      </c>
      <c r="AH1231" s="28">
        <v>0.92</v>
      </c>
      <c r="AI1231" s="26">
        <v>0</v>
      </c>
      <c r="AJ1231" s="26">
        <v>0</v>
      </c>
      <c r="AK1231" s="26">
        <v>0</v>
      </c>
      <c r="AL1231" s="26">
        <v>0</v>
      </c>
      <c r="AM1231" s="25">
        <v>0.99</v>
      </c>
      <c r="AN1231" s="30">
        <v>1</v>
      </c>
      <c r="AO1231" s="30">
        <v>1</v>
      </c>
      <c r="AP1231" s="30">
        <v>1</v>
      </c>
      <c r="AQ1231" s="30">
        <v>1</v>
      </c>
      <c r="AR1231" s="50">
        <v>7.2186152540827803E-2</v>
      </c>
      <c r="AS1231" s="34">
        <v>0</v>
      </c>
      <c r="AT1231" s="34">
        <v>0</v>
      </c>
      <c r="AU1231" s="34">
        <v>0</v>
      </c>
      <c r="AV1231" s="34">
        <v>0</v>
      </c>
      <c r="AW1231" s="10"/>
      <c r="AX1231" s="8"/>
    </row>
    <row r="1232" spans="1:50">
      <c r="A1232" s="7"/>
      <c r="B1232" s="10"/>
      <c r="C1232" s="45" t="s">
        <v>1100</v>
      </c>
      <c r="D1232" s="23" t="s">
        <v>25</v>
      </c>
      <c r="E1232" s="83" t="s">
        <v>1276</v>
      </c>
      <c r="F1232" s="83" t="s">
        <v>1276</v>
      </c>
      <c r="G1232" s="83" t="s">
        <v>1276</v>
      </c>
      <c r="H1232" s="83" t="s">
        <v>1276</v>
      </c>
      <c r="I1232" s="25">
        <v>0.9</v>
      </c>
      <c r="J1232" s="26">
        <v>0.82857142857142863</v>
      </c>
      <c r="K1232" s="26">
        <v>0.97222222222222221</v>
      </c>
      <c r="L1232" s="27">
        <v>1</v>
      </c>
      <c r="M1232" s="26">
        <v>0.9296875</v>
      </c>
      <c r="N1232" s="28">
        <v>0.9</v>
      </c>
      <c r="O1232" s="26">
        <v>0.97904646219252955</v>
      </c>
      <c r="P1232" s="26">
        <v>0.98340248962655596</v>
      </c>
      <c r="Q1232" s="26">
        <v>0.96568627450980393</v>
      </c>
      <c r="R1232" s="26">
        <v>0.97722146211588956</v>
      </c>
      <c r="S1232" s="28">
        <v>0.9</v>
      </c>
      <c r="T1232" s="26">
        <v>0.91284542969936233</v>
      </c>
      <c r="U1232" s="26">
        <v>0.92708950800237111</v>
      </c>
      <c r="V1232" s="26">
        <v>0.9154411764705882</v>
      </c>
      <c r="W1232" s="26">
        <v>0.89490810930739928</v>
      </c>
      <c r="X1232" s="28">
        <v>0.92</v>
      </c>
      <c r="Y1232" s="28">
        <v>0.92663476874003192</v>
      </c>
      <c r="Z1232" s="28">
        <v>0.93975903614457834</v>
      </c>
      <c r="AA1232" s="28">
        <v>0.96506550218340614</v>
      </c>
      <c r="AB1232" s="28">
        <v>0.93469599861423869</v>
      </c>
      <c r="AC1232" s="28">
        <v>0.92</v>
      </c>
      <c r="AD1232" s="26">
        <v>0.99468150896722329</v>
      </c>
      <c r="AE1232" s="26">
        <v>0.99225106547849673</v>
      </c>
      <c r="AF1232" s="26">
        <v>0.99096352749047356</v>
      </c>
      <c r="AG1232" s="26">
        <v>0.98702378752277109</v>
      </c>
      <c r="AH1232" s="28">
        <v>0.92</v>
      </c>
      <c r="AI1232" s="26">
        <v>0.9597041571027799</v>
      </c>
      <c r="AJ1232" s="26">
        <v>0.97127290737989103</v>
      </c>
      <c r="AK1232" s="26">
        <v>0.9811241610738255</v>
      </c>
      <c r="AL1232" s="26">
        <v>0.9674598580177326</v>
      </c>
      <c r="AM1232" s="25">
        <v>0.99</v>
      </c>
      <c r="AN1232" s="30">
        <v>1</v>
      </c>
      <c r="AO1232" s="30">
        <v>1</v>
      </c>
      <c r="AP1232" s="30">
        <v>1</v>
      </c>
      <c r="AQ1232" s="30">
        <v>1</v>
      </c>
      <c r="AR1232" s="50">
        <v>7.2186152540827803E-2</v>
      </c>
      <c r="AS1232" s="34">
        <v>6.8965517241379309E-2</v>
      </c>
      <c r="AT1232" s="34">
        <v>3.4482758620689655E-2</v>
      </c>
      <c r="AU1232" s="34">
        <v>3.8461538461538464E-2</v>
      </c>
      <c r="AV1232" s="34">
        <v>3.4188034188034191E-2</v>
      </c>
      <c r="AW1232" s="10"/>
      <c r="AX1232" s="8"/>
    </row>
    <row r="1233" spans="1:50">
      <c r="A1233" s="7"/>
      <c r="B1233" s="10"/>
      <c r="C1233" s="45" t="s">
        <v>1100</v>
      </c>
      <c r="D1233" s="23" t="s">
        <v>25</v>
      </c>
      <c r="E1233" s="83" t="s">
        <v>1277</v>
      </c>
      <c r="F1233" s="83" t="s">
        <v>1277</v>
      </c>
      <c r="G1233" s="83" t="s">
        <v>1277</v>
      </c>
      <c r="H1233" s="83" t="s">
        <v>1277</v>
      </c>
      <c r="I1233" s="25">
        <v>0.9</v>
      </c>
      <c r="J1233" s="26">
        <v>0</v>
      </c>
      <c r="K1233" s="26">
        <v>0</v>
      </c>
      <c r="L1233" s="27">
        <v>0</v>
      </c>
      <c r="M1233" s="26">
        <v>0</v>
      </c>
      <c r="N1233" s="28">
        <v>0.9</v>
      </c>
      <c r="O1233" s="26">
        <v>0</v>
      </c>
      <c r="P1233" s="26">
        <v>0</v>
      </c>
      <c r="Q1233" s="26">
        <v>0</v>
      </c>
      <c r="R1233" s="26">
        <v>0</v>
      </c>
      <c r="S1233" s="28">
        <v>0.9</v>
      </c>
      <c r="T1233" s="26">
        <v>0</v>
      </c>
      <c r="U1233" s="26">
        <v>1</v>
      </c>
      <c r="V1233" s="26">
        <v>1</v>
      </c>
      <c r="W1233" s="26">
        <v>0.88888888888888884</v>
      </c>
      <c r="X1233" s="28">
        <v>0.92</v>
      </c>
      <c r="Y1233" s="28">
        <v>0</v>
      </c>
      <c r="Z1233" s="28">
        <v>0</v>
      </c>
      <c r="AA1233" s="28">
        <v>0</v>
      </c>
      <c r="AB1233" s="28">
        <v>0</v>
      </c>
      <c r="AC1233" s="28">
        <v>0.92</v>
      </c>
      <c r="AD1233" s="26">
        <v>1</v>
      </c>
      <c r="AE1233" s="26">
        <v>0.99793449395101796</v>
      </c>
      <c r="AF1233" s="26">
        <v>0.99888434362216438</v>
      </c>
      <c r="AG1233" s="26">
        <v>0.88636088098605781</v>
      </c>
      <c r="AH1233" s="28">
        <v>0.92</v>
      </c>
      <c r="AI1233" s="26">
        <v>0</v>
      </c>
      <c r="AJ1233" s="26">
        <v>1</v>
      </c>
      <c r="AK1233" s="26">
        <v>1</v>
      </c>
      <c r="AL1233" s="26">
        <v>1</v>
      </c>
      <c r="AM1233" s="25">
        <v>0.99</v>
      </c>
      <c r="AN1233" s="30">
        <v>1</v>
      </c>
      <c r="AO1233" s="30">
        <v>1</v>
      </c>
      <c r="AP1233" s="30">
        <v>1</v>
      </c>
      <c r="AQ1233" s="30">
        <v>1</v>
      </c>
      <c r="AR1233" s="50">
        <v>7.2186152540827803E-2</v>
      </c>
      <c r="AS1233" s="34">
        <v>0</v>
      </c>
      <c r="AT1233" s="34">
        <v>0</v>
      </c>
      <c r="AU1233" s="34">
        <v>0</v>
      </c>
      <c r="AV1233" s="34">
        <v>0</v>
      </c>
      <c r="AW1233" s="10"/>
      <c r="AX1233" s="8"/>
    </row>
    <row r="1234" spans="1:50">
      <c r="A1234" s="7"/>
      <c r="B1234" s="10"/>
      <c r="C1234" s="45" t="s">
        <v>1100</v>
      </c>
      <c r="D1234" s="23" t="s">
        <v>25</v>
      </c>
      <c r="E1234" s="83" t="s">
        <v>1278</v>
      </c>
      <c r="F1234" s="83" t="s">
        <v>1278</v>
      </c>
      <c r="G1234" s="83" t="s">
        <v>1278</v>
      </c>
      <c r="H1234" s="83" t="s">
        <v>1278</v>
      </c>
      <c r="I1234" s="25">
        <v>0.9</v>
      </c>
      <c r="J1234" s="26">
        <v>0.92452830188679247</v>
      </c>
      <c r="K1234" s="26">
        <v>0.91228070175438591</v>
      </c>
      <c r="L1234" s="27">
        <v>0.95161290322580649</v>
      </c>
      <c r="M1234" s="26">
        <v>0.9493392070484582</v>
      </c>
      <c r="N1234" s="28">
        <v>0.9</v>
      </c>
      <c r="O1234" s="26">
        <v>0.96376085504342013</v>
      </c>
      <c r="P1234" s="26">
        <v>0.96212371816076747</v>
      </c>
      <c r="Q1234" s="26">
        <v>0.96226683753381748</v>
      </c>
      <c r="R1234" s="26">
        <v>0.95000204156628965</v>
      </c>
      <c r="S1234" s="28">
        <v>0.9</v>
      </c>
      <c r="T1234" s="26">
        <v>0.90547762191048764</v>
      </c>
      <c r="U1234" s="26">
        <v>0.92871319880913006</v>
      </c>
      <c r="V1234" s="26">
        <v>0.90459917414210456</v>
      </c>
      <c r="W1234" s="26">
        <v>0.89781960720264586</v>
      </c>
      <c r="X1234" s="28">
        <v>0.92</v>
      </c>
      <c r="Y1234" s="28">
        <v>0.93451899757477774</v>
      </c>
      <c r="Z1234" s="28">
        <v>0.95253419147224461</v>
      </c>
      <c r="AA1234" s="28">
        <v>0.95184135977337114</v>
      </c>
      <c r="AB1234" s="28">
        <v>0.94724437998549671</v>
      </c>
      <c r="AC1234" s="28">
        <v>0.92</v>
      </c>
      <c r="AD1234" s="26">
        <v>0.99940880874963045</v>
      </c>
      <c r="AE1234" s="26">
        <v>0.99227679950571512</v>
      </c>
      <c r="AF1234" s="26">
        <v>0.88875305623471879</v>
      </c>
      <c r="AG1234" s="26">
        <v>0.95986241280951123</v>
      </c>
      <c r="AH1234" s="28">
        <v>0.92</v>
      </c>
      <c r="AI1234" s="26">
        <v>0.96041522491349485</v>
      </c>
      <c r="AJ1234" s="26">
        <v>0.98120455480861568</v>
      </c>
      <c r="AK1234" s="26">
        <v>0.97818871503082028</v>
      </c>
      <c r="AL1234" s="26">
        <v>0.97167374822960928</v>
      </c>
      <c r="AM1234" s="25">
        <v>0.99</v>
      </c>
      <c r="AN1234" s="30">
        <v>1</v>
      </c>
      <c r="AO1234" s="30">
        <v>1</v>
      </c>
      <c r="AP1234" s="30">
        <v>1</v>
      </c>
      <c r="AQ1234" s="30">
        <v>1</v>
      </c>
      <c r="AR1234" s="50">
        <v>7.2186152540827803E-2</v>
      </c>
      <c r="AS1234" s="34">
        <v>2.9411764705882353E-2</v>
      </c>
      <c r="AT1234" s="34">
        <v>0</v>
      </c>
      <c r="AU1234" s="34">
        <v>-2.3255813953488372E-2</v>
      </c>
      <c r="AV1234" s="34">
        <v>-1.4184397163120567E-2</v>
      </c>
      <c r="AW1234" s="10"/>
      <c r="AX1234" s="8"/>
    </row>
    <row r="1235" spans="1:50">
      <c r="A1235" s="7"/>
      <c r="B1235" s="10"/>
      <c r="C1235" s="45" t="s">
        <v>1100</v>
      </c>
      <c r="D1235" s="23" t="s">
        <v>25</v>
      </c>
      <c r="E1235" s="83" t="s">
        <v>1279</v>
      </c>
      <c r="F1235" s="83" t="s">
        <v>1279</v>
      </c>
      <c r="G1235" s="83" t="s">
        <v>1279</v>
      </c>
      <c r="H1235" s="83" t="s">
        <v>1279</v>
      </c>
      <c r="I1235" s="25">
        <v>0.9</v>
      </c>
      <c r="J1235" s="26">
        <v>0.97435897435897434</v>
      </c>
      <c r="K1235" s="26">
        <v>0.86842105263157898</v>
      </c>
      <c r="L1235" s="27">
        <v>0.95</v>
      </c>
      <c r="M1235" s="26">
        <v>0.93918918918918914</v>
      </c>
      <c r="N1235" s="28">
        <v>0.9</v>
      </c>
      <c r="O1235" s="26">
        <v>0.96920747097425541</v>
      </c>
      <c r="P1235" s="26">
        <v>0.97136509503826218</v>
      </c>
      <c r="Q1235" s="26">
        <v>0.95192507804370452</v>
      </c>
      <c r="R1235" s="26">
        <v>0.94925124792013316</v>
      </c>
      <c r="S1235" s="28">
        <v>0.9</v>
      </c>
      <c r="T1235" s="26">
        <v>0.91696113074204944</v>
      </c>
      <c r="U1235" s="26">
        <v>0.91656381140459142</v>
      </c>
      <c r="V1235" s="26">
        <v>0.92695109261186259</v>
      </c>
      <c r="W1235" s="26">
        <v>0.90554204530910021</v>
      </c>
      <c r="X1235" s="28">
        <v>0.92</v>
      </c>
      <c r="Y1235" s="28">
        <v>0.92367399741267786</v>
      </c>
      <c r="Z1235" s="28">
        <v>0.931787175989086</v>
      </c>
      <c r="AA1235" s="28">
        <v>0.93991989319092117</v>
      </c>
      <c r="AB1235" s="28">
        <v>0.93274415817855005</v>
      </c>
      <c r="AC1235" s="28">
        <v>0.92</v>
      </c>
      <c r="AD1235" s="26">
        <v>0.96786776537130037</v>
      </c>
      <c r="AE1235" s="26">
        <v>0.91372247823860731</v>
      </c>
      <c r="AF1235" s="26">
        <v>0.93479218034519196</v>
      </c>
      <c r="AG1235" s="26">
        <v>0.92861710102747275</v>
      </c>
      <c r="AH1235" s="28">
        <v>0.92</v>
      </c>
      <c r="AI1235" s="26">
        <v>0.95923970432946148</v>
      </c>
      <c r="AJ1235" s="26">
        <v>0.96530100334448166</v>
      </c>
      <c r="AK1235" s="26">
        <v>0.97497749774977494</v>
      </c>
      <c r="AL1235" s="26">
        <v>0.96445991194073133</v>
      </c>
      <c r="AM1235" s="25">
        <v>0.99</v>
      </c>
      <c r="AN1235" s="30">
        <v>1</v>
      </c>
      <c r="AO1235" s="30">
        <v>1</v>
      </c>
      <c r="AP1235" s="30">
        <v>1</v>
      </c>
      <c r="AQ1235" s="30">
        <v>1</v>
      </c>
      <c r="AR1235" s="50">
        <v>7.2186152540827803E-2</v>
      </c>
      <c r="AS1235" s="34">
        <v>0</v>
      </c>
      <c r="AT1235" s="34">
        <v>4.3478260869565216E-2</v>
      </c>
      <c r="AU1235" s="34">
        <v>0</v>
      </c>
      <c r="AV1235" s="34">
        <v>4.1666666666666664E-2</v>
      </c>
      <c r="AW1235" s="10"/>
      <c r="AX1235" s="8"/>
    </row>
    <row r="1236" spans="1:50">
      <c r="A1236" s="7"/>
      <c r="B1236" s="10"/>
      <c r="C1236" s="45" t="s">
        <v>1100</v>
      </c>
      <c r="D1236" s="23" t="s">
        <v>25</v>
      </c>
      <c r="E1236" s="83" t="s">
        <v>1280</v>
      </c>
      <c r="F1236" s="83" t="s">
        <v>1280</v>
      </c>
      <c r="G1236" s="83" t="s">
        <v>1280</v>
      </c>
      <c r="H1236" s="83" t="s">
        <v>1280</v>
      </c>
      <c r="I1236" s="25">
        <v>0.9</v>
      </c>
      <c r="J1236" s="26">
        <v>0</v>
      </c>
      <c r="K1236" s="26">
        <v>0</v>
      </c>
      <c r="L1236" s="27">
        <v>0</v>
      </c>
      <c r="M1236" s="26">
        <v>0</v>
      </c>
      <c r="N1236" s="28">
        <v>0.9</v>
      </c>
      <c r="O1236" s="26">
        <v>0.25</v>
      </c>
      <c r="P1236" s="26">
        <v>1</v>
      </c>
      <c r="Q1236" s="26">
        <v>0</v>
      </c>
      <c r="R1236" s="26">
        <v>0.35714285714285715</v>
      </c>
      <c r="S1236" s="28">
        <v>0.9</v>
      </c>
      <c r="T1236" s="26">
        <v>0.75</v>
      </c>
      <c r="U1236" s="26">
        <v>1</v>
      </c>
      <c r="V1236" s="26">
        <v>0</v>
      </c>
      <c r="W1236" s="26">
        <v>0.8928571428571429</v>
      </c>
      <c r="X1236" s="28">
        <v>0.92</v>
      </c>
      <c r="Y1236" s="28">
        <v>0</v>
      </c>
      <c r="Z1236" s="28">
        <v>0</v>
      </c>
      <c r="AA1236" s="28">
        <v>1</v>
      </c>
      <c r="AB1236" s="28">
        <v>0.5</v>
      </c>
      <c r="AC1236" s="28">
        <v>0.92</v>
      </c>
      <c r="AD1236" s="26">
        <v>0.98927528874222614</v>
      </c>
      <c r="AE1236" s="26">
        <v>0.99685857548480639</v>
      </c>
      <c r="AF1236" s="26">
        <v>0.992630094847475</v>
      </c>
      <c r="AG1236" s="26">
        <v>0.9934467624601695</v>
      </c>
      <c r="AH1236" s="28">
        <v>0.92</v>
      </c>
      <c r="AI1236" s="26">
        <v>0.5</v>
      </c>
      <c r="AJ1236" s="26">
        <v>1</v>
      </c>
      <c r="AK1236" s="26">
        <v>0.66666666666666663</v>
      </c>
      <c r="AL1236" s="26">
        <v>0.88235294117647056</v>
      </c>
      <c r="AM1236" s="25">
        <v>0.99</v>
      </c>
      <c r="AN1236" s="30">
        <v>1</v>
      </c>
      <c r="AO1236" s="30">
        <v>1</v>
      </c>
      <c r="AP1236" s="30">
        <v>1</v>
      </c>
      <c r="AQ1236" s="30">
        <v>1</v>
      </c>
      <c r="AR1236" s="50">
        <v>7.2186152540827803E-2</v>
      </c>
      <c r="AS1236" s="34">
        <v>0</v>
      </c>
      <c r="AT1236" s="34">
        <v>0</v>
      </c>
      <c r="AU1236" s="34">
        <v>0</v>
      </c>
      <c r="AV1236" s="34">
        <v>0</v>
      </c>
      <c r="AW1236" s="10"/>
      <c r="AX1236" s="8"/>
    </row>
    <row r="1237" spans="1:50">
      <c r="A1237" s="7"/>
      <c r="B1237" s="10"/>
      <c r="C1237" s="45" t="s">
        <v>1100</v>
      </c>
      <c r="D1237" s="23" t="s">
        <v>25</v>
      </c>
      <c r="E1237" s="83" t="s">
        <v>1281</v>
      </c>
      <c r="F1237" s="83" t="s">
        <v>1281</v>
      </c>
      <c r="G1237" s="83" t="s">
        <v>1281</v>
      </c>
      <c r="H1237" s="83" t="s">
        <v>1281</v>
      </c>
      <c r="I1237" s="25">
        <v>0.9</v>
      </c>
      <c r="J1237" s="26">
        <v>0.9464285714285714</v>
      </c>
      <c r="K1237" s="26">
        <v>0.96363636363636362</v>
      </c>
      <c r="L1237" s="27">
        <v>0.93548387096774188</v>
      </c>
      <c r="M1237" s="26">
        <v>0.96444444444444444</v>
      </c>
      <c r="N1237" s="28">
        <v>0.9</v>
      </c>
      <c r="O1237" s="26">
        <v>0.93373604246750874</v>
      </c>
      <c r="P1237" s="26">
        <v>0.9242315939957112</v>
      </c>
      <c r="Q1237" s="26">
        <v>0.97752983108631641</v>
      </c>
      <c r="R1237" s="26">
        <v>0.84604652226618793</v>
      </c>
      <c r="S1237" s="28">
        <v>0.9</v>
      </c>
      <c r="T1237" s="26">
        <v>0.85630605894197331</v>
      </c>
      <c r="U1237" s="26">
        <v>0.83380986418870617</v>
      </c>
      <c r="V1237" s="26">
        <v>0.82860684952735164</v>
      </c>
      <c r="W1237" s="26">
        <v>0.82777155142837533</v>
      </c>
      <c r="X1237" s="28">
        <v>0.92</v>
      </c>
      <c r="Y1237" s="28">
        <v>0.92822502424830267</v>
      </c>
      <c r="Z1237" s="28">
        <v>0.91001011122345798</v>
      </c>
      <c r="AA1237" s="28">
        <v>0.94349315068493156</v>
      </c>
      <c r="AB1237" s="28">
        <v>0.93826903023983321</v>
      </c>
      <c r="AC1237" s="28">
        <v>0.92</v>
      </c>
      <c r="AD1237" s="26">
        <v>0.88072569158107805</v>
      </c>
      <c r="AE1237" s="26">
        <v>0.95259886030046625</v>
      </c>
      <c r="AF1237" s="26">
        <v>0.99128409347058377</v>
      </c>
      <c r="AG1237" s="26">
        <v>0.95299264823397789</v>
      </c>
      <c r="AH1237" s="28">
        <v>0.92</v>
      </c>
      <c r="AI1237" s="26">
        <v>0.95688991531947654</v>
      </c>
      <c r="AJ1237" s="26">
        <v>0.95899772209567202</v>
      </c>
      <c r="AK1237" s="26">
        <v>0.97441616373655204</v>
      </c>
      <c r="AL1237" s="26">
        <v>0.96479414798837104</v>
      </c>
      <c r="AM1237" s="25">
        <v>0.99</v>
      </c>
      <c r="AN1237" s="30">
        <v>1</v>
      </c>
      <c r="AO1237" s="30">
        <v>1</v>
      </c>
      <c r="AP1237" s="30">
        <v>1</v>
      </c>
      <c r="AQ1237" s="30">
        <v>1</v>
      </c>
      <c r="AR1237" s="50">
        <v>7.2186152540827803E-2</v>
      </c>
      <c r="AS1237" s="34">
        <v>2.2727272727272728E-2</v>
      </c>
      <c r="AT1237" s="34">
        <v>4.1666666666666664E-2</v>
      </c>
      <c r="AU1237" s="34">
        <v>-3.9215686274509803E-2</v>
      </c>
      <c r="AV1237" s="34">
        <v>-2.7932960893854749E-3</v>
      </c>
      <c r="AW1237" s="10"/>
      <c r="AX1237" s="8"/>
    </row>
    <row r="1238" spans="1:50">
      <c r="A1238" s="7"/>
      <c r="B1238" s="10"/>
      <c r="C1238" s="45" t="s">
        <v>1100</v>
      </c>
      <c r="D1238" s="23" t="s">
        <v>25</v>
      </c>
      <c r="E1238" s="83" t="s">
        <v>1282</v>
      </c>
      <c r="F1238" s="83" t="s">
        <v>1282</v>
      </c>
      <c r="G1238" s="83" t="s">
        <v>1282</v>
      </c>
      <c r="H1238" s="83" t="s">
        <v>1282</v>
      </c>
      <c r="I1238" s="25">
        <v>0.9</v>
      </c>
      <c r="J1238" s="26">
        <v>0</v>
      </c>
      <c r="K1238" s="26">
        <v>0</v>
      </c>
      <c r="L1238" s="27">
        <v>0</v>
      </c>
      <c r="M1238" s="26">
        <v>0</v>
      </c>
      <c r="N1238" s="28">
        <v>0.9</v>
      </c>
      <c r="O1238" s="26">
        <v>0</v>
      </c>
      <c r="P1238" s="26">
        <v>0</v>
      </c>
      <c r="Q1238" s="26">
        <v>0</v>
      </c>
      <c r="R1238" s="26">
        <v>0</v>
      </c>
      <c r="S1238" s="28">
        <v>0.9</v>
      </c>
      <c r="T1238" s="26">
        <v>0</v>
      </c>
      <c r="U1238" s="26">
        <v>1</v>
      </c>
      <c r="V1238" s="26">
        <v>0</v>
      </c>
      <c r="W1238" s="26">
        <v>1</v>
      </c>
      <c r="X1238" s="28">
        <v>0.92</v>
      </c>
      <c r="Y1238" s="28">
        <v>0</v>
      </c>
      <c r="Z1238" s="28">
        <v>0</v>
      </c>
      <c r="AA1238" s="28">
        <v>0</v>
      </c>
      <c r="AB1238" s="28">
        <v>0</v>
      </c>
      <c r="AC1238" s="28">
        <v>0.92</v>
      </c>
      <c r="AD1238" s="26">
        <v>0.57404021937842775</v>
      </c>
      <c r="AE1238" s="26">
        <v>0.99782608695652175</v>
      </c>
      <c r="AF1238" s="26">
        <v>0.99375000000000002</v>
      </c>
      <c r="AG1238" s="26">
        <v>0.93297449698833779</v>
      </c>
      <c r="AH1238" s="28">
        <v>0.92</v>
      </c>
      <c r="AI1238" s="26">
        <v>0</v>
      </c>
      <c r="AJ1238" s="26">
        <v>0.5</v>
      </c>
      <c r="AK1238" s="26">
        <v>0</v>
      </c>
      <c r="AL1238" s="26">
        <v>0.75</v>
      </c>
      <c r="AM1238" s="25">
        <v>0.99</v>
      </c>
      <c r="AN1238" s="30">
        <v>1</v>
      </c>
      <c r="AO1238" s="30">
        <v>0</v>
      </c>
      <c r="AP1238" s="30">
        <v>1</v>
      </c>
      <c r="AQ1238" s="30">
        <v>1</v>
      </c>
      <c r="AR1238" s="50">
        <v>7.2186152540827803E-2</v>
      </c>
      <c r="AS1238" s="34">
        <v>0</v>
      </c>
      <c r="AT1238" s="34">
        <v>0</v>
      </c>
      <c r="AU1238" s="34">
        <v>0</v>
      </c>
      <c r="AV1238" s="34">
        <v>0</v>
      </c>
      <c r="AW1238" s="10"/>
      <c r="AX1238" s="8"/>
    </row>
    <row r="1239" spans="1:50">
      <c r="A1239" s="7"/>
      <c r="B1239" s="10"/>
      <c r="C1239" s="45" t="s">
        <v>1100</v>
      </c>
      <c r="D1239" s="23" t="s">
        <v>25</v>
      </c>
      <c r="E1239" s="83" t="s">
        <v>1283</v>
      </c>
      <c r="F1239" s="83" t="s">
        <v>1283</v>
      </c>
      <c r="G1239" s="83" t="s">
        <v>1283</v>
      </c>
      <c r="H1239" s="83" t="s">
        <v>1283</v>
      </c>
      <c r="I1239" s="25">
        <v>0.9</v>
      </c>
      <c r="J1239" s="26">
        <v>0</v>
      </c>
      <c r="K1239" s="26">
        <v>0</v>
      </c>
      <c r="L1239" s="27">
        <v>0</v>
      </c>
      <c r="M1239" s="26">
        <v>0</v>
      </c>
      <c r="N1239" s="28">
        <v>0.9</v>
      </c>
      <c r="O1239" s="26">
        <v>0</v>
      </c>
      <c r="P1239" s="26">
        <v>0</v>
      </c>
      <c r="Q1239" s="26">
        <v>0</v>
      </c>
      <c r="R1239" s="26">
        <v>0</v>
      </c>
      <c r="S1239" s="28">
        <v>0.9</v>
      </c>
      <c r="T1239" s="26">
        <v>0</v>
      </c>
      <c r="U1239" s="26">
        <v>0</v>
      </c>
      <c r="V1239" s="26">
        <v>1</v>
      </c>
      <c r="W1239" s="26">
        <v>1</v>
      </c>
      <c r="X1239" s="28">
        <v>0.92</v>
      </c>
      <c r="Y1239" s="28">
        <v>0.5</v>
      </c>
      <c r="Z1239" s="28">
        <v>0</v>
      </c>
      <c r="AA1239" s="28">
        <v>0</v>
      </c>
      <c r="AB1239" s="28">
        <v>0.75</v>
      </c>
      <c r="AC1239" s="28">
        <v>0.92</v>
      </c>
      <c r="AD1239" s="26">
        <v>0.99861391129032262</v>
      </c>
      <c r="AE1239" s="26">
        <v>0.96971736204576042</v>
      </c>
      <c r="AF1239" s="26">
        <v>0.96647666892087725</v>
      </c>
      <c r="AG1239" s="26">
        <v>0.96558432201354527</v>
      </c>
      <c r="AH1239" s="28">
        <v>0.92</v>
      </c>
      <c r="AI1239" s="26">
        <v>0.5</v>
      </c>
      <c r="AJ1239" s="26">
        <v>0</v>
      </c>
      <c r="AK1239" s="26">
        <v>1</v>
      </c>
      <c r="AL1239" s="26">
        <v>0.9285714285714286</v>
      </c>
      <c r="AM1239" s="25">
        <v>0.99</v>
      </c>
      <c r="AN1239" s="30">
        <v>1</v>
      </c>
      <c r="AO1239" s="30">
        <v>1</v>
      </c>
      <c r="AP1239" s="30">
        <v>1</v>
      </c>
      <c r="AQ1239" s="30">
        <v>1</v>
      </c>
      <c r="AR1239" s="50">
        <v>7.2186152540827803E-2</v>
      </c>
      <c r="AS1239" s="34">
        <v>0</v>
      </c>
      <c r="AT1239" s="34">
        <v>0</v>
      </c>
      <c r="AU1239" s="34">
        <v>0</v>
      </c>
      <c r="AV1239" s="34">
        <v>0</v>
      </c>
      <c r="AW1239" s="10"/>
      <c r="AX1239" s="8"/>
    </row>
    <row r="1240" spans="1:50">
      <c r="A1240" s="7"/>
      <c r="B1240" s="10"/>
      <c r="C1240" s="45" t="s">
        <v>1100</v>
      </c>
      <c r="D1240" s="23" t="s">
        <v>25</v>
      </c>
      <c r="E1240" s="83" t="s">
        <v>1284</v>
      </c>
      <c r="F1240" s="83" t="s">
        <v>1284</v>
      </c>
      <c r="G1240" s="83" t="s">
        <v>1284</v>
      </c>
      <c r="H1240" s="83" t="s">
        <v>1284</v>
      </c>
      <c r="I1240" s="25">
        <v>0.9</v>
      </c>
      <c r="J1240" s="26">
        <v>0</v>
      </c>
      <c r="K1240" s="26">
        <v>0</v>
      </c>
      <c r="L1240" s="27">
        <v>0</v>
      </c>
      <c r="M1240" s="26">
        <v>0</v>
      </c>
      <c r="N1240" s="28">
        <v>0.9</v>
      </c>
      <c r="O1240" s="26">
        <v>0</v>
      </c>
      <c r="P1240" s="26">
        <v>0</v>
      </c>
      <c r="Q1240" s="26">
        <v>0</v>
      </c>
      <c r="R1240" s="26">
        <v>0</v>
      </c>
      <c r="S1240" s="28">
        <v>0.9</v>
      </c>
      <c r="T1240" s="26">
        <v>0</v>
      </c>
      <c r="U1240" s="26">
        <v>0</v>
      </c>
      <c r="V1240" s="26">
        <v>0</v>
      </c>
      <c r="W1240" s="26">
        <v>0.88888888888888884</v>
      </c>
      <c r="X1240" s="28">
        <v>0.92</v>
      </c>
      <c r="Y1240" s="28">
        <v>0</v>
      </c>
      <c r="Z1240" s="28">
        <v>0</v>
      </c>
      <c r="AA1240" s="28">
        <v>0</v>
      </c>
      <c r="AB1240" s="28">
        <v>0</v>
      </c>
      <c r="AC1240" s="28">
        <v>0.92</v>
      </c>
      <c r="AD1240" s="26">
        <v>0.99802588286905025</v>
      </c>
      <c r="AE1240" s="26">
        <v>0.98396205105037271</v>
      </c>
      <c r="AF1240" s="26">
        <v>0.99889036839769196</v>
      </c>
      <c r="AG1240" s="26">
        <v>0.98781029599600156</v>
      </c>
      <c r="AH1240" s="28">
        <v>0.92</v>
      </c>
      <c r="AI1240" s="26">
        <v>0</v>
      </c>
      <c r="AJ1240" s="26">
        <v>0</v>
      </c>
      <c r="AK1240" s="26">
        <v>0</v>
      </c>
      <c r="AL1240" s="26">
        <v>0.88888888888888884</v>
      </c>
      <c r="AM1240" s="25">
        <v>0.99</v>
      </c>
      <c r="AN1240" s="30">
        <v>1</v>
      </c>
      <c r="AO1240" s="30">
        <v>1</v>
      </c>
      <c r="AP1240" s="30">
        <v>1</v>
      </c>
      <c r="AQ1240" s="30">
        <v>1</v>
      </c>
      <c r="AR1240" s="50">
        <v>7.2186152540827803E-2</v>
      </c>
      <c r="AS1240" s="34">
        <v>0</v>
      </c>
      <c r="AT1240" s="34">
        <v>0</v>
      </c>
      <c r="AU1240" s="34">
        <v>0</v>
      </c>
      <c r="AV1240" s="34">
        <v>0</v>
      </c>
      <c r="AW1240" s="10"/>
      <c r="AX1240" s="8"/>
    </row>
    <row r="1241" spans="1:50">
      <c r="A1241" s="7"/>
      <c r="B1241" s="10"/>
      <c r="C1241" s="45" t="s">
        <v>1100</v>
      </c>
      <c r="D1241" s="23" t="s">
        <v>25</v>
      </c>
      <c r="E1241" s="83" t="s">
        <v>1285</v>
      </c>
      <c r="F1241" s="83" t="s">
        <v>1285</v>
      </c>
      <c r="G1241" s="83" t="s">
        <v>1285</v>
      </c>
      <c r="H1241" s="83" t="s">
        <v>1285</v>
      </c>
      <c r="I1241" s="25">
        <v>0.9</v>
      </c>
      <c r="J1241" s="26">
        <v>0.93243243243243246</v>
      </c>
      <c r="K1241" s="26">
        <v>0.95833333333333337</v>
      </c>
      <c r="L1241" s="27">
        <v>0.98701298701298701</v>
      </c>
      <c r="M1241" s="26">
        <v>0.96984924623115576</v>
      </c>
      <c r="N1241" s="28">
        <v>0.9</v>
      </c>
      <c r="O1241" s="26">
        <v>0.95066185318892904</v>
      </c>
      <c r="P1241" s="26">
        <v>0.95683266155246394</v>
      </c>
      <c r="Q1241" s="26">
        <v>0.96684648235558557</v>
      </c>
      <c r="R1241" s="26">
        <v>0.93663635481052399</v>
      </c>
      <c r="S1241" s="28">
        <v>0.9</v>
      </c>
      <c r="T1241" s="26">
        <v>0.89931809065383073</v>
      </c>
      <c r="U1241" s="26">
        <v>0.89793264855025356</v>
      </c>
      <c r="V1241" s="26">
        <v>0.89930321420543946</v>
      </c>
      <c r="W1241" s="26">
        <v>0.89495485582990841</v>
      </c>
      <c r="X1241" s="28">
        <v>0.92</v>
      </c>
      <c r="Y1241" s="28">
        <v>0.91616038882138517</v>
      </c>
      <c r="Z1241" s="28">
        <v>0.91358760429082242</v>
      </c>
      <c r="AA1241" s="28">
        <v>0.94092140921409217</v>
      </c>
      <c r="AB1241" s="28">
        <v>0.91533069609271978</v>
      </c>
      <c r="AC1241" s="28">
        <v>0.92</v>
      </c>
      <c r="AD1241" s="26">
        <v>0.99175115999312602</v>
      </c>
      <c r="AE1241" s="26">
        <v>0.99803664921465973</v>
      </c>
      <c r="AF1241" s="26">
        <v>0.994811414887248</v>
      </c>
      <c r="AG1241" s="26">
        <v>0.99506374211271842</v>
      </c>
      <c r="AH1241" s="28">
        <v>0.92</v>
      </c>
      <c r="AI1241" s="26">
        <v>0.95463510848126232</v>
      </c>
      <c r="AJ1241" s="26">
        <v>0.96242928807770312</v>
      </c>
      <c r="AK1241" s="26">
        <v>0.97291511541325393</v>
      </c>
      <c r="AL1241" s="26">
        <v>0.96002151779153988</v>
      </c>
      <c r="AM1241" s="25">
        <v>0.99</v>
      </c>
      <c r="AN1241" s="30">
        <v>1</v>
      </c>
      <c r="AO1241" s="30">
        <v>1</v>
      </c>
      <c r="AP1241" s="30">
        <v>1</v>
      </c>
      <c r="AQ1241" s="30">
        <v>1</v>
      </c>
      <c r="AR1241" s="50">
        <v>7.2186152540827803E-2</v>
      </c>
      <c r="AS1241" s="34">
        <v>6.0240963855421686E-2</v>
      </c>
      <c r="AT1241" s="34">
        <v>5.128205128205128E-2</v>
      </c>
      <c r="AU1241" s="34">
        <v>5.4054054054054057E-2</v>
      </c>
      <c r="AV1241" s="34">
        <v>4.0214477211796246E-2</v>
      </c>
      <c r="AW1241" s="10"/>
      <c r="AX1241" s="8"/>
    </row>
    <row r="1242" spans="1:50">
      <c r="A1242" s="7"/>
      <c r="B1242" s="10"/>
      <c r="C1242" s="45" t="s">
        <v>1100</v>
      </c>
      <c r="D1242" s="23" t="s">
        <v>25</v>
      </c>
      <c r="E1242" s="86" t="s">
        <v>1286</v>
      </c>
      <c r="F1242" s="86" t="s">
        <v>1286</v>
      </c>
      <c r="G1242" s="86" t="s">
        <v>1286</v>
      </c>
      <c r="H1242" s="86" t="s">
        <v>1286</v>
      </c>
      <c r="I1242" s="25">
        <v>0.9</v>
      </c>
      <c r="J1242" s="26">
        <v>0</v>
      </c>
      <c r="K1242" s="26">
        <v>0</v>
      </c>
      <c r="L1242" s="27">
        <v>0</v>
      </c>
      <c r="M1242" s="26">
        <v>0</v>
      </c>
      <c r="N1242" s="28">
        <v>0.9</v>
      </c>
      <c r="O1242" s="26">
        <v>0</v>
      </c>
      <c r="P1242" s="26">
        <v>0</v>
      </c>
      <c r="Q1242" s="26">
        <v>0</v>
      </c>
      <c r="R1242" s="26">
        <v>0</v>
      </c>
      <c r="S1242" s="28">
        <v>0.9</v>
      </c>
      <c r="T1242" s="26">
        <v>1</v>
      </c>
      <c r="U1242" s="26">
        <v>1</v>
      </c>
      <c r="V1242" s="26">
        <v>1</v>
      </c>
      <c r="W1242" s="26">
        <v>0.99092970521541945</v>
      </c>
      <c r="X1242" s="28">
        <v>0.92</v>
      </c>
      <c r="Y1242" s="28">
        <v>1</v>
      </c>
      <c r="Z1242" s="28">
        <v>1</v>
      </c>
      <c r="AA1242" s="28">
        <v>0.8</v>
      </c>
      <c r="AB1242" s="28">
        <v>0.9887640449438202</v>
      </c>
      <c r="AC1242" s="28">
        <v>0.92</v>
      </c>
      <c r="AD1242" s="26">
        <v>1</v>
      </c>
      <c r="AE1242" s="26">
        <v>1</v>
      </c>
      <c r="AF1242" s="26">
        <v>1</v>
      </c>
      <c r="AG1242" s="26">
        <v>0.99984866828087171</v>
      </c>
      <c r="AH1242" s="28">
        <v>0.92</v>
      </c>
      <c r="AI1242" s="26">
        <v>1</v>
      </c>
      <c r="AJ1242" s="26">
        <v>1</v>
      </c>
      <c r="AK1242" s="26">
        <v>0.98780487804878048</v>
      </c>
      <c r="AL1242" s="26">
        <v>0.99056603773584906</v>
      </c>
      <c r="AM1242" s="25">
        <v>0.99</v>
      </c>
      <c r="AN1242" s="30">
        <v>0</v>
      </c>
      <c r="AO1242" s="30">
        <v>0</v>
      </c>
      <c r="AP1242" s="30">
        <v>1</v>
      </c>
      <c r="AQ1242" s="30">
        <v>1</v>
      </c>
      <c r="AR1242" s="50">
        <v>7.2186152540827803E-2</v>
      </c>
      <c r="AS1242" s="34">
        <v>0</v>
      </c>
      <c r="AT1242" s="34">
        <v>0</v>
      </c>
      <c r="AU1242" s="34">
        <v>0</v>
      </c>
      <c r="AV1242" s="34">
        <v>0</v>
      </c>
      <c r="AW1242" s="10"/>
      <c r="AX1242" s="8"/>
    </row>
    <row r="1243" spans="1:50">
      <c r="A1243" s="7"/>
      <c r="B1243" s="10"/>
      <c r="C1243" s="45" t="s">
        <v>1100</v>
      </c>
      <c r="D1243" s="23" t="s">
        <v>25</v>
      </c>
      <c r="E1243" s="83" t="s">
        <v>1287</v>
      </c>
      <c r="F1243" s="83" t="s">
        <v>1287</v>
      </c>
      <c r="G1243" s="83" t="s">
        <v>1287</v>
      </c>
      <c r="H1243" s="83" t="s">
        <v>1287</v>
      </c>
      <c r="I1243" s="25">
        <v>0.9</v>
      </c>
      <c r="J1243" s="26">
        <v>0.97916666666666663</v>
      </c>
      <c r="K1243" s="26">
        <v>0.97872340425531912</v>
      </c>
      <c r="L1243" s="27">
        <v>0.98113207547169812</v>
      </c>
      <c r="M1243" s="26">
        <v>0.9866310160427807</v>
      </c>
      <c r="N1243" s="28">
        <v>0.9</v>
      </c>
      <c r="O1243" s="26">
        <v>0.97977346278317157</v>
      </c>
      <c r="P1243" s="26">
        <v>0.98522427440633242</v>
      </c>
      <c r="Q1243" s="26">
        <v>0.98904048311339743</v>
      </c>
      <c r="R1243" s="26">
        <v>0.98129558990831822</v>
      </c>
      <c r="S1243" s="28">
        <v>0.9</v>
      </c>
      <c r="T1243" s="26">
        <v>0.90695792880258896</v>
      </c>
      <c r="U1243" s="26">
        <v>0.90976253298153031</v>
      </c>
      <c r="V1243" s="26">
        <v>0.90292999329009171</v>
      </c>
      <c r="W1243" s="26">
        <v>0.89065114100247611</v>
      </c>
      <c r="X1243" s="28">
        <v>0.92</v>
      </c>
      <c r="Y1243" s="28">
        <v>0.89458689458689455</v>
      </c>
      <c r="Z1243" s="28">
        <v>0.90111420612813375</v>
      </c>
      <c r="AA1243" s="28">
        <v>0.95594713656387664</v>
      </c>
      <c r="AB1243" s="28">
        <v>0.91188191881918823</v>
      </c>
      <c r="AC1243" s="28">
        <v>0.92</v>
      </c>
      <c r="AD1243" s="26">
        <v>0.98937869349944096</v>
      </c>
      <c r="AE1243" s="26">
        <v>0.99076065312624451</v>
      </c>
      <c r="AF1243" s="26">
        <v>0.98730713688530825</v>
      </c>
      <c r="AG1243" s="26">
        <v>0.92224176235585043</v>
      </c>
      <c r="AH1243" s="28">
        <v>0.92</v>
      </c>
      <c r="AI1243" s="26">
        <v>0.95578231292517002</v>
      </c>
      <c r="AJ1243" s="26">
        <v>0.96406388642413487</v>
      </c>
      <c r="AK1243" s="26">
        <v>0.97937186396580567</v>
      </c>
      <c r="AL1243" s="26">
        <v>0.95597861662666372</v>
      </c>
      <c r="AM1243" s="25">
        <v>0.99</v>
      </c>
      <c r="AN1243" s="30">
        <v>1</v>
      </c>
      <c r="AO1243" s="30">
        <v>1</v>
      </c>
      <c r="AP1243" s="30">
        <v>1</v>
      </c>
      <c r="AQ1243" s="30">
        <v>1</v>
      </c>
      <c r="AR1243" s="50">
        <v>7.2186152540827803E-2</v>
      </c>
      <c r="AS1243" s="34">
        <v>4.3478260869565216E-2</v>
      </c>
      <c r="AT1243" s="34">
        <v>0</v>
      </c>
      <c r="AU1243" s="34">
        <v>0.04</v>
      </c>
      <c r="AV1243" s="34">
        <v>-4.3749999999999997E-2</v>
      </c>
      <c r="AW1243" s="10"/>
      <c r="AX1243" s="8"/>
    </row>
    <row r="1244" spans="1:50">
      <c r="A1244" s="7"/>
      <c r="B1244" s="10"/>
      <c r="C1244" s="45" t="s">
        <v>1100</v>
      </c>
      <c r="D1244" s="23" t="s">
        <v>25</v>
      </c>
      <c r="E1244" s="83" t="s">
        <v>1288</v>
      </c>
      <c r="F1244" s="83" t="s">
        <v>1288</v>
      </c>
      <c r="G1244" s="83" t="s">
        <v>1288</v>
      </c>
      <c r="H1244" s="83" t="s">
        <v>1288</v>
      </c>
      <c r="I1244" s="25">
        <v>0.9</v>
      </c>
      <c r="J1244" s="26">
        <v>0.9642857142857143</v>
      </c>
      <c r="K1244" s="26">
        <v>0.98181818181818181</v>
      </c>
      <c r="L1244" s="27">
        <v>0.98333333333333328</v>
      </c>
      <c r="M1244" s="26">
        <v>0.95890410958904104</v>
      </c>
      <c r="N1244" s="28">
        <v>0.9</v>
      </c>
      <c r="O1244" s="26">
        <v>0.94467578822129683</v>
      </c>
      <c r="P1244" s="26">
        <v>0.96308517220045375</v>
      </c>
      <c r="Q1244" s="26">
        <v>0.9326495726495726</v>
      </c>
      <c r="R1244" s="26">
        <v>0.92963823431795556</v>
      </c>
      <c r="S1244" s="28">
        <v>0.9</v>
      </c>
      <c r="T1244" s="26">
        <v>0.89767995240928022</v>
      </c>
      <c r="U1244" s="26">
        <v>0.91173437822231385</v>
      </c>
      <c r="V1244" s="26">
        <v>0.89367521367521363</v>
      </c>
      <c r="W1244" s="26">
        <v>0.89277234547729067</v>
      </c>
      <c r="X1244" s="28">
        <v>0.92</v>
      </c>
      <c r="Y1244" s="28">
        <v>0.8903775883069428</v>
      </c>
      <c r="Z1244" s="28">
        <v>0.91276595744680855</v>
      </c>
      <c r="AA1244" s="28">
        <v>0.93273092369477917</v>
      </c>
      <c r="AB1244" s="28">
        <v>0.90341182123978858</v>
      </c>
      <c r="AC1244" s="28">
        <v>0.92</v>
      </c>
      <c r="AD1244" s="26">
        <v>0.99784858108800323</v>
      </c>
      <c r="AE1244" s="26">
        <v>0.99499592691725824</v>
      </c>
      <c r="AF1244" s="26">
        <v>0.99498558355271405</v>
      </c>
      <c r="AG1244" s="26">
        <v>0.99112524448820472</v>
      </c>
      <c r="AH1244" s="28">
        <v>0.92</v>
      </c>
      <c r="AI1244" s="26">
        <v>0.95242155525238748</v>
      </c>
      <c r="AJ1244" s="26">
        <v>0.95837651122625211</v>
      </c>
      <c r="AK1244" s="26">
        <v>0.97079865673820998</v>
      </c>
      <c r="AL1244" s="26">
        <v>0.95543720793162967</v>
      </c>
      <c r="AM1244" s="25">
        <v>0.99</v>
      </c>
      <c r="AN1244" s="30">
        <v>1</v>
      </c>
      <c r="AO1244" s="30">
        <v>1</v>
      </c>
      <c r="AP1244" s="30">
        <v>1</v>
      </c>
      <c r="AQ1244" s="30">
        <v>1</v>
      </c>
      <c r="AR1244" s="50">
        <v>7.2186152540827803E-2</v>
      </c>
      <c r="AS1244" s="34">
        <v>6.4516129032258063E-2</v>
      </c>
      <c r="AT1244" s="34">
        <v>8.8235294117647065E-2</v>
      </c>
      <c r="AU1244" s="34">
        <v>8.5714285714285715E-2</v>
      </c>
      <c r="AV1244" s="34">
        <v>7.0796460176991149E-2</v>
      </c>
      <c r="AW1244" s="10"/>
      <c r="AX1244" s="8"/>
    </row>
    <row r="1245" spans="1:50">
      <c r="A1245" s="7"/>
      <c r="B1245" s="10"/>
      <c r="C1245" s="45" t="s">
        <v>1100</v>
      </c>
      <c r="D1245" s="23" t="s">
        <v>25</v>
      </c>
      <c r="E1245" s="83" t="s">
        <v>1289</v>
      </c>
      <c r="F1245" s="83" t="s">
        <v>1289</v>
      </c>
      <c r="G1245" s="83" t="s">
        <v>1289</v>
      </c>
      <c r="H1245" s="83" t="s">
        <v>1289</v>
      </c>
      <c r="I1245" s="25">
        <v>0.9</v>
      </c>
      <c r="J1245" s="26">
        <v>1</v>
      </c>
      <c r="K1245" s="26">
        <v>1</v>
      </c>
      <c r="L1245" s="27">
        <v>1</v>
      </c>
      <c r="M1245" s="26">
        <v>0.99465240641711228</v>
      </c>
      <c r="N1245" s="28">
        <v>0.9</v>
      </c>
      <c r="O1245" s="26">
        <v>0.68529945553539018</v>
      </c>
      <c r="P1245" s="26">
        <v>0.93164933135215455</v>
      </c>
      <c r="Q1245" s="26">
        <v>0.9644151565074135</v>
      </c>
      <c r="R1245" s="26">
        <v>0.92343387470997684</v>
      </c>
      <c r="S1245" s="28">
        <v>0.9</v>
      </c>
      <c r="T1245" s="26">
        <v>0.88892921960072591</v>
      </c>
      <c r="U1245" s="26">
        <v>0.92719167904903421</v>
      </c>
      <c r="V1245" s="26">
        <v>0.91861614497528832</v>
      </c>
      <c r="W1245" s="26">
        <v>0.91339552062124152</v>
      </c>
      <c r="X1245" s="28">
        <v>0.92</v>
      </c>
      <c r="Y1245" s="28">
        <v>0.90466926070038911</v>
      </c>
      <c r="Z1245" s="28">
        <v>0.93647540983606559</v>
      </c>
      <c r="AA1245" s="28">
        <v>0.94178082191780821</v>
      </c>
      <c r="AB1245" s="28">
        <v>0.9243514279485503</v>
      </c>
      <c r="AC1245" s="28">
        <v>0.92</v>
      </c>
      <c r="AD1245" s="26">
        <v>0.99044270128933365</v>
      </c>
      <c r="AE1245" s="26">
        <v>0.89042121017746423</v>
      </c>
      <c r="AF1245" s="26">
        <v>0.98390498390498393</v>
      </c>
      <c r="AG1245" s="26">
        <v>0.95062079301301017</v>
      </c>
      <c r="AH1245" s="28">
        <v>0.92</v>
      </c>
      <c r="AI1245" s="26">
        <v>0.96085626911314981</v>
      </c>
      <c r="AJ1245" s="26">
        <v>0.97484276729559749</v>
      </c>
      <c r="AK1245" s="26">
        <v>0.97430229345122965</v>
      </c>
      <c r="AL1245" s="26">
        <v>0.96666407344017424</v>
      </c>
      <c r="AM1245" s="25">
        <v>0.99</v>
      </c>
      <c r="AN1245" s="30">
        <v>1</v>
      </c>
      <c r="AO1245" s="30">
        <v>1</v>
      </c>
      <c r="AP1245" s="30">
        <v>1</v>
      </c>
      <c r="AQ1245" s="30">
        <v>1</v>
      </c>
      <c r="AR1245" s="50">
        <v>7.2186152540827803E-2</v>
      </c>
      <c r="AS1245" s="34">
        <v>2.564102564102564E-2</v>
      </c>
      <c r="AT1245" s="34">
        <v>0</v>
      </c>
      <c r="AU1245" s="34">
        <v>7.4999999999999997E-2</v>
      </c>
      <c r="AV1245" s="34">
        <v>3.3950617283950615E-2</v>
      </c>
      <c r="AW1245" s="10"/>
      <c r="AX1245" s="8"/>
    </row>
    <row r="1246" spans="1:50">
      <c r="A1246" s="7"/>
      <c r="B1246" s="10"/>
      <c r="C1246" s="45" t="s">
        <v>1100</v>
      </c>
      <c r="D1246" s="23" t="s">
        <v>25</v>
      </c>
      <c r="E1246" s="83" t="s">
        <v>1290</v>
      </c>
      <c r="F1246" s="83" t="s">
        <v>1290</v>
      </c>
      <c r="G1246" s="83" t="s">
        <v>1290</v>
      </c>
      <c r="H1246" s="83" t="s">
        <v>1290</v>
      </c>
      <c r="I1246" s="25">
        <v>0.9</v>
      </c>
      <c r="J1246" s="26">
        <v>0</v>
      </c>
      <c r="K1246" s="26">
        <v>0</v>
      </c>
      <c r="L1246" s="27">
        <v>0</v>
      </c>
      <c r="M1246" s="26">
        <v>0</v>
      </c>
      <c r="N1246" s="28">
        <v>0.9</v>
      </c>
      <c r="O1246" s="26">
        <v>0.43989071038251365</v>
      </c>
      <c r="P1246" s="26">
        <v>0.46857142857142858</v>
      </c>
      <c r="Q1246" s="26">
        <v>0.53602305475504319</v>
      </c>
      <c r="R1246" s="26">
        <v>0.46591367486889873</v>
      </c>
      <c r="S1246" s="28">
        <v>0.9</v>
      </c>
      <c r="T1246" s="26">
        <v>0.99453551912568305</v>
      </c>
      <c r="U1246" s="26">
        <v>0.99428571428571433</v>
      </c>
      <c r="V1246" s="26">
        <v>1</v>
      </c>
      <c r="W1246" s="26">
        <v>0.98870512303348124</v>
      </c>
      <c r="X1246" s="28">
        <v>0.92</v>
      </c>
      <c r="Y1246" s="28">
        <v>1</v>
      </c>
      <c r="Z1246" s="28">
        <v>1</v>
      </c>
      <c r="AA1246" s="28">
        <v>0.9838709677419355</v>
      </c>
      <c r="AB1246" s="28">
        <v>0.98936170212765961</v>
      </c>
      <c r="AC1246" s="28">
        <v>0.92</v>
      </c>
      <c r="AD1246" s="26">
        <v>0.95938277750124445</v>
      </c>
      <c r="AE1246" s="26">
        <v>0.95479353310678616</v>
      </c>
      <c r="AF1246" s="26">
        <v>0.98842195540308753</v>
      </c>
      <c r="AG1246" s="26">
        <v>0.97027244262629408</v>
      </c>
      <c r="AH1246" s="28">
        <v>0.92</v>
      </c>
      <c r="AI1246" s="26">
        <v>0.99521531100478466</v>
      </c>
      <c r="AJ1246" s="26">
        <v>0.99561403508771928</v>
      </c>
      <c r="AK1246" s="26">
        <v>0.9975609756097561</v>
      </c>
      <c r="AL1246" s="26">
        <v>0.98890701468189235</v>
      </c>
      <c r="AM1246" s="25">
        <v>0.99</v>
      </c>
      <c r="AN1246" s="30">
        <v>1</v>
      </c>
      <c r="AO1246" s="30">
        <v>1</v>
      </c>
      <c r="AP1246" s="30">
        <v>1</v>
      </c>
      <c r="AQ1246" s="30">
        <v>1</v>
      </c>
      <c r="AR1246" s="50">
        <v>7.2186152540827803E-2</v>
      </c>
      <c r="AS1246" s="34">
        <v>0</v>
      </c>
      <c r="AT1246" s="34">
        <v>0</v>
      </c>
      <c r="AU1246" s="34">
        <v>0</v>
      </c>
      <c r="AV1246" s="34">
        <v>0</v>
      </c>
      <c r="AW1246" s="10"/>
      <c r="AX1246" s="8"/>
    </row>
    <row r="1247" spans="1:50">
      <c r="A1247" s="7"/>
      <c r="B1247" s="10"/>
      <c r="C1247" s="45" t="s">
        <v>1100</v>
      </c>
      <c r="D1247" s="23" t="s">
        <v>25</v>
      </c>
      <c r="E1247" s="83" t="s">
        <v>1291</v>
      </c>
      <c r="F1247" s="83" t="s">
        <v>1291</v>
      </c>
      <c r="G1247" s="83" t="s">
        <v>1291</v>
      </c>
      <c r="H1247" s="83" t="s">
        <v>1291</v>
      </c>
      <c r="I1247" s="25">
        <v>0.9</v>
      </c>
      <c r="J1247" s="26">
        <v>0</v>
      </c>
      <c r="K1247" s="26">
        <v>0</v>
      </c>
      <c r="L1247" s="27">
        <v>0</v>
      </c>
      <c r="M1247" s="26">
        <v>0</v>
      </c>
      <c r="N1247" s="28">
        <v>0.9</v>
      </c>
      <c r="O1247" s="26">
        <v>0</v>
      </c>
      <c r="P1247" s="26">
        <v>0</v>
      </c>
      <c r="Q1247" s="26">
        <v>0</v>
      </c>
      <c r="R1247" s="26">
        <v>0</v>
      </c>
      <c r="S1247" s="28">
        <v>0.9</v>
      </c>
      <c r="T1247" s="26">
        <v>1</v>
      </c>
      <c r="U1247" s="26">
        <v>0</v>
      </c>
      <c r="V1247" s="26">
        <v>0</v>
      </c>
      <c r="W1247" s="26">
        <v>1</v>
      </c>
      <c r="X1247" s="28">
        <v>0.92</v>
      </c>
      <c r="Y1247" s="28">
        <v>0</v>
      </c>
      <c r="Z1247" s="28">
        <v>0</v>
      </c>
      <c r="AA1247" s="28">
        <v>0</v>
      </c>
      <c r="AB1247" s="28">
        <v>0</v>
      </c>
      <c r="AC1247" s="28">
        <v>0.92</v>
      </c>
      <c r="AD1247" s="26">
        <v>0.98329081632653059</v>
      </c>
      <c r="AE1247" s="26">
        <v>0.99031037093111274</v>
      </c>
      <c r="AF1247" s="26">
        <v>0.97882685069008779</v>
      </c>
      <c r="AG1247" s="26">
        <v>0.97514763779527558</v>
      </c>
      <c r="AH1247" s="28">
        <v>0.92</v>
      </c>
      <c r="AI1247" s="26">
        <v>1</v>
      </c>
      <c r="AJ1247" s="26">
        <v>0</v>
      </c>
      <c r="AK1247" s="26">
        <v>0</v>
      </c>
      <c r="AL1247" s="26">
        <v>1</v>
      </c>
      <c r="AM1247" s="25">
        <v>0.99</v>
      </c>
      <c r="AN1247" s="30">
        <v>1</v>
      </c>
      <c r="AO1247" s="30">
        <v>1</v>
      </c>
      <c r="AP1247" s="30">
        <v>1</v>
      </c>
      <c r="AQ1247" s="30">
        <v>1</v>
      </c>
      <c r="AR1247" s="50">
        <v>7.2186152540827803E-2</v>
      </c>
      <c r="AS1247" s="34">
        <v>0</v>
      </c>
      <c r="AT1247" s="34">
        <v>0</v>
      </c>
      <c r="AU1247" s="34">
        <v>0</v>
      </c>
      <c r="AV1247" s="34">
        <v>0</v>
      </c>
      <c r="AW1247" s="10"/>
      <c r="AX1247" s="8"/>
    </row>
    <row r="1248" spans="1:50">
      <c r="A1248" s="7"/>
      <c r="B1248" s="10"/>
      <c r="C1248" s="45" t="s">
        <v>1100</v>
      </c>
      <c r="D1248" s="23" t="s">
        <v>25</v>
      </c>
      <c r="E1248" s="83" t="s">
        <v>1292</v>
      </c>
      <c r="F1248" s="83" t="s">
        <v>1292</v>
      </c>
      <c r="G1248" s="83" t="s">
        <v>1292</v>
      </c>
      <c r="H1248" s="83" t="s">
        <v>1292</v>
      </c>
      <c r="I1248" s="25">
        <v>0.9</v>
      </c>
      <c r="J1248" s="26">
        <v>0.92682926829268297</v>
      </c>
      <c r="K1248" s="26">
        <v>0.95</v>
      </c>
      <c r="L1248" s="27">
        <v>0.97499999999999998</v>
      </c>
      <c r="M1248" s="26">
        <v>0.93827160493827155</v>
      </c>
      <c r="N1248" s="28">
        <v>0.9</v>
      </c>
      <c r="O1248" s="26">
        <v>0.94810768630511122</v>
      </c>
      <c r="P1248" s="26">
        <v>0.95446165191740417</v>
      </c>
      <c r="Q1248" s="26">
        <v>0.95149569038364035</v>
      </c>
      <c r="R1248" s="26">
        <v>0.94258455350354398</v>
      </c>
      <c r="S1248" s="28">
        <v>0.9</v>
      </c>
      <c r="T1248" s="26">
        <v>0.88158408115489661</v>
      </c>
      <c r="U1248" s="26">
        <v>0.87407817109144548</v>
      </c>
      <c r="V1248" s="26">
        <v>0.84299476085854319</v>
      </c>
      <c r="W1248" s="26">
        <v>0.8676084663870699</v>
      </c>
      <c r="X1248" s="28">
        <v>0.92</v>
      </c>
      <c r="Y1248" s="28">
        <v>0.89141675284384692</v>
      </c>
      <c r="Z1248" s="28">
        <v>0.91105769230769229</v>
      </c>
      <c r="AA1248" s="28">
        <v>0.89468599033816421</v>
      </c>
      <c r="AB1248" s="28">
        <v>0.89872867543192436</v>
      </c>
      <c r="AC1248" s="28">
        <v>0.92</v>
      </c>
      <c r="AD1248" s="26">
        <v>0.99818511796733211</v>
      </c>
      <c r="AE1248" s="26">
        <v>0.9596568824554349</v>
      </c>
      <c r="AF1248" s="26">
        <v>0.99638707849249075</v>
      </c>
      <c r="AG1248" s="26">
        <v>0.98975155163598227</v>
      </c>
      <c r="AH1248" s="28">
        <v>0.92</v>
      </c>
      <c r="AI1248" s="26">
        <v>0.95356087955365931</v>
      </c>
      <c r="AJ1248" s="26">
        <v>0.95535580524344565</v>
      </c>
      <c r="AK1248" s="26">
        <v>0.95743457003163646</v>
      </c>
      <c r="AL1248" s="26">
        <v>0.95274960491308092</v>
      </c>
      <c r="AM1248" s="25">
        <v>0.99</v>
      </c>
      <c r="AN1248" s="30">
        <v>1</v>
      </c>
      <c r="AO1248" s="30">
        <v>1</v>
      </c>
      <c r="AP1248" s="30">
        <v>1</v>
      </c>
      <c r="AQ1248" s="30">
        <v>1</v>
      </c>
      <c r="AR1248" s="50">
        <v>7.2186152540827803E-2</v>
      </c>
      <c r="AS1248" s="34">
        <v>0</v>
      </c>
      <c r="AT1248" s="34">
        <v>0.1</v>
      </c>
      <c r="AU1248" s="34">
        <v>-4.3478260869565216E-2</v>
      </c>
      <c r="AV1248" s="34">
        <v>1.098901098901099E-2</v>
      </c>
      <c r="AW1248" s="10"/>
      <c r="AX1248" s="8"/>
    </row>
    <row r="1249" spans="1:50">
      <c r="A1249" s="7"/>
      <c r="B1249" s="10"/>
      <c r="C1249" s="45" t="s">
        <v>1100</v>
      </c>
      <c r="D1249" s="23" t="s">
        <v>25</v>
      </c>
      <c r="E1249" s="83" t="s">
        <v>1293</v>
      </c>
      <c r="F1249" s="83" t="s">
        <v>1293</v>
      </c>
      <c r="G1249" s="83" t="s">
        <v>1293</v>
      </c>
      <c r="H1249" s="83" t="s">
        <v>1293</v>
      </c>
      <c r="I1249" s="25">
        <v>0.9</v>
      </c>
      <c r="J1249" s="26">
        <v>0</v>
      </c>
      <c r="K1249" s="26">
        <v>0</v>
      </c>
      <c r="L1249" s="27">
        <v>0</v>
      </c>
      <c r="M1249" s="26">
        <v>0</v>
      </c>
      <c r="N1249" s="28">
        <v>0.9</v>
      </c>
      <c r="O1249" s="26">
        <v>0</v>
      </c>
      <c r="P1249" s="26">
        <v>0</v>
      </c>
      <c r="Q1249" s="26">
        <v>0</v>
      </c>
      <c r="R1249" s="26">
        <v>0</v>
      </c>
      <c r="S1249" s="28">
        <v>0.9</v>
      </c>
      <c r="T1249" s="26">
        <v>0.77777777777777779</v>
      </c>
      <c r="U1249" s="26">
        <v>0.8</v>
      </c>
      <c r="V1249" s="26">
        <v>0.88888888888888884</v>
      </c>
      <c r="W1249" s="26">
        <v>0.91836734693877553</v>
      </c>
      <c r="X1249" s="28">
        <v>0.92</v>
      </c>
      <c r="Y1249" s="28">
        <v>0</v>
      </c>
      <c r="Z1249" s="28">
        <v>0</v>
      </c>
      <c r="AA1249" s="28">
        <v>0</v>
      </c>
      <c r="AB1249" s="28">
        <v>1</v>
      </c>
      <c r="AC1249" s="28">
        <v>0.92</v>
      </c>
      <c r="AD1249" s="26">
        <v>0.99481361426256076</v>
      </c>
      <c r="AE1249" s="26">
        <v>0.99560439560439562</v>
      </c>
      <c r="AF1249" s="26">
        <v>0.99982369534555715</v>
      </c>
      <c r="AG1249" s="26">
        <v>0.99646371463714634</v>
      </c>
      <c r="AH1249" s="28">
        <v>0.92</v>
      </c>
      <c r="AI1249" s="26">
        <v>0.63636363636363635</v>
      </c>
      <c r="AJ1249" s="26">
        <v>0.77777777777777779</v>
      </c>
      <c r="AK1249" s="26">
        <v>0.9</v>
      </c>
      <c r="AL1249" s="26">
        <v>0.90140845070422537</v>
      </c>
      <c r="AM1249" s="25">
        <v>0.99</v>
      </c>
      <c r="AN1249" s="30">
        <v>1</v>
      </c>
      <c r="AO1249" s="30">
        <v>1</v>
      </c>
      <c r="AP1249" s="30">
        <v>1</v>
      </c>
      <c r="AQ1249" s="30">
        <v>1</v>
      </c>
      <c r="AR1249" s="50">
        <v>7.2186152540827803E-2</v>
      </c>
      <c r="AS1249" s="34">
        <v>0</v>
      </c>
      <c r="AT1249" s="34">
        <v>0</v>
      </c>
      <c r="AU1249" s="34">
        <v>0</v>
      </c>
      <c r="AV1249" s="34">
        <v>0</v>
      </c>
      <c r="AW1249" s="10"/>
      <c r="AX1249" s="8"/>
    </row>
    <row r="1250" spans="1:50">
      <c r="A1250" s="7"/>
      <c r="B1250" s="10"/>
      <c r="C1250" s="45" t="s">
        <v>1100</v>
      </c>
      <c r="D1250" s="23" t="s">
        <v>25</v>
      </c>
      <c r="E1250" s="83" t="s">
        <v>1294</v>
      </c>
      <c r="F1250" s="83" t="s">
        <v>1294</v>
      </c>
      <c r="G1250" s="83" t="s">
        <v>1294</v>
      </c>
      <c r="H1250" s="83" t="s">
        <v>1294</v>
      </c>
      <c r="I1250" s="25">
        <v>0.9</v>
      </c>
      <c r="J1250" s="26">
        <v>1</v>
      </c>
      <c r="K1250" s="26">
        <v>1</v>
      </c>
      <c r="L1250" s="27">
        <v>0.97368421052631582</v>
      </c>
      <c r="M1250" s="26">
        <v>0.99094202898550721</v>
      </c>
      <c r="N1250" s="28">
        <v>0.9</v>
      </c>
      <c r="O1250" s="26">
        <v>0.93486947256259989</v>
      </c>
      <c r="P1250" s="26">
        <v>0.96726463270917895</v>
      </c>
      <c r="Q1250" s="26">
        <v>0.96180798878766638</v>
      </c>
      <c r="R1250" s="26">
        <v>0.93847855969423677</v>
      </c>
      <c r="S1250" s="28">
        <v>0.9</v>
      </c>
      <c r="T1250" s="26">
        <v>0.88079381992541295</v>
      </c>
      <c r="U1250" s="26">
        <v>0.91148356684562004</v>
      </c>
      <c r="V1250" s="26">
        <v>0.89897220275636536</v>
      </c>
      <c r="W1250" s="26">
        <v>0.8828745767257854</v>
      </c>
      <c r="X1250" s="28">
        <v>0.92</v>
      </c>
      <c r="Y1250" s="28">
        <v>0.88579017264276227</v>
      </c>
      <c r="Z1250" s="28">
        <v>0.92472527472527477</v>
      </c>
      <c r="AA1250" s="28">
        <v>0.92731535756154748</v>
      </c>
      <c r="AB1250" s="28">
        <v>0.89455977093772365</v>
      </c>
      <c r="AC1250" s="28">
        <v>0.92</v>
      </c>
      <c r="AD1250" s="26">
        <v>0.99514722516145515</v>
      </c>
      <c r="AE1250" s="26">
        <v>0.99639384671566167</v>
      </c>
      <c r="AF1250" s="26">
        <v>0.99170176389641795</v>
      </c>
      <c r="AG1250" s="26">
        <v>0.9854910483286764</v>
      </c>
      <c r="AH1250" s="28">
        <v>0.92</v>
      </c>
      <c r="AI1250" s="26">
        <v>0.94841357887730193</v>
      </c>
      <c r="AJ1250" s="26">
        <v>0.96362867413829567</v>
      </c>
      <c r="AK1250" s="26">
        <v>0.96981793398890082</v>
      </c>
      <c r="AL1250" s="26">
        <v>0.94580096691835513</v>
      </c>
      <c r="AM1250" s="25">
        <v>0.99</v>
      </c>
      <c r="AN1250" s="30">
        <v>1</v>
      </c>
      <c r="AO1250" s="30">
        <v>1</v>
      </c>
      <c r="AP1250" s="30">
        <v>1</v>
      </c>
      <c r="AQ1250" s="30">
        <v>1</v>
      </c>
      <c r="AR1250" s="50">
        <v>7.2186152540827803E-2</v>
      </c>
      <c r="AS1250" s="34">
        <v>0.10638297872340426</v>
      </c>
      <c r="AT1250" s="34">
        <v>4.0816326530612242E-2</v>
      </c>
      <c r="AU1250" s="34">
        <v>2.2727272727272728E-2</v>
      </c>
      <c r="AV1250" s="34">
        <v>4.4736842105263158E-2</v>
      </c>
      <c r="AW1250" s="10"/>
      <c r="AX1250" s="8"/>
    </row>
    <row r="1251" spans="1:50">
      <c r="A1251" s="7"/>
      <c r="B1251" s="10"/>
      <c r="C1251" s="45" t="s">
        <v>1100</v>
      </c>
      <c r="D1251" s="23" t="s">
        <v>25</v>
      </c>
      <c r="E1251" s="83" t="s">
        <v>1295</v>
      </c>
      <c r="F1251" s="83" t="s">
        <v>1295</v>
      </c>
      <c r="G1251" s="83" t="s">
        <v>1295</v>
      </c>
      <c r="H1251" s="83" t="s">
        <v>1295</v>
      </c>
      <c r="I1251" s="25">
        <v>0.9</v>
      </c>
      <c r="J1251" s="26">
        <v>0.8928571428571429</v>
      </c>
      <c r="K1251" s="26">
        <v>0.90740740740740744</v>
      </c>
      <c r="L1251" s="27">
        <v>0.87037037037037035</v>
      </c>
      <c r="M1251" s="26">
        <v>0.87927107061503418</v>
      </c>
      <c r="N1251" s="28">
        <v>0.9</v>
      </c>
      <c r="O1251" s="26">
        <v>0.97542773935202043</v>
      </c>
      <c r="P1251" s="26">
        <v>0.88153373123530476</v>
      </c>
      <c r="Q1251" s="26">
        <v>0.93820313737917926</v>
      </c>
      <c r="R1251" s="26">
        <v>0.91933253434129247</v>
      </c>
      <c r="S1251" s="28">
        <v>0.9</v>
      </c>
      <c r="T1251" s="26">
        <v>0.83946123043319987</v>
      </c>
      <c r="U1251" s="26">
        <v>0.78947368421052633</v>
      </c>
      <c r="V1251" s="26">
        <v>0.77452067818095394</v>
      </c>
      <c r="W1251" s="26">
        <v>0.80662856089241264</v>
      </c>
      <c r="X1251" s="28">
        <v>0.92</v>
      </c>
      <c r="Y1251" s="28">
        <v>0.85688240656335457</v>
      </c>
      <c r="Z1251" s="28">
        <v>0.87394957983193278</v>
      </c>
      <c r="AA1251" s="28">
        <v>0.89153187440532822</v>
      </c>
      <c r="AB1251" s="28">
        <v>0.87557267805081218</v>
      </c>
      <c r="AC1251" s="28">
        <v>0.92</v>
      </c>
      <c r="AD1251" s="26">
        <v>0.99509622989717905</v>
      </c>
      <c r="AE1251" s="26">
        <v>0.89975051031980036</v>
      </c>
      <c r="AF1251" s="26">
        <v>0.98306641409792783</v>
      </c>
      <c r="AG1251" s="26">
        <v>0.96946928799720677</v>
      </c>
      <c r="AH1251" s="28">
        <v>0.92</v>
      </c>
      <c r="AI1251" s="26">
        <v>0.93191811978771799</v>
      </c>
      <c r="AJ1251" s="26">
        <v>0.93015151515151517</v>
      </c>
      <c r="AK1251" s="26">
        <v>0.94432373709940254</v>
      </c>
      <c r="AL1251" s="26">
        <v>0.93492452830188677</v>
      </c>
      <c r="AM1251" s="25">
        <v>0.99</v>
      </c>
      <c r="AN1251" s="30">
        <v>1</v>
      </c>
      <c r="AO1251" s="30">
        <v>1</v>
      </c>
      <c r="AP1251" s="30">
        <v>1</v>
      </c>
      <c r="AQ1251" s="30">
        <v>1</v>
      </c>
      <c r="AR1251" s="50">
        <v>7.2186152540827803E-2</v>
      </c>
      <c r="AS1251" s="34">
        <v>0</v>
      </c>
      <c r="AT1251" s="34">
        <v>2.7027027027027029E-2</v>
      </c>
      <c r="AU1251" s="34">
        <v>0.12121212121212122</v>
      </c>
      <c r="AV1251" s="34">
        <v>2.1739130434782608E-2</v>
      </c>
      <c r="AW1251" s="10"/>
      <c r="AX1251" s="8"/>
    </row>
    <row r="1252" spans="1:50">
      <c r="A1252" s="7"/>
      <c r="B1252" s="10"/>
      <c r="C1252" s="45" t="s">
        <v>1100</v>
      </c>
      <c r="D1252" s="23" t="s">
        <v>25</v>
      </c>
      <c r="E1252" s="83" t="s">
        <v>1296</v>
      </c>
      <c r="F1252" s="83" t="s">
        <v>1296</v>
      </c>
      <c r="G1252" s="83" t="s">
        <v>1296</v>
      </c>
      <c r="H1252" s="83" t="s">
        <v>1296</v>
      </c>
      <c r="I1252" s="25">
        <v>0.9</v>
      </c>
      <c r="J1252" s="26">
        <v>1</v>
      </c>
      <c r="K1252" s="26">
        <v>1</v>
      </c>
      <c r="L1252" s="27">
        <v>1</v>
      </c>
      <c r="M1252" s="26">
        <v>0.98319327731092432</v>
      </c>
      <c r="N1252" s="28">
        <v>0.9</v>
      </c>
      <c r="O1252" s="26">
        <v>0.97309062129006729</v>
      </c>
      <c r="P1252" s="26">
        <v>0.97889800703399765</v>
      </c>
      <c r="Q1252" s="26">
        <v>0.98035776920378814</v>
      </c>
      <c r="R1252" s="26">
        <v>0.97858072265038532</v>
      </c>
      <c r="S1252" s="28">
        <v>0.9</v>
      </c>
      <c r="T1252" s="26">
        <v>0.93470518401266323</v>
      </c>
      <c r="U1252" s="26">
        <v>0.95545134818288391</v>
      </c>
      <c r="V1252" s="26">
        <v>0.95089442300947036</v>
      </c>
      <c r="W1252" s="26">
        <v>0.9191772595335802</v>
      </c>
      <c r="X1252" s="28">
        <v>0.92</v>
      </c>
      <c r="Y1252" s="28">
        <v>0.92421052631578948</v>
      </c>
      <c r="Z1252" s="28">
        <v>0.94339622641509435</v>
      </c>
      <c r="AA1252" s="28">
        <v>0.94512195121951215</v>
      </c>
      <c r="AB1252" s="28">
        <v>0.91431767337807601</v>
      </c>
      <c r="AC1252" s="28">
        <v>0.92</v>
      </c>
      <c r="AD1252" s="26">
        <v>0.99362880886426597</v>
      </c>
      <c r="AE1252" s="26">
        <v>0.93170869934825729</v>
      </c>
      <c r="AF1252" s="26">
        <v>0.99803676601820457</v>
      </c>
      <c r="AG1252" s="26">
        <v>0.98060512024825441</v>
      </c>
      <c r="AH1252" s="28">
        <v>0.92</v>
      </c>
      <c r="AI1252" s="26">
        <v>0.95136575616255825</v>
      </c>
      <c r="AJ1252" s="26">
        <v>0.97464603226868618</v>
      </c>
      <c r="AK1252" s="26">
        <v>0.9754784688995215</v>
      </c>
      <c r="AL1252" s="26">
        <v>0.94953997137599677</v>
      </c>
      <c r="AM1252" s="25">
        <v>0.99</v>
      </c>
      <c r="AN1252" s="30">
        <v>1</v>
      </c>
      <c r="AO1252" s="30">
        <v>1</v>
      </c>
      <c r="AP1252" s="30">
        <v>1</v>
      </c>
      <c r="AQ1252" s="30">
        <v>1</v>
      </c>
      <c r="AR1252" s="50">
        <v>7.2186152540827803E-2</v>
      </c>
      <c r="AS1252" s="34">
        <v>0.14285714285714285</v>
      </c>
      <c r="AT1252" s="34">
        <v>9.0909090909090912E-2</v>
      </c>
      <c r="AU1252" s="34">
        <v>0</v>
      </c>
      <c r="AV1252" s="34">
        <v>5.3571428571428568E-2</v>
      </c>
      <c r="AW1252" s="10"/>
      <c r="AX1252" s="8"/>
    </row>
    <row r="1253" spans="1:50">
      <c r="A1253" s="7"/>
      <c r="B1253" s="10"/>
      <c r="C1253" s="45" t="s">
        <v>1100</v>
      </c>
      <c r="D1253" s="23" t="s">
        <v>25</v>
      </c>
      <c r="E1253" s="83" t="s">
        <v>1297</v>
      </c>
      <c r="F1253" s="83" t="s">
        <v>1297</v>
      </c>
      <c r="G1253" s="83" t="s">
        <v>1297</v>
      </c>
      <c r="H1253" s="83" t="s">
        <v>1297</v>
      </c>
      <c r="I1253" s="25">
        <v>0.9</v>
      </c>
      <c r="J1253" s="26">
        <v>0.9642857142857143</v>
      </c>
      <c r="K1253" s="26">
        <v>0.96296296296296291</v>
      </c>
      <c r="L1253" s="27">
        <v>0.98412698412698407</v>
      </c>
      <c r="M1253" s="26">
        <v>0.97644539614561032</v>
      </c>
      <c r="N1253" s="28">
        <v>0.9</v>
      </c>
      <c r="O1253" s="26">
        <v>0.98095935554741853</v>
      </c>
      <c r="P1253" s="26">
        <v>0.98705374656728129</v>
      </c>
      <c r="Q1253" s="26">
        <v>0.98458149779735682</v>
      </c>
      <c r="R1253" s="26">
        <v>0.98521686333518121</v>
      </c>
      <c r="S1253" s="28">
        <v>0.9</v>
      </c>
      <c r="T1253" s="26">
        <v>0.86195532771878436</v>
      </c>
      <c r="U1253" s="26">
        <v>0.90172616712436249</v>
      </c>
      <c r="V1253" s="26">
        <v>0.90816672314469671</v>
      </c>
      <c r="W1253" s="26">
        <v>0.89525091734642692</v>
      </c>
      <c r="X1253" s="28">
        <v>0.92</v>
      </c>
      <c r="Y1253" s="28">
        <v>0.93456032719836402</v>
      </c>
      <c r="Z1253" s="28">
        <v>0.9235237173281704</v>
      </c>
      <c r="AA1253" s="28">
        <v>0.95410414827890555</v>
      </c>
      <c r="AB1253" s="28">
        <v>0.9299742290944637</v>
      </c>
      <c r="AC1253" s="28">
        <v>0.92</v>
      </c>
      <c r="AD1253" s="26">
        <v>1</v>
      </c>
      <c r="AE1253" s="26">
        <v>0.99916573971078981</v>
      </c>
      <c r="AF1253" s="26">
        <v>0.99914383561643838</v>
      </c>
      <c r="AG1253" s="26">
        <v>0.99865932825289305</v>
      </c>
      <c r="AH1253" s="28">
        <v>0.92</v>
      </c>
      <c r="AI1253" s="26">
        <v>0.93860646418710414</v>
      </c>
      <c r="AJ1253" s="26">
        <v>0.96020874103065879</v>
      </c>
      <c r="AK1253" s="26">
        <v>0.97683013503909022</v>
      </c>
      <c r="AL1253" s="26">
        <v>0.95504680504680506</v>
      </c>
      <c r="AM1253" s="25">
        <v>0.99</v>
      </c>
      <c r="AN1253" s="30">
        <v>1</v>
      </c>
      <c r="AO1253" s="30">
        <v>1</v>
      </c>
      <c r="AP1253" s="30">
        <v>1</v>
      </c>
      <c r="AQ1253" s="30">
        <v>1</v>
      </c>
      <c r="AR1253" s="50">
        <v>7.2186152540827803E-2</v>
      </c>
      <c r="AS1253" s="34">
        <v>0</v>
      </c>
      <c r="AT1253" s="34">
        <v>7.1428571428571425E-2</v>
      </c>
      <c r="AU1253" s="34">
        <v>0.1</v>
      </c>
      <c r="AV1253" s="34">
        <v>3.3962264150943396E-2</v>
      </c>
      <c r="AW1253" s="10"/>
      <c r="AX1253" s="8"/>
    </row>
    <row r="1254" spans="1:50">
      <c r="A1254" s="7"/>
      <c r="B1254" s="10"/>
      <c r="C1254" s="45" t="s">
        <v>1100</v>
      </c>
      <c r="D1254" s="23" t="s">
        <v>25</v>
      </c>
      <c r="E1254" s="83" t="s">
        <v>1298</v>
      </c>
      <c r="F1254" s="83" t="s">
        <v>1298</v>
      </c>
      <c r="G1254" s="83" t="s">
        <v>1298</v>
      </c>
      <c r="H1254" s="83" t="s">
        <v>1298</v>
      </c>
      <c r="I1254" s="25">
        <v>0.9</v>
      </c>
      <c r="J1254" s="26">
        <v>0.967741935483871</v>
      </c>
      <c r="K1254" s="26">
        <v>1</v>
      </c>
      <c r="L1254" s="27">
        <v>1</v>
      </c>
      <c r="M1254" s="26">
        <v>0.9921875</v>
      </c>
      <c r="N1254" s="28">
        <v>0.9</v>
      </c>
      <c r="O1254" s="26">
        <v>0.98599093531108362</v>
      </c>
      <c r="P1254" s="26">
        <v>0.9794323323735088</v>
      </c>
      <c r="Q1254" s="26">
        <v>0.98789764868603047</v>
      </c>
      <c r="R1254" s="26">
        <v>0.97951582867783982</v>
      </c>
      <c r="S1254" s="28">
        <v>0.9</v>
      </c>
      <c r="T1254" s="26">
        <v>0.92171405026782038</v>
      </c>
      <c r="U1254" s="26">
        <v>0.91814068284656525</v>
      </c>
      <c r="V1254" s="26">
        <v>0.94536652835408019</v>
      </c>
      <c r="W1254" s="26">
        <v>0.91509386481453525</v>
      </c>
      <c r="X1254" s="28">
        <v>0.92</v>
      </c>
      <c r="Y1254" s="28">
        <v>0.91515151515151516</v>
      </c>
      <c r="Z1254" s="28">
        <v>0.95984703632887192</v>
      </c>
      <c r="AA1254" s="28">
        <v>0.96276595744680848</v>
      </c>
      <c r="AB1254" s="28">
        <v>0.94078361531611754</v>
      </c>
      <c r="AC1254" s="28">
        <v>0.92</v>
      </c>
      <c r="AD1254" s="26">
        <v>0.99815108293713684</v>
      </c>
      <c r="AE1254" s="26">
        <v>0.98827809215844786</v>
      </c>
      <c r="AF1254" s="26">
        <v>0.97798501758140954</v>
      </c>
      <c r="AG1254" s="26">
        <v>0.9925150226657764</v>
      </c>
      <c r="AH1254" s="28">
        <v>0.92</v>
      </c>
      <c r="AI1254" s="26">
        <v>0.96577686516084871</v>
      </c>
      <c r="AJ1254" s="26">
        <v>0.97563451776649746</v>
      </c>
      <c r="AK1254" s="26">
        <v>0.98524732426959793</v>
      </c>
      <c r="AL1254" s="26">
        <v>0.9665476337068506</v>
      </c>
      <c r="AM1254" s="25">
        <v>0.99</v>
      </c>
      <c r="AN1254" s="30">
        <v>1</v>
      </c>
      <c r="AO1254" s="30">
        <v>1</v>
      </c>
      <c r="AP1254" s="30">
        <v>1</v>
      </c>
      <c r="AQ1254" s="30">
        <v>1</v>
      </c>
      <c r="AR1254" s="50">
        <v>7.2186152540827803E-2</v>
      </c>
      <c r="AS1254" s="34">
        <v>0.1</v>
      </c>
      <c r="AT1254" s="34">
        <v>0</v>
      </c>
      <c r="AU1254" s="34">
        <v>0</v>
      </c>
      <c r="AV1254" s="34">
        <v>4.2553191489361701E-2</v>
      </c>
      <c r="AW1254" s="10"/>
      <c r="AX1254" s="8"/>
    </row>
    <row r="1255" spans="1:50">
      <c r="A1255" s="7"/>
      <c r="B1255" s="10"/>
      <c r="C1255" s="45" t="s">
        <v>1100</v>
      </c>
      <c r="D1255" s="23" t="s">
        <v>25</v>
      </c>
      <c r="E1255" s="83" t="s">
        <v>1299</v>
      </c>
      <c r="F1255" s="83" t="s">
        <v>1299</v>
      </c>
      <c r="G1255" s="83" t="s">
        <v>1299</v>
      </c>
      <c r="H1255" s="83" t="s">
        <v>1299</v>
      </c>
      <c r="I1255" s="25">
        <v>0.9</v>
      </c>
      <c r="J1255" s="26">
        <v>0.9838709677419355</v>
      </c>
      <c r="K1255" s="26">
        <v>0.96825396825396826</v>
      </c>
      <c r="L1255" s="27">
        <v>0.9538461538461539</v>
      </c>
      <c r="M1255" s="26">
        <v>0.94810379241516962</v>
      </c>
      <c r="N1255" s="28">
        <v>0.9</v>
      </c>
      <c r="O1255" s="26">
        <v>0.95012679628064245</v>
      </c>
      <c r="P1255" s="26">
        <v>0.94546594233180103</v>
      </c>
      <c r="Q1255" s="26">
        <v>0.96099419448476053</v>
      </c>
      <c r="R1255" s="26">
        <v>0.95497684889104906</v>
      </c>
      <c r="S1255" s="28">
        <v>0.9</v>
      </c>
      <c r="T1255" s="26">
        <v>0.91504649196956889</v>
      </c>
      <c r="U1255" s="26">
        <v>0.89761805265357297</v>
      </c>
      <c r="V1255" s="26">
        <v>0.90584179970972423</v>
      </c>
      <c r="W1255" s="26">
        <v>0.90650021744135478</v>
      </c>
      <c r="X1255" s="28">
        <v>0.92</v>
      </c>
      <c r="Y1255" s="28">
        <v>0.91838565022421526</v>
      </c>
      <c r="Z1255" s="28">
        <v>0.91552062868369355</v>
      </c>
      <c r="AA1255" s="28">
        <v>0.92972972972972978</v>
      </c>
      <c r="AB1255" s="28">
        <v>0.92654368717552194</v>
      </c>
      <c r="AC1255" s="28">
        <v>0.92</v>
      </c>
      <c r="AD1255" s="26">
        <v>0.96030150753768839</v>
      </c>
      <c r="AE1255" s="26">
        <v>0.95179704016913325</v>
      </c>
      <c r="AF1255" s="26">
        <v>0.99167507568113022</v>
      </c>
      <c r="AG1255" s="26">
        <v>0.98058014314062114</v>
      </c>
      <c r="AH1255" s="28">
        <v>0.92</v>
      </c>
      <c r="AI1255" s="26">
        <v>0.95181957970271658</v>
      </c>
      <c r="AJ1255" s="26">
        <v>0.95831898036513952</v>
      </c>
      <c r="AK1255" s="26">
        <v>0.97040169133192389</v>
      </c>
      <c r="AL1255" s="26">
        <v>0.96309679563059414</v>
      </c>
      <c r="AM1255" s="25">
        <v>0.99</v>
      </c>
      <c r="AN1255" s="30">
        <v>1</v>
      </c>
      <c r="AO1255" s="30">
        <v>1</v>
      </c>
      <c r="AP1255" s="30">
        <v>1</v>
      </c>
      <c r="AQ1255" s="30">
        <v>1</v>
      </c>
      <c r="AR1255" s="50">
        <v>7.2186152540827803E-2</v>
      </c>
      <c r="AS1255" s="34">
        <v>4.5454545454545456E-2</v>
      </c>
      <c r="AT1255" s="34">
        <v>0</v>
      </c>
      <c r="AU1255" s="34">
        <v>-3.4482758620689655E-2</v>
      </c>
      <c r="AV1255" s="34">
        <v>4.9751243781094526E-3</v>
      </c>
      <c r="AW1255" s="10"/>
      <c r="AX1255" s="8"/>
    </row>
    <row r="1256" spans="1:50">
      <c r="A1256" s="7"/>
      <c r="B1256" s="10"/>
      <c r="C1256" s="45" t="s">
        <v>1100</v>
      </c>
      <c r="D1256" s="23" t="s">
        <v>25</v>
      </c>
      <c r="E1256" s="83" t="s">
        <v>1300</v>
      </c>
      <c r="F1256" s="83" t="s">
        <v>1300</v>
      </c>
      <c r="G1256" s="83" t="s">
        <v>1300</v>
      </c>
      <c r="H1256" s="83" t="s">
        <v>1300</v>
      </c>
      <c r="I1256" s="25">
        <v>0.9</v>
      </c>
      <c r="J1256" s="26">
        <v>0</v>
      </c>
      <c r="K1256" s="26">
        <v>0</v>
      </c>
      <c r="L1256" s="27">
        <v>0</v>
      </c>
      <c r="M1256" s="26">
        <v>0</v>
      </c>
      <c r="N1256" s="28">
        <v>0.9</v>
      </c>
      <c r="O1256" s="26">
        <v>0.66666666666666663</v>
      </c>
      <c r="P1256" s="26">
        <v>1</v>
      </c>
      <c r="Q1256" s="26">
        <v>0.5</v>
      </c>
      <c r="R1256" s="26">
        <v>0.8571428571428571</v>
      </c>
      <c r="S1256" s="28">
        <v>0.9</v>
      </c>
      <c r="T1256" s="26">
        <v>0.66666666666666663</v>
      </c>
      <c r="U1256" s="26">
        <v>1</v>
      </c>
      <c r="V1256" s="26">
        <v>1</v>
      </c>
      <c r="W1256" s="26">
        <v>0.8571428571428571</v>
      </c>
      <c r="X1256" s="28">
        <v>0.92</v>
      </c>
      <c r="Y1256" s="28">
        <v>0</v>
      </c>
      <c r="Z1256" s="28">
        <v>0</v>
      </c>
      <c r="AA1256" s="28">
        <v>0</v>
      </c>
      <c r="AB1256" s="28">
        <v>0</v>
      </c>
      <c r="AC1256" s="28">
        <v>0.92</v>
      </c>
      <c r="AD1256" s="26">
        <v>0.94971101710063754</v>
      </c>
      <c r="AE1256" s="26">
        <v>0.99134797149920029</v>
      </c>
      <c r="AF1256" s="26">
        <v>0.98079422382671477</v>
      </c>
      <c r="AG1256" s="26">
        <v>0.97859319954083046</v>
      </c>
      <c r="AH1256" s="28">
        <v>0.92</v>
      </c>
      <c r="AI1256" s="26">
        <v>0.8571428571428571</v>
      </c>
      <c r="AJ1256" s="26">
        <v>1</v>
      </c>
      <c r="AK1256" s="26">
        <v>1</v>
      </c>
      <c r="AL1256" s="26">
        <v>0.90909090909090906</v>
      </c>
      <c r="AM1256" s="25">
        <v>0.99</v>
      </c>
      <c r="AN1256" s="30">
        <v>1</v>
      </c>
      <c r="AO1256" s="30">
        <v>1</v>
      </c>
      <c r="AP1256" s="30">
        <v>1</v>
      </c>
      <c r="AQ1256" s="30">
        <v>1</v>
      </c>
      <c r="AR1256" s="50">
        <v>7.2186152540827803E-2</v>
      </c>
      <c r="AS1256" s="34">
        <v>0</v>
      </c>
      <c r="AT1256" s="34">
        <v>0</v>
      </c>
      <c r="AU1256" s="34">
        <v>0</v>
      </c>
      <c r="AV1256" s="34">
        <v>2</v>
      </c>
      <c r="AW1256" s="10"/>
      <c r="AX1256" s="8"/>
    </row>
    <row r="1257" spans="1:50">
      <c r="A1257" s="7"/>
      <c r="B1257" s="10"/>
      <c r="C1257" s="45" t="s">
        <v>1100</v>
      </c>
      <c r="D1257" s="23" t="s">
        <v>25</v>
      </c>
      <c r="E1257" s="83" t="s">
        <v>1301</v>
      </c>
      <c r="F1257" s="83" t="s">
        <v>1301</v>
      </c>
      <c r="G1257" s="83" t="s">
        <v>1301</v>
      </c>
      <c r="H1257" s="83" t="s">
        <v>1301</v>
      </c>
      <c r="I1257" s="25">
        <v>0.9</v>
      </c>
      <c r="J1257" s="26">
        <v>0.94285714285714284</v>
      </c>
      <c r="K1257" s="26">
        <v>1</v>
      </c>
      <c r="L1257" s="27">
        <v>0.97435897435897434</v>
      </c>
      <c r="M1257" s="26">
        <v>0.96527777777777779</v>
      </c>
      <c r="N1257" s="28">
        <v>0.9</v>
      </c>
      <c r="O1257" s="26">
        <v>0.98577235772357719</v>
      </c>
      <c r="P1257" s="26">
        <v>0.98884462151394426</v>
      </c>
      <c r="Q1257" s="26">
        <v>0.99523658304223561</v>
      </c>
      <c r="R1257" s="26">
        <v>0.98842925957193228</v>
      </c>
      <c r="S1257" s="28">
        <v>0.9</v>
      </c>
      <c r="T1257" s="26">
        <v>0.95731707317073167</v>
      </c>
      <c r="U1257" s="26">
        <v>0.97450199203187249</v>
      </c>
      <c r="V1257" s="26">
        <v>0.97586535408066055</v>
      </c>
      <c r="W1257" s="26">
        <v>0.96841634801608978</v>
      </c>
      <c r="X1257" s="28">
        <v>0.92</v>
      </c>
      <c r="Y1257" s="28">
        <v>0.95544554455445541</v>
      </c>
      <c r="Z1257" s="28">
        <v>0.97216890595009597</v>
      </c>
      <c r="AA1257" s="28">
        <v>0.97774780849629128</v>
      </c>
      <c r="AB1257" s="28">
        <v>0.97363445378151259</v>
      </c>
      <c r="AC1257" s="28">
        <v>0.92</v>
      </c>
      <c r="AD1257" s="26">
        <v>0.99950273495773245</v>
      </c>
      <c r="AE1257" s="26">
        <v>0.99591628381827468</v>
      </c>
      <c r="AF1257" s="26">
        <v>0.99565487274984477</v>
      </c>
      <c r="AG1257" s="26">
        <v>0.9957458302383686</v>
      </c>
      <c r="AH1257" s="28">
        <v>0.92</v>
      </c>
      <c r="AI1257" s="26">
        <v>0.97249455337690627</v>
      </c>
      <c r="AJ1257" s="26">
        <v>0.98479729729729726</v>
      </c>
      <c r="AK1257" s="26">
        <v>0.98791018998272884</v>
      </c>
      <c r="AL1257" s="26">
        <v>0.9837170886289317</v>
      </c>
      <c r="AM1257" s="25">
        <v>0.99</v>
      </c>
      <c r="AN1257" s="30">
        <v>1</v>
      </c>
      <c r="AO1257" s="30">
        <v>1</v>
      </c>
      <c r="AP1257" s="30">
        <v>1</v>
      </c>
      <c r="AQ1257" s="30">
        <v>1</v>
      </c>
      <c r="AR1257" s="50">
        <v>7.2186152540827803E-2</v>
      </c>
      <c r="AS1257" s="34">
        <v>0</v>
      </c>
      <c r="AT1257" s="34">
        <v>0</v>
      </c>
      <c r="AU1257" s="34">
        <v>0</v>
      </c>
      <c r="AV1257" s="34">
        <v>3.0612244897959183E-2</v>
      </c>
      <c r="AW1257" s="10"/>
      <c r="AX1257" s="8"/>
    </row>
    <row r="1258" spans="1:50">
      <c r="A1258" s="7"/>
      <c r="B1258" s="10"/>
      <c r="C1258" s="45" t="s">
        <v>1100</v>
      </c>
      <c r="D1258" s="23" t="s">
        <v>25</v>
      </c>
      <c r="E1258" s="83" t="s">
        <v>1302</v>
      </c>
      <c r="F1258" s="83" t="s">
        <v>1302</v>
      </c>
      <c r="G1258" s="83" t="s">
        <v>1302</v>
      </c>
      <c r="H1258" s="83" t="s">
        <v>1302</v>
      </c>
      <c r="I1258" s="25">
        <v>0.9</v>
      </c>
      <c r="J1258" s="26">
        <v>0.97368421052631582</v>
      </c>
      <c r="K1258" s="26">
        <v>1</v>
      </c>
      <c r="L1258" s="27">
        <v>0.95652173913043481</v>
      </c>
      <c r="M1258" s="26">
        <v>0.95268138801261826</v>
      </c>
      <c r="N1258" s="28">
        <v>0.9</v>
      </c>
      <c r="O1258" s="26">
        <v>0.99119589141599418</v>
      </c>
      <c r="P1258" s="26">
        <v>0.94634473507712946</v>
      </c>
      <c r="Q1258" s="26">
        <v>0.96535476718403546</v>
      </c>
      <c r="R1258" s="26">
        <v>0.98083728959861893</v>
      </c>
      <c r="S1258" s="28">
        <v>0.9</v>
      </c>
      <c r="T1258" s="26">
        <v>0.94424064563462951</v>
      </c>
      <c r="U1258" s="26">
        <v>0.93561368209255535</v>
      </c>
      <c r="V1258" s="26">
        <v>0.92710643015521066</v>
      </c>
      <c r="W1258" s="26">
        <v>0.93957703927492442</v>
      </c>
      <c r="X1258" s="28">
        <v>0.92</v>
      </c>
      <c r="Y1258" s="28">
        <v>0.95757575757575752</v>
      </c>
      <c r="Z1258" s="28">
        <v>0.95710681244743478</v>
      </c>
      <c r="AA1258" s="28">
        <v>0.96516516516516515</v>
      </c>
      <c r="AB1258" s="28">
        <v>0.96222664015904569</v>
      </c>
      <c r="AC1258" s="28">
        <v>0.92</v>
      </c>
      <c r="AD1258" s="26">
        <v>1</v>
      </c>
      <c r="AE1258" s="26">
        <v>0.99879007864488811</v>
      </c>
      <c r="AF1258" s="26">
        <v>1</v>
      </c>
      <c r="AG1258" s="26">
        <v>0.99893233684772453</v>
      </c>
      <c r="AH1258" s="28">
        <v>0.92</v>
      </c>
      <c r="AI1258" s="26">
        <v>0.97655243493944854</v>
      </c>
      <c r="AJ1258" s="26">
        <v>0.97266842483816829</v>
      </c>
      <c r="AK1258" s="26">
        <v>0.98274227195145081</v>
      </c>
      <c r="AL1258" s="26">
        <v>0.97868935060315954</v>
      </c>
      <c r="AM1258" s="25">
        <v>0.99</v>
      </c>
      <c r="AN1258" s="30">
        <v>1</v>
      </c>
      <c r="AO1258" s="30">
        <v>1</v>
      </c>
      <c r="AP1258" s="30">
        <v>1</v>
      </c>
      <c r="AQ1258" s="30">
        <v>1</v>
      </c>
      <c r="AR1258" s="50">
        <v>7.2186152540827803E-2</v>
      </c>
      <c r="AS1258" s="34">
        <v>0.25</v>
      </c>
      <c r="AT1258" s="34">
        <v>0.1111111111111111</v>
      </c>
      <c r="AU1258" s="34">
        <v>-5.2631578947368418E-2</v>
      </c>
      <c r="AV1258" s="34">
        <v>8.5106382978723402E-2</v>
      </c>
      <c r="AW1258" s="10"/>
      <c r="AX1258" s="8"/>
    </row>
    <row r="1259" spans="1:50">
      <c r="A1259" s="7"/>
      <c r="B1259" s="10"/>
      <c r="C1259" s="45" t="s">
        <v>1100</v>
      </c>
      <c r="D1259" s="23" t="s">
        <v>25</v>
      </c>
      <c r="E1259" s="83" t="s">
        <v>1303</v>
      </c>
      <c r="F1259" s="83" t="s">
        <v>1303</v>
      </c>
      <c r="G1259" s="83" t="s">
        <v>1303</v>
      </c>
      <c r="H1259" s="83" t="s">
        <v>1303</v>
      </c>
      <c r="I1259" s="25">
        <v>0.9</v>
      </c>
      <c r="J1259" s="26">
        <v>0.95238095238095233</v>
      </c>
      <c r="K1259" s="26">
        <v>0.93617021276595747</v>
      </c>
      <c r="L1259" s="27">
        <v>0.9375</v>
      </c>
      <c r="M1259" s="26">
        <v>0.91253644314868809</v>
      </c>
      <c r="N1259" s="28">
        <v>0.9</v>
      </c>
      <c r="O1259" s="26">
        <v>0.98412173337743958</v>
      </c>
      <c r="P1259" s="26">
        <v>0.95705329153605012</v>
      </c>
      <c r="Q1259" s="26">
        <v>0.9829832491358681</v>
      </c>
      <c r="R1259" s="26">
        <v>0.96843697616419311</v>
      </c>
      <c r="S1259" s="28">
        <v>0.9</v>
      </c>
      <c r="T1259" s="26">
        <v>0.94574925570625201</v>
      </c>
      <c r="U1259" s="26">
        <v>0.93448275862068964</v>
      </c>
      <c r="V1259" s="26">
        <v>0.9449614464238234</v>
      </c>
      <c r="W1259" s="26">
        <v>0.93752810826280719</v>
      </c>
      <c r="X1259" s="28">
        <v>0.92</v>
      </c>
      <c r="Y1259" s="28">
        <v>0.9396117900790798</v>
      </c>
      <c r="Z1259" s="28">
        <v>0.94136807817589574</v>
      </c>
      <c r="AA1259" s="28">
        <v>0.95434298440979959</v>
      </c>
      <c r="AB1259" s="28">
        <v>0.94617905813351733</v>
      </c>
      <c r="AC1259" s="28">
        <v>0.92</v>
      </c>
      <c r="AD1259" s="26">
        <v>1</v>
      </c>
      <c r="AE1259" s="26">
        <v>0.99880924029530838</v>
      </c>
      <c r="AF1259" s="26">
        <v>0.99677230046948362</v>
      </c>
      <c r="AG1259" s="26">
        <v>0.99910988336402706</v>
      </c>
      <c r="AH1259" s="28">
        <v>0.92</v>
      </c>
      <c r="AI1259" s="26">
        <v>0.96761041902604761</v>
      </c>
      <c r="AJ1259" s="26">
        <v>0.96582163875056581</v>
      </c>
      <c r="AK1259" s="26">
        <v>0.97912542738887887</v>
      </c>
      <c r="AL1259" s="26">
        <v>0.97102212855637515</v>
      </c>
      <c r="AM1259" s="25">
        <v>0.99</v>
      </c>
      <c r="AN1259" s="30">
        <v>1</v>
      </c>
      <c r="AO1259" s="30">
        <v>1</v>
      </c>
      <c r="AP1259" s="30">
        <v>1</v>
      </c>
      <c r="AQ1259" s="30">
        <v>1</v>
      </c>
      <c r="AR1259" s="50">
        <v>7.2186152540827803E-2</v>
      </c>
      <c r="AS1259" s="34">
        <v>0</v>
      </c>
      <c r="AT1259" s="34">
        <v>0</v>
      </c>
      <c r="AU1259" s="34">
        <v>0</v>
      </c>
      <c r="AV1259" s="34">
        <v>2.0618556701030927E-2</v>
      </c>
      <c r="AW1259" s="10"/>
      <c r="AX1259" s="8"/>
    </row>
    <row r="1260" spans="1:50">
      <c r="A1260" s="7"/>
      <c r="B1260" s="10"/>
      <c r="C1260" s="45" t="s">
        <v>1100</v>
      </c>
      <c r="D1260" s="23" t="s">
        <v>25</v>
      </c>
      <c r="E1260" s="83" t="s">
        <v>1304</v>
      </c>
      <c r="F1260" s="83" t="s">
        <v>1304</v>
      </c>
      <c r="G1260" s="83" t="s">
        <v>1304</v>
      </c>
      <c r="H1260" s="83" t="s">
        <v>1304</v>
      </c>
      <c r="I1260" s="25">
        <v>0.9</v>
      </c>
      <c r="J1260" s="26">
        <v>0.88095238095238093</v>
      </c>
      <c r="K1260" s="26">
        <v>0.90909090909090906</v>
      </c>
      <c r="L1260" s="27">
        <v>0.90476190476190477</v>
      </c>
      <c r="M1260" s="26">
        <v>0.91384615384615386</v>
      </c>
      <c r="N1260" s="28">
        <v>0.9</v>
      </c>
      <c r="O1260" s="26">
        <v>0.98578563196311952</v>
      </c>
      <c r="P1260" s="26">
        <v>0.9872566371681416</v>
      </c>
      <c r="Q1260" s="26">
        <v>0.95110593713620484</v>
      </c>
      <c r="R1260" s="26">
        <v>0.98017435320584922</v>
      </c>
      <c r="S1260" s="28">
        <v>0.9</v>
      </c>
      <c r="T1260" s="26">
        <v>0.96504033807145606</v>
      </c>
      <c r="U1260" s="26">
        <v>0.96283185840707963</v>
      </c>
      <c r="V1260" s="26">
        <v>0.97118742724097784</v>
      </c>
      <c r="W1260" s="26">
        <v>0.96658230221222352</v>
      </c>
      <c r="X1260" s="28">
        <v>0.92</v>
      </c>
      <c r="Y1260" s="28">
        <v>0.96227996647108127</v>
      </c>
      <c r="Z1260" s="28">
        <v>0.9760923330585326</v>
      </c>
      <c r="AA1260" s="28">
        <v>0.97944377267230953</v>
      </c>
      <c r="AB1260" s="28">
        <v>0.97096310493531379</v>
      </c>
      <c r="AC1260" s="28">
        <v>0.92</v>
      </c>
      <c r="AD1260" s="26">
        <v>1</v>
      </c>
      <c r="AE1260" s="26">
        <v>0.99736842105263157</v>
      </c>
      <c r="AF1260" s="26">
        <v>0.99210526315789471</v>
      </c>
      <c r="AG1260" s="26">
        <v>0.99721941354903942</v>
      </c>
      <c r="AH1260" s="28">
        <v>0.92</v>
      </c>
      <c r="AI1260" s="26">
        <v>0.97602739726027399</v>
      </c>
      <c r="AJ1260" s="26">
        <v>0.98365527488855864</v>
      </c>
      <c r="AK1260" s="26">
        <v>0.98821218074656192</v>
      </c>
      <c r="AL1260" s="26">
        <v>0.98215915169440859</v>
      </c>
      <c r="AM1260" s="25">
        <v>0.99</v>
      </c>
      <c r="AN1260" s="30">
        <v>1</v>
      </c>
      <c r="AO1260" s="30">
        <v>1</v>
      </c>
      <c r="AP1260" s="30">
        <v>1</v>
      </c>
      <c r="AQ1260" s="30">
        <v>1</v>
      </c>
      <c r="AR1260" s="50">
        <v>7.2186152540827803E-2</v>
      </c>
      <c r="AS1260" s="34">
        <v>0</v>
      </c>
      <c r="AT1260" s="34">
        <v>0</v>
      </c>
      <c r="AU1260" s="34">
        <v>0</v>
      </c>
      <c r="AV1260" s="34">
        <v>2.2727272727272728E-2</v>
      </c>
      <c r="AW1260" s="10"/>
      <c r="AX1260" s="8"/>
    </row>
    <row r="1261" spans="1:50">
      <c r="A1261" s="7"/>
      <c r="B1261" s="10"/>
      <c r="C1261" s="45" t="s">
        <v>1100</v>
      </c>
      <c r="D1261" s="23" t="s">
        <v>25</v>
      </c>
      <c r="E1261" s="83" t="s">
        <v>1305</v>
      </c>
      <c r="F1261" s="83" t="s">
        <v>1305</v>
      </c>
      <c r="G1261" s="83" t="s">
        <v>1305</v>
      </c>
      <c r="H1261" s="83" t="s">
        <v>1305</v>
      </c>
      <c r="I1261" s="25">
        <v>0.9</v>
      </c>
      <c r="J1261" s="26">
        <v>1</v>
      </c>
      <c r="K1261" s="26">
        <v>0.88888888888888884</v>
      </c>
      <c r="L1261" s="27">
        <v>0.96296296296296291</v>
      </c>
      <c r="M1261" s="26">
        <v>0.95754716981132071</v>
      </c>
      <c r="N1261" s="28">
        <v>0.9</v>
      </c>
      <c r="O1261" s="26">
        <v>0.97719298245614039</v>
      </c>
      <c r="P1261" s="26">
        <v>0.98482469911041337</v>
      </c>
      <c r="Q1261" s="26">
        <v>0.98587196467991167</v>
      </c>
      <c r="R1261" s="26">
        <v>0.9865725359911407</v>
      </c>
      <c r="S1261" s="28">
        <v>0.9</v>
      </c>
      <c r="T1261" s="26">
        <v>0.96432748538011692</v>
      </c>
      <c r="U1261" s="26">
        <v>0.93406593406593408</v>
      </c>
      <c r="V1261" s="26">
        <v>0.96291390728476822</v>
      </c>
      <c r="W1261" s="26">
        <v>0.95881782945736438</v>
      </c>
      <c r="X1261" s="28">
        <v>0.92</v>
      </c>
      <c r="Y1261" s="28">
        <v>0.95225806451612904</v>
      </c>
      <c r="Z1261" s="28">
        <v>0.96633416458852872</v>
      </c>
      <c r="AA1261" s="28">
        <v>0.97037037037037033</v>
      </c>
      <c r="AB1261" s="28">
        <v>0.96345369831100758</v>
      </c>
      <c r="AC1261" s="28">
        <v>0.92</v>
      </c>
      <c r="AD1261" s="26">
        <v>0.99688764394646745</v>
      </c>
      <c r="AE1261" s="26">
        <v>0.99595469255663427</v>
      </c>
      <c r="AF1261" s="26">
        <v>0.99665450121654497</v>
      </c>
      <c r="AG1261" s="26">
        <v>0.99604049493813274</v>
      </c>
      <c r="AH1261" s="28">
        <v>0.92</v>
      </c>
      <c r="AI1261" s="26">
        <v>0.97545271629778674</v>
      </c>
      <c r="AJ1261" s="26">
        <v>0.97825285661629191</v>
      </c>
      <c r="AK1261" s="26">
        <v>0.98415545590433484</v>
      </c>
      <c r="AL1261" s="26">
        <v>0.9787034430997279</v>
      </c>
      <c r="AM1261" s="25">
        <v>0.99</v>
      </c>
      <c r="AN1261" s="30">
        <v>1</v>
      </c>
      <c r="AO1261" s="30">
        <v>1</v>
      </c>
      <c r="AP1261" s="30">
        <v>1</v>
      </c>
      <c r="AQ1261" s="30">
        <v>1</v>
      </c>
      <c r="AR1261" s="50">
        <v>7.2186152540827803E-2</v>
      </c>
      <c r="AS1261" s="34">
        <v>0</v>
      </c>
      <c r="AT1261" s="34">
        <v>0</v>
      </c>
      <c r="AU1261" s="34">
        <v>0</v>
      </c>
      <c r="AV1261" s="34">
        <v>-2.247191011235955E-2</v>
      </c>
      <c r="AW1261" s="10"/>
      <c r="AX1261" s="8"/>
    </row>
    <row r="1262" spans="1:50">
      <c r="A1262" s="7"/>
      <c r="B1262" s="10"/>
      <c r="C1262" s="45" t="s">
        <v>1100</v>
      </c>
      <c r="D1262" s="23" t="s">
        <v>25</v>
      </c>
      <c r="E1262" s="83" t="s">
        <v>1306</v>
      </c>
      <c r="F1262" s="83" t="s">
        <v>1306</v>
      </c>
      <c r="G1262" s="83" t="s">
        <v>1306</v>
      </c>
      <c r="H1262" s="83" t="s">
        <v>1306</v>
      </c>
      <c r="I1262" s="25">
        <v>0.9</v>
      </c>
      <c r="J1262" s="26">
        <v>0.97560975609756095</v>
      </c>
      <c r="K1262" s="26">
        <v>0.95652173913043481</v>
      </c>
      <c r="L1262" s="27">
        <v>0.95348837209302328</v>
      </c>
      <c r="M1262" s="26">
        <v>0.94339622641509435</v>
      </c>
      <c r="N1262" s="28">
        <v>0.9</v>
      </c>
      <c r="O1262" s="26">
        <v>0.9573756790639365</v>
      </c>
      <c r="P1262" s="26">
        <v>0.9375740813907546</v>
      </c>
      <c r="Q1262" s="26">
        <v>0.95135640785781106</v>
      </c>
      <c r="R1262" s="26">
        <v>0.95370649011937003</v>
      </c>
      <c r="S1262" s="28">
        <v>0.9</v>
      </c>
      <c r="T1262" s="26">
        <v>0.98077726702883405</v>
      </c>
      <c r="U1262" s="26">
        <v>0.95535361517186879</v>
      </c>
      <c r="V1262" s="26">
        <v>0.98066729030246336</v>
      </c>
      <c r="W1262" s="26">
        <v>0.97311666165111843</v>
      </c>
      <c r="X1262" s="28">
        <v>0.92</v>
      </c>
      <c r="Y1262" s="28">
        <v>0.97450657894736847</v>
      </c>
      <c r="Z1262" s="28">
        <v>0.97472353870458139</v>
      </c>
      <c r="AA1262" s="28">
        <v>0.98267821452365089</v>
      </c>
      <c r="AB1262" s="28">
        <v>0.97231937643649446</v>
      </c>
      <c r="AC1262" s="28">
        <v>0.92</v>
      </c>
      <c r="AD1262" s="26">
        <v>0.99978275038018682</v>
      </c>
      <c r="AE1262" s="26">
        <v>0.99720214502214966</v>
      </c>
      <c r="AF1262" s="26">
        <v>0.99588235294117644</v>
      </c>
      <c r="AG1262" s="26">
        <v>0.99663372787490501</v>
      </c>
      <c r="AH1262" s="28">
        <v>0.92</v>
      </c>
      <c r="AI1262" s="26">
        <v>0.98614958448753465</v>
      </c>
      <c r="AJ1262" s="26">
        <v>0.98288572933122698</v>
      </c>
      <c r="AK1262" s="26">
        <v>0.99065420560747663</v>
      </c>
      <c r="AL1262" s="26">
        <v>0.98470835698307235</v>
      </c>
      <c r="AM1262" s="25">
        <v>0.99</v>
      </c>
      <c r="AN1262" s="30">
        <v>1</v>
      </c>
      <c r="AO1262" s="30">
        <v>1</v>
      </c>
      <c r="AP1262" s="30">
        <v>1</v>
      </c>
      <c r="AQ1262" s="30">
        <v>1</v>
      </c>
      <c r="AR1262" s="50">
        <v>7.2186152540827803E-2</v>
      </c>
      <c r="AS1262" s="34">
        <v>0</v>
      </c>
      <c r="AT1262" s="34">
        <v>0</v>
      </c>
      <c r="AU1262" s="34">
        <v>0</v>
      </c>
      <c r="AV1262" s="34">
        <v>3.125E-2</v>
      </c>
      <c r="AW1262" s="10"/>
      <c r="AX1262" s="8"/>
    </row>
    <row r="1263" spans="1:50">
      <c r="A1263" s="7"/>
      <c r="B1263" s="10"/>
      <c r="C1263" s="45" t="s">
        <v>1100</v>
      </c>
      <c r="D1263" s="23" t="s">
        <v>25</v>
      </c>
      <c r="E1263" s="83" t="s">
        <v>1307</v>
      </c>
      <c r="F1263" s="83" t="s">
        <v>1307</v>
      </c>
      <c r="G1263" s="83" t="s">
        <v>1307</v>
      </c>
      <c r="H1263" s="83" t="s">
        <v>1307</v>
      </c>
      <c r="I1263" s="25">
        <v>0.9</v>
      </c>
      <c r="J1263" s="26">
        <v>0.94444444444444442</v>
      </c>
      <c r="K1263" s="26">
        <v>0.97297297297297303</v>
      </c>
      <c r="L1263" s="27">
        <v>0.97297297297297303</v>
      </c>
      <c r="M1263" s="26">
        <v>0.91666666666666663</v>
      </c>
      <c r="N1263" s="28">
        <v>0.9</v>
      </c>
      <c r="O1263" s="26">
        <v>0.92918192918192921</v>
      </c>
      <c r="P1263" s="26">
        <v>0.99196018376722817</v>
      </c>
      <c r="Q1263" s="26">
        <v>0.99004815409309788</v>
      </c>
      <c r="R1263" s="26">
        <v>0.97507708119218905</v>
      </c>
      <c r="S1263" s="28">
        <v>0.9</v>
      </c>
      <c r="T1263" s="26">
        <v>0.94383394383394381</v>
      </c>
      <c r="U1263" s="26">
        <v>0.97358346094946402</v>
      </c>
      <c r="V1263" s="26">
        <v>0.97528089887640446</v>
      </c>
      <c r="W1263" s="26">
        <v>0.96819116135662897</v>
      </c>
      <c r="X1263" s="28">
        <v>0.92</v>
      </c>
      <c r="Y1263" s="28">
        <v>0.97335701598579039</v>
      </c>
      <c r="Z1263" s="28">
        <v>0.96969696969696972</v>
      </c>
      <c r="AA1263" s="28">
        <v>0.97565922920892489</v>
      </c>
      <c r="AB1263" s="28">
        <v>0.96367153912295789</v>
      </c>
      <c r="AC1263" s="28">
        <v>0.92</v>
      </c>
      <c r="AD1263" s="26">
        <v>1</v>
      </c>
      <c r="AE1263" s="26">
        <v>0.99712643678160917</v>
      </c>
      <c r="AF1263" s="26">
        <v>0.99373695198329859</v>
      </c>
      <c r="AG1263" s="26">
        <v>0.99441272926029389</v>
      </c>
      <c r="AH1263" s="28">
        <v>0.92</v>
      </c>
      <c r="AI1263" s="26">
        <v>0.98157968183086797</v>
      </c>
      <c r="AJ1263" s="26">
        <v>0.98514442916093536</v>
      </c>
      <c r="AK1263" s="26">
        <v>0.98824553765781453</v>
      </c>
      <c r="AL1263" s="26">
        <v>0.98122979596093018</v>
      </c>
      <c r="AM1263" s="25">
        <v>0.99</v>
      </c>
      <c r="AN1263" s="30">
        <v>1</v>
      </c>
      <c r="AO1263" s="30">
        <v>1</v>
      </c>
      <c r="AP1263" s="30">
        <v>1</v>
      </c>
      <c r="AQ1263" s="30">
        <v>1</v>
      </c>
      <c r="AR1263" s="50">
        <v>7.2186152540827803E-2</v>
      </c>
      <c r="AS1263" s="34">
        <v>0</v>
      </c>
      <c r="AT1263" s="34">
        <v>0</v>
      </c>
      <c r="AU1263" s="34">
        <v>0</v>
      </c>
      <c r="AV1263" s="34">
        <v>0.04</v>
      </c>
      <c r="AW1263" s="10"/>
      <c r="AX1263" s="8"/>
    </row>
    <row r="1264" spans="1:50">
      <c r="A1264" s="7"/>
      <c r="B1264" s="10"/>
      <c r="C1264" s="45" t="s">
        <v>1100</v>
      </c>
      <c r="D1264" s="23" t="s">
        <v>25</v>
      </c>
      <c r="E1264" s="83" t="s">
        <v>1308</v>
      </c>
      <c r="F1264" s="83" t="s">
        <v>1308</v>
      </c>
      <c r="G1264" s="83" t="s">
        <v>1308</v>
      </c>
      <c r="H1264" s="83" t="s">
        <v>1308</v>
      </c>
      <c r="I1264" s="25">
        <v>0.9</v>
      </c>
      <c r="J1264" s="26">
        <v>0.95</v>
      </c>
      <c r="K1264" s="26">
        <v>0.9</v>
      </c>
      <c r="L1264" s="27">
        <v>0.95</v>
      </c>
      <c r="M1264" s="26">
        <v>0.93630573248407645</v>
      </c>
      <c r="N1264" s="28">
        <v>0.9</v>
      </c>
      <c r="O1264" s="26">
        <v>0.99215965787598004</v>
      </c>
      <c r="P1264" s="26">
        <v>0.99328859060402686</v>
      </c>
      <c r="Q1264" s="26">
        <v>0.99105263157894741</v>
      </c>
      <c r="R1264" s="26">
        <v>0.98623121484342202</v>
      </c>
      <c r="S1264" s="28">
        <v>0.9</v>
      </c>
      <c r="T1264" s="26">
        <v>0.96364932287954386</v>
      </c>
      <c r="U1264" s="26">
        <v>0.96778523489932888</v>
      </c>
      <c r="V1264" s="26">
        <v>0.96368421052631581</v>
      </c>
      <c r="W1264" s="26">
        <v>0.96608177315086896</v>
      </c>
      <c r="X1264" s="28">
        <v>0.92</v>
      </c>
      <c r="Y1264" s="28">
        <v>0.95902883156297425</v>
      </c>
      <c r="Z1264" s="28">
        <v>0.96383647798742134</v>
      </c>
      <c r="AA1264" s="28">
        <v>0.97724550898203588</v>
      </c>
      <c r="AB1264" s="28">
        <v>0.97027562601333095</v>
      </c>
      <c r="AC1264" s="28">
        <v>0.92</v>
      </c>
      <c r="AD1264" s="26">
        <v>1</v>
      </c>
      <c r="AE1264" s="26">
        <v>1</v>
      </c>
      <c r="AF1264" s="26">
        <v>1</v>
      </c>
      <c r="AG1264" s="26">
        <v>0.99924084266464219</v>
      </c>
      <c r="AH1264" s="28">
        <v>0.92</v>
      </c>
      <c r="AI1264" s="26">
        <v>0.97914645974781767</v>
      </c>
      <c r="AJ1264" s="26">
        <v>0.98259642521166513</v>
      </c>
      <c r="AK1264" s="26">
        <v>0.98720292504570384</v>
      </c>
      <c r="AL1264" s="26">
        <v>0.98470965525140308</v>
      </c>
      <c r="AM1264" s="25">
        <v>0.99</v>
      </c>
      <c r="AN1264" s="30">
        <v>1</v>
      </c>
      <c r="AO1264" s="30">
        <v>1</v>
      </c>
      <c r="AP1264" s="30">
        <v>1</v>
      </c>
      <c r="AQ1264" s="30">
        <v>1</v>
      </c>
      <c r="AR1264" s="50">
        <v>7.2186152540827803E-2</v>
      </c>
      <c r="AS1264" s="34">
        <v>0</v>
      </c>
      <c r="AT1264" s="34">
        <v>0</v>
      </c>
      <c r="AU1264" s="34">
        <v>0.1111111111111111</v>
      </c>
      <c r="AV1264" s="34">
        <v>8.6956521739130432E-2</v>
      </c>
      <c r="AW1264" s="10"/>
      <c r="AX1264" s="8"/>
    </row>
    <row r="1265" spans="1:50">
      <c r="A1265" s="7"/>
      <c r="B1265" s="10"/>
      <c r="C1265" s="45" t="s">
        <v>1100</v>
      </c>
      <c r="D1265" s="23" t="s">
        <v>25</v>
      </c>
      <c r="E1265" s="83" t="s">
        <v>1309</v>
      </c>
      <c r="F1265" s="83" t="s">
        <v>1309</v>
      </c>
      <c r="G1265" s="83" t="s">
        <v>1309</v>
      </c>
      <c r="H1265" s="83" t="s">
        <v>1309</v>
      </c>
      <c r="I1265" s="25">
        <v>0.9</v>
      </c>
      <c r="J1265" s="26">
        <v>0.92500000000000004</v>
      </c>
      <c r="K1265" s="26">
        <v>0.90476190476190477</v>
      </c>
      <c r="L1265" s="27">
        <v>0.90243902439024393</v>
      </c>
      <c r="M1265" s="26">
        <v>0.85403726708074534</v>
      </c>
      <c r="N1265" s="28">
        <v>0.9</v>
      </c>
      <c r="O1265" s="26">
        <v>0.9856026326614562</v>
      </c>
      <c r="P1265" s="26">
        <v>0.99075934110084374</v>
      </c>
      <c r="Q1265" s="26">
        <v>0.9353686261773303</v>
      </c>
      <c r="R1265" s="26">
        <v>0.97190811824958168</v>
      </c>
      <c r="S1265" s="28">
        <v>0.9</v>
      </c>
      <c r="T1265" s="26">
        <v>0.92348827642945286</v>
      </c>
      <c r="U1265" s="26">
        <v>0.94174367215749299</v>
      </c>
      <c r="V1265" s="26">
        <v>0.94316336472880802</v>
      </c>
      <c r="W1265" s="26">
        <v>0.93499315450534959</v>
      </c>
      <c r="X1265" s="28">
        <v>0.92</v>
      </c>
      <c r="Y1265" s="28">
        <v>0.91613491340018227</v>
      </c>
      <c r="Z1265" s="28">
        <v>0.92492492492492495</v>
      </c>
      <c r="AA1265" s="28">
        <v>0.91899641577060931</v>
      </c>
      <c r="AB1265" s="28">
        <v>0.9283569283569284</v>
      </c>
      <c r="AC1265" s="28">
        <v>0.92</v>
      </c>
      <c r="AD1265" s="26">
        <v>1</v>
      </c>
      <c r="AE1265" s="26">
        <v>1</v>
      </c>
      <c r="AF1265" s="26">
        <v>1</v>
      </c>
      <c r="AG1265" s="26">
        <v>1</v>
      </c>
      <c r="AH1265" s="28">
        <v>0.92</v>
      </c>
      <c r="AI1265" s="26">
        <v>0.95211107962595631</v>
      </c>
      <c r="AJ1265" s="26">
        <v>0.96301605504587151</v>
      </c>
      <c r="AK1265" s="26">
        <v>0.96356727760393379</v>
      </c>
      <c r="AL1265" s="26">
        <v>0.96340791738382103</v>
      </c>
      <c r="AM1265" s="25">
        <v>0.99</v>
      </c>
      <c r="AN1265" s="30">
        <v>1</v>
      </c>
      <c r="AO1265" s="30">
        <v>1</v>
      </c>
      <c r="AP1265" s="30">
        <v>1</v>
      </c>
      <c r="AQ1265" s="30">
        <v>1</v>
      </c>
      <c r="AR1265" s="50">
        <v>7.2186152540827803E-2</v>
      </c>
      <c r="AS1265" s="34">
        <v>0.14285714285714285</v>
      </c>
      <c r="AT1265" s="34">
        <v>0</v>
      </c>
      <c r="AU1265" s="34">
        <v>0</v>
      </c>
      <c r="AV1265" s="34">
        <v>4.5977011494252873E-2</v>
      </c>
      <c r="AW1265" s="10"/>
      <c r="AX1265" s="8"/>
    </row>
    <row r="1266" spans="1:50">
      <c r="A1266" s="7"/>
      <c r="B1266" s="10"/>
      <c r="C1266" s="45" t="s">
        <v>1100</v>
      </c>
      <c r="D1266" s="23" t="s">
        <v>25</v>
      </c>
      <c r="E1266" s="83" t="s">
        <v>1310</v>
      </c>
      <c r="F1266" s="83" t="s">
        <v>1310</v>
      </c>
      <c r="G1266" s="83" t="s">
        <v>1310</v>
      </c>
      <c r="H1266" s="83" t="s">
        <v>1310</v>
      </c>
      <c r="I1266" s="25">
        <v>0.9</v>
      </c>
      <c r="J1266" s="26">
        <v>0.96296296296296291</v>
      </c>
      <c r="K1266" s="26">
        <v>0.93103448275862066</v>
      </c>
      <c r="L1266" s="27">
        <v>0.9</v>
      </c>
      <c r="M1266" s="26">
        <v>0.95852534562211977</v>
      </c>
      <c r="N1266" s="28">
        <v>0.9</v>
      </c>
      <c r="O1266" s="26">
        <v>0.99063670411985016</v>
      </c>
      <c r="P1266" s="26">
        <v>0.98717948717948723</v>
      </c>
      <c r="Q1266" s="26">
        <v>0.99319397180359748</v>
      </c>
      <c r="R1266" s="26">
        <v>0.99256234504885521</v>
      </c>
      <c r="S1266" s="28">
        <v>0.9</v>
      </c>
      <c r="T1266" s="26">
        <v>0.98377028714107362</v>
      </c>
      <c r="U1266" s="26">
        <v>0.98717948717948723</v>
      </c>
      <c r="V1266" s="26">
        <v>0.98395721925133695</v>
      </c>
      <c r="W1266" s="26">
        <v>0.98228088085168441</v>
      </c>
      <c r="X1266" s="28">
        <v>0.92</v>
      </c>
      <c r="Y1266" s="28">
        <v>0.97997496871088863</v>
      </c>
      <c r="Z1266" s="28">
        <v>0.98789346246973364</v>
      </c>
      <c r="AA1266" s="28">
        <v>0.98997772828507791</v>
      </c>
      <c r="AB1266" s="28">
        <v>0.98380080995950203</v>
      </c>
      <c r="AC1266" s="28">
        <v>0.92</v>
      </c>
      <c r="AD1266" s="26">
        <v>0.9990503323836657</v>
      </c>
      <c r="AE1266" s="26">
        <v>0.99225352112676057</v>
      </c>
      <c r="AF1266" s="26">
        <v>0.99876543209876545</v>
      </c>
      <c r="AG1266" s="26">
        <v>0.99662314272850072</v>
      </c>
      <c r="AH1266" s="28">
        <v>0.92</v>
      </c>
      <c r="AI1266" s="26">
        <v>0.98833819241982512</v>
      </c>
      <c r="AJ1266" s="26">
        <v>0.99184581171237951</v>
      </c>
      <c r="AK1266" s="26">
        <v>0.99560067681895092</v>
      </c>
      <c r="AL1266" s="26">
        <v>0.99141441397242802</v>
      </c>
      <c r="AM1266" s="25">
        <v>0.99</v>
      </c>
      <c r="AN1266" s="30">
        <v>1</v>
      </c>
      <c r="AO1266" s="30">
        <v>1</v>
      </c>
      <c r="AP1266" s="30">
        <v>1</v>
      </c>
      <c r="AQ1266" s="30">
        <v>1</v>
      </c>
      <c r="AR1266" s="50">
        <v>7.2186152540827803E-2</v>
      </c>
      <c r="AS1266" s="34">
        <v>0</v>
      </c>
      <c r="AT1266" s="34">
        <v>0</v>
      </c>
      <c r="AU1266" s="34">
        <v>0</v>
      </c>
      <c r="AV1266" s="34">
        <v>0.05</v>
      </c>
      <c r="AW1266" s="10"/>
      <c r="AX1266" s="8"/>
    </row>
    <row r="1267" spans="1:50">
      <c r="A1267" s="7"/>
      <c r="B1267" s="10"/>
      <c r="C1267" s="45" t="s">
        <v>1100</v>
      </c>
      <c r="D1267" s="23" t="s">
        <v>25</v>
      </c>
      <c r="E1267" s="83" t="s">
        <v>1311</v>
      </c>
      <c r="F1267" s="83" t="s">
        <v>1311</v>
      </c>
      <c r="G1267" s="83" t="s">
        <v>1311</v>
      </c>
      <c r="H1267" s="83" t="s">
        <v>1311</v>
      </c>
      <c r="I1267" s="25">
        <v>0.9</v>
      </c>
      <c r="J1267" s="26">
        <v>1</v>
      </c>
      <c r="K1267" s="26">
        <v>1</v>
      </c>
      <c r="L1267" s="27">
        <v>0.89583333333333337</v>
      </c>
      <c r="M1267" s="26">
        <v>0.95341614906832295</v>
      </c>
      <c r="N1267" s="28">
        <v>0.9</v>
      </c>
      <c r="O1267" s="26">
        <v>0.98975501113585751</v>
      </c>
      <c r="P1267" s="26">
        <v>0.9884516680923866</v>
      </c>
      <c r="Q1267" s="26">
        <v>0.98710553104852394</v>
      </c>
      <c r="R1267" s="26">
        <v>0.98830222789386935</v>
      </c>
      <c r="S1267" s="28">
        <v>0.9</v>
      </c>
      <c r="T1267" s="26">
        <v>0.910022271714922</v>
      </c>
      <c r="U1267" s="26">
        <v>0.90889649272882811</v>
      </c>
      <c r="V1267" s="26">
        <v>0.91414998303359352</v>
      </c>
      <c r="W1267" s="26">
        <v>0.91492529377359488</v>
      </c>
      <c r="X1267" s="28">
        <v>0.92</v>
      </c>
      <c r="Y1267" s="28">
        <v>0.89509803921568631</v>
      </c>
      <c r="Z1267" s="28">
        <v>0.8904255319148936</v>
      </c>
      <c r="AA1267" s="28">
        <v>0.90325077399380804</v>
      </c>
      <c r="AB1267" s="28">
        <v>0.91946697566628044</v>
      </c>
      <c r="AC1267" s="28">
        <v>0.92</v>
      </c>
      <c r="AD1267" s="26">
        <v>1</v>
      </c>
      <c r="AE1267" s="26">
        <v>0.99293286219081267</v>
      </c>
      <c r="AF1267" s="26">
        <v>0.99781181619256021</v>
      </c>
      <c r="AG1267" s="26">
        <v>0.99457994579945797</v>
      </c>
      <c r="AH1267" s="28">
        <v>0.92</v>
      </c>
      <c r="AI1267" s="26">
        <v>0.93966309341500764</v>
      </c>
      <c r="AJ1267" s="26">
        <v>0.94112263575350819</v>
      </c>
      <c r="AK1267" s="26">
        <v>0.95352677518282614</v>
      </c>
      <c r="AL1267" s="26">
        <v>0.9549877902103</v>
      </c>
      <c r="AM1267" s="25">
        <v>0.99</v>
      </c>
      <c r="AN1267" s="30">
        <v>1</v>
      </c>
      <c r="AO1267" s="30">
        <v>1</v>
      </c>
      <c r="AP1267" s="30">
        <v>1</v>
      </c>
      <c r="AQ1267" s="30">
        <v>1</v>
      </c>
      <c r="AR1267" s="50">
        <v>7.2186152540827803E-2</v>
      </c>
      <c r="AS1267" s="34">
        <v>0.2</v>
      </c>
      <c r="AT1267" s="34">
        <v>0</v>
      </c>
      <c r="AU1267" s="34">
        <v>0</v>
      </c>
      <c r="AV1267" s="34">
        <v>8.6956521739130432E-2</v>
      </c>
      <c r="AW1267" s="10"/>
      <c r="AX1267" s="8"/>
    </row>
    <row r="1268" spans="1:50">
      <c r="A1268" s="7"/>
      <c r="B1268" s="10"/>
      <c r="C1268" s="45" t="s">
        <v>1100</v>
      </c>
      <c r="D1268" s="23" t="s">
        <v>25</v>
      </c>
      <c r="E1268" s="83" t="s">
        <v>1312</v>
      </c>
      <c r="F1268" s="83" t="s">
        <v>1312</v>
      </c>
      <c r="G1268" s="83" t="s">
        <v>1312</v>
      </c>
      <c r="H1268" s="83" t="s">
        <v>1312</v>
      </c>
      <c r="I1268" s="25">
        <v>0.9</v>
      </c>
      <c r="J1268" s="26">
        <v>0.9642857142857143</v>
      </c>
      <c r="K1268" s="26">
        <v>1</v>
      </c>
      <c r="L1268" s="27">
        <v>0.93548387096774188</v>
      </c>
      <c r="M1268" s="26">
        <v>0.96916299559471364</v>
      </c>
      <c r="N1268" s="28">
        <v>0.9</v>
      </c>
      <c r="O1268" s="26">
        <v>0.97534883720930232</v>
      </c>
      <c r="P1268" s="26">
        <v>0.99007765314926666</v>
      </c>
      <c r="Q1268" s="26">
        <v>0.98713235294117652</v>
      </c>
      <c r="R1268" s="26">
        <v>0.9847236525918297</v>
      </c>
      <c r="S1268" s="28">
        <v>0.9</v>
      </c>
      <c r="T1268" s="26">
        <v>0.94511627906976747</v>
      </c>
      <c r="U1268" s="26">
        <v>0.95987920621225198</v>
      </c>
      <c r="V1268" s="26">
        <v>0.95808823529411768</v>
      </c>
      <c r="W1268" s="26">
        <v>0.96343975283213179</v>
      </c>
      <c r="X1268" s="28">
        <v>0.92</v>
      </c>
      <c r="Y1268" s="28">
        <v>0</v>
      </c>
      <c r="Z1268" s="28">
        <v>0</v>
      </c>
      <c r="AA1268" s="28">
        <v>0</v>
      </c>
      <c r="AB1268" s="28">
        <v>0</v>
      </c>
      <c r="AC1268" s="28">
        <v>0.92</v>
      </c>
      <c r="AD1268" s="26">
        <v>1</v>
      </c>
      <c r="AE1268" s="26">
        <v>1</v>
      </c>
      <c r="AF1268" s="26">
        <v>1</v>
      </c>
      <c r="AG1268" s="26">
        <v>0.99599599599599598</v>
      </c>
      <c r="AH1268" s="28">
        <v>0.92</v>
      </c>
      <c r="AI1268" s="26">
        <v>0.95581395348837206</v>
      </c>
      <c r="AJ1268" s="26">
        <v>0.96937014667817079</v>
      </c>
      <c r="AK1268" s="26">
        <v>0.9713235294117647</v>
      </c>
      <c r="AL1268" s="26">
        <v>0.97654328050803818</v>
      </c>
      <c r="AM1268" s="25">
        <v>0.99</v>
      </c>
      <c r="AN1268" s="30">
        <v>1</v>
      </c>
      <c r="AO1268" s="30">
        <v>1</v>
      </c>
      <c r="AP1268" s="30">
        <v>1</v>
      </c>
      <c r="AQ1268" s="30">
        <v>1</v>
      </c>
      <c r="AR1268" s="50">
        <v>7.2186152540827803E-2</v>
      </c>
      <c r="AS1268" s="34">
        <v>0</v>
      </c>
      <c r="AT1268" s="34">
        <v>0</v>
      </c>
      <c r="AU1268" s="34">
        <v>0</v>
      </c>
      <c r="AV1268" s="34">
        <v>0</v>
      </c>
      <c r="AW1268" s="10"/>
      <c r="AX1268" s="8"/>
    </row>
    <row r="1269" spans="1:50">
      <c r="A1269" s="7"/>
      <c r="B1269" s="10"/>
      <c r="C1269" s="45" t="s">
        <v>1100</v>
      </c>
      <c r="D1269" s="23" t="s">
        <v>25</v>
      </c>
      <c r="E1269" s="83" t="s">
        <v>1313</v>
      </c>
      <c r="F1269" s="83" t="s">
        <v>1313</v>
      </c>
      <c r="G1269" s="83" t="s">
        <v>1313</v>
      </c>
      <c r="H1269" s="83" t="s">
        <v>1313</v>
      </c>
      <c r="I1269" s="25">
        <v>0.9</v>
      </c>
      <c r="J1269" s="26">
        <v>1</v>
      </c>
      <c r="K1269" s="26">
        <v>1</v>
      </c>
      <c r="L1269" s="27">
        <v>0.92307692307692313</v>
      </c>
      <c r="M1269" s="26">
        <v>0.97058823529411764</v>
      </c>
      <c r="N1269" s="28">
        <v>0.9</v>
      </c>
      <c r="O1269" s="26">
        <v>0.98691741618969742</v>
      </c>
      <c r="P1269" s="26">
        <v>0.98489666136724963</v>
      </c>
      <c r="Q1269" s="26">
        <v>0.98633392751039806</v>
      </c>
      <c r="R1269" s="26">
        <v>0.97810081178025299</v>
      </c>
      <c r="S1269" s="28">
        <v>0.9</v>
      </c>
      <c r="T1269" s="26">
        <v>0.9411283728536386</v>
      </c>
      <c r="U1269" s="26">
        <v>0.94833068362480122</v>
      </c>
      <c r="V1269" s="26">
        <v>0.81699346405228757</v>
      </c>
      <c r="W1269" s="26">
        <v>0.91353596375306778</v>
      </c>
      <c r="X1269" s="28">
        <v>0.92</v>
      </c>
      <c r="Y1269" s="28">
        <v>0</v>
      </c>
      <c r="Z1269" s="28">
        <v>1</v>
      </c>
      <c r="AA1269" s="28">
        <v>0</v>
      </c>
      <c r="AB1269" s="28">
        <v>1</v>
      </c>
      <c r="AC1269" s="28">
        <v>0.92</v>
      </c>
      <c r="AD1269" s="26">
        <v>1</v>
      </c>
      <c r="AE1269" s="26">
        <v>1</v>
      </c>
      <c r="AF1269" s="26">
        <v>1</v>
      </c>
      <c r="AG1269" s="26">
        <v>0.99807877041306436</v>
      </c>
      <c r="AH1269" s="28">
        <v>0.92</v>
      </c>
      <c r="AI1269" s="26">
        <v>0.97383483237939494</v>
      </c>
      <c r="AJ1269" s="26">
        <v>0.9785544082605242</v>
      </c>
      <c r="AK1269" s="26">
        <v>0.9851455733808675</v>
      </c>
      <c r="AL1269" s="26">
        <v>0.97140160453043889</v>
      </c>
      <c r="AM1269" s="25">
        <v>0.99</v>
      </c>
      <c r="AN1269" s="30">
        <v>1</v>
      </c>
      <c r="AO1269" s="30">
        <v>1</v>
      </c>
      <c r="AP1269" s="30">
        <v>1</v>
      </c>
      <c r="AQ1269" s="30">
        <v>1</v>
      </c>
      <c r="AR1269" s="50">
        <v>7.2186152540827803E-2</v>
      </c>
      <c r="AS1269" s="34">
        <v>0.33333333333333331</v>
      </c>
      <c r="AT1269" s="34">
        <v>0</v>
      </c>
      <c r="AU1269" s="34">
        <v>0</v>
      </c>
      <c r="AV1269" s="34">
        <v>7.6923076923076927E-2</v>
      </c>
      <c r="AW1269" s="10"/>
      <c r="AX1269" s="8"/>
    </row>
    <row r="1270" spans="1:50">
      <c r="A1270" s="7"/>
      <c r="B1270" s="10"/>
      <c r="C1270" s="45" t="s">
        <v>1100</v>
      </c>
      <c r="D1270" s="23" t="s">
        <v>25</v>
      </c>
      <c r="E1270" s="83" t="s">
        <v>1314</v>
      </c>
      <c r="F1270" s="83" t="s">
        <v>1314</v>
      </c>
      <c r="G1270" s="83" t="s">
        <v>1314</v>
      </c>
      <c r="H1270" s="83" t="s">
        <v>1314</v>
      </c>
      <c r="I1270" s="25">
        <v>0.9</v>
      </c>
      <c r="J1270" s="26">
        <v>1</v>
      </c>
      <c r="K1270" s="26">
        <v>1</v>
      </c>
      <c r="L1270" s="27">
        <v>1</v>
      </c>
      <c r="M1270" s="26">
        <v>1</v>
      </c>
      <c r="N1270" s="28">
        <v>0.9</v>
      </c>
      <c r="O1270" s="26">
        <v>0.94405594405594406</v>
      </c>
      <c r="P1270" s="26">
        <v>0.94060475161987045</v>
      </c>
      <c r="Q1270" s="26">
        <v>0.95711835334476847</v>
      </c>
      <c r="R1270" s="26">
        <v>0.94665373423860333</v>
      </c>
      <c r="S1270" s="28">
        <v>0.9</v>
      </c>
      <c r="T1270" s="26">
        <v>0.90792540792540788</v>
      </c>
      <c r="U1270" s="26">
        <v>0.93412526997840173</v>
      </c>
      <c r="V1270" s="26">
        <v>0.81646655231560894</v>
      </c>
      <c r="W1270" s="26">
        <v>0.89233753637245394</v>
      </c>
      <c r="X1270" s="28">
        <v>0.92</v>
      </c>
      <c r="Y1270" s="28">
        <v>0</v>
      </c>
      <c r="Z1270" s="28">
        <v>0</v>
      </c>
      <c r="AA1270" s="28">
        <v>0</v>
      </c>
      <c r="AB1270" s="28">
        <v>0</v>
      </c>
      <c r="AC1270" s="28">
        <v>0.92</v>
      </c>
      <c r="AD1270" s="26">
        <v>0.9642972016725635</v>
      </c>
      <c r="AE1270" s="26">
        <v>0.99655884377150727</v>
      </c>
      <c r="AF1270" s="26">
        <v>0.99811912225705324</v>
      </c>
      <c r="AG1270" s="26">
        <v>0.98885843928298667</v>
      </c>
      <c r="AH1270" s="28">
        <v>0.92</v>
      </c>
      <c r="AI1270" s="26">
        <v>0.94295692665890574</v>
      </c>
      <c r="AJ1270" s="26">
        <v>0.95140388768898487</v>
      </c>
      <c r="AK1270" s="26">
        <v>0.94511149228130364</v>
      </c>
      <c r="AL1270" s="26">
        <v>0.94888488710347696</v>
      </c>
      <c r="AM1270" s="25">
        <v>0.99</v>
      </c>
      <c r="AN1270" s="30">
        <v>1</v>
      </c>
      <c r="AO1270" s="30">
        <v>1</v>
      </c>
      <c r="AP1270" s="30">
        <v>1</v>
      </c>
      <c r="AQ1270" s="30">
        <v>1</v>
      </c>
      <c r="AR1270" s="50">
        <v>7.2186152540827803E-2</v>
      </c>
      <c r="AS1270" s="34">
        <v>0</v>
      </c>
      <c r="AT1270" s="34">
        <v>0</v>
      </c>
      <c r="AU1270" s="34">
        <v>0</v>
      </c>
      <c r="AV1270" s="34">
        <v>0</v>
      </c>
      <c r="AW1270" s="10"/>
      <c r="AX1270" s="8"/>
    </row>
    <row r="1271" spans="1:50">
      <c r="A1271" s="7"/>
      <c r="B1271" s="10"/>
      <c r="C1271" s="45" t="s">
        <v>1100</v>
      </c>
      <c r="D1271" s="23" t="s">
        <v>25</v>
      </c>
      <c r="E1271" s="83" t="s">
        <v>1315</v>
      </c>
      <c r="F1271" s="83" t="s">
        <v>1315</v>
      </c>
      <c r="G1271" s="83" t="s">
        <v>1315</v>
      </c>
      <c r="H1271" s="83" t="s">
        <v>1315</v>
      </c>
      <c r="I1271" s="25">
        <v>0.9</v>
      </c>
      <c r="J1271" s="26">
        <v>0.89473684210526316</v>
      </c>
      <c r="K1271" s="26">
        <v>0.8833333333333333</v>
      </c>
      <c r="L1271" s="27">
        <v>0.85483870967741937</v>
      </c>
      <c r="M1271" s="26">
        <v>0.87110187110187109</v>
      </c>
      <c r="N1271" s="28">
        <v>0.9</v>
      </c>
      <c r="O1271" s="26">
        <v>0.94892131979695427</v>
      </c>
      <c r="P1271" s="26">
        <v>0.98872059297454074</v>
      </c>
      <c r="Q1271" s="26">
        <v>0.98836565096952911</v>
      </c>
      <c r="R1271" s="26">
        <v>0.98021859286040813</v>
      </c>
      <c r="S1271" s="28">
        <v>0.9</v>
      </c>
      <c r="T1271" s="26">
        <v>0.90736040609137059</v>
      </c>
      <c r="U1271" s="26">
        <v>0.92458910731550115</v>
      </c>
      <c r="V1271" s="26">
        <v>0.92326869806094181</v>
      </c>
      <c r="W1271" s="26">
        <v>0.92394963221543447</v>
      </c>
      <c r="X1271" s="28">
        <v>0.92</v>
      </c>
      <c r="Y1271" s="28">
        <v>0.93050193050193053</v>
      </c>
      <c r="Z1271" s="28">
        <v>0.92820512820512824</v>
      </c>
      <c r="AA1271" s="28">
        <v>0.93188854489164086</v>
      </c>
      <c r="AB1271" s="28">
        <v>0.94105652201618561</v>
      </c>
      <c r="AC1271" s="28">
        <v>0.92</v>
      </c>
      <c r="AD1271" s="26">
        <v>0.99880525686977295</v>
      </c>
      <c r="AE1271" s="26">
        <v>0.99864038069340588</v>
      </c>
      <c r="AF1271" s="26">
        <v>0.99690785405071114</v>
      </c>
      <c r="AG1271" s="26">
        <v>0.99764705882352944</v>
      </c>
      <c r="AH1271" s="28">
        <v>0.92</v>
      </c>
      <c r="AI1271" s="26">
        <v>0.94823766364551865</v>
      </c>
      <c r="AJ1271" s="26">
        <v>0.95367788977053403</v>
      </c>
      <c r="AK1271" s="26">
        <v>0.9610740673995315</v>
      </c>
      <c r="AL1271" s="26">
        <v>0.96056338028169019</v>
      </c>
      <c r="AM1271" s="25">
        <v>0.99</v>
      </c>
      <c r="AN1271" s="30">
        <v>1</v>
      </c>
      <c r="AO1271" s="30">
        <v>1</v>
      </c>
      <c r="AP1271" s="30">
        <v>1</v>
      </c>
      <c r="AQ1271" s="30">
        <v>1</v>
      </c>
      <c r="AR1271" s="50">
        <v>7.2186152540827803E-2</v>
      </c>
      <c r="AS1271" s="34">
        <v>0</v>
      </c>
      <c r="AT1271" s="34">
        <v>5.5555555555555552E-2</v>
      </c>
      <c r="AU1271" s="34">
        <v>0</v>
      </c>
      <c r="AV1271" s="34">
        <v>7.462686567164179E-3</v>
      </c>
      <c r="AW1271" s="10"/>
      <c r="AX1271" s="8"/>
    </row>
    <row r="1272" spans="1:50">
      <c r="A1272" s="7"/>
      <c r="B1272" s="10"/>
      <c r="C1272" s="45" t="s">
        <v>1100</v>
      </c>
      <c r="D1272" s="23" t="s">
        <v>25</v>
      </c>
      <c r="E1272" s="83" t="s">
        <v>1316</v>
      </c>
      <c r="F1272" s="83" t="s">
        <v>1316</v>
      </c>
      <c r="G1272" s="83" t="s">
        <v>1316</v>
      </c>
      <c r="H1272" s="83" t="s">
        <v>1316</v>
      </c>
      <c r="I1272" s="25">
        <v>0.9</v>
      </c>
      <c r="J1272" s="26">
        <v>0.97916666666666663</v>
      </c>
      <c r="K1272" s="26">
        <v>0.94545454545454544</v>
      </c>
      <c r="L1272" s="27">
        <v>0.96078431372549022</v>
      </c>
      <c r="M1272" s="26">
        <v>0.95202020202020199</v>
      </c>
      <c r="N1272" s="28">
        <v>0.9</v>
      </c>
      <c r="O1272" s="26">
        <v>0.92848219862585879</v>
      </c>
      <c r="P1272" s="26">
        <v>0.99161019683768958</v>
      </c>
      <c r="Q1272" s="26">
        <v>0.95139634801288941</v>
      </c>
      <c r="R1272" s="26">
        <v>0.97517481070793166</v>
      </c>
      <c r="S1272" s="28">
        <v>0.9</v>
      </c>
      <c r="T1272" s="26">
        <v>0.94753279200499685</v>
      </c>
      <c r="U1272" s="26">
        <v>0.97031300419490163</v>
      </c>
      <c r="V1272" s="26">
        <v>0.95166487647690656</v>
      </c>
      <c r="W1272" s="26">
        <v>0.95850055856675909</v>
      </c>
      <c r="X1272" s="28">
        <v>0.92</v>
      </c>
      <c r="Y1272" s="28">
        <v>0.95318454001088737</v>
      </c>
      <c r="Z1272" s="28">
        <v>0.96395759717314489</v>
      </c>
      <c r="AA1272" s="28">
        <v>0.9785788923719958</v>
      </c>
      <c r="AB1272" s="28">
        <v>0.97183819764464929</v>
      </c>
      <c r="AC1272" s="28">
        <v>0.92</v>
      </c>
      <c r="AD1272" s="26">
        <v>0.99953735831598423</v>
      </c>
      <c r="AE1272" s="26">
        <v>0.99965083798882681</v>
      </c>
      <c r="AF1272" s="26">
        <v>1</v>
      </c>
      <c r="AG1272" s="26">
        <v>0.99949533181932881</v>
      </c>
      <c r="AH1272" s="28">
        <v>0.92</v>
      </c>
      <c r="AI1272" s="26">
        <v>0.96864457233578094</v>
      </c>
      <c r="AJ1272" s="26">
        <v>0.98094816127603013</v>
      </c>
      <c r="AK1272" s="26">
        <v>0.98244058176658389</v>
      </c>
      <c r="AL1272" s="26">
        <v>0.98102729054631355</v>
      </c>
      <c r="AM1272" s="25">
        <v>0.99</v>
      </c>
      <c r="AN1272" s="30">
        <v>1</v>
      </c>
      <c r="AO1272" s="30">
        <v>1</v>
      </c>
      <c r="AP1272" s="30">
        <v>1</v>
      </c>
      <c r="AQ1272" s="30">
        <v>1</v>
      </c>
      <c r="AR1272" s="50">
        <v>7.2186152540827803E-2</v>
      </c>
      <c r="AS1272" s="34">
        <v>4.3478260869565216E-2</v>
      </c>
      <c r="AT1272" s="34">
        <v>0</v>
      </c>
      <c r="AU1272" s="34">
        <v>0</v>
      </c>
      <c r="AV1272" s="34">
        <v>3.888888888888889E-2</v>
      </c>
      <c r="AW1272" s="10"/>
      <c r="AX1272" s="8"/>
    </row>
    <row r="1273" spans="1:50">
      <c r="A1273" s="7"/>
      <c r="B1273" s="10"/>
      <c r="C1273" s="45" t="s">
        <v>1100</v>
      </c>
      <c r="D1273" s="23" t="s">
        <v>25</v>
      </c>
      <c r="E1273" s="83" t="s">
        <v>1317</v>
      </c>
      <c r="F1273" s="83" t="s">
        <v>1317</v>
      </c>
      <c r="G1273" s="83" t="s">
        <v>1317</v>
      </c>
      <c r="H1273" s="83" t="s">
        <v>1317</v>
      </c>
      <c r="I1273" s="25">
        <v>0.9</v>
      </c>
      <c r="J1273" s="26">
        <v>0.96153846153846156</v>
      </c>
      <c r="K1273" s="26">
        <v>0.96296296296296291</v>
      </c>
      <c r="L1273" s="27">
        <v>0.96153846153846156</v>
      </c>
      <c r="M1273" s="26">
        <v>0.79069767441860461</v>
      </c>
      <c r="N1273" s="28">
        <v>0.9</v>
      </c>
      <c r="O1273" s="26">
        <v>0.988556338028169</v>
      </c>
      <c r="P1273" s="26">
        <v>0.99304987735077677</v>
      </c>
      <c r="Q1273" s="26">
        <v>0.99046711153479505</v>
      </c>
      <c r="R1273" s="26">
        <v>0.98093631810283144</v>
      </c>
      <c r="S1273" s="28">
        <v>0.9</v>
      </c>
      <c r="T1273" s="26">
        <v>0.89568661971830987</v>
      </c>
      <c r="U1273" s="26">
        <v>0.89043336058871625</v>
      </c>
      <c r="V1273" s="26">
        <v>0.89863361931998731</v>
      </c>
      <c r="W1273" s="26">
        <v>0.90059286517428194</v>
      </c>
      <c r="X1273" s="28">
        <v>0.92</v>
      </c>
      <c r="Y1273" s="28">
        <v>0</v>
      </c>
      <c r="Z1273" s="28">
        <v>0</v>
      </c>
      <c r="AA1273" s="28">
        <v>0</v>
      </c>
      <c r="AB1273" s="28">
        <v>0</v>
      </c>
      <c r="AC1273" s="28">
        <v>0.92</v>
      </c>
      <c r="AD1273" s="26">
        <v>1</v>
      </c>
      <c r="AE1273" s="26">
        <v>1</v>
      </c>
      <c r="AF1273" s="26">
        <v>1</v>
      </c>
      <c r="AG1273" s="26">
        <v>1</v>
      </c>
      <c r="AH1273" s="28">
        <v>0.92</v>
      </c>
      <c r="AI1273" s="26">
        <v>0.96700395952485707</v>
      </c>
      <c r="AJ1273" s="26">
        <v>0.97587898609975465</v>
      </c>
      <c r="AK1273" s="26">
        <v>0.96727041626946297</v>
      </c>
      <c r="AL1273" s="26">
        <v>0.97643992436244698</v>
      </c>
      <c r="AM1273" s="25">
        <v>0.99</v>
      </c>
      <c r="AN1273" s="30">
        <v>1</v>
      </c>
      <c r="AO1273" s="30">
        <v>1</v>
      </c>
      <c r="AP1273" s="30">
        <v>1</v>
      </c>
      <c r="AQ1273" s="30">
        <v>1</v>
      </c>
      <c r="AR1273" s="50">
        <v>7.2186152540827803E-2</v>
      </c>
      <c r="AS1273" s="34">
        <v>0</v>
      </c>
      <c r="AT1273" s="34">
        <v>0</v>
      </c>
      <c r="AU1273" s="34">
        <v>0</v>
      </c>
      <c r="AV1273" s="34">
        <v>-1.8867924528301886E-2</v>
      </c>
      <c r="AW1273" s="10"/>
      <c r="AX1273" s="8"/>
    </row>
    <row r="1274" spans="1:50">
      <c r="A1274" s="7"/>
      <c r="B1274" s="10"/>
      <c r="C1274" s="45" t="s">
        <v>1100</v>
      </c>
      <c r="D1274" s="23" t="s">
        <v>25</v>
      </c>
      <c r="E1274" s="83" t="s">
        <v>1318</v>
      </c>
      <c r="F1274" s="83" t="s">
        <v>1318</v>
      </c>
      <c r="G1274" s="83" t="s">
        <v>1318</v>
      </c>
      <c r="H1274" s="83" t="s">
        <v>1318</v>
      </c>
      <c r="I1274" s="25">
        <v>0.9</v>
      </c>
      <c r="J1274" s="26">
        <v>1</v>
      </c>
      <c r="K1274" s="26">
        <v>1</v>
      </c>
      <c r="L1274" s="27">
        <v>1</v>
      </c>
      <c r="M1274" s="26">
        <v>1</v>
      </c>
      <c r="N1274" s="28">
        <v>0.9</v>
      </c>
      <c r="O1274" s="26">
        <v>0.99383078730904817</v>
      </c>
      <c r="P1274" s="26">
        <v>0.99102773246329523</v>
      </c>
      <c r="Q1274" s="26">
        <v>0.98727512066695922</v>
      </c>
      <c r="R1274" s="26">
        <v>0.99105564222568898</v>
      </c>
      <c r="S1274" s="28">
        <v>0.9</v>
      </c>
      <c r="T1274" s="26">
        <v>0.97737955346650995</v>
      </c>
      <c r="U1274" s="26">
        <v>0.97661772702555738</v>
      </c>
      <c r="V1274" s="26">
        <v>0.95919262834576569</v>
      </c>
      <c r="W1274" s="26">
        <v>0.97368694747789908</v>
      </c>
      <c r="X1274" s="28">
        <v>0.92</v>
      </c>
      <c r="Y1274" s="28">
        <v>0</v>
      </c>
      <c r="Z1274" s="28">
        <v>0</v>
      </c>
      <c r="AA1274" s="28">
        <v>0</v>
      </c>
      <c r="AB1274" s="28">
        <v>0</v>
      </c>
      <c r="AC1274" s="28">
        <v>0.92</v>
      </c>
      <c r="AD1274" s="26">
        <v>0.9964507542147294</v>
      </c>
      <c r="AE1274" s="26">
        <v>0.9958263772954925</v>
      </c>
      <c r="AF1274" s="26">
        <v>0.99735449735449733</v>
      </c>
      <c r="AG1274" s="26">
        <v>0.9975982532751092</v>
      </c>
      <c r="AH1274" s="28">
        <v>0.92</v>
      </c>
      <c r="AI1274" s="26">
        <v>0.98207990599294948</v>
      </c>
      <c r="AJ1274" s="26">
        <v>0.98232735182164221</v>
      </c>
      <c r="AK1274" s="26">
        <v>0.98398420359806937</v>
      </c>
      <c r="AL1274" s="26">
        <v>0.98623678280464555</v>
      </c>
      <c r="AM1274" s="25">
        <v>0.99</v>
      </c>
      <c r="AN1274" s="30">
        <v>1</v>
      </c>
      <c r="AO1274" s="30">
        <v>1</v>
      </c>
      <c r="AP1274" s="30">
        <v>1</v>
      </c>
      <c r="AQ1274" s="30">
        <v>1</v>
      </c>
      <c r="AR1274" s="50">
        <v>7.2186152540827803E-2</v>
      </c>
      <c r="AS1274" s="34">
        <v>0</v>
      </c>
      <c r="AT1274" s="34">
        <v>0</v>
      </c>
      <c r="AU1274" s="34">
        <v>0.14285714285714285</v>
      </c>
      <c r="AV1274" s="34">
        <v>2.9411764705882353E-2</v>
      </c>
      <c r="AW1274" s="10"/>
      <c r="AX1274" s="8"/>
    </row>
    <row r="1275" spans="1:50">
      <c r="A1275" s="7"/>
      <c r="B1275" s="10"/>
      <c r="C1275" s="45" t="s">
        <v>1100</v>
      </c>
      <c r="D1275" s="23" t="s">
        <v>25</v>
      </c>
      <c r="E1275" s="83" t="s">
        <v>1319</v>
      </c>
      <c r="F1275" s="83" t="s">
        <v>1319</v>
      </c>
      <c r="G1275" s="83" t="s">
        <v>1319</v>
      </c>
      <c r="H1275" s="83" t="s">
        <v>1319</v>
      </c>
      <c r="I1275" s="25">
        <v>0.9</v>
      </c>
      <c r="J1275" s="26">
        <v>0.82608695652173914</v>
      </c>
      <c r="K1275" s="26">
        <v>0.91666666666666663</v>
      </c>
      <c r="L1275" s="27">
        <v>0.84</v>
      </c>
      <c r="M1275" s="26">
        <v>0.86631016042780751</v>
      </c>
      <c r="N1275" s="28">
        <v>0.9</v>
      </c>
      <c r="O1275" s="26">
        <v>0.97786998616874132</v>
      </c>
      <c r="P1275" s="26">
        <v>0.98166259168704162</v>
      </c>
      <c r="Q1275" s="26">
        <v>0.87364746945898775</v>
      </c>
      <c r="R1275" s="26">
        <v>0.95535617771051773</v>
      </c>
      <c r="S1275" s="28">
        <v>0.9</v>
      </c>
      <c r="T1275" s="26">
        <v>0.80175195942830801</v>
      </c>
      <c r="U1275" s="26">
        <v>0.8443357783211084</v>
      </c>
      <c r="V1275" s="26">
        <v>0.77940663176265268</v>
      </c>
      <c r="W1275" s="26">
        <v>0.82007350556696579</v>
      </c>
      <c r="X1275" s="28">
        <v>0.92</v>
      </c>
      <c r="Y1275" s="28">
        <v>0</v>
      </c>
      <c r="Z1275" s="28">
        <v>0</v>
      </c>
      <c r="AA1275" s="28">
        <v>0</v>
      </c>
      <c r="AB1275" s="28">
        <v>0</v>
      </c>
      <c r="AC1275" s="28">
        <v>0.92</v>
      </c>
      <c r="AD1275" s="26">
        <v>0.99372056514913654</v>
      </c>
      <c r="AE1275" s="26">
        <v>0.99095022624434392</v>
      </c>
      <c r="AF1275" s="26">
        <v>0.98811544991511036</v>
      </c>
      <c r="AG1275" s="26">
        <v>0.98857371955497642</v>
      </c>
      <c r="AH1275" s="28">
        <v>0.92</v>
      </c>
      <c r="AI1275" s="26">
        <v>0.94236975564776393</v>
      </c>
      <c r="AJ1275" s="26">
        <v>0.95965770171149145</v>
      </c>
      <c r="AK1275" s="26">
        <v>0.96055846422338564</v>
      </c>
      <c r="AL1275" s="26">
        <v>0.95416711706842505</v>
      </c>
      <c r="AM1275" s="25">
        <v>0.99</v>
      </c>
      <c r="AN1275" s="30">
        <v>1</v>
      </c>
      <c r="AO1275" s="30">
        <v>1</v>
      </c>
      <c r="AP1275" s="30">
        <v>1</v>
      </c>
      <c r="AQ1275" s="30">
        <v>1</v>
      </c>
      <c r="AR1275" s="50">
        <v>7.2186152540827803E-2</v>
      </c>
      <c r="AS1275" s="34">
        <v>2.9411764705882353E-2</v>
      </c>
      <c r="AT1275" s="34">
        <v>3.8461538461538464E-2</v>
      </c>
      <c r="AU1275" s="34">
        <v>0</v>
      </c>
      <c r="AV1275" s="34">
        <v>3.3653846153846152E-2</v>
      </c>
      <c r="AW1275" s="10"/>
      <c r="AX1275" s="8"/>
    </row>
    <row r="1276" spans="1:50">
      <c r="A1276" s="7"/>
      <c r="B1276" s="10"/>
      <c r="C1276" s="45" t="s">
        <v>1100</v>
      </c>
      <c r="D1276" s="23" t="s">
        <v>25</v>
      </c>
      <c r="E1276" s="83" t="s">
        <v>1320</v>
      </c>
      <c r="F1276" s="83" t="s">
        <v>1320</v>
      </c>
      <c r="G1276" s="83" t="s">
        <v>1320</v>
      </c>
      <c r="H1276" s="83" t="s">
        <v>1320</v>
      </c>
      <c r="I1276" s="25">
        <v>0.9</v>
      </c>
      <c r="J1276" s="26">
        <v>0.84375</v>
      </c>
      <c r="K1276" s="26">
        <v>0.9642857142857143</v>
      </c>
      <c r="L1276" s="27">
        <v>0.9375</v>
      </c>
      <c r="M1276" s="26">
        <v>0.91769547325102885</v>
      </c>
      <c r="N1276" s="28">
        <v>0.9</v>
      </c>
      <c r="O1276" s="26">
        <v>0.95209059233449478</v>
      </c>
      <c r="P1276" s="26">
        <v>0.97941057731126357</v>
      </c>
      <c r="Q1276" s="26">
        <v>0.87874015748031498</v>
      </c>
      <c r="R1276" s="26">
        <v>0.95981413398692805</v>
      </c>
      <c r="S1276" s="28">
        <v>0.9</v>
      </c>
      <c r="T1276" s="26">
        <v>0.78092334494773519</v>
      </c>
      <c r="U1276" s="26">
        <v>0.76059749697214374</v>
      </c>
      <c r="V1276" s="26">
        <v>0.69669291338582673</v>
      </c>
      <c r="W1276" s="26">
        <v>0.768484477124183</v>
      </c>
      <c r="X1276" s="28">
        <v>0.92</v>
      </c>
      <c r="Y1276" s="28">
        <v>0</v>
      </c>
      <c r="Z1276" s="28">
        <v>0</v>
      </c>
      <c r="AA1276" s="28">
        <v>0</v>
      </c>
      <c r="AB1276" s="28">
        <v>0</v>
      </c>
      <c r="AC1276" s="28">
        <v>0.92</v>
      </c>
      <c r="AD1276" s="26">
        <v>0.99697885196374625</v>
      </c>
      <c r="AE1276" s="26">
        <v>0.99851301115241631</v>
      </c>
      <c r="AF1276" s="26">
        <v>1</v>
      </c>
      <c r="AG1276" s="26">
        <v>0.99842726081258193</v>
      </c>
      <c r="AH1276" s="28">
        <v>0.92</v>
      </c>
      <c r="AI1276" s="26">
        <v>0.89895470383275267</v>
      </c>
      <c r="AJ1276" s="26">
        <v>0.92289059345983049</v>
      </c>
      <c r="AK1276" s="26">
        <v>0.935748031496063</v>
      </c>
      <c r="AL1276" s="26">
        <v>0.92713439542483655</v>
      </c>
      <c r="AM1276" s="25">
        <v>0.99</v>
      </c>
      <c r="AN1276" s="30">
        <v>1</v>
      </c>
      <c r="AO1276" s="30">
        <v>1</v>
      </c>
      <c r="AP1276" s="30">
        <v>1</v>
      </c>
      <c r="AQ1276" s="30">
        <v>1</v>
      </c>
      <c r="AR1276" s="50">
        <v>7.2186152540827803E-2</v>
      </c>
      <c r="AS1276" s="34">
        <v>0</v>
      </c>
      <c r="AT1276" s="34">
        <v>0</v>
      </c>
      <c r="AU1276" s="34">
        <v>0.16666666666666666</v>
      </c>
      <c r="AV1276" s="34">
        <v>8.0645161290322578E-2</v>
      </c>
      <c r="AW1276" s="10"/>
      <c r="AX1276" s="8"/>
    </row>
    <row r="1277" spans="1:50">
      <c r="A1277" s="7"/>
      <c r="B1277" s="10"/>
      <c r="C1277" s="45" t="s">
        <v>1100</v>
      </c>
      <c r="D1277" s="23" t="s">
        <v>25</v>
      </c>
      <c r="E1277" s="83" t="s">
        <v>1321</v>
      </c>
      <c r="F1277" s="83" t="s">
        <v>1321</v>
      </c>
      <c r="G1277" s="83" t="s">
        <v>1321</v>
      </c>
      <c r="H1277" s="83" t="s">
        <v>1321</v>
      </c>
      <c r="I1277" s="25">
        <v>0.9</v>
      </c>
      <c r="J1277" s="26">
        <v>1</v>
      </c>
      <c r="K1277" s="26">
        <v>0.91304347826086951</v>
      </c>
      <c r="L1277" s="27">
        <v>1</v>
      </c>
      <c r="M1277" s="26">
        <v>0.96590909090909094</v>
      </c>
      <c r="N1277" s="28">
        <v>0.9</v>
      </c>
      <c r="O1277" s="26">
        <v>0.98198198198198194</v>
      </c>
      <c r="P1277" s="26">
        <v>0.98370786516853936</v>
      </c>
      <c r="Q1277" s="26">
        <v>0.89459459459459456</v>
      </c>
      <c r="R1277" s="26">
        <v>0.96018276762402088</v>
      </c>
      <c r="S1277" s="28">
        <v>0.9</v>
      </c>
      <c r="T1277" s="26">
        <v>0.95366795366795365</v>
      </c>
      <c r="U1277" s="26">
        <v>0.9297752808988764</v>
      </c>
      <c r="V1277" s="26">
        <v>0.89369369369369367</v>
      </c>
      <c r="W1277" s="26">
        <v>0.91572381781259071</v>
      </c>
      <c r="X1277" s="28">
        <v>0.92</v>
      </c>
      <c r="Y1277" s="28">
        <v>0</v>
      </c>
      <c r="Z1277" s="28">
        <v>0</v>
      </c>
      <c r="AA1277" s="28">
        <v>0</v>
      </c>
      <c r="AB1277" s="28">
        <v>0</v>
      </c>
      <c r="AC1277" s="28">
        <v>0.92</v>
      </c>
      <c r="AD1277" s="26">
        <v>1</v>
      </c>
      <c r="AE1277" s="26">
        <v>1</v>
      </c>
      <c r="AF1277" s="26">
        <v>1</v>
      </c>
      <c r="AG1277" s="26">
        <v>0.99946581196581197</v>
      </c>
      <c r="AH1277" s="28">
        <v>0.92</v>
      </c>
      <c r="AI1277" s="26">
        <v>0.96525096525096521</v>
      </c>
      <c r="AJ1277" s="26">
        <v>0.97078651685393258</v>
      </c>
      <c r="AK1277" s="26">
        <v>0.9387387387387387</v>
      </c>
      <c r="AL1277" s="26">
        <v>0.96736292428198434</v>
      </c>
      <c r="AM1277" s="25">
        <v>0.99</v>
      </c>
      <c r="AN1277" s="30">
        <v>1</v>
      </c>
      <c r="AO1277" s="30">
        <v>1</v>
      </c>
      <c r="AP1277" s="30">
        <v>1</v>
      </c>
      <c r="AQ1277" s="30">
        <v>1</v>
      </c>
      <c r="AR1277" s="50">
        <v>7.2186152540827803E-2</v>
      </c>
      <c r="AS1277" s="34">
        <v>0</v>
      </c>
      <c r="AT1277" s="34">
        <v>0</v>
      </c>
      <c r="AU1277" s="34">
        <v>0</v>
      </c>
      <c r="AV1277" s="34">
        <v>2.5000000000000001E-2</v>
      </c>
      <c r="AW1277" s="10"/>
      <c r="AX1277" s="8"/>
    </row>
    <row r="1278" spans="1:50">
      <c r="A1278" s="7"/>
      <c r="B1278" s="10"/>
      <c r="C1278" s="45" t="s">
        <v>1100</v>
      </c>
      <c r="D1278" s="23" t="s">
        <v>25</v>
      </c>
      <c r="E1278" s="83" t="s">
        <v>1322</v>
      </c>
      <c r="F1278" s="83" t="s">
        <v>1322</v>
      </c>
      <c r="G1278" s="83" t="s">
        <v>1322</v>
      </c>
      <c r="H1278" s="83" t="s">
        <v>1322</v>
      </c>
      <c r="I1278" s="25">
        <v>0.9</v>
      </c>
      <c r="J1278" s="26">
        <v>0.86206896551724133</v>
      </c>
      <c r="K1278" s="26">
        <v>0.86206896551724133</v>
      </c>
      <c r="L1278" s="27">
        <v>0.9285714285714286</v>
      </c>
      <c r="M1278" s="26">
        <v>0.9211822660098522</v>
      </c>
      <c r="N1278" s="28">
        <v>0.9</v>
      </c>
      <c r="O1278" s="26">
        <v>0.9435626102292769</v>
      </c>
      <c r="P1278" s="26">
        <v>0.82651475919212847</v>
      </c>
      <c r="Q1278" s="26">
        <v>0.49094202898550726</v>
      </c>
      <c r="R1278" s="26">
        <v>0.78390152824839221</v>
      </c>
      <c r="S1278" s="28">
        <v>0.9</v>
      </c>
      <c r="T1278" s="26">
        <v>0.87007642563198118</v>
      </c>
      <c r="U1278" s="26">
        <v>0.90056965302951841</v>
      </c>
      <c r="V1278" s="26">
        <v>0.73777173913043481</v>
      </c>
      <c r="W1278" s="26">
        <v>0.79959892123642906</v>
      </c>
      <c r="X1278" s="28">
        <v>0.92</v>
      </c>
      <c r="Y1278" s="28">
        <v>0</v>
      </c>
      <c r="Z1278" s="28">
        <v>0</v>
      </c>
      <c r="AA1278" s="28">
        <v>0</v>
      </c>
      <c r="AB1278" s="28">
        <v>0</v>
      </c>
      <c r="AC1278" s="28">
        <v>0.92</v>
      </c>
      <c r="AD1278" s="26">
        <v>0.99798792756539234</v>
      </c>
      <c r="AE1278" s="26">
        <v>1</v>
      </c>
      <c r="AF1278" s="26">
        <v>0.99642857142857144</v>
      </c>
      <c r="AG1278" s="26">
        <v>0.89093064611736816</v>
      </c>
      <c r="AH1278" s="28">
        <v>0.92</v>
      </c>
      <c r="AI1278" s="26">
        <v>0.95238095238095233</v>
      </c>
      <c r="AJ1278" s="26">
        <v>0.96789228379078196</v>
      </c>
      <c r="AK1278" s="26">
        <v>0.96195652173913049</v>
      </c>
      <c r="AL1278" s="26">
        <v>0.94910448793306135</v>
      </c>
      <c r="AM1278" s="25">
        <v>0.99</v>
      </c>
      <c r="AN1278" s="30">
        <v>1</v>
      </c>
      <c r="AO1278" s="30">
        <v>1</v>
      </c>
      <c r="AP1278" s="30">
        <v>1</v>
      </c>
      <c r="AQ1278" s="30">
        <v>1</v>
      </c>
      <c r="AR1278" s="50">
        <v>7.2186152540827803E-2</v>
      </c>
      <c r="AS1278" s="34">
        <v>0.1</v>
      </c>
      <c r="AT1278" s="34">
        <v>0</v>
      </c>
      <c r="AU1278" s="34">
        <v>9.0909090909090912E-2</v>
      </c>
      <c r="AV1278" s="34">
        <v>6.5573770491803282E-2</v>
      </c>
      <c r="AW1278" s="10"/>
      <c r="AX1278" s="8"/>
    </row>
    <row r="1279" spans="1:50">
      <c r="A1279" s="7"/>
      <c r="B1279" s="10"/>
      <c r="C1279" s="45" t="s">
        <v>1100</v>
      </c>
      <c r="D1279" s="23" t="s">
        <v>25</v>
      </c>
      <c r="E1279" s="83" t="s">
        <v>1323</v>
      </c>
      <c r="F1279" s="83" t="s">
        <v>1323</v>
      </c>
      <c r="G1279" s="83" t="s">
        <v>1323</v>
      </c>
      <c r="H1279" s="83" t="s">
        <v>1323</v>
      </c>
      <c r="I1279" s="25">
        <v>0.9</v>
      </c>
      <c r="J1279" s="26">
        <v>1</v>
      </c>
      <c r="K1279" s="26">
        <v>1</v>
      </c>
      <c r="L1279" s="27">
        <v>1</v>
      </c>
      <c r="M1279" s="26">
        <v>0.98039215686274506</v>
      </c>
      <c r="N1279" s="28">
        <v>0.9</v>
      </c>
      <c r="O1279" s="26">
        <v>0.97802197802197799</v>
      </c>
      <c r="P1279" s="26">
        <v>0.9871350816427511</v>
      </c>
      <c r="Q1279" s="26">
        <v>0.98333994446648154</v>
      </c>
      <c r="R1279" s="26">
        <v>0.97725977069740921</v>
      </c>
      <c r="S1279" s="28">
        <v>0.9</v>
      </c>
      <c r="T1279" s="26">
        <v>0.94450549450549448</v>
      </c>
      <c r="U1279" s="26">
        <v>0.96387926768926269</v>
      </c>
      <c r="V1279" s="26">
        <v>0.94882982943276473</v>
      </c>
      <c r="W1279" s="26">
        <v>0.95350604928105398</v>
      </c>
      <c r="X1279" s="28">
        <v>0.92</v>
      </c>
      <c r="Y1279" s="28">
        <v>0</v>
      </c>
      <c r="Z1279" s="28">
        <v>0</v>
      </c>
      <c r="AA1279" s="28">
        <v>0</v>
      </c>
      <c r="AB1279" s="28">
        <v>0</v>
      </c>
      <c r="AC1279" s="28">
        <v>0.92</v>
      </c>
      <c r="AD1279" s="26">
        <v>1</v>
      </c>
      <c r="AE1279" s="26">
        <v>1</v>
      </c>
      <c r="AF1279" s="26">
        <v>1</v>
      </c>
      <c r="AG1279" s="26">
        <v>1</v>
      </c>
      <c r="AH1279" s="28">
        <v>0.92</v>
      </c>
      <c r="AI1279" s="26">
        <v>0.95879120879120883</v>
      </c>
      <c r="AJ1279" s="26">
        <v>0.97525977238990602</v>
      </c>
      <c r="AK1279" s="26">
        <v>0.98254660848869502</v>
      </c>
      <c r="AL1279" s="26">
        <v>0.97858997909672518</v>
      </c>
      <c r="AM1279" s="25">
        <v>0.99</v>
      </c>
      <c r="AN1279" s="30">
        <v>1</v>
      </c>
      <c r="AO1279" s="30">
        <v>1</v>
      </c>
      <c r="AP1279" s="30">
        <v>1</v>
      </c>
      <c r="AQ1279" s="30">
        <v>1</v>
      </c>
      <c r="AR1279" s="50">
        <v>7.2186152540827803E-2</v>
      </c>
      <c r="AS1279" s="34">
        <v>0</v>
      </c>
      <c r="AT1279" s="34">
        <v>0</v>
      </c>
      <c r="AU1279" s="34">
        <v>0</v>
      </c>
      <c r="AV1279" s="34">
        <v>5.8823529411764705E-2</v>
      </c>
      <c r="AW1279" s="10"/>
      <c r="AX1279" s="8"/>
    </row>
    <row r="1280" spans="1:50">
      <c r="A1280" s="7"/>
      <c r="B1280" s="10"/>
      <c r="C1280" s="45" t="s">
        <v>1100</v>
      </c>
      <c r="D1280" s="23" t="s">
        <v>25</v>
      </c>
      <c r="E1280" s="83" t="s">
        <v>1324</v>
      </c>
      <c r="F1280" s="83" t="s">
        <v>1324</v>
      </c>
      <c r="G1280" s="83" t="s">
        <v>1324</v>
      </c>
      <c r="H1280" s="83" t="s">
        <v>1324</v>
      </c>
      <c r="I1280" s="25">
        <v>0.9</v>
      </c>
      <c r="J1280" s="26">
        <v>0.93877551020408168</v>
      </c>
      <c r="K1280" s="26">
        <v>0.90909090909090906</v>
      </c>
      <c r="L1280" s="27">
        <v>0.92592592592592593</v>
      </c>
      <c r="M1280" s="26">
        <v>0.92399049881235151</v>
      </c>
      <c r="N1280" s="28">
        <v>0.9</v>
      </c>
      <c r="O1280" s="26">
        <v>0.96436525612472157</v>
      </c>
      <c r="P1280" s="26">
        <v>0.98396596858638741</v>
      </c>
      <c r="Q1280" s="26">
        <v>0.98610306890561672</v>
      </c>
      <c r="R1280" s="26">
        <v>0.97482979162368477</v>
      </c>
      <c r="S1280" s="28">
        <v>0.9</v>
      </c>
      <c r="T1280" s="26">
        <v>0.91823098950047721</v>
      </c>
      <c r="U1280" s="26">
        <v>0.93324607329842935</v>
      </c>
      <c r="V1280" s="26">
        <v>0.92848870874348577</v>
      </c>
      <c r="W1280" s="26">
        <v>0.91900144419228391</v>
      </c>
      <c r="X1280" s="28">
        <v>0.92</v>
      </c>
      <c r="Y1280" s="28">
        <v>0.92315573770491799</v>
      </c>
      <c r="Z1280" s="28">
        <v>0.93539165237278443</v>
      </c>
      <c r="AA1280" s="28">
        <v>0.94328493647912881</v>
      </c>
      <c r="AB1280" s="28">
        <v>0.94039240112114608</v>
      </c>
      <c r="AC1280" s="28">
        <v>0.92</v>
      </c>
      <c r="AD1280" s="26">
        <v>0.99907493061979646</v>
      </c>
      <c r="AE1280" s="26">
        <v>1</v>
      </c>
      <c r="AF1280" s="26">
        <v>0.99446494464944646</v>
      </c>
      <c r="AG1280" s="26">
        <v>0.99811529933481158</v>
      </c>
      <c r="AH1280" s="28">
        <v>0.92</v>
      </c>
      <c r="AI1280" s="26">
        <v>0.95053974484789006</v>
      </c>
      <c r="AJ1280" s="26">
        <v>0.96337148803329864</v>
      </c>
      <c r="AK1280" s="26">
        <v>0.96535878402262287</v>
      </c>
      <c r="AL1280" s="26">
        <v>0.96205202025215919</v>
      </c>
      <c r="AM1280" s="25">
        <v>0.99</v>
      </c>
      <c r="AN1280" s="30">
        <v>1</v>
      </c>
      <c r="AO1280" s="30">
        <v>1</v>
      </c>
      <c r="AP1280" s="30">
        <v>1</v>
      </c>
      <c r="AQ1280" s="30">
        <v>1</v>
      </c>
      <c r="AR1280" s="50">
        <v>7.2186152540827803E-2</v>
      </c>
      <c r="AS1280" s="34">
        <v>4.7619047619047616E-2</v>
      </c>
      <c r="AT1280" s="34">
        <v>0.14285714285714285</v>
      </c>
      <c r="AU1280" s="34">
        <v>0.11538461538461539</v>
      </c>
      <c r="AV1280" s="34">
        <v>8.4967320261437912E-2</v>
      </c>
      <c r="AW1280" s="10"/>
      <c r="AX1280" s="8"/>
    </row>
    <row r="1281" spans="1:50">
      <c r="A1281" s="7"/>
      <c r="B1281" s="10"/>
      <c r="C1281" s="45" t="s">
        <v>1100</v>
      </c>
      <c r="D1281" s="23" t="s">
        <v>25</v>
      </c>
      <c r="E1281" s="83" t="s">
        <v>1325</v>
      </c>
      <c r="F1281" s="83" t="s">
        <v>1325</v>
      </c>
      <c r="G1281" s="83" t="s">
        <v>1325</v>
      </c>
      <c r="H1281" s="83" t="s">
        <v>1325</v>
      </c>
      <c r="I1281" s="25">
        <v>0.9</v>
      </c>
      <c r="J1281" s="26">
        <v>0.96341463414634143</v>
      </c>
      <c r="K1281" s="26">
        <v>0.96202531645569622</v>
      </c>
      <c r="L1281" s="27">
        <v>0.9642857142857143</v>
      </c>
      <c r="M1281" s="26">
        <v>0.95576619273301733</v>
      </c>
      <c r="N1281" s="28">
        <v>0.9</v>
      </c>
      <c r="O1281" s="26">
        <v>0.97757575757575754</v>
      </c>
      <c r="P1281" s="26">
        <v>0.98081287394264494</v>
      </c>
      <c r="Q1281" s="26">
        <v>0.98654467168998927</v>
      </c>
      <c r="R1281" s="26">
        <v>0.9822068645400861</v>
      </c>
      <c r="S1281" s="28">
        <v>0.9</v>
      </c>
      <c r="T1281" s="26">
        <v>0.924040404040404</v>
      </c>
      <c r="U1281" s="26">
        <v>0.94181968227769752</v>
      </c>
      <c r="V1281" s="26">
        <v>0.9589163975601005</v>
      </c>
      <c r="W1281" s="26">
        <v>0.94357770958508469</v>
      </c>
      <c r="X1281" s="28">
        <v>0.92</v>
      </c>
      <c r="Y1281" s="28">
        <v>0.93423661599471253</v>
      </c>
      <c r="Z1281" s="28">
        <v>0.94734834032811899</v>
      </c>
      <c r="AA1281" s="28">
        <v>0.96551724137931039</v>
      </c>
      <c r="AB1281" s="28">
        <v>0.95903546782217941</v>
      </c>
      <c r="AC1281" s="28">
        <v>0.92</v>
      </c>
      <c r="AD1281" s="26">
        <v>0.99320148331273173</v>
      </c>
      <c r="AE1281" s="26">
        <v>0.97574308165357015</v>
      </c>
      <c r="AF1281" s="26">
        <v>0.99394463667820065</v>
      </c>
      <c r="AG1281" s="26">
        <v>0.98833819241982512</v>
      </c>
      <c r="AH1281" s="28">
        <v>0.92</v>
      </c>
      <c r="AI1281" s="26">
        <v>0.95110330992978942</v>
      </c>
      <c r="AJ1281" s="26">
        <v>0.96558650241028388</v>
      </c>
      <c r="AK1281" s="26">
        <v>0.9803091013165427</v>
      </c>
      <c r="AL1281" s="26">
        <v>0.97205783087138753</v>
      </c>
      <c r="AM1281" s="25">
        <v>0.99</v>
      </c>
      <c r="AN1281" s="30">
        <v>1</v>
      </c>
      <c r="AO1281" s="30">
        <v>1</v>
      </c>
      <c r="AP1281" s="30">
        <v>1</v>
      </c>
      <c r="AQ1281" s="30">
        <v>1</v>
      </c>
      <c r="AR1281" s="50">
        <v>7.2186152540827803E-2</v>
      </c>
      <c r="AS1281" s="34">
        <v>0</v>
      </c>
      <c r="AT1281" s="34">
        <v>0.12</v>
      </c>
      <c r="AU1281" s="34">
        <v>6.6666666666666666E-2</v>
      </c>
      <c r="AV1281" s="34">
        <v>2.7027027027027029E-2</v>
      </c>
      <c r="AW1281" s="10"/>
      <c r="AX1281" s="8"/>
    </row>
    <row r="1282" spans="1:50">
      <c r="A1282" s="7"/>
      <c r="B1282" s="10"/>
      <c r="C1282" s="45" t="s">
        <v>1100</v>
      </c>
      <c r="D1282" s="23" t="s">
        <v>25</v>
      </c>
      <c r="E1282" s="83" t="s">
        <v>1326</v>
      </c>
      <c r="F1282" s="83" t="s">
        <v>1326</v>
      </c>
      <c r="G1282" s="83" t="s">
        <v>1326</v>
      </c>
      <c r="H1282" s="83" t="s">
        <v>1326</v>
      </c>
      <c r="I1282" s="25">
        <v>0.9</v>
      </c>
      <c r="J1282" s="26">
        <v>1</v>
      </c>
      <c r="K1282" s="26">
        <v>1</v>
      </c>
      <c r="L1282" s="27">
        <v>0.8666666666666667</v>
      </c>
      <c r="M1282" s="26">
        <v>0.8528138528138528</v>
      </c>
      <c r="N1282" s="28">
        <v>0.9</v>
      </c>
      <c r="O1282" s="26">
        <v>0.93206039076376557</v>
      </c>
      <c r="P1282" s="26">
        <v>0.99456294437473858</v>
      </c>
      <c r="Q1282" s="26">
        <v>0.96184809240462021</v>
      </c>
      <c r="R1282" s="26">
        <v>0.96289864224818444</v>
      </c>
      <c r="S1282" s="28">
        <v>0.9</v>
      </c>
      <c r="T1282" s="26">
        <v>0.6558614564831261</v>
      </c>
      <c r="U1282" s="26">
        <v>0.72647427854454205</v>
      </c>
      <c r="V1282" s="26">
        <v>0.68988449422471121</v>
      </c>
      <c r="W1282" s="26">
        <v>0.70508367540258921</v>
      </c>
      <c r="X1282" s="28">
        <v>0.92</v>
      </c>
      <c r="Y1282" s="28">
        <v>0</v>
      </c>
      <c r="Z1282" s="28">
        <v>0</v>
      </c>
      <c r="AA1282" s="28">
        <v>0</v>
      </c>
      <c r="AB1282" s="28">
        <v>0</v>
      </c>
      <c r="AC1282" s="28">
        <v>0.92</v>
      </c>
      <c r="AD1282" s="26">
        <v>1</v>
      </c>
      <c r="AE1282" s="26">
        <v>1</v>
      </c>
      <c r="AF1282" s="26">
        <v>1</v>
      </c>
      <c r="AG1282" s="26">
        <v>0.99929178470254953</v>
      </c>
      <c r="AH1282" s="28">
        <v>0.92</v>
      </c>
      <c r="AI1282" s="26">
        <v>0.88277087033747781</v>
      </c>
      <c r="AJ1282" s="26">
        <v>0.93642827268925133</v>
      </c>
      <c r="AK1282" s="26">
        <v>0.93454672733636679</v>
      </c>
      <c r="AL1282" s="26">
        <v>0.91406620007367256</v>
      </c>
      <c r="AM1282" s="25">
        <v>0.99</v>
      </c>
      <c r="AN1282" s="30">
        <v>1</v>
      </c>
      <c r="AO1282" s="30">
        <v>1</v>
      </c>
      <c r="AP1282" s="30">
        <v>1</v>
      </c>
      <c r="AQ1282" s="30">
        <v>1</v>
      </c>
      <c r="AR1282" s="50">
        <v>7.2186152540827803E-2</v>
      </c>
      <c r="AS1282" s="34">
        <v>0.2</v>
      </c>
      <c r="AT1282" s="34">
        <v>0</v>
      </c>
      <c r="AU1282" s="34">
        <v>0.14285714285714285</v>
      </c>
      <c r="AV1282" s="34">
        <v>0.1276595744680851</v>
      </c>
      <c r="AW1282" s="10"/>
      <c r="AX1282" s="8"/>
    </row>
    <row r="1283" spans="1:50">
      <c r="A1283" s="7"/>
      <c r="B1283" s="10"/>
      <c r="C1283" s="45" t="s">
        <v>1100</v>
      </c>
      <c r="D1283" s="23" t="s">
        <v>25</v>
      </c>
      <c r="E1283" s="83" t="s">
        <v>1327</v>
      </c>
      <c r="F1283" s="83" t="s">
        <v>1327</v>
      </c>
      <c r="G1283" s="83" t="s">
        <v>1327</v>
      </c>
      <c r="H1283" s="83" t="s">
        <v>1327</v>
      </c>
      <c r="I1283" s="25">
        <v>0.9</v>
      </c>
      <c r="J1283" s="26">
        <v>0.94230769230769229</v>
      </c>
      <c r="K1283" s="26">
        <v>0.92592592592592593</v>
      </c>
      <c r="L1283" s="27">
        <v>0.90909090909090906</v>
      </c>
      <c r="M1283" s="26">
        <v>0.9</v>
      </c>
      <c r="N1283" s="28">
        <v>0.9</v>
      </c>
      <c r="O1283" s="26">
        <v>0.9557206537890045</v>
      </c>
      <c r="P1283" s="26">
        <v>0.94647716964015727</v>
      </c>
      <c r="Q1283" s="26">
        <v>0.96363146551724133</v>
      </c>
      <c r="R1283" s="26">
        <v>0.95826492038642175</v>
      </c>
      <c r="S1283" s="28">
        <v>0.9</v>
      </c>
      <c r="T1283" s="26">
        <v>0.81307578008915304</v>
      </c>
      <c r="U1283" s="26">
        <v>0.79649228908376168</v>
      </c>
      <c r="V1283" s="26">
        <v>0.80253232758620685</v>
      </c>
      <c r="W1283" s="26">
        <v>0.82355187292374665</v>
      </c>
      <c r="X1283" s="28">
        <v>0.92</v>
      </c>
      <c r="Y1283" s="28">
        <v>0.89546149923508411</v>
      </c>
      <c r="Z1283" s="28">
        <v>0.91549295774647887</v>
      </c>
      <c r="AA1283" s="28">
        <v>0.93540998625744387</v>
      </c>
      <c r="AB1283" s="28">
        <v>0.93090094996067041</v>
      </c>
      <c r="AC1283" s="28">
        <v>0.92</v>
      </c>
      <c r="AD1283" s="26">
        <v>0.99904942965779464</v>
      </c>
      <c r="AE1283" s="26">
        <v>0.98919949174078781</v>
      </c>
      <c r="AF1283" s="26">
        <v>0.99225606608156947</v>
      </c>
      <c r="AG1283" s="26">
        <v>0.99623743749690574</v>
      </c>
      <c r="AH1283" s="28">
        <v>0.92</v>
      </c>
      <c r="AI1283" s="26">
        <v>0.92752534735260983</v>
      </c>
      <c r="AJ1283" s="26">
        <v>0.93686073957513771</v>
      </c>
      <c r="AK1283" s="26">
        <v>0.95436810856658183</v>
      </c>
      <c r="AL1283" s="26">
        <v>0.95110018726591761</v>
      </c>
      <c r="AM1283" s="25">
        <v>0.99</v>
      </c>
      <c r="AN1283" s="30">
        <v>1</v>
      </c>
      <c r="AO1283" s="30">
        <v>1</v>
      </c>
      <c r="AP1283" s="30">
        <v>1</v>
      </c>
      <c r="AQ1283" s="30">
        <v>1</v>
      </c>
      <c r="AR1283" s="50">
        <v>7.2186152540827803E-2</v>
      </c>
      <c r="AS1283" s="34">
        <v>0</v>
      </c>
      <c r="AT1283" s="34">
        <v>7.2727272727272724E-2</v>
      </c>
      <c r="AU1283" s="34">
        <v>2.1276595744680851E-2</v>
      </c>
      <c r="AV1283" s="34">
        <v>3.4782608695652174E-2</v>
      </c>
      <c r="AW1283" s="10"/>
      <c r="AX1283" s="8"/>
    </row>
    <row r="1284" spans="1:50">
      <c r="A1284" s="7"/>
      <c r="B1284" s="10"/>
      <c r="C1284" s="45" t="s">
        <v>1100</v>
      </c>
      <c r="D1284" s="23" t="s">
        <v>25</v>
      </c>
      <c r="E1284" s="83" t="s">
        <v>1328</v>
      </c>
      <c r="F1284" s="83" t="s">
        <v>1328</v>
      </c>
      <c r="G1284" s="83" t="s">
        <v>1328</v>
      </c>
      <c r="H1284" s="83" t="s">
        <v>1328</v>
      </c>
      <c r="I1284" s="25">
        <v>0.9</v>
      </c>
      <c r="J1284" s="26">
        <v>0.9375</v>
      </c>
      <c r="K1284" s="26">
        <v>0.97058823529411764</v>
      </c>
      <c r="L1284" s="27">
        <v>0.97058823529411764</v>
      </c>
      <c r="M1284" s="26">
        <v>0.98127340823970033</v>
      </c>
      <c r="N1284" s="28">
        <v>0.9</v>
      </c>
      <c r="O1284" s="26">
        <v>0.99674690956408585</v>
      </c>
      <c r="P1284" s="26">
        <v>0.98946752486834411</v>
      </c>
      <c r="Q1284" s="26">
        <v>0.99702085402184704</v>
      </c>
      <c r="R1284" s="26">
        <v>0.99600857417399657</v>
      </c>
      <c r="S1284" s="28">
        <v>0.9</v>
      </c>
      <c r="T1284" s="26">
        <v>0.96551724137931039</v>
      </c>
      <c r="U1284" s="26">
        <v>0.97015798712697487</v>
      </c>
      <c r="V1284" s="26">
        <v>0.97666335650446867</v>
      </c>
      <c r="W1284" s="26">
        <v>0.97324266390716241</v>
      </c>
      <c r="X1284" s="28">
        <v>0.92</v>
      </c>
      <c r="Y1284" s="28">
        <v>0.97608095676172957</v>
      </c>
      <c r="Z1284" s="28">
        <v>0.98397435897435892</v>
      </c>
      <c r="AA1284" s="28">
        <v>0.98797250859106533</v>
      </c>
      <c r="AB1284" s="28">
        <v>0.98661400043888525</v>
      </c>
      <c r="AC1284" s="28">
        <v>0.92</v>
      </c>
      <c r="AD1284" s="26">
        <v>1</v>
      </c>
      <c r="AE1284" s="26">
        <v>1</v>
      </c>
      <c r="AF1284" s="26">
        <v>1</v>
      </c>
      <c r="AG1284" s="26">
        <v>0.99846035411855272</v>
      </c>
      <c r="AH1284" s="28">
        <v>0.92</v>
      </c>
      <c r="AI1284" s="26">
        <v>0.98208841463414631</v>
      </c>
      <c r="AJ1284" s="26">
        <v>0.98714555765595469</v>
      </c>
      <c r="AK1284" s="26">
        <v>0.99024543738200121</v>
      </c>
      <c r="AL1284" s="26">
        <v>0.98997526938703406</v>
      </c>
      <c r="AM1284" s="25">
        <v>0.99</v>
      </c>
      <c r="AN1284" s="30">
        <v>1</v>
      </c>
      <c r="AO1284" s="30">
        <v>1</v>
      </c>
      <c r="AP1284" s="30">
        <v>1</v>
      </c>
      <c r="AQ1284" s="30">
        <v>1</v>
      </c>
      <c r="AR1284" s="50">
        <v>7.2186152540827803E-2</v>
      </c>
      <c r="AS1284" s="34">
        <v>0</v>
      </c>
      <c r="AT1284" s="34">
        <v>0</v>
      </c>
      <c r="AU1284" s="34">
        <v>0</v>
      </c>
      <c r="AV1284" s="34">
        <v>0</v>
      </c>
      <c r="AW1284" s="10"/>
      <c r="AX1284" s="8"/>
    </row>
    <row r="1285" spans="1:50">
      <c r="A1285" s="7"/>
      <c r="B1285" s="10"/>
      <c r="C1285" s="45" t="s">
        <v>1100</v>
      </c>
      <c r="D1285" s="23" t="s">
        <v>25</v>
      </c>
      <c r="E1285" s="83" t="s">
        <v>1329</v>
      </c>
      <c r="F1285" s="83" t="s">
        <v>1329</v>
      </c>
      <c r="G1285" s="83" t="s">
        <v>1329</v>
      </c>
      <c r="H1285" s="83" t="s">
        <v>1329</v>
      </c>
      <c r="I1285" s="25">
        <v>0.9</v>
      </c>
      <c r="J1285" s="26">
        <v>0.9152542372881356</v>
      </c>
      <c r="K1285" s="26">
        <v>0.9242424242424242</v>
      </c>
      <c r="L1285" s="27">
        <v>0.96969696969696972</v>
      </c>
      <c r="M1285" s="26">
        <v>0.90909090909090906</v>
      </c>
      <c r="N1285" s="28">
        <v>0.9</v>
      </c>
      <c r="O1285" s="26">
        <v>0.98199620972836388</v>
      </c>
      <c r="P1285" s="26">
        <v>0.98862918509159825</v>
      </c>
      <c r="Q1285" s="26">
        <v>0.95522803114571742</v>
      </c>
      <c r="R1285" s="26">
        <v>0.97578905313623654</v>
      </c>
      <c r="S1285" s="28">
        <v>0.9</v>
      </c>
      <c r="T1285" s="26">
        <v>0.92924826279216677</v>
      </c>
      <c r="U1285" s="26">
        <v>0.94440934933670251</v>
      </c>
      <c r="V1285" s="26">
        <v>0.9577308120133482</v>
      </c>
      <c r="W1285" s="26">
        <v>0.94071114662405109</v>
      </c>
      <c r="X1285" s="28">
        <v>0.92</v>
      </c>
      <c r="Y1285" s="28">
        <v>0.95392953929539293</v>
      </c>
      <c r="Z1285" s="28">
        <v>0.96432681242807827</v>
      </c>
      <c r="AA1285" s="28">
        <v>0.96822429906542051</v>
      </c>
      <c r="AB1285" s="28">
        <v>0.9646421616358325</v>
      </c>
      <c r="AC1285" s="28">
        <v>0.92</v>
      </c>
      <c r="AD1285" s="26">
        <v>0.99844961240310082</v>
      </c>
      <c r="AE1285" s="26">
        <v>0.99548277809147379</v>
      </c>
      <c r="AF1285" s="26">
        <v>0.99833702882483366</v>
      </c>
      <c r="AG1285" s="26">
        <v>0.99638918067226889</v>
      </c>
      <c r="AH1285" s="28">
        <v>0.92</v>
      </c>
      <c r="AI1285" s="26">
        <v>0.97026541608461381</v>
      </c>
      <c r="AJ1285" s="26">
        <v>0.97756933115823819</v>
      </c>
      <c r="AK1285" s="26">
        <v>0.98291492329149233</v>
      </c>
      <c r="AL1285" s="26">
        <v>0.97795678178661005</v>
      </c>
      <c r="AM1285" s="25">
        <v>0.99</v>
      </c>
      <c r="AN1285" s="30">
        <v>1</v>
      </c>
      <c r="AO1285" s="30">
        <v>1</v>
      </c>
      <c r="AP1285" s="30">
        <v>1</v>
      </c>
      <c r="AQ1285" s="30">
        <v>1</v>
      </c>
      <c r="AR1285" s="50">
        <v>7.2186152540827803E-2</v>
      </c>
      <c r="AS1285" s="34">
        <v>0.11764705882352941</v>
      </c>
      <c r="AT1285" s="34">
        <v>6.25E-2</v>
      </c>
      <c r="AU1285" s="34">
        <v>0</v>
      </c>
      <c r="AV1285" s="34">
        <v>5.8333333333333334E-2</v>
      </c>
      <c r="AW1285" s="10"/>
      <c r="AX1285" s="8"/>
    </row>
    <row r="1286" spans="1:50">
      <c r="A1286" s="7"/>
      <c r="B1286" s="10"/>
      <c r="C1286" s="45" t="s">
        <v>1100</v>
      </c>
      <c r="D1286" s="23" t="s">
        <v>25</v>
      </c>
      <c r="E1286" s="83" t="s">
        <v>1330</v>
      </c>
      <c r="F1286" s="83" t="s">
        <v>1330</v>
      </c>
      <c r="G1286" s="83" t="s">
        <v>1330</v>
      </c>
      <c r="H1286" s="83" t="s">
        <v>1330</v>
      </c>
      <c r="I1286" s="25">
        <v>0.9</v>
      </c>
      <c r="J1286" s="26">
        <v>0.9375</v>
      </c>
      <c r="K1286" s="26">
        <v>0.94117647058823528</v>
      </c>
      <c r="L1286" s="27">
        <v>0.94117647058823528</v>
      </c>
      <c r="M1286" s="26">
        <v>0.94636015325670497</v>
      </c>
      <c r="N1286" s="28">
        <v>0.9</v>
      </c>
      <c r="O1286" s="26">
        <v>0.9861191440138809</v>
      </c>
      <c r="P1286" s="26">
        <v>0.98916315472606864</v>
      </c>
      <c r="Q1286" s="26">
        <v>0.99165029469548138</v>
      </c>
      <c r="R1286" s="26">
        <v>0.9776068245867926</v>
      </c>
      <c r="S1286" s="28">
        <v>0.9</v>
      </c>
      <c r="T1286" s="26">
        <v>0.95430884904569113</v>
      </c>
      <c r="U1286" s="26">
        <v>0.95785671282360019</v>
      </c>
      <c r="V1286" s="26">
        <v>0.95825147347740669</v>
      </c>
      <c r="W1286" s="26">
        <v>0.94470256683677356</v>
      </c>
      <c r="X1286" s="28">
        <v>0.92</v>
      </c>
      <c r="Y1286" s="28">
        <v>0.97522816166883963</v>
      </c>
      <c r="Z1286" s="28">
        <v>0.97300944669365719</v>
      </c>
      <c r="AA1286" s="28">
        <v>0.98087431693989069</v>
      </c>
      <c r="AB1286" s="28">
        <v>0.97485714285714287</v>
      </c>
      <c r="AC1286" s="28">
        <v>0.92</v>
      </c>
      <c r="AD1286" s="26">
        <v>0.9994944388270981</v>
      </c>
      <c r="AE1286" s="26">
        <v>0.99943181818181814</v>
      </c>
      <c r="AF1286" s="26">
        <v>0.99868766404199472</v>
      </c>
      <c r="AG1286" s="26">
        <v>0.99930060148272482</v>
      </c>
      <c r="AH1286" s="28">
        <v>0.92</v>
      </c>
      <c r="AI1286" s="26">
        <v>0.98116987179487181</v>
      </c>
      <c r="AJ1286" s="26">
        <v>0.98084929225645301</v>
      </c>
      <c r="AK1286" s="26">
        <v>0.98723675813656664</v>
      </c>
      <c r="AL1286" s="26">
        <v>0.98267244251916031</v>
      </c>
      <c r="AM1286" s="25">
        <v>0.99</v>
      </c>
      <c r="AN1286" s="30">
        <v>1</v>
      </c>
      <c r="AO1286" s="30">
        <v>1</v>
      </c>
      <c r="AP1286" s="30">
        <v>1</v>
      </c>
      <c r="AQ1286" s="30">
        <v>1</v>
      </c>
      <c r="AR1286" s="50">
        <v>7.2186152540827803E-2</v>
      </c>
      <c r="AS1286" s="34">
        <v>0</v>
      </c>
      <c r="AT1286" s="34">
        <v>0</v>
      </c>
      <c r="AU1286" s="34">
        <v>0</v>
      </c>
      <c r="AV1286" s="34">
        <v>0</v>
      </c>
      <c r="AW1286" s="10"/>
      <c r="AX1286" s="8"/>
    </row>
    <row r="1287" spans="1:50">
      <c r="A1287" s="7"/>
      <c r="B1287" s="10"/>
      <c r="C1287" s="45" t="s">
        <v>1100</v>
      </c>
      <c r="D1287" s="23" t="s">
        <v>25</v>
      </c>
      <c r="E1287" s="83" t="s">
        <v>1331</v>
      </c>
      <c r="F1287" s="83" t="s">
        <v>1331</v>
      </c>
      <c r="G1287" s="83" t="s">
        <v>1331</v>
      </c>
      <c r="H1287" s="83" t="s">
        <v>1331</v>
      </c>
      <c r="I1287" s="25">
        <v>0.9</v>
      </c>
      <c r="J1287" s="26">
        <v>0.93548387096774188</v>
      </c>
      <c r="K1287" s="26">
        <v>0.93548387096774188</v>
      </c>
      <c r="L1287" s="27">
        <v>0.96969696969696972</v>
      </c>
      <c r="M1287" s="26">
        <v>0.92400000000000004</v>
      </c>
      <c r="N1287" s="28">
        <v>0.9</v>
      </c>
      <c r="O1287" s="26">
        <v>0.995197635759143</v>
      </c>
      <c r="P1287" s="26">
        <v>0.99448732083792724</v>
      </c>
      <c r="Q1287" s="26">
        <v>0.9959804766006316</v>
      </c>
      <c r="R1287" s="26">
        <v>0.99350735980788896</v>
      </c>
      <c r="S1287" s="28">
        <v>0.9</v>
      </c>
      <c r="T1287" s="26">
        <v>0.96786110084964905</v>
      </c>
      <c r="U1287" s="26">
        <v>0.96104373392135245</v>
      </c>
      <c r="V1287" s="26">
        <v>0.92736146999712887</v>
      </c>
      <c r="W1287" s="26">
        <v>0.96002134566638497</v>
      </c>
      <c r="X1287" s="28">
        <v>0.92</v>
      </c>
      <c r="Y1287" s="28">
        <v>0</v>
      </c>
      <c r="Z1287" s="28">
        <v>0</v>
      </c>
      <c r="AA1287" s="28">
        <v>0</v>
      </c>
      <c r="AB1287" s="28">
        <v>0</v>
      </c>
      <c r="AC1287" s="28">
        <v>0.92</v>
      </c>
      <c r="AD1287" s="26">
        <v>0.99736321687541196</v>
      </c>
      <c r="AE1287" s="26">
        <v>0.99823321554770317</v>
      </c>
      <c r="AF1287" s="26">
        <v>0.99833702882483366</v>
      </c>
      <c r="AG1287" s="26">
        <v>0.99732108687332566</v>
      </c>
      <c r="AH1287" s="28">
        <v>0.92</v>
      </c>
      <c r="AI1287" s="26">
        <v>0.97746582933136317</v>
      </c>
      <c r="AJ1287" s="26">
        <v>0.97758177140757074</v>
      </c>
      <c r="AK1287" s="26">
        <v>0.98392190640252652</v>
      </c>
      <c r="AL1287" s="26">
        <v>0.98096678080668831</v>
      </c>
      <c r="AM1287" s="25">
        <v>0.99</v>
      </c>
      <c r="AN1287" s="30">
        <v>1</v>
      </c>
      <c r="AO1287" s="30">
        <v>1</v>
      </c>
      <c r="AP1287" s="30">
        <v>1</v>
      </c>
      <c r="AQ1287" s="30">
        <v>1</v>
      </c>
      <c r="AR1287" s="50">
        <v>7.2186152540827803E-2</v>
      </c>
      <c r="AS1287" s="34">
        <v>0.1</v>
      </c>
      <c r="AT1287" s="34">
        <v>0</v>
      </c>
      <c r="AU1287" s="34">
        <v>0</v>
      </c>
      <c r="AV1287" s="34">
        <v>5.1724137931034482E-2</v>
      </c>
      <c r="AW1287" s="10"/>
      <c r="AX1287" s="8"/>
    </row>
    <row r="1288" spans="1:50">
      <c r="A1288" s="7"/>
      <c r="B1288" s="10"/>
      <c r="C1288" s="45" t="s">
        <v>1100</v>
      </c>
      <c r="D1288" s="23" t="s">
        <v>25</v>
      </c>
      <c r="E1288" s="83" t="s">
        <v>1332</v>
      </c>
      <c r="F1288" s="83" t="s">
        <v>1332</v>
      </c>
      <c r="G1288" s="83" t="s">
        <v>1332</v>
      </c>
      <c r="H1288" s="83" t="s">
        <v>1332</v>
      </c>
      <c r="I1288" s="25">
        <v>0.9</v>
      </c>
      <c r="J1288" s="26">
        <v>0.97435897435897434</v>
      </c>
      <c r="K1288" s="26">
        <v>0.97499999999999998</v>
      </c>
      <c r="L1288" s="27">
        <v>0.97619047619047616</v>
      </c>
      <c r="M1288" s="26">
        <v>0.96540880503144655</v>
      </c>
      <c r="N1288" s="28">
        <v>0.9</v>
      </c>
      <c r="O1288" s="26">
        <v>0.95509355509355509</v>
      </c>
      <c r="P1288" s="26">
        <v>0.98186419232391398</v>
      </c>
      <c r="Q1288" s="26">
        <v>0.8664165103189494</v>
      </c>
      <c r="R1288" s="26">
        <v>0.95212175659250642</v>
      </c>
      <c r="S1288" s="28">
        <v>0.9</v>
      </c>
      <c r="T1288" s="26">
        <v>0.94303534303534309</v>
      </c>
      <c r="U1288" s="26">
        <v>0.95655841417123577</v>
      </c>
      <c r="V1288" s="26">
        <v>0.85365853658536583</v>
      </c>
      <c r="W1288" s="26">
        <v>0.9405485388151984</v>
      </c>
      <c r="X1288" s="28">
        <v>0.92</v>
      </c>
      <c r="Y1288" s="28">
        <v>0.9002123142250531</v>
      </c>
      <c r="Z1288" s="28">
        <v>0.95744680851063835</v>
      </c>
      <c r="AA1288" s="28">
        <v>0.95710784313725494</v>
      </c>
      <c r="AB1288" s="28">
        <v>0.95397353681305297</v>
      </c>
      <c r="AC1288" s="28">
        <v>0.92</v>
      </c>
      <c r="AD1288" s="26">
        <v>1</v>
      </c>
      <c r="AE1288" s="26">
        <v>0.99878738884397733</v>
      </c>
      <c r="AF1288" s="26">
        <v>0.99825098382160038</v>
      </c>
      <c r="AG1288" s="26">
        <v>0.99878429092446752</v>
      </c>
      <c r="AH1288" s="28">
        <v>0.92</v>
      </c>
      <c r="AI1288" s="26">
        <v>0.94787847040335249</v>
      </c>
      <c r="AJ1288" s="26">
        <v>0.97179278546243564</v>
      </c>
      <c r="AK1288" s="26">
        <v>0.97440074470560856</v>
      </c>
      <c r="AL1288" s="26">
        <v>0.97170837867247006</v>
      </c>
      <c r="AM1288" s="25">
        <v>0.99</v>
      </c>
      <c r="AN1288" s="30">
        <v>1</v>
      </c>
      <c r="AO1288" s="30">
        <v>1</v>
      </c>
      <c r="AP1288" s="30">
        <v>1</v>
      </c>
      <c r="AQ1288" s="30">
        <v>1</v>
      </c>
      <c r="AR1288" s="50">
        <v>7.2186152540827803E-2</v>
      </c>
      <c r="AS1288" s="34">
        <v>8.3333333333333329E-2</v>
      </c>
      <c r="AT1288" s="34">
        <v>0</v>
      </c>
      <c r="AU1288" s="34">
        <v>0</v>
      </c>
      <c r="AV1288" s="34">
        <v>3.6363636363636362E-2</v>
      </c>
      <c r="AW1288" s="10"/>
      <c r="AX1288" s="8"/>
    </row>
    <row r="1289" spans="1:50">
      <c r="A1289" s="7"/>
      <c r="B1289" s="10"/>
      <c r="C1289" s="45" t="s">
        <v>1100</v>
      </c>
      <c r="D1289" s="23" t="s">
        <v>25</v>
      </c>
      <c r="E1289" s="83" t="s">
        <v>1333</v>
      </c>
      <c r="F1289" s="83" t="s">
        <v>1333</v>
      </c>
      <c r="G1289" s="83" t="s">
        <v>1333</v>
      </c>
      <c r="H1289" s="83" t="s">
        <v>1333</v>
      </c>
      <c r="I1289" s="25">
        <v>0.9</v>
      </c>
      <c r="J1289" s="26">
        <v>0.86956521739130432</v>
      </c>
      <c r="K1289" s="26">
        <v>0.95652173913043481</v>
      </c>
      <c r="L1289" s="27">
        <v>0.83333333333333337</v>
      </c>
      <c r="M1289" s="26">
        <v>0.91935483870967738</v>
      </c>
      <c r="N1289" s="28">
        <v>0.9</v>
      </c>
      <c r="O1289" s="26">
        <v>0.9755932203389831</v>
      </c>
      <c r="P1289" s="26">
        <v>0.98114434330299094</v>
      </c>
      <c r="Q1289" s="26">
        <v>0.98031026252983289</v>
      </c>
      <c r="R1289" s="26">
        <v>0.95317283031356004</v>
      </c>
      <c r="S1289" s="28">
        <v>0.9</v>
      </c>
      <c r="T1289" s="26">
        <v>0.90779661016949154</v>
      </c>
      <c r="U1289" s="26">
        <v>0.90702210663198957</v>
      </c>
      <c r="V1289" s="26">
        <v>0.91109785202863958</v>
      </c>
      <c r="W1289" s="26">
        <v>0.89749317448498389</v>
      </c>
      <c r="X1289" s="28">
        <v>0.92</v>
      </c>
      <c r="Y1289" s="28">
        <v>0.95344129554655865</v>
      </c>
      <c r="Z1289" s="28">
        <v>0.95465393794749398</v>
      </c>
      <c r="AA1289" s="28">
        <v>0.96534653465346532</v>
      </c>
      <c r="AB1289" s="28">
        <v>0.95620623806492677</v>
      </c>
      <c r="AC1289" s="28">
        <v>0.92</v>
      </c>
      <c r="AD1289" s="26">
        <v>0.99903288201160545</v>
      </c>
      <c r="AE1289" s="26">
        <v>0.97930283224400871</v>
      </c>
      <c r="AF1289" s="26">
        <v>0.99785177228786248</v>
      </c>
      <c r="AG1289" s="26">
        <v>0.99591881756011469</v>
      </c>
      <c r="AH1289" s="28">
        <v>0.92</v>
      </c>
      <c r="AI1289" s="26">
        <v>0.96467722289890379</v>
      </c>
      <c r="AJ1289" s="26">
        <v>0.96759259259259256</v>
      </c>
      <c r="AK1289" s="26">
        <v>0.97803425167535374</v>
      </c>
      <c r="AL1289" s="26">
        <v>0.96976231070103303</v>
      </c>
      <c r="AM1289" s="25">
        <v>0.99</v>
      </c>
      <c r="AN1289" s="30">
        <v>1</v>
      </c>
      <c r="AO1289" s="30">
        <v>1</v>
      </c>
      <c r="AP1289" s="30">
        <v>1</v>
      </c>
      <c r="AQ1289" s="30">
        <v>1</v>
      </c>
      <c r="AR1289" s="50">
        <v>7.2186152540827803E-2</v>
      </c>
      <c r="AS1289" s="34">
        <v>0</v>
      </c>
      <c r="AT1289" s="34">
        <v>0</v>
      </c>
      <c r="AU1289" s="34">
        <v>0</v>
      </c>
      <c r="AV1289" s="34">
        <v>7.6923076923076927E-2</v>
      </c>
      <c r="AW1289" s="10"/>
      <c r="AX1289" s="8"/>
    </row>
    <row r="1290" spans="1:50">
      <c r="A1290" s="7"/>
      <c r="B1290" s="10"/>
      <c r="C1290" s="45" t="s">
        <v>1100</v>
      </c>
      <c r="D1290" s="23" t="s">
        <v>25</v>
      </c>
      <c r="E1290" s="83" t="s">
        <v>1334</v>
      </c>
      <c r="F1290" s="83" t="s">
        <v>1334</v>
      </c>
      <c r="G1290" s="83" t="s">
        <v>1334</v>
      </c>
      <c r="H1290" s="83" t="s">
        <v>1334</v>
      </c>
      <c r="I1290" s="25">
        <v>0.9</v>
      </c>
      <c r="J1290" s="26">
        <v>0.80851063829787229</v>
      </c>
      <c r="K1290" s="26">
        <v>0.83333333333333337</v>
      </c>
      <c r="L1290" s="27">
        <v>0.8125</v>
      </c>
      <c r="M1290" s="26">
        <v>0.80540540540540539</v>
      </c>
      <c r="N1290" s="28">
        <v>0.9</v>
      </c>
      <c r="O1290" s="26">
        <v>0.98599599885681621</v>
      </c>
      <c r="P1290" s="26">
        <v>0.97922146238821672</v>
      </c>
      <c r="Q1290" s="26">
        <v>0.97462911201892066</v>
      </c>
      <c r="R1290" s="26">
        <v>0.97947686116700206</v>
      </c>
      <c r="S1290" s="28">
        <v>0.9</v>
      </c>
      <c r="T1290" s="26">
        <v>0.85424406973420974</v>
      </c>
      <c r="U1290" s="26">
        <v>0.88532351394003161</v>
      </c>
      <c r="V1290" s="26">
        <v>0.85121479251773813</v>
      </c>
      <c r="W1290" s="26">
        <v>0.87605633802816907</v>
      </c>
      <c r="X1290" s="28">
        <v>0.92</v>
      </c>
      <c r="Y1290" s="28">
        <v>0</v>
      </c>
      <c r="Z1290" s="28">
        <v>0</v>
      </c>
      <c r="AA1290" s="28">
        <v>0</v>
      </c>
      <c r="AB1290" s="28">
        <v>0</v>
      </c>
      <c r="AC1290" s="28">
        <v>0.92</v>
      </c>
      <c r="AD1290" s="26">
        <v>0.99689440993788825</v>
      </c>
      <c r="AE1290" s="26">
        <v>1</v>
      </c>
      <c r="AF1290" s="26">
        <v>1</v>
      </c>
      <c r="AG1290" s="26">
        <v>0.99762413875029698</v>
      </c>
      <c r="AH1290" s="28">
        <v>0.92</v>
      </c>
      <c r="AI1290" s="26">
        <v>0.965418691054587</v>
      </c>
      <c r="AJ1290" s="26">
        <v>0.96528143082588114</v>
      </c>
      <c r="AK1290" s="26">
        <v>0.97742420984734468</v>
      </c>
      <c r="AL1290" s="26">
        <v>0.96975184439973172</v>
      </c>
      <c r="AM1290" s="25">
        <v>0.99</v>
      </c>
      <c r="AN1290" s="30">
        <v>1</v>
      </c>
      <c r="AO1290" s="30">
        <v>1</v>
      </c>
      <c r="AP1290" s="30">
        <v>1</v>
      </c>
      <c r="AQ1290" s="30">
        <v>1</v>
      </c>
      <c r="AR1290" s="50">
        <v>7.2186152540827803E-2</v>
      </c>
      <c r="AS1290" s="34">
        <v>0</v>
      </c>
      <c r="AT1290" s="34">
        <v>0</v>
      </c>
      <c r="AU1290" s="34">
        <v>0.16666666666666666</v>
      </c>
      <c r="AV1290" s="34">
        <v>1.3513513513513514E-2</v>
      </c>
      <c r="AW1290" s="10"/>
      <c r="AX1290" s="8"/>
    </row>
    <row r="1291" spans="1:50">
      <c r="A1291" s="7"/>
      <c r="B1291" s="10"/>
      <c r="C1291" s="45" t="s">
        <v>1100</v>
      </c>
      <c r="D1291" s="23" t="s">
        <v>25</v>
      </c>
      <c r="E1291" s="83" t="s">
        <v>1335</v>
      </c>
      <c r="F1291" s="83" t="s">
        <v>1335</v>
      </c>
      <c r="G1291" s="83" t="s">
        <v>1335</v>
      </c>
      <c r="H1291" s="83" t="s">
        <v>1335</v>
      </c>
      <c r="I1291" s="25">
        <v>0.9</v>
      </c>
      <c r="J1291" s="26">
        <v>0.78947368421052633</v>
      </c>
      <c r="K1291" s="26">
        <v>0.89473684210526316</v>
      </c>
      <c r="L1291" s="27">
        <v>0.88888888888888884</v>
      </c>
      <c r="M1291" s="26">
        <v>0.84615384615384615</v>
      </c>
      <c r="N1291" s="28">
        <v>0.9</v>
      </c>
      <c r="O1291" s="26">
        <v>0.97837837837837838</v>
      </c>
      <c r="P1291" s="26">
        <v>0.98451113262342693</v>
      </c>
      <c r="Q1291" s="26">
        <v>0.81507936507936507</v>
      </c>
      <c r="R1291" s="26">
        <v>0.95713088252903844</v>
      </c>
      <c r="S1291" s="28">
        <v>0.9</v>
      </c>
      <c r="T1291" s="26">
        <v>0.93423423423423424</v>
      </c>
      <c r="U1291" s="26">
        <v>0.90900290416263307</v>
      </c>
      <c r="V1291" s="26">
        <v>0.93571428571428572</v>
      </c>
      <c r="W1291" s="26">
        <v>0.92635612501496822</v>
      </c>
      <c r="X1291" s="28">
        <v>0.92</v>
      </c>
      <c r="Y1291" s="28">
        <v>0.93846153846153846</v>
      </c>
      <c r="Z1291" s="28">
        <v>0.95585412667946257</v>
      </c>
      <c r="AA1291" s="28">
        <v>0.97897897897897901</v>
      </c>
      <c r="AB1291" s="28">
        <v>0.96326923076923077</v>
      </c>
      <c r="AC1291" s="28">
        <v>0.92</v>
      </c>
      <c r="AD1291" s="26">
        <v>1</v>
      </c>
      <c r="AE1291" s="26">
        <v>1</v>
      </c>
      <c r="AF1291" s="26">
        <v>1</v>
      </c>
      <c r="AG1291" s="26">
        <v>0.99074889867841409</v>
      </c>
      <c r="AH1291" s="28">
        <v>0.92</v>
      </c>
      <c r="AI1291" s="26">
        <v>0.96224188790560472</v>
      </c>
      <c r="AJ1291" s="26">
        <v>0.96782496782496785</v>
      </c>
      <c r="AK1291" s="26">
        <v>0.98078920041536866</v>
      </c>
      <c r="AL1291" s="26">
        <v>0.97387646668142569</v>
      </c>
      <c r="AM1291" s="25">
        <v>0.99</v>
      </c>
      <c r="AN1291" s="30">
        <v>1</v>
      </c>
      <c r="AO1291" s="30">
        <v>1</v>
      </c>
      <c r="AP1291" s="30">
        <v>1</v>
      </c>
      <c r="AQ1291" s="30">
        <v>1</v>
      </c>
      <c r="AR1291" s="50">
        <v>7.2186152540827803E-2</v>
      </c>
      <c r="AS1291" s="34">
        <v>0.1</v>
      </c>
      <c r="AT1291" s="34">
        <v>0</v>
      </c>
      <c r="AU1291" s="34">
        <v>0</v>
      </c>
      <c r="AV1291" s="34">
        <v>3.8461538461538464E-2</v>
      </c>
      <c r="AW1291" s="10"/>
      <c r="AX1291" s="8"/>
    </row>
    <row r="1292" spans="1:50">
      <c r="A1292" s="7"/>
      <c r="B1292" s="10"/>
      <c r="C1292" s="45" t="s">
        <v>1100</v>
      </c>
      <c r="D1292" s="23" t="s">
        <v>25</v>
      </c>
      <c r="E1292" s="83" t="s">
        <v>1336</v>
      </c>
      <c r="F1292" s="83" t="s">
        <v>1336</v>
      </c>
      <c r="G1292" s="83" t="s">
        <v>1336</v>
      </c>
      <c r="H1292" s="83" t="s">
        <v>1336</v>
      </c>
      <c r="I1292" s="25">
        <v>0.9</v>
      </c>
      <c r="J1292" s="26">
        <v>0</v>
      </c>
      <c r="K1292" s="26">
        <v>0</v>
      </c>
      <c r="L1292" s="27">
        <v>0</v>
      </c>
      <c r="M1292" s="26">
        <v>0</v>
      </c>
      <c r="N1292" s="28">
        <v>0.9</v>
      </c>
      <c r="O1292" s="26">
        <v>0</v>
      </c>
      <c r="P1292" s="26">
        <v>0</v>
      </c>
      <c r="Q1292" s="26">
        <v>0</v>
      </c>
      <c r="R1292" s="26">
        <v>0</v>
      </c>
      <c r="S1292" s="28">
        <v>0.9</v>
      </c>
      <c r="T1292" s="26">
        <v>0</v>
      </c>
      <c r="U1292" s="26">
        <v>0</v>
      </c>
      <c r="V1292" s="26">
        <v>0</v>
      </c>
      <c r="W1292" s="26">
        <v>0</v>
      </c>
      <c r="X1292" s="28">
        <v>0.92</v>
      </c>
      <c r="Y1292" s="28">
        <v>0</v>
      </c>
      <c r="Z1292" s="28">
        <v>0</v>
      </c>
      <c r="AA1292" s="28">
        <v>0</v>
      </c>
      <c r="AB1292" s="28">
        <v>0</v>
      </c>
      <c r="AC1292" s="28">
        <v>0.92</v>
      </c>
      <c r="AD1292" s="26">
        <v>1</v>
      </c>
      <c r="AE1292" s="26">
        <v>0.99830220713073003</v>
      </c>
      <c r="AF1292" s="26">
        <v>1</v>
      </c>
      <c r="AG1292" s="26">
        <v>0.99824906981834094</v>
      </c>
      <c r="AH1292" s="28">
        <v>0.92</v>
      </c>
      <c r="AI1292" s="26">
        <v>0</v>
      </c>
      <c r="AJ1292" s="26">
        <v>0</v>
      </c>
      <c r="AK1292" s="26">
        <v>0</v>
      </c>
      <c r="AL1292" s="26">
        <v>0</v>
      </c>
      <c r="AM1292" s="25">
        <v>0.99</v>
      </c>
      <c r="AN1292" s="30">
        <v>1</v>
      </c>
      <c r="AO1292" s="30">
        <v>1</v>
      </c>
      <c r="AP1292" s="30">
        <v>1</v>
      </c>
      <c r="AQ1292" s="30">
        <v>1</v>
      </c>
      <c r="AR1292" s="50">
        <v>7.2186152540827803E-2</v>
      </c>
      <c r="AS1292" s="34">
        <v>0</v>
      </c>
      <c r="AT1292" s="34">
        <v>0</v>
      </c>
      <c r="AU1292" s="34">
        <v>0</v>
      </c>
      <c r="AV1292" s="34">
        <v>0</v>
      </c>
      <c r="AW1292" s="10"/>
      <c r="AX1292" s="8"/>
    </row>
    <row r="1293" spans="1:50">
      <c r="A1293" s="7"/>
      <c r="B1293" s="10"/>
      <c r="C1293" s="45" t="s">
        <v>1100</v>
      </c>
      <c r="D1293" s="23" t="s">
        <v>25</v>
      </c>
      <c r="E1293" s="83" t="s">
        <v>1337</v>
      </c>
      <c r="F1293" s="83" t="s">
        <v>1337</v>
      </c>
      <c r="G1293" s="83" t="s">
        <v>1337</v>
      </c>
      <c r="H1293" s="83" t="s">
        <v>1337</v>
      </c>
      <c r="I1293" s="25">
        <v>0.9</v>
      </c>
      <c r="J1293" s="26">
        <v>0.96226415094339623</v>
      </c>
      <c r="K1293" s="26">
        <v>0.98305084745762716</v>
      </c>
      <c r="L1293" s="27">
        <v>0.96610169491525422</v>
      </c>
      <c r="M1293" s="26">
        <v>0.9282407407407407</v>
      </c>
      <c r="N1293" s="28">
        <v>0.9</v>
      </c>
      <c r="O1293" s="26">
        <v>0.98813905930470347</v>
      </c>
      <c r="P1293" s="26">
        <v>0.99238578680203049</v>
      </c>
      <c r="Q1293" s="26">
        <v>0.99179655455291227</v>
      </c>
      <c r="R1293" s="26">
        <v>0.97435897435897434</v>
      </c>
      <c r="S1293" s="28">
        <v>0.9</v>
      </c>
      <c r="T1293" s="26">
        <v>0.959918200408998</v>
      </c>
      <c r="U1293" s="26">
        <v>0.96986040609137059</v>
      </c>
      <c r="V1293" s="26">
        <v>0.96745966639321845</v>
      </c>
      <c r="W1293" s="26">
        <v>0.95147597500538672</v>
      </c>
      <c r="X1293" s="28">
        <v>0.92</v>
      </c>
      <c r="Y1293" s="28">
        <v>0.96075353218210358</v>
      </c>
      <c r="Z1293" s="28">
        <v>0.96332046332046328</v>
      </c>
      <c r="AA1293" s="28">
        <v>0.97480403135498317</v>
      </c>
      <c r="AB1293" s="28">
        <v>0.96482807459280828</v>
      </c>
      <c r="AC1293" s="28">
        <v>0.92</v>
      </c>
      <c r="AD1293" s="26">
        <v>0.99745870393900893</v>
      </c>
      <c r="AE1293" s="26">
        <v>0.98178506375227692</v>
      </c>
      <c r="AF1293" s="26">
        <v>0.99680000000000002</v>
      </c>
      <c r="AG1293" s="26">
        <v>0.9945602901178604</v>
      </c>
      <c r="AH1293" s="28">
        <v>0.92</v>
      </c>
      <c r="AI1293" s="26">
        <v>0.96961548803441788</v>
      </c>
      <c r="AJ1293" s="26">
        <v>0.98066298342541436</v>
      </c>
      <c r="AK1293" s="26">
        <v>0.98585598824393827</v>
      </c>
      <c r="AL1293" s="26">
        <v>0.97892538975501109</v>
      </c>
      <c r="AM1293" s="25">
        <v>0.99</v>
      </c>
      <c r="AN1293" s="30">
        <v>1</v>
      </c>
      <c r="AO1293" s="30">
        <v>1</v>
      </c>
      <c r="AP1293" s="30">
        <v>1</v>
      </c>
      <c r="AQ1293" s="30">
        <v>1</v>
      </c>
      <c r="AR1293" s="50">
        <v>7.2186152540827803E-2</v>
      </c>
      <c r="AS1293" s="34">
        <v>0</v>
      </c>
      <c r="AT1293" s="34">
        <v>0</v>
      </c>
      <c r="AU1293" s="34">
        <v>8.3333333333333329E-2</v>
      </c>
      <c r="AV1293" s="34">
        <v>3.0303030303030304E-2</v>
      </c>
      <c r="AW1293" s="10"/>
      <c r="AX1293" s="8"/>
    </row>
    <row r="1294" spans="1:50">
      <c r="A1294" s="7"/>
      <c r="B1294" s="10"/>
      <c r="C1294" s="45" t="s">
        <v>1100</v>
      </c>
      <c r="D1294" s="23" t="s">
        <v>25</v>
      </c>
      <c r="E1294" s="83" t="s">
        <v>1338</v>
      </c>
      <c r="F1294" s="83" t="s">
        <v>1338</v>
      </c>
      <c r="G1294" s="83" t="s">
        <v>1338</v>
      </c>
      <c r="H1294" s="83" t="s">
        <v>1338</v>
      </c>
      <c r="I1294" s="25">
        <v>0.9</v>
      </c>
      <c r="J1294" s="26">
        <v>0.81355932203389836</v>
      </c>
      <c r="K1294" s="26">
        <v>0.86567164179104472</v>
      </c>
      <c r="L1294" s="27">
        <v>0.92753623188405798</v>
      </c>
      <c r="M1294" s="26">
        <v>0.87676767676767675</v>
      </c>
      <c r="N1294" s="28">
        <v>0.9</v>
      </c>
      <c r="O1294" s="26">
        <v>0.98409542743538769</v>
      </c>
      <c r="P1294" s="26">
        <v>0.98771834061135366</v>
      </c>
      <c r="Q1294" s="26">
        <v>0.98882681564245811</v>
      </c>
      <c r="R1294" s="26">
        <v>0.98787547788093932</v>
      </c>
      <c r="S1294" s="28">
        <v>0.9</v>
      </c>
      <c r="T1294" s="26">
        <v>0.93339960238568587</v>
      </c>
      <c r="U1294" s="26">
        <v>0.93941048034934493</v>
      </c>
      <c r="V1294" s="26">
        <v>0.95344506517690875</v>
      </c>
      <c r="W1294" s="26">
        <v>0.94596759512106321</v>
      </c>
      <c r="X1294" s="28">
        <v>0.92</v>
      </c>
      <c r="Y1294" s="28">
        <v>0.96250000000000002</v>
      </c>
      <c r="Z1294" s="28">
        <v>0.9660144181256437</v>
      </c>
      <c r="AA1294" s="28">
        <v>0.97003383276945387</v>
      </c>
      <c r="AB1294" s="28">
        <v>0.96467934257170485</v>
      </c>
      <c r="AC1294" s="28">
        <v>0.92</v>
      </c>
      <c r="AD1294" s="26">
        <v>0.95548852266038842</v>
      </c>
      <c r="AE1294" s="26">
        <v>0.97321512779402053</v>
      </c>
      <c r="AF1294" s="26">
        <v>0.87922664881151658</v>
      </c>
      <c r="AG1294" s="26">
        <v>0.95075185501346116</v>
      </c>
      <c r="AH1294" s="28">
        <v>0.92</v>
      </c>
      <c r="AI1294" s="26">
        <v>0.97216991002301734</v>
      </c>
      <c r="AJ1294" s="26">
        <v>0.97377809489832323</v>
      </c>
      <c r="AK1294" s="26">
        <v>0.98350353495679499</v>
      </c>
      <c r="AL1294" s="26">
        <v>0.97806364566855863</v>
      </c>
      <c r="AM1294" s="25">
        <v>0.99</v>
      </c>
      <c r="AN1294" s="30">
        <v>1</v>
      </c>
      <c r="AO1294" s="30">
        <v>1</v>
      </c>
      <c r="AP1294" s="30">
        <v>1</v>
      </c>
      <c r="AQ1294" s="30">
        <v>1</v>
      </c>
      <c r="AR1294" s="50">
        <v>7.2186152540827803E-2</v>
      </c>
      <c r="AS1294" s="34">
        <v>0</v>
      </c>
      <c r="AT1294" s="34">
        <v>3.8461538461538464E-2</v>
      </c>
      <c r="AU1294" s="34">
        <v>4.5454545454545456E-2</v>
      </c>
      <c r="AV1294" s="34">
        <v>1.1695906432748537E-2</v>
      </c>
      <c r="AW1294" s="10"/>
      <c r="AX1294" s="8"/>
    </row>
    <row r="1295" spans="1:50">
      <c r="A1295" s="7"/>
      <c r="B1295" s="10"/>
      <c r="C1295" s="45" t="s">
        <v>1100</v>
      </c>
      <c r="D1295" s="23" t="s">
        <v>25</v>
      </c>
      <c r="E1295" s="83" t="s">
        <v>1339</v>
      </c>
      <c r="F1295" s="83" t="s">
        <v>1339</v>
      </c>
      <c r="G1295" s="83" t="s">
        <v>1339</v>
      </c>
      <c r="H1295" s="83" t="s">
        <v>1339</v>
      </c>
      <c r="I1295" s="25">
        <v>0.9</v>
      </c>
      <c r="J1295" s="26">
        <v>0.9</v>
      </c>
      <c r="K1295" s="26">
        <v>0.90434782608695652</v>
      </c>
      <c r="L1295" s="27">
        <v>0.93103448275862066</v>
      </c>
      <c r="M1295" s="26">
        <v>0.89351851851851849</v>
      </c>
      <c r="N1295" s="28">
        <v>0.9</v>
      </c>
      <c r="O1295" s="26">
        <v>0.99121338912133894</v>
      </c>
      <c r="P1295" s="26">
        <v>0.99271629063776867</v>
      </c>
      <c r="Q1295" s="26">
        <v>0.99298887364730981</v>
      </c>
      <c r="R1295" s="26">
        <v>0.99126533339697387</v>
      </c>
      <c r="S1295" s="28">
        <v>0.9</v>
      </c>
      <c r="T1295" s="26">
        <v>0.95188284518828448</v>
      </c>
      <c r="U1295" s="26">
        <v>0.95647539527447145</v>
      </c>
      <c r="V1295" s="26">
        <v>0.96753543667123909</v>
      </c>
      <c r="W1295" s="26">
        <v>0.95828361414729613</v>
      </c>
      <c r="X1295" s="28">
        <v>0.92</v>
      </c>
      <c r="Y1295" s="28">
        <v>0.9594944912508101</v>
      </c>
      <c r="Z1295" s="28">
        <v>0.98289359234560747</v>
      </c>
      <c r="AA1295" s="28">
        <v>0.97702949621508739</v>
      </c>
      <c r="AB1295" s="28">
        <v>0.97279285217327616</v>
      </c>
      <c r="AC1295" s="28">
        <v>0.92</v>
      </c>
      <c r="AD1295" s="26">
        <v>0.9964994165694282</v>
      </c>
      <c r="AE1295" s="26">
        <v>0.99306717666746358</v>
      </c>
      <c r="AF1295" s="26">
        <v>0.94733969986357436</v>
      </c>
      <c r="AG1295" s="26">
        <v>0.98432221456918889</v>
      </c>
      <c r="AH1295" s="28">
        <v>0.92</v>
      </c>
      <c r="AI1295" s="26">
        <v>0.97305883848011188</v>
      </c>
      <c r="AJ1295" s="26">
        <v>0.98656387665198242</v>
      </c>
      <c r="AK1295" s="26">
        <v>0.98730036559553591</v>
      </c>
      <c r="AL1295" s="26">
        <v>0.98253647262747368</v>
      </c>
      <c r="AM1295" s="25">
        <v>0.99</v>
      </c>
      <c r="AN1295" s="30">
        <v>1</v>
      </c>
      <c r="AO1295" s="30">
        <v>1</v>
      </c>
      <c r="AP1295" s="30">
        <v>1</v>
      </c>
      <c r="AQ1295" s="30">
        <v>1</v>
      </c>
      <c r="AR1295" s="50">
        <v>7.2186152540827803E-2</v>
      </c>
      <c r="AS1295" s="34">
        <v>0</v>
      </c>
      <c r="AT1295" s="34">
        <v>-3.125E-2</v>
      </c>
      <c r="AU1295" s="34">
        <v>2.4390243902439025E-2</v>
      </c>
      <c r="AV1295" s="34">
        <v>-1.2406947890818859E-2</v>
      </c>
      <c r="AW1295" s="10"/>
      <c r="AX1295" s="8"/>
    </row>
    <row r="1296" spans="1:50">
      <c r="A1296" s="7"/>
      <c r="B1296" s="10"/>
      <c r="C1296" s="45" t="s">
        <v>1100</v>
      </c>
      <c r="D1296" s="23" t="s">
        <v>25</v>
      </c>
      <c r="E1296" s="83" t="s">
        <v>1340</v>
      </c>
      <c r="F1296" s="83" t="s">
        <v>1340</v>
      </c>
      <c r="G1296" s="83" t="s">
        <v>1340</v>
      </c>
      <c r="H1296" s="83" t="s">
        <v>1340</v>
      </c>
      <c r="I1296" s="25">
        <v>0.9</v>
      </c>
      <c r="J1296" s="26">
        <v>0.94117647058823528</v>
      </c>
      <c r="K1296" s="26">
        <v>0.93055555555555558</v>
      </c>
      <c r="L1296" s="27">
        <v>0.97297297297297303</v>
      </c>
      <c r="M1296" s="26">
        <v>0.95503597122302153</v>
      </c>
      <c r="N1296" s="28">
        <v>0.9</v>
      </c>
      <c r="O1296" s="26">
        <v>0.93543543543543539</v>
      </c>
      <c r="P1296" s="26">
        <v>0.97148936170212763</v>
      </c>
      <c r="Q1296" s="26">
        <v>0.97293790546802594</v>
      </c>
      <c r="R1296" s="26">
        <v>0.96517267574358678</v>
      </c>
      <c r="S1296" s="28">
        <v>0.9</v>
      </c>
      <c r="T1296" s="26">
        <v>0.93568568568568566</v>
      </c>
      <c r="U1296" s="26">
        <v>0.93957446808510636</v>
      </c>
      <c r="V1296" s="26">
        <v>0.95050973123262283</v>
      </c>
      <c r="W1296" s="26">
        <v>0.94200315549582192</v>
      </c>
      <c r="X1296" s="28">
        <v>0.92</v>
      </c>
      <c r="Y1296" s="28">
        <v>0.94591029023746698</v>
      </c>
      <c r="Z1296" s="28">
        <v>0.94240837696335078</v>
      </c>
      <c r="AA1296" s="28">
        <v>0.96037539103232539</v>
      </c>
      <c r="AB1296" s="28">
        <v>0.94690397104754354</v>
      </c>
      <c r="AC1296" s="28">
        <v>0.92</v>
      </c>
      <c r="AD1296" s="26">
        <v>0.99827255278310945</v>
      </c>
      <c r="AE1296" s="26">
        <v>0.99800664451827248</v>
      </c>
      <c r="AF1296" s="26">
        <v>0.99719013424914138</v>
      </c>
      <c r="AG1296" s="26">
        <v>0.99739234860181847</v>
      </c>
      <c r="AH1296" s="28">
        <v>0.92</v>
      </c>
      <c r="AI1296" s="26">
        <v>0.96618819776714515</v>
      </c>
      <c r="AJ1296" s="26">
        <v>0.96731760238676434</v>
      </c>
      <c r="AK1296" s="26">
        <v>0.97848162475822054</v>
      </c>
      <c r="AL1296" s="26">
        <v>0.96963179470210847</v>
      </c>
      <c r="AM1296" s="25">
        <v>0.99</v>
      </c>
      <c r="AN1296" s="30">
        <v>1</v>
      </c>
      <c r="AO1296" s="30">
        <v>1</v>
      </c>
      <c r="AP1296" s="30">
        <v>1</v>
      </c>
      <c r="AQ1296" s="30">
        <v>1</v>
      </c>
      <c r="AR1296" s="50">
        <v>7.2186152540827803E-2</v>
      </c>
      <c r="AS1296" s="34">
        <v>3.125E-2</v>
      </c>
      <c r="AT1296" s="34">
        <v>0</v>
      </c>
      <c r="AU1296" s="34">
        <v>0.1</v>
      </c>
      <c r="AV1296" s="34">
        <v>6.2857142857142861E-2</v>
      </c>
      <c r="AW1296" s="10"/>
      <c r="AX1296" s="8"/>
    </row>
    <row r="1297" spans="1:50">
      <c r="A1297" s="7"/>
      <c r="B1297" s="10"/>
      <c r="C1297" s="45" t="s">
        <v>1100</v>
      </c>
      <c r="D1297" s="23" t="s">
        <v>25</v>
      </c>
      <c r="E1297" s="83" t="s">
        <v>1341</v>
      </c>
      <c r="F1297" s="83" t="s">
        <v>1341</v>
      </c>
      <c r="G1297" s="83" t="s">
        <v>1341</v>
      </c>
      <c r="H1297" s="83" t="s">
        <v>1341</v>
      </c>
      <c r="I1297" s="25">
        <v>0.9</v>
      </c>
      <c r="J1297" s="26">
        <v>0.96666666666666667</v>
      </c>
      <c r="K1297" s="26">
        <v>0.96551724137931039</v>
      </c>
      <c r="L1297" s="27">
        <v>0.93548387096774188</v>
      </c>
      <c r="M1297" s="26">
        <v>0.95491803278688525</v>
      </c>
      <c r="N1297" s="28">
        <v>0.9</v>
      </c>
      <c r="O1297" s="26">
        <v>0.98476090383604831</v>
      </c>
      <c r="P1297" s="26">
        <v>0.98594741613780601</v>
      </c>
      <c r="Q1297" s="26">
        <v>0.99304017715912685</v>
      </c>
      <c r="R1297" s="26">
        <v>0.986861225478324</v>
      </c>
      <c r="S1297" s="28">
        <v>0.9</v>
      </c>
      <c r="T1297" s="26">
        <v>0.94324750394114554</v>
      </c>
      <c r="U1297" s="26">
        <v>0.92701722574796008</v>
      </c>
      <c r="V1297" s="26">
        <v>0.95602657386902878</v>
      </c>
      <c r="W1297" s="26">
        <v>0.95222814240736253</v>
      </c>
      <c r="X1297" s="28">
        <v>0.92</v>
      </c>
      <c r="Y1297" s="28">
        <v>0</v>
      </c>
      <c r="Z1297" s="28">
        <v>0</v>
      </c>
      <c r="AA1297" s="28">
        <v>0</v>
      </c>
      <c r="AB1297" s="28">
        <v>0</v>
      </c>
      <c r="AC1297" s="28">
        <v>0.92</v>
      </c>
      <c r="AD1297" s="26">
        <v>0.9642857142857143</v>
      </c>
      <c r="AE1297" s="26">
        <v>1</v>
      </c>
      <c r="AF1297" s="26">
        <v>1</v>
      </c>
      <c r="AG1297" s="26">
        <v>0.99271844660194175</v>
      </c>
      <c r="AH1297" s="28">
        <v>0.92</v>
      </c>
      <c r="AI1297" s="26">
        <v>0.97372569626904892</v>
      </c>
      <c r="AJ1297" s="26">
        <v>0.97552130553037175</v>
      </c>
      <c r="AK1297" s="26">
        <v>0.98987662132236631</v>
      </c>
      <c r="AL1297" s="26">
        <v>0.98613465730201022</v>
      </c>
      <c r="AM1297" s="25">
        <v>0.99</v>
      </c>
      <c r="AN1297" s="30">
        <v>1</v>
      </c>
      <c r="AO1297" s="30">
        <v>1</v>
      </c>
      <c r="AP1297" s="30">
        <v>1</v>
      </c>
      <c r="AQ1297" s="30">
        <v>1</v>
      </c>
      <c r="AR1297" s="50">
        <v>7.2186152540827803E-2</v>
      </c>
      <c r="AS1297" s="34">
        <v>0</v>
      </c>
      <c r="AT1297" s="34">
        <v>0.5</v>
      </c>
      <c r="AU1297" s="34">
        <v>0</v>
      </c>
      <c r="AV1297" s="34">
        <v>6.25E-2</v>
      </c>
      <c r="AW1297" s="10"/>
      <c r="AX1297" s="8"/>
    </row>
    <row r="1298" spans="1:50">
      <c r="A1298" s="7"/>
      <c r="B1298" s="10"/>
      <c r="C1298" s="45" t="s">
        <v>1100</v>
      </c>
      <c r="D1298" s="23" t="s">
        <v>25</v>
      </c>
      <c r="E1298" s="83" t="s">
        <v>1342</v>
      </c>
      <c r="F1298" s="83" t="s">
        <v>1342</v>
      </c>
      <c r="G1298" s="83" t="s">
        <v>1342</v>
      </c>
      <c r="H1298" s="83" t="s">
        <v>1342</v>
      </c>
      <c r="I1298" s="25">
        <v>0.9</v>
      </c>
      <c r="J1298" s="26">
        <v>0.95833333333333337</v>
      </c>
      <c r="K1298" s="26">
        <v>0.96153846153846156</v>
      </c>
      <c r="L1298" s="27">
        <v>1</v>
      </c>
      <c r="M1298" s="26">
        <v>0.97584541062801933</v>
      </c>
      <c r="N1298" s="28">
        <v>0.9</v>
      </c>
      <c r="O1298" s="26">
        <v>0.98892674616695064</v>
      </c>
      <c r="P1298" s="26">
        <v>0.96400351185250222</v>
      </c>
      <c r="Q1298" s="26">
        <v>0.99142857142857144</v>
      </c>
      <c r="R1298" s="26">
        <v>0.98763114301490884</v>
      </c>
      <c r="S1298" s="28">
        <v>0.9</v>
      </c>
      <c r="T1298" s="26">
        <v>0.94889267461669502</v>
      </c>
      <c r="U1298" s="26">
        <v>0.922739244951712</v>
      </c>
      <c r="V1298" s="26">
        <v>0.94214285714285717</v>
      </c>
      <c r="W1298" s="26">
        <v>0.94235229155162892</v>
      </c>
      <c r="X1298" s="28">
        <v>0.92</v>
      </c>
      <c r="Y1298" s="28">
        <v>0.92904656319290468</v>
      </c>
      <c r="Z1298" s="28">
        <v>0.96153846153846156</v>
      </c>
      <c r="AA1298" s="28">
        <v>0.96476510067114096</v>
      </c>
      <c r="AB1298" s="28">
        <v>0.95538261997405971</v>
      </c>
      <c r="AC1298" s="28">
        <v>0.92</v>
      </c>
      <c r="AD1298" s="26">
        <v>1</v>
      </c>
      <c r="AE1298" s="26">
        <v>1</v>
      </c>
      <c r="AF1298" s="26">
        <v>1</v>
      </c>
      <c r="AG1298" s="26">
        <v>0.99898115129903209</v>
      </c>
      <c r="AH1298" s="28">
        <v>0.92</v>
      </c>
      <c r="AI1298" s="26">
        <v>0.97169230769230774</v>
      </c>
      <c r="AJ1298" s="26">
        <v>0.97964912280701755</v>
      </c>
      <c r="AK1298" s="26">
        <v>0.9769539078156313</v>
      </c>
      <c r="AL1298" s="26">
        <v>0.97614252517428346</v>
      </c>
      <c r="AM1298" s="25">
        <v>0.99</v>
      </c>
      <c r="AN1298" s="30">
        <v>1</v>
      </c>
      <c r="AO1298" s="30">
        <v>1</v>
      </c>
      <c r="AP1298" s="30">
        <v>1</v>
      </c>
      <c r="AQ1298" s="30">
        <v>1</v>
      </c>
      <c r="AR1298" s="50">
        <v>7.2186152540827803E-2</v>
      </c>
      <c r="AS1298" s="34">
        <v>0.25</v>
      </c>
      <c r="AT1298" s="34">
        <v>0</v>
      </c>
      <c r="AU1298" s="34">
        <v>0</v>
      </c>
      <c r="AV1298" s="34">
        <v>3.2258064516129031E-2</v>
      </c>
      <c r="AW1298" s="10"/>
      <c r="AX1298" s="8"/>
    </row>
    <row r="1299" spans="1:50">
      <c r="A1299" s="7"/>
      <c r="B1299" s="10"/>
      <c r="C1299" s="45" t="s">
        <v>1100</v>
      </c>
      <c r="D1299" s="23" t="s">
        <v>25</v>
      </c>
      <c r="E1299" s="83" t="s">
        <v>1343</v>
      </c>
      <c r="F1299" s="83" t="s">
        <v>1343</v>
      </c>
      <c r="G1299" s="83" t="s">
        <v>1343</v>
      </c>
      <c r="H1299" s="83" t="s">
        <v>1343</v>
      </c>
      <c r="I1299" s="25">
        <v>0.9</v>
      </c>
      <c r="J1299" s="26">
        <v>1</v>
      </c>
      <c r="K1299" s="26">
        <v>1</v>
      </c>
      <c r="L1299" s="27">
        <v>1</v>
      </c>
      <c r="M1299" s="26">
        <v>0.97385620915032678</v>
      </c>
      <c r="N1299" s="28">
        <v>0.9</v>
      </c>
      <c r="O1299" s="26">
        <v>0.99473684210526314</v>
      </c>
      <c r="P1299" s="26">
        <v>0.98193411264612118</v>
      </c>
      <c r="Q1299" s="26">
        <v>0.98615916955017302</v>
      </c>
      <c r="R1299" s="26">
        <v>0.98606494502684738</v>
      </c>
      <c r="S1299" s="28">
        <v>0.9</v>
      </c>
      <c r="T1299" s="26">
        <v>0.94561403508771935</v>
      </c>
      <c r="U1299" s="26">
        <v>0.92773645058448462</v>
      </c>
      <c r="V1299" s="26">
        <v>0.94550173010380623</v>
      </c>
      <c r="W1299" s="26">
        <v>0.93556635131679877</v>
      </c>
      <c r="X1299" s="28">
        <v>0.92</v>
      </c>
      <c r="Y1299" s="28">
        <v>0.91549295774647887</v>
      </c>
      <c r="Z1299" s="28">
        <v>0.92783505154639179</v>
      </c>
      <c r="AA1299" s="28">
        <v>0.94092827004219415</v>
      </c>
      <c r="AB1299" s="28">
        <v>0.93049026192075224</v>
      </c>
      <c r="AC1299" s="28">
        <v>0.92</v>
      </c>
      <c r="AD1299" s="26">
        <v>1</v>
      </c>
      <c r="AE1299" s="26">
        <v>0.9642857142857143</v>
      </c>
      <c r="AF1299" s="26">
        <v>0.96551724137931039</v>
      </c>
      <c r="AG1299" s="26">
        <v>0.97969543147208127</v>
      </c>
      <c r="AH1299" s="28">
        <v>0.92</v>
      </c>
      <c r="AI1299" s="26">
        <v>0.96454849498327755</v>
      </c>
      <c r="AJ1299" s="26">
        <v>0.97356828193832601</v>
      </c>
      <c r="AK1299" s="26">
        <v>0.97791411042944787</v>
      </c>
      <c r="AL1299" s="26">
        <v>0.96815109712063696</v>
      </c>
      <c r="AM1299" s="25">
        <v>0.99</v>
      </c>
      <c r="AN1299" s="30">
        <v>1</v>
      </c>
      <c r="AO1299" s="30">
        <v>1</v>
      </c>
      <c r="AP1299" s="30">
        <v>1</v>
      </c>
      <c r="AQ1299" s="30">
        <v>1</v>
      </c>
      <c r="AR1299" s="50">
        <v>7.2186152540827803E-2</v>
      </c>
      <c r="AS1299" s="34">
        <v>0.5</v>
      </c>
      <c r="AT1299" s="34">
        <v>0</v>
      </c>
      <c r="AU1299" s="34">
        <v>0</v>
      </c>
      <c r="AV1299" s="34">
        <v>5.8823529411764705E-2</v>
      </c>
      <c r="AW1299" s="10"/>
      <c r="AX1299" s="8"/>
    </row>
    <row r="1300" spans="1:50">
      <c r="A1300" s="7"/>
      <c r="B1300" s="10"/>
      <c r="C1300" s="45" t="s">
        <v>1100</v>
      </c>
      <c r="D1300" s="23" t="s">
        <v>25</v>
      </c>
      <c r="E1300" s="83" t="s">
        <v>1344</v>
      </c>
      <c r="F1300" s="83" t="s">
        <v>1344</v>
      </c>
      <c r="G1300" s="83" t="s">
        <v>1344</v>
      </c>
      <c r="H1300" s="83" t="s">
        <v>1344</v>
      </c>
      <c r="I1300" s="25">
        <v>0.9</v>
      </c>
      <c r="J1300" s="26">
        <v>0.8867924528301887</v>
      </c>
      <c r="K1300" s="26">
        <v>0.92727272727272725</v>
      </c>
      <c r="L1300" s="27">
        <v>0.91228070175438591</v>
      </c>
      <c r="M1300" s="26">
        <v>0.91608391608391604</v>
      </c>
      <c r="N1300" s="28">
        <v>0.9</v>
      </c>
      <c r="O1300" s="26">
        <v>0.99051441079897851</v>
      </c>
      <c r="P1300" s="26">
        <v>0.98936170212765961</v>
      </c>
      <c r="Q1300" s="26">
        <v>0.92352347299343762</v>
      </c>
      <c r="R1300" s="26">
        <v>0.97617703966462432</v>
      </c>
      <c r="S1300" s="28">
        <v>0.9</v>
      </c>
      <c r="T1300" s="26">
        <v>0.93141189346953668</v>
      </c>
      <c r="U1300" s="26">
        <v>0.95623100303951369</v>
      </c>
      <c r="V1300" s="26">
        <v>0.94220090863200401</v>
      </c>
      <c r="W1300" s="26">
        <v>0.9494920993227991</v>
      </c>
      <c r="X1300" s="28">
        <v>0.92</v>
      </c>
      <c r="Y1300" s="28">
        <v>0.93294648613797548</v>
      </c>
      <c r="Z1300" s="28">
        <v>0.96629866356769323</v>
      </c>
      <c r="AA1300" s="28">
        <v>0.96690070210631895</v>
      </c>
      <c r="AB1300" s="28">
        <v>0.96087514253135686</v>
      </c>
      <c r="AC1300" s="28">
        <v>0.92</v>
      </c>
      <c r="AD1300" s="26">
        <v>0.99413833528722162</v>
      </c>
      <c r="AE1300" s="26">
        <v>0.98798798798798804</v>
      </c>
      <c r="AF1300" s="26">
        <v>0.98946259220231825</v>
      </c>
      <c r="AG1300" s="26">
        <v>0.9912036358305234</v>
      </c>
      <c r="AH1300" s="28">
        <v>0.92</v>
      </c>
      <c r="AI1300" s="26">
        <v>0.96436058700209648</v>
      </c>
      <c r="AJ1300" s="26">
        <v>0.97765808896868145</v>
      </c>
      <c r="AK1300" s="26">
        <v>0.98169912693082606</v>
      </c>
      <c r="AL1300" s="26">
        <v>0.97706386593559347</v>
      </c>
      <c r="AM1300" s="25">
        <v>0.99</v>
      </c>
      <c r="AN1300" s="30">
        <v>1</v>
      </c>
      <c r="AO1300" s="30">
        <v>1</v>
      </c>
      <c r="AP1300" s="30">
        <v>1</v>
      </c>
      <c r="AQ1300" s="30">
        <v>1</v>
      </c>
      <c r="AR1300" s="50">
        <v>7.2186152540827803E-2</v>
      </c>
      <c r="AS1300" s="34">
        <v>0</v>
      </c>
      <c r="AT1300" s="34">
        <v>0.125</v>
      </c>
      <c r="AU1300" s="34">
        <v>0</v>
      </c>
      <c r="AV1300" s="34">
        <v>9.3333333333333338E-2</v>
      </c>
      <c r="AW1300" s="10"/>
      <c r="AX1300" s="8"/>
    </row>
    <row r="1301" spans="1:50">
      <c r="A1301" s="7"/>
      <c r="B1301" s="10"/>
      <c r="C1301" s="45" t="s">
        <v>1100</v>
      </c>
      <c r="D1301" s="23" t="s">
        <v>25</v>
      </c>
      <c r="E1301" s="83" t="s">
        <v>1345</v>
      </c>
      <c r="F1301" s="83" t="s">
        <v>1345</v>
      </c>
      <c r="G1301" s="83" t="s">
        <v>1345</v>
      </c>
      <c r="H1301" s="83" t="s">
        <v>1345</v>
      </c>
      <c r="I1301" s="25">
        <v>0.9</v>
      </c>
      <c r="J1301" s="26">
        <v>0.94736842105263153</v>
      </c>
      <c r="K1301" s="26">
        <v>1</v>
      </c>
      <c r="L1301" s="27">
        <v>1</v>
      </c>
      <c r="M1301" s="26">
        <v>0.92905405405405406</v>
      </c>
      <c r="N1301" s="28">
        <v>0.9</v>
      </c>
      <c r="O1301" s="26">
        <v>0.99283351708930545</v>
      </c>
      <c r="P1301" s="26">
        <v>0.99097880018042395</v>
      </c>
      <c r="Q1301" s="26">
        <v>0.98977183320220297</v>
      </c>
      <c r="R1301" s="26">
        <v>0.98806901615271658</v>
      </c>
      <c r="S1301" s="28">
        <v>0.9</v>
      </c>
      <c r="T1301" s="26">
        <v>0.9680264608599779</v>
      </c>
      <c r="U1301" s="26">
        <v>0.97519170049616599</v>
      </c>
      <c r="V1301" s="26">
        <v>0.97010228166797796</v>
      </c>
      <c r="W1301" s="26">
        <v>0.97020313264806657</v>
      </c>
      <c r="X1301" s="28">
        <v>0.92</v>
      </c>
      <c r="Y1301" s="28">
        <v>0.9666329625884732</v>
      </c>
      <c r="Z1301" s="28">
        <v>0.97548161120840626</v>
      </c>
      <c r="AA1301" s="28">
        <v>0.97742474916387956</v>
      </c>
      <c r="AB1301" s="28">
        <v>0.96212465878070974</v>
      </c>
      <c r="AC1301" s="28">
        <v>0.92</v>
      </c>
      <c r="AD1301" s="26">
        <v>0.99821428571428572</v>
      </c>
      <c r="AE1301" s="26">
        <v>0.99539170506912444</v>
      </c>
      <c r="AF1301" s="26">
        <v>0.99859943977591037</v>
      </c>
      <c r="AG1301" s="26">
        <v>0.99651120088138079</v>
      </c>
      <c r="AH1301" s="28">
        <v>0.92</v>
      </c>
      <c r="AI1301" s="26">
        <v>0.97895112379593296</v>
      </c>
      <c r="AJ1301" s="26">
        <v>0.98631359714370725</v>
      </c>
      <c r="AK1301" s="26">
        <v>0.9895666131621188</v>
      </c>
      <c r="AL1301" s="26">
        <v>0.98217837536796881</v>
      </c>
      <c r="AM1301" s="25">
        <v>0.99</v>
      </c>
      <c r="AN1301" s="30">
        <v>1</v>
      </c>
      <c r="AO1301" s="30">
        <v>1</v>
      </c>
      <c r="AP1301" s="30">
        <v>1</v>
      </c>
      <c r="AQ1301" s="30">
        <v>1</v>
      </c>
      <c r="AR1301" s="50">
        <v>7.2186152540827803E-2</v>
      </c>
      <c r="AS1301" s="34">
        <v>0</v>
      </c>
      <c r="AT1301" s="34">
        <v>0</v>
      </c>
      <c r="AU1301" s="34">
        <v>0</v>
      </c>
      <c r="AV1301" s="34">
        <v>3.0303030303030304E-2</v>
      </c>
      <c r="AW1301" s="10"/>
      <c r="AX1301" s="8"/>
    </row>
    <row r="1302" spans="1:50">
      <c r="A1302" s="7"/>
      <c r="B1302" s="10"/>
      <c r="C1302" s="45" t="s">
        <v>1100</v>
      </c>
      <c r="D1302" s="23" t="s">
        <v>25</v>
      </c>
      <c r="E1302" s="83" t="s">
        <v>1346</v>
      </c>
      <c r="F1302" s="83" t="s">
        <v>1346</v>
      </c>
      <c r="G1302" s="83" t="s">
        <v>1346</v>
      </c>
      <c r="H1302" s="83" t="s">
        <v>1346</v>
      </c>
      <c r="I1302" s="25">
        <v>0.9</v>
      </c>
      <c r="J1302" s="26">
        <v>0.96363636363636362</v>
      </c>
      <c r="K1302" s="26">
        <v>1</v>
      </c>
      <c r="L1302" s="27">
        <v>0.98148148148148151</v>
      </c>
      <c r="M1302" s="26">
        <v>0.97189695550351285</v>
      </c>
      <c r="N1302" s="28">
        <v>0.9</v>
      </c>
      <c r="O1302" s="26">
        <v>0.9915373765867419</v>
      </c>
      <c r="P1302" s="26">
        <v>0.97548197820620286</v>
      </c>
      <c r="Q1302" s="26">
        <v>0.98513011152416352</v>
      </c>
      <c r="R1302" s="26">
        <v>0.98865899535295421</v>
      </c>
      <c r="S1302" s="28">
        <v>0.9</v>
      </c>
      <c r="T1302" s="26">
        <v>0.85707569346497414</v>
      </c>
      <c r="U1302" s="26">
        <v>0.85205364626990776</v>
      </c>
      <c r="V1302" s="26">
        <v>0.86947542337876915</v>
      </c>
      <c r="W1302" s="26">
        <v>0.87685328612524893</v>
      </c>
      <c r="X1302" s="28">
        <v>0.92</v>
      </c>
      <c r="Y1302" s="28">
        <v>0</v>
      </c>
      <c r="Z1302" s="28">
        <v>0</v>
      </c>
      <c r="AA1302" s="28">
        <v>0</v>
      </c>
      <c r="AB1302" s="28">
        <v>0</v>
      </c>
      <c r="AC1302" s="28">
        <v>0.92</v>
      </c>
      <c r="AD1302" s="26">
        <v>0.99328859060402686</v>
      </c>
      <c r="AE1302" s="26">
        <v>0.99479166666666663</v>
      </c>
      <c r="AF1302" s="26">
        <v>0.99463806970509383</v>
      </c>
      <c r="AG1302" s="26">
        <v>0.99521149241819629</v>
      </c>
      <c r="AH1302" s="28">
        <v>0.92</v>
      </c>
      <c r="AI1302" s="26">
        <v>0.95369064409967086</v>
      </c>
      <c r="AJ1302" s="26">
        <v>0.94530595138306794</v>
      </c>
      <c r="AK1302" s="26">
        <v>0.95704254440313918</v>
      </c>
      <c r="AL1302" s="26">
        <v>0.96268532861252487</v>
      </c>
      <c r="AM1302" s="25">
        <v>0.99</v>
      </c>
      <c r="AN1302" s="30">
        <v>1</v>
      </c>
      <c r="AO1302" s="30">
        <v>1</v>
      </c>
      <c r="AP1302" s="30">
        <v>1</v>
      </c>
      <c r="AQ1302" s="30">
        <v>1</v>
      </c>
      <c r="AR1302" s="50">
        <v>7.2186152540827803E-2</v>
      </c>
      <c r="AS1302" s="34">
        <v>0</v>
      </c>
      <c r="AT1302" s="34">
        <v>0</v>
      </c>
      <c r="AU1302" s="34">
        <v>0.1111111111111111</v>
      </c>
      <c r="AV1302" s="34">
        <v>2.4390243902439025E-2</v>
      </c>
      <c r="AW1302" s="10"/>
      <c r="AX1302" s="8"/>
    </row>
    <row r="1303" spans="1:50">
      <c r="A1303" s="7"/>
      <c r="B1303" s="10"/>
      <c r="C1303" s="45" t="s">
        <v>1100</v>
      </c>
      <c r="D1303" s="23" t="s">
        <v>25</v>
      </c>
      <c r="E1303" s="83" t="s">
        <v>1347</v>
      </c>
      <c r="F1303" s="83" t="s">
        <v>1347</v>
      </c>
      <c r="G1303" s="83" t="s">
        <v>1347</v>
      </c>
      <c r="H1303" s="83" t="s">
        <v>1347</v>
      </c>
      <c r="I1303" s="25">
        <v>0.9</v>
      </c>
      <c r="J1303" s="26">
        <v>0</v>
      </c>
      <c r="K1303" s="26">
        <v>0</v>
      </c>
      <c r="L1303" s="27">
        <v>0</v>
      </c>
      <c r="M1303" s="26">
        <v>0</v>
      </c>
      <c r="N1303" s="28">
        <v>0.9</v>
      </c>
      <c r="O1303" s="26">
        <v>0</v>
      </c>
      <c r="P1303" s="26">
        <v>0</v>
      </c>
      <c r="Q1303" s="26">
        <v>0</v>
      </c>
      <c r="R1303" s="26">
        <v>0</v>
      </c>
      <c r="S1303" s="28">
        <v>0.9</v>
      </c>
      <c r="T1303" s="26">
        <v>0</v>
      </c>
      <c r="U1303" s="26">
        <v>0</v>
      </c>
      <c r="V1303" s="26">
        <v>0</v>
      </c>
      <c r="W1303" s="26">
        <v>0</v>
      </c>
      <c r="X1303" s="28">
        <v>0.92</v>
      </c>
      <c r="Y1303" s="28">
        <v>0</v>
      </c>
      <c r="Z1303" s="28">
        <v>0</v>
      </c>
      <c r="AA1303" s="28">
        <v>0</v>
      </c>
      <c r="AB1303" s="28">
        <v>0</v>
      </c>
      <c r="AC1303" s="28">
        <v>0.92</v>
      </c>
      <c r="AD1303" s="26">
        <v>0.98970398970398965</v>
      </c>
      <c r="AE1303" s="26">
        <v>0.99550898203592819</v>
      </c>
      <c r="AF1303" s="26">
        <v>0.99212598425196852</v>
      </c>
      <c r="AG1303" s="26">
        <v>0.99385385841110863</v>
      </c>
      <c r="AH1303" s="28">
        <v>0.92</v>
      </c>
      <c r="AI1303" s="26">
        <v>0</v>
      </c>
      <c r="AJ1303" s="26">
        <v>0</v>
      </c>
      <c r="AK1303" s="26">
        <v>0</v>
      </c>
      <c r="AL1303" s="26">
        <v>0</v>
      </c>
      <c r="AM1303" s="25">
        <v>0.99</v>
      </c>
      <c r="AN1303" s="30">
        <v>1</v>
      </c>
      <c r="AO1303" s="30">
        <v>1</v>
      </c>
      <c r="AP1303" s="30">
        <v>1</v>
      </c>
      <c r="AQ1303" s="30">
        <v>1</v>
      </c>
      <c r="AR1303" s="50">
        <v>7.2186152540827803E-2</v>
      </c>
      <c r="AS1303" s="34">
        <v>0</v>
      </c>
      <c r="AT1303" s="34">
        <v>0</v>
      </c>
      <c r="AU1303" s="34">
        <v>0</v>
      </c>
      <c r="AV1303" s="34">
        <v>0</v>
      </c>
      <c r="AW1303" s="10"/>
      <c r="AX1303" s="8"/>
    </row>
    <row r="1304" spans="1:50">
      <c r="A1304" s="7"/>
      <c r="B1304" s="10"/>
      <c r="C1304" s="45" t="s">
        <v>1100</v>
      </c>
      <c r="D1304" s="23" t="s">
        <v>25</v>
      </c>
      <c r="E1304" s="83" t="s">
        <v>1348</v>
      </c>
      <c r="F1304" s="83" t="s">
        <v>1348</v>
      </c>
      <c r="G1304" s="83" t="s">
        <v>1348</v>
      </c>
      <c r="H1304" s="83" t="s">
        <v>1348</v>
      </c>
      <c r="I1304" s="25">
        <v>0.9</v>
      </c>
      <c r="J1304" s="26">
        <v>0.92592592592592593</v>
      </c>
      <c r="K1304" s="26">
        <v>1</v>
      </c>
      <c r="L1304" s="27">
        <v>0.93103448275862066</v>
      </c>
      <c r="M1304" s="26">
        <v>0.9509803921568627</v>
      </c>
      <c r="N1304" s="28">
        <v>0.9</v>
      </c>
      <c r="O1304" s="26">
        <v>0.99594155844155841</v>
      </c>
      <c r="P1304" s="26">
        <v>0.98751733703190014</v>
      </c>
      <c r="Q1304" s="26">
        <v>0.99295774647887325</v>
      </c>
      <c r="R1304" s="26">
        <v>0.99135499135499139</v>
      </c>
      <c r="S1304" s="28">
        <v>0.9</v>
      </c>
      <c r="T1304" s="26">
        <v>0.9683441558441559</v>
      </c>
      <c r="U1304" s="26">
        <v>0.96948682385575591</v>
      </c>
      <c r="V1304" s="26">
        <v>0.971830985915493</v>
      </c>
      <c r="W1304" s="26">
        <v>0.96651196651196647</v>
      </c>
      <c r="X1304" s="28">
        <v>0.92</v>
      </c>
      <c r="Y1304" s="28">
        <v>0.95345345345345345</v>
      </c>
      <c r="Z1304" s="28">
        <v>0.97088607594936704</v>
      </c>
      <c r="AA1304" s="28">
        <v>0.96739130434782605</v>
      </c>
      <c r="AB1304" s="28">
        <v>0.96485090787939365</v>
      </c>
      <c r="AC1304" s="28">
        <v>0.92</v>
      </c>
      <c r="AD1304" s="26">
        <v>0.96116504854368934</v>
      </c>
      <c r="AE1304" s="26">
        <v>1</v>
      </c>
      <c r="AF1304" s="26">
        <v>1</v>
      </c>
      <c r="AG1304" s="26">
        <v>0.98526200873362446</v>
      </c>
      <c r="AH1304" s="28">
        <v>0.92</v>
      </c>
      <c r="AI1304" s="26">
        <v>0.97576396206533189</v>
      </c>
      <c r="AJ1304" s="26">
        <v>0.98118279569892475</v>
      </c>
      <c r="AK1304" s="26">
        <v>0.98578760363205686</v>
      </c>
      <c r="AL1304" s="26">
        <v>0.98052253736612927</v>
      </c>
      <c r="AM1304" s="25">
        <v>0.99</v>
      </c>
      <c r="AN1304" s="30">
        <v>1</v>
      </c>
      <c r="AO1304" s="30">
        <v>1</v>
      </c>
      <c r="AP1304" s="30">
        <v>1</v>
      </c>
      <c r="AQ1304" s="30">
        <v>1</v>
      </c>
      <c r="AR1304" s="50">
        <v>7.2186152540827803E-2</v>
      </c>
      <c r="AS1304" s="34">
        <v>0.25</v>
      </c>
      <c r="AT1304" s="34">
        <v>0.25</v>
      </c>
      <c r="AU1304" s="34">
        <v>0</v>
      </c>
      <c r="AV1304" s="34">
        <v>0.11538461538461539</v>
      </c>
      <c r="AW1304" s="10"/>
      <c r="AX1304" s="8"/>
    </row>
    <row r="1305" spans="1:50">
      <c r="A1305" s="7"/>
      <c r="B1305" s="10"/>
      <c r="C1305" s="45" t="s">
        <v>1100</v>
      </c>
      <c r="D1305" s="23" t="s">
        <v>25</v>
      </c>
      <c r="E1305" s="83" t="s">
        <v>1349</v>
      </c>
      <c r="F1305" s="83" t="s">
        <v>1349</v>
      </c>
      <c r="G1305" s="83" t="s">
        <v>1349</v>
      </c>
      <c r="H1305" s="83" t="s">
        <v>1349</v>
      </c>
      <c r="I1305" s="25">
        <v>0.9</v>
      </c>
      <c r="J1305" s="26">
        <v>0.88235294117647056</v>
      </c>
      <c r="K1305" s="26">
        <v>0.9642857142857143</v>
      </c>
      <c r="L1305" s="27">
        <v>0.91379310344827591</v>
      </c>
      <c r="M1305" s="26">
        <v>0.93240093240093236</v>
      </c>
      <c r="N1305" s="28">
        <v>0.9</v>
      </c>
      <c r="O1305" s="26">
        <v>0.96784630940343785</v>
      </c>
      <c r="P1305" s="26">
        <v>0.98588147872933307</v>
      </c>
      <c r="Q1305" s="26">
        <v>0.98622378692790447</v>
      </c>
      <c r="R1305" s="26">
        <v>0.97623461191121252</v>
      </c>
      <c r="S1305" s="28">
        <v>0.9</v>
      </c>
      <c r="T1305" s="26">
        <v>0.84691607684529824</v>
      </c>
      <c r="U1305" s="26">
        <v>0.91826119264350736</v>
      </c>
      <c r="V1305" s="26">
        <v>0.88137149854584418</v>
      </c>
      <c r="W1305" s="26">
        <v>0.89051285707495609</v>
      </c>
      <c r="X1305" s="28">
        <v>0.92</v>
      </c>
      <c r="Y1305" s="28">
        <v>0</v>
      </c>
      <c r="Z1305" s="28">
        <v>0</v>
      </c>
      <c r="AA1305" s="28">
        <v>0</v>
      </c>
      <c r="AB1305" s="28">
        <v>0</v>
      </c>
      <c r="AC1305" s="28">
        <v>0.92</v>
      </c>
      <c r="AD1305" s="26">
        <v>0.99711815561959649</v>
      </c>
      <c r="AE1305" s="26">
        <v>0.98720472440944884</v>
      </c>
      <c r="AF1305" s="26">
        <v>0.99902629016553068</v>
      </c>
      <c r="AG1305" s="26">
        <v>0.99427948787796239</v>
      </c>
      <c r="AH1305" s="28">
        <v>0.92</v>
      </c>
      <c r="AI1305" s="26">
        <v>0.97290192113245699</v>
      </c>
      <c r="AJ1305" s="26">
        <v>0.97937952814415752</v>
      </c>
      <c r="AK1305" s="26">
        <v>0.987601408235114</v>
      </c>
      <c r="AL1305" s="26">
        <v>0.98269879747136268</v>
      </c>
      <c r="AM1305" s="25">
        <v>0.99</v>
      </c>
      <c r="AN1305" s="30">
        <v>1</v>
      </c>
      <c r="AO1305" s="30">
        <v>1</v>
      </c>
      <c r="AP1305" s="30">
        <v>1</v>
      </c>
      <c r="AQ1305" s="30">
        <v>1</v>
      </c>
      <c r="AR1305" s="50">
        <v>7.2186152540827803E-2</v>
      </c>
      <c r="AS1305" s="34">
        <v>5.8823529411764705E-2</v>
      </c>
      <c r="AT1305" s="34">
        <v>0.04</v>
      </c>
      <c r="AU1305" s="34">
        <v>-6.25E-2</v>
      </c>
      <c r="AV1305" s="34">
        <v>3.1446540880503145E-2</v>
      </c>
      <c r="AW1305" s="10"/>
      <c r="AX1305" s="8"/>
    </row>
    <row r="1306" spans="1:50">
      <c r="A1306" s="7"/>
      <c r="B1306" s="10"/>
      <c r="C1306" s="45" t="s">
        <v>1100</v>
      </c>
      <c r="D1306" s="23" t="s">
        <v>25</v>
      </c>
      <c r="E1306" s="83" t="s">
        <v>1350</v>
      </c>
      <c r="F1306" s="83" t="s">
        <v>1350</v>
      </c>
      <c r="G1306" s="83" t="s">
        <v>1350</v>
      </c>
      <c r="H1306" s="83" t="s">
        <v>1350</v>
      </c>
      <c r="I1306" s="25">
        <v>0.9</v>
      </c>
      <c r="J1306" s="26">
        <v>0.93181818181818177</v>
      </c>
      <c r="K1306" s="26">
        <v>0.9555555555555556</v>
      </c>
      <c r="L1306" s="27">
        <v>0.93333333333333335</v>
      </c>
      <c r="M1306" s="26">
        <v>0.91086350974930363</v>
      </c>
      <c r="N1306" s="28">
        <v>0.9</v>
      </c>
      <c r="O1306" s="26">
        <v>0.98811292719167909</v>
      </c>
      <c r="P1306" s="26">
        <v>0.9864153035763793</v>
      </c>
      <c r="Q1306" s="26">
        <v>0.98924479775543606</v>
      </c>
      <c r="R1306" s="26">
        <v>0.98828125</v>
      </c>
      <c r="S1306" s="28">
        <v>0.9</v>
      </c>
      <c r="T1306" s="26">
        <v>0.92451708766716201</v>
      </c>
      <c r="U1306" s="26">
        <v>0.94067091766010535</v>
      </c>
      <c r="V1306" s="26">
        <v>0.92658405424362866</v>
      </c>
      <c r="W1306" s="26">
        <v>0.9364701704545455</v>
      </c>
      <c r="X1306" s="28">
        <v>0.92</v>
      </c>
      <c r="Y1306" s="28">
        <v>0</v>
      </c>
      <c r="Z1306" s="28">
        <v>0</v>
      </c>
      <c r="AA1306" s="28">
        <v>0</v>
      </c>
      <c r="AB1306" s="28">
        <v>0</v>
      </c>
      <c r="AC1306" s="28">
        <v>0.92</v>
      </c>
      <c r="AD1306" s="26">
        <v>1</v>
      </c>
      <c r="AE1306" s="26">
        <v>0.99740932642487046</v>
      </c>
      <c r="AF1306" s="26">
        <v>1</v>
      </c>
      <c r="AG1306" s="26">
        <v>0.99231950844854067</v>
      </c>
      <c r="AH1306" s="28">
        <v>0.92</v>
      </c>
      <c r="AI1306" s="26">
        <v>0.95928677563150078</v>
      </c>
      <c r="AJ1306" s="26">
        <v>0.96534516218464095</v>
      </c>
      <c r="AK1306" s="26">
        <v>0.97451484685527234</v>
      </c>
      <c r="AL1306" s="26">
        <v>0.97247869318181823</v>
      </c>
      <c r="AM1306" s="25">
        <v>0.99</v>
      </c>
      <c r="AN1306" s="30">
        <v>1</v>
      </c>
      <c r="AO1306" s="30">
        <v>1</v>
      </c>
      <c r="AP1306" s="30">
        <v>1</v>
      </c>
      <c r="AQ1306" s="30">
        <v>1</v>
      </c>
      <c r="AR1306" s="50">
        <v>7.2186152540827803E-2</v>
      </c>
      <c r="AS1306" s="34">
        <v>8.3333333333333329E-2</v>
      </c>
      <c r="AT1306" s="34">
        <v>0</v>
      </c>
      <c r="AU1306" s="34">
        <v>0</v>
      </c>
      <c r="AV1306" s="34">
        <v>2.7777777777777776E-2</v>
      </c>
      <c r="AW1306" s="10"/>
      <c r="AX1306" s="8"/>
    </row>
    <row r="1307" spans="1:50">
      <c r="A1307" s="7"/>
      <c r="B1307" s="10"/>
      <c r="C1307" s="45" t="s">
        <v>1100</v>
      </c>
      <c r="D1307" s="23" t="s">
        <v>25</v>
      </c>
      <c r="E1307" s="83" t="s">
        <v>1351</v>
      </c>
      <c r="F1307" s="83" t="s">
        <v>1351</v>
      </c>
      <c r="G1307" s="83" t="s">
        <v>1351</v>
      </c>
      <c r="H1307" s="83" t="s">
        <v>1351</v>
      </c>
      <c r="I1307" s="25">
        <v>0.9</v>
      </c>
      <c r="J1307" s="26">
        <v>1</v>
      </c>
      <c r="K1307" s="26">
        <v>0.97297297297297303</v>
      </c>
      <c r="L1307" s="27">
        <v>0.97222222222222221</v>
      </c>
      <c r="M1307" s="26">
        <v>0.95985401459854014</v>
      </c>
      <c r="N1307" s="28">
        <v>0.9</v>
      </c>
      <c r="O1307" s="26">
        <v>0.98041578788791806</v>
      </c>
      <c r="P1307" s="26">
        <v>0.977512097922004</v>
      </c>
      <c r="Q1307" s="26">
        <v>0.98150782361308675</v>
      </c>
      <c r="R1307" s="26">
        <v>0.97932470623233681</v>
      </c>
      <c r="S1307" s="28">
        <v>0.9</v>
      </c>
      <c r="T1307" s="26">
        <v>0.94335643266043989</v>
      </c>
      <c r="U1307" s="26">
        <v>0.97381155707372613</v>
      </c>
      <c r="V1307" s="26">
        <v>0.95353247984826928</v>
      </c>
      <c r="W1307" s="26">
        <v>0.96117804551539487</v>
      </c>
      <c r="X1307" s="28">
        <v>0.92</v>
      </c>
      <c r="Y1307" s="28">
        <v>0</v>
      </c>
      <c r="Z1307" s="28">
        <v>0</v>
      </c>
      <c r="AA1307" s="28">
        <v>0</v>
      </c>
      <c r="AB1307" s="28">
        <v>0</v>
      </c>
      <c r="AC1307" s="28">
        <v>0.92</v>
      </c>
      <c r="AD1307" s="26">
        <v>1</v>
      </c>
      <c r="AE1307" s="26">
        <v>0.99582463465553239</v>
      </c>
      <c r="AF1307" s="26">
        <v>0.9981308411214953</v>
      </c>
      <c r="AG1307" s="26">
        <v>0.9856447064855165</v>
      </c>
      <c r="AH1307" s="28">
        <v>0.92</v>
      </c>
      <c r="AI1307" s="26">
        <v>0.97288339861404038</v>
      </c>
      <c r="AJ1307" s="26">
        <v>0.98405920865357244</v>
      </c>
      <c r="AK1307" s="26">
        <v>0.98862019914651489</v>
      </c>
      <c r="AL1307" s="26">
        <v>0.9840844860925182</v>
      </c>
      <c r="AM1307" s="25">
        <v>0.99</v>
      </c>
      <c r="AN1307" s="30">
        <v>1</v>
      </c>
      <c r="AO1307" s="30">
        <v>1</v>
      </c>
      <c r="AP1307" s="30">
        <v>1</v>
      </c>
      <c r="AQ1307" s="30">
        <v>1</v>
      </c>
      <c r="AR1307" s="50">
        <v>7.2186152540827803E-2</v>
      </c>
      <c r="AS1307" s="34">
        <v>0</v>
      </c>
      <c r="AT1307" s="34">
        <v>8.3333333333333329E-2</v>
      </c>
      <c r="AU1307" s="34">
        <v>0</v>
      </c>
      <c r="AV1307" s="34">
        <v>8.1967213114754092E-2</v>
      </c>
      <c r="AW1307" s="10"/>
      <c r="AX1307" s="8"/>
    </row>
    <row r="1308" spans="1:50">
      <c r="A1308" s="7"/>
      <c r="B1308" s="10"/>
      <c r="C1308" s="45" t="s">
        <v>1100</v>
      </c>
      <c r="D1308" s="23" t="s">
        <v>25</v>
      </c>
      <c r="E1308" s="83" t="s">
        <v>1352</v>
      </c>
      <c r="F1308" s="83" t="s">
        <v>1352</v>
      </c>
      <c r="G1308" s="83" t="s">
        <v>1352</v>
      </c>
      <c r="H1308" s="83" t="s">
        <v>1352</v>
      </c>
      <c r="I1308" s="25">
        <v>0.9</v>
      </c>
      <c r="J1308" s="26">
        <v>0.92307692307692313</v>
      </c>
      <c r="K1308" s="26">
        <v>0.96</v>
      </c>
      <c r="L1308" s="27">
        <v>0.92592592592592593</v>
      </c>
      <c r="M1308" s="26">
        <v>0.95609756097560972</v>
      </c>
      <c r="N1308" s="28">
        <v>0.9</v>
      </c>
      <c r="O1308" s="26">
        <v>0.95966386554621852</v>
      </c>
      <c r="P1308" s="26">
        <v>0.9876400154499807</v>
      </c>
      <c r="Q1308" s="26">
        <v>0.98696959572335452</v>
      </c>
      <c r="R1308" s="26">
        <v>0.98458730480632728</v>
      </c>
      <c r="S1308" s="28">
        <v>0.9</v>
      </c>
      <c r="T1308" s="26">
        <v>0.86302521008403366</v>
      </c>
      <c r="U1308" s="26">
        <v>0.91734260332174589</v>
      </c>
      <c r="V1308" s="26">
        <v>0.91379886401603738</v>
      </c>
      <c r="W1308" s="26">
        <v>0.90696613263029813</v>
      </c>
      <c r="X1308" s="28">
        <v>0.92</v>
      </c>
      <c r="Y1308" s="28">
        <v>0</v>
      </c>
      <c r="Z1308" s="28">
        <v>0</v>
      </c>
      <c r="AA1308" s="28">
        <v>0</v>
      </c>
      <c r="AB1308" s="28">
        <v>0</v>
      </c>
      <c r="AC1308" s="28">
        <v>0.92</v>
      </c>
      <c r="AD1308" s="26">
        <v>1</v>
      </c>
      <c r="AE1308" s="26">
        <v>0.99591836734693873</v>
      </c>
      <c r="AF1308" s="26">
        <v>0.99595141700404854</v>
      </c>
      <c r="AG1308" s="26">
        <v>0.99018087855297154</v>
      </c>
      <c r="AH1308" s="28">
        <v>0.92</v>
      </c>
      <c r="AI1308" s="26">
        <v>0.94411764705882351</v>
      </c>
      <c r="AJ1308" s="26">
        <v>0.96601004248744693</v>
      </c>
      <c r="AK1308" s="26">
        <v>0.97360507851653855</v>
      </c>
      <c r="AL1308" s="26">
        <v>0.96922530926789696</v>
      </c>
      <c r="AM1308" s="25">
        <v>0.99</v>
      </c>
      <c r="AN1308" s="30">
        <v>1</v>
      </c>
      <c r="AO1308" s="30">
        <v>1</v>
      </c>
      <c r="AP1308" s="30">
        <v>1</v>
      </c>
      <c r="AQ1308" s="30">
        <v>1</v>
      </c>
      <c r="AR1308" s="50">
        <v>7.2186152540827803E-2</v>
      </c>
      <c r="AS1308" s="34">
        <v>0</v>
      </c>
      <c r="AT1308" s="34">
        <v>0</v>
      </c>
      <c r="AU1308" s="34">
        <v>0</v>
      </c>
      <c r="AV1308" s="34">
        <v>4.878048780487805E-2</v>
      </c>
      <c r="AW1308" s="10"/>
      <c r="AX1308" s="8"/>
    </row>
    <row r="1309" spans="1:50">
      <c r="A1309" s="7"/>
      <c r="B1309" s="10"/>
      <c r="C1309" s="45" t="s">
        <v>1100</v>
      </c>
      <c r="D1309" s="23" t="s">
        <v>25</v>
      </c>
      <c r="E1309" s="83" t="s">
        <v>1353</v>
      </c>
      <c r="F1309" s="83" t="s">
        <v>1353</v>
      </c>
      <c r="G1309" s="83" t="s">
        <v>1353</v>
      </c>
      <c r="H1309" s="83" t="s">
        <v>1353</v>
      </c>
      <c r="I1309" s="25">
        <v>0.9</v>
      </c>
      <c r="J1309" s="26">
        <v>0.92682926829268297</v>
      </c>
      <c r="K1309" s="26">
        <v>1</v>
      </c>
      <c r="L1309" s="27">
        <v>0.97674418604651159</v>
      </c>
      <c r="M1309" s="26">
        <v>0.94970414201183428</v>
      </c>
      <c r="N1309" s="28">
        <v>0.9</v>
      </c>
      <c r="O1309" s="26">
        <v>0.97381028425423188</v>
      </c>
      <c r="P1309" s="26">
        <v>0.96500437445319331</v>
      </c>
      <c r="Q1309" s="26">
        <v>0.92462186957599801</v>
      </c>
      <c r="R1309" s="26">
        <v>0.96332954114524083</v>
      </c>
      <c r="S1309" s="28">
        <v>0.9</v>
      </c>
      <c r="T1309" s="26">
        <v>0.93229000319386779</v>
      </c>
      <c r="U1309" s="26">
        <v>0.96325459317585305</v>
      </c>
      <c r="V1309" s="26">
        <v>0.90181006694768162</v>
      </c>
      <c r="W1309" s="26">
        <v>0.94114524080394391</v>
      </c>
      <c r="X1309" s="28">
        <v>0.92</v>
      </c>
      <c r="Y1309" s="28">
        <v>0</v>
      </c>
      <c r="Z1309" s="28">
        <v>0</v>
      </c>
      <c r="AA1309" s="28">
        <v>0</v>
      </c>
      <c r="AB1309" s="28">
        <v>0</v>
      </c>
      <c r="AC1309" s="28">
        <v>0.92</v>
      </c>
      <c r="AD1309" s="26">
        <v>0.99705014749262533</v>
      </c>
      <c r="AE1309" s="26">
        <v>1</v>
      </c>
      <c r="AF1309" s="26">
        <v>0.99728260869565222</v>
      </c>
      <c r="AG1309" s="26">
        <v>0.99310845121508884</v>
      </c>
      <c r="AH1309" s="28">
        <v>0.92</v>
      </c>
      <c r="AI1309" s="26">
        <v>0.97190293742017875</v>
      </c>
      <c r="AJ1309" s="26">
        <v>0.97433654126567515</v>
      </c>
      <c r="AK1309" s="26">
        <v>0.97495660798413097</v>
      </c>
      <c r="AL1309" s="26">
        <v>0.97436578059231727</v>
      </c>
      <c r="AM1309" s="25">
        <v>0.99</v>
      </c>
      <c r="AN1309" s="30">
        <v>1</v>
      </c>
      <c r="AO1309" s="30">
        <v>1</v>
      </c>
      <c r="AP1309" s="30">
        <v>1</v>
      </c>
      <c r="AQ1309" s="30">
        <v>1</v>
      </c>
      <c r="AR1309" s="50">
        <v>7.2186152540827803E-2</v>
      </c>
      <c r="AS1309" s="34">
        <v>0</v>
      </c>
      <c r="AT1309" s="34">
        <v>0</v>
      </c>
      <c r="AU1309" s="34">
        <v>0.33333333333333331</v>
      </c>
      <c r="AV1309" s="34">
        <v>6.8965517241379309E-2</v>
      </c>
      <c r="AW1309" s="10"/>
      <c r="AX1309" s="8"/>
    </row>
    <row r="1310" spans="1:50">
      <c r="A1310" s="7"/>
      <c r="B1310" s="10"/>
      <c r="C1310" s="45" t="s">
        <v>1100</v>
      </c>
      <c r="D1310" s="23" t="s">
        <v>25</v>
      </c>
      <c r="E1310" s="83" t="s">
        <v>1354</v>
      </c>
      <c r="F1310" s="83" t="s">
        <v>1354</v>
      </c>
      <c r="G1310" s="83" t="s">
        <v>1354</v>
      </c>
      <c r="H1310" s="83" t="s">
        <v>1354</v>
      </c>
      <c r="I1310" s="25">
        <v>0.9</v>
      </c>
      <c r="J1310" s="26">
        <v>0.95833333333333337</v>
      </c>
      <c r="K1310" s="26">
        <v>0.79166666666666663</v>
      </c>
      <c r="L1310" s="27">
        <v>0.91304347826086951</v>
      </c>
      <c r="M1310" s="26">
        <v>0.92473118279569888</v>
      </c>
      <c r="N1310" s="28">
        <v>0.9</v>
      </c>
      <c r="O1310" s="26">
        <v>0.98750743604997027</v>
      </c>
      <c r="P1310" s="26">
        <v>0.97915492957746475</v>
      </c>
      <c r="Q1310" s="26">
        <v>0.98858447488584478</v>
      </c>
      <c r="R1310" s="26">
        <v>0.98030695914219634</v>
      </c>
      <c r="S1310" s="28">
        <v>0.9</v>
      </c>
      <c r="T1310" s="26">
        <v>0.95716835217132656</v>
      </c>
      <c r="U1310" s="26">
        <v>0.93521126760563378</v>
      </c>
      <c r="V1310" s="26">
        <v>0.93789954337899539</v>
      </c>
      <c r="W1310" s="26">
        <v>0.9510827668371995</v>
      </c>
      <c r="X1310" s="28">
        <v>0.92</v>
      </c>
      <c r="Y1310" s="28">
        <v>0</v>
      </c>
      <c r="Z1310" s="28">
        <v>0</v>
      </c>
      <c r="AA1310" s="28">
        <v>0</v>
      </c>
      <c r="AB1310" s="28">
        <v>0</v>
      </c>
      <c r="AC1310" s="28">
        <v>0.92</v>
      </c>
      <c r="AD1310" s="26">
        <v>0.99775784753363228</v>
      </c>
      <c r="AE1310" s="26">
        <v>0.98841698841698844</v>
      </c>
      <c r="AF1310" s="26">
        <v>0.99676375404530748</v>
      </c>
      <c r="AG1310" s="26">
        <v>0.99182375652963883</v>
      </c>
      <c r="AH1310" s="28">
        <v>0.92</v>
      </c>
      <c r="AI1310" s="26">
        <v>0.97263533610945863</v>
      </c>
      <c r="AJ1310" s="26">
        <v>0.98478873239436615</v>
      </c>
      <c r="AK1310" s="26">
        <v>0.98767123287671232</v>
      </c>
      <c r="AL1310" s="26">
        <v>0.98430163291050532</v>
      </c>
      <c r="AM1310" s="25">
        <v>0.99</v>
      </c>
      <c r="AN1310" s="30">
        <v>1</v>
      </c>
      <c r="AO1310" s="30">
        <v>1</v>
      </c>
      <c r="AP1310" s="30">
        <v>1</v>
      </c>
      <c r="AQ1310" s="30">
        <v>1</v>
      </c>
      <c r="AR1310" s="50">
        <v>7.2186152540827803E-2</v>
      </c>
      <c r="AS1310" s="34">
        <v>0</v>
      </c>
      <c r="AT1310" s="34">
        <v>0.125</v>
      </c>
      <c r="AU1310" s="34">
        <v>0</v>
      </c>
      <c r="AV1310" s="34">
        <v>6.6666666666666666E-2</v>
      </c>
      <c r="AW1310" s="10"/>
      <c r="AX1310" s="8"/>
    </row>
    <row r="1311" spans="1:50">
      <c r="A1311" s="7"/>
      <c r="B1311" s="10"/>
      <c r="C1311" s="45" t="s">
        <v>1100</v>
      </c>
      <c r="D1311" s="23" t="s">
        <v>25</v>
      </c>
      <c r="E1311" s="83" t="s">
        <v>1355</v>
      </c>
      <c r="F1311" s="83" t="s">
        <v>1355</v>
      </c>
      <c r="G1311" s="83" t="s">
        <v>1355</v>
      </c>
      <c r="H1311" s="83" t="s">
        <v>1355</v>
      </c>
      <c r="I1311" s="25">
        <v>0.9</v>
      </c>
      <c r="J1311" s="26">
        <v>1</v>
      </c>
      <c r="K1311" s="26">
        <v>0.95454545454545459</v>
      </c>
      <c r="L1311" s="27">
        <v>1</v>
      </c>
      <c r="M1311" s="26">
        <v>0.97701149425287359</v>
      </c>
      <c r="N1311" s="28">
        <v>0.9</v>
      </c>
      <c r="O1311" s="26">
        <v>0.98626553302812292</v>
      </c>
      <c r="P1311" s="26">
        <v>0.99171597633136099</v>
      </c>
      <c r="Q1311" s="26">
        <v>0.97969807391983343</v>
      </c>
      <c r="R1311" s="26">
        <v>0.98813912485975319</v>
      </c>
      <c r="S1311" s="28">
        <v>0.9</v>
      </c>
      <c r="T1311" s="26">
        <v>0.96664486592544141</v>
      </c>
      <c r="U1311" s="26">
        <v>0.90532544378698221</v>
      </c>
      <c r="V1311" s="26">
        <v>0.9156689224362311</v>
      </c>
      <c r="W1311" s="26">
        <v>0.95423946145215577</v>
      </c>
      <c r="X1311" s="28">
        <v>0.92</v>
      </c>
      <c r="Y1311" s="28">
        <v>0</v>
      </c>
      <c r="Z1311" s="28">
        <v>0</v>
      </c>
      <c r="AA1311" s="28">
        <v>0</v>
      </c>
      <c r="AB1311" s="28">
        <v>0</v>
      </c>
      <c r="AC1311" s="28">
        <v>0.92</v>
      </c>
      <c r="AD1311" s="26">
        <v>1</v>
      </c>
      <c r="AE1311" s="26">
        <v>1</v>
      </c>
      <c r="AF1311" s="26">
        <v>1</v>
      </c>
      <c r="AG1311" s="26">
        <v>0.99807692307692308</v>
      </c>
      <c r="AH1311" s="28">
        <v>0.92</v>
      </c>
      <c r="AI1311" s="26">
        <v>0.97710922171353831</v>
      </c>
      <c r="AJ1311" s="26">
        <v>0.97692307692307689</v>
      </c>
      <c r="AK1311" s="26">
        <v>0.97605413846954714</v>
      </c>
      <c r="AL1311" s="26">
        <v>0.9827696746273441</v>
      </c>
      <c r="AM1311" s="25">
        <v>0.99</v>
      </c>
      <c r="AN1311" s="30">
        <v>1</v>
      </c>
      <c r="AO1311" s="30">
        <v>1</v>
      </c>
      <c r="AP1311" s="30">
        <v>1</v>
      </c>
      <c r="AQ1311" s="30">
        <v>1</v>
      </c>
      <c r="AR1311" s="50">
        <v>7.2186152540827803E-2</v>
      </c>
      <c r="AS1311" s="34">
        <v>0</v>
      </c>
      <c r="AT1311" s="34">
        <v>0</v>
      </c>
      <c r="AU1311" s="34">
        <v>0</v>
      </c>
      <c r="AV1311" s="34">
        <v>3.125E-2</v>
      </c>
      <c r="AW1311" s="10"/>
      <c r="AX1311" s="8"/>
    </row>
    <row r="1312" spans="1:50">
      <c r="A1312" s="7"/>
      <c r="B1312" s="10"/>
      <c r="C1312" s="45" t="s">
        <v>1100</v>
      </c>
      <c r="D1312" s="23" t="s">
        <v>25</v>
      </c>
      <c r="E1312" s="83" t="s">
        <v>1356</v>
      </c>
      <c r="F1312" s="83" t="s">
        <v>1356</v>
      </c>
      <c r="G1312" s="83" t="s">
        <v>1356</v>
      </c>
      <c r="H1312" s="83" t="s">
        <v>1356</v>
      </c>
      <c r="I1312" s="25">
        <v>0.9</v>
      </c>
      <c r="J1312" s="26">
        <v>0.75</v>
      </c>
      <c r="K1312" s="26">
        <v>0.95833333333333337</v>
      </c>
      <c r="L1312" s="27">
        <v>0.95833333333333337</v>
      </c>
      <c r="M1312" s="26">
        <v>0.89583333333333337</v>
      </c>
      <c r="N1312" s="28">
        <v>0.9</v>
      </c>
      <c r="O1312" s="26">
        <v>0.97264957264957264</v>
      </c>
      <c r="P1312" s="26">
        <v>0.98879202988792025</v>
      </c>
      <c r="Q1312" s="26">
        <v>0.98720892095769108</v>
      </c>
      <c r="R1312" s="26">
        <v>0.97583844212044712</v>
      </c>
      <c r="S1312" s="28">
        <v>0.9</v>
      </c>
      <c r="T1312" s="26">
        <v>0.76581196581196587</v>
      </c>
      <c r="U1312" s="26">
        <v>0.75508509755085096</v>
      </c>
      <c r="V1312" s="26">
        <v>0.75696949819612991</v>
      </c>
      <c r="W1312" s="26">
        <v>0.76709082479006752</v>
      </c>
      <c r="X1312" s="28">
        <v>0.92</v>
      </c>
      <c r="Y1312" s="28">
        <v>0</v>
      </c>
      <c r="Z1312" s="28">
        <v>0</v>
      </c>
      <c r="AA1312" s="28">
        <v>0</v>
      </c>
      <c r="AB1312" s="28">
        <v>0</v>
      </c>
      <c r="AC1312" s="28">
        <v>0.92</v>
      </c>
      <c r="AD1312" s="26">
        <v>0.96907216494845361</v>
      </c>
      <c r="AE1312" s="26">
        <v>1</v>
      </c>
      <c r="AF1312" s="26">
        <v>1</v>
      </c>
      <c r="AG1312" s="26">
        <v>0.98929336188436834</v>
      </c>
      <c r="AH1312" s="28">
        <v>0.92</v>
      </c>
      <c r="AI1312" s="26">
        <v>0.9555555555555556</v>
      </c>
      <c r="AJ1312" s="26">
        <v>0.96430053964300544</v>
      </c>
      <c r="AK1312" s="26">
        <v>0.97671367661528374</v>
      </c>
      <c r="AL1312" s="26">
        <v>0.97115037865128018</v>
      </c>
      <c r="AM1312" s="25">
        <v>0.99</v>
      </c>
      <c r="AN1312" s="30">
        <v>1</v>
      </c>
      <c r="AO1312" s="30">
        <v>1</v>
      </c>
      <c r="AP1312" s="30">
        <v>1</v>
      </c>
      <c r="AQ1312" s="30">
        <v>1</v>
      </c>
      <c r="AR1312" s="50">
        <v>7.2186152540827803E-2</v>
      </c>
      <c r="AS1312" s="34">
        <v>0</v>
      </c>
      <c r="AT1312" s="34">
        <v>0</v>
      </c>
      <c r="AU1312" s="34">
        <v>0.125</v>
      </c>
      <c r="AV1312" s="34">
        <v>0.10714285714285714</v>
      </c>
      <c r="AW1312" s="10"/>
      <c r="AX1312" s="8"/>
    </row>
    <row r="1313" spans="1:50">
      <c r="A1313" s="7"/>
      <c r="B1313" s="10"/>
      <c r="C1313" s="45" t="s">
        <v>1100</v>
      </c>
      <c r="D1313" s="23" t="s">
        <v>25</v>
      </c>
      <c r="E1313" s="83" t="s">
        <v>1357</v>
      </c>
      <c r="F1313" s="83" t="s">
        <v>1357</v>
      </c>
      <c r="G1313" s="83" t="s">
        <v>1357</v>
      </c>
      <c r="H1313" s="83" t="s">
        <v>1357</v>
      </c>
      <c r="I1313" s="25">
        <v>0.9</v>
      </c>
      <c r="J1313" s="26">
        <v>0.96153846153846156</v>
      </c>
      <c r="K1313" s="26">
        <v>0.88</v>
      </c>
      <c r="L1313" s="27">
        <v>0.93103448275862066</v>
      </c>
      <c r="M1313" s="26">
        <v>0.91549295774647887</v>
      </c>
      <c r="N1313" s="28">
        <v>0.9</v>
      </c>
      <c r="O1313" s="26">
        <v>0.98088685015290522</v>
      </c>
      <c r="P1313" s="26">
        <v>0.96813256851497764</v>
      </c>
      <c r="Q1313" s="26">
        <v>0.97410241318422597</v>
      </c>
      <c r="R1313" s="26">
        <v>0.95773516715189233</v>
      </c>
      <c r="S1313" s="28">
        <v>0.9</v>
      </c>
      <c r="T1313" s="26">
        <v>0.94113149847094801</v>
      </c>
      <c r="U1313" s="26">
        <v>0.93753983428935628</v>
      </c>
      <c r="V1313" s="26">
        <v>0.9464390818128311</v>
      </c>
      <c r="W1313" s="26">
        <v>0.93805842786868787</v>
      </c>
      <c r="X1313" s="28">
        <v>0.92</v>
      </c>
      <c r="Y1313" s="28">
        <v>0.96826568265682655</v>
      </c>
      <c r="Z1313" s="28">
        <v>0.95894736842105266</v>
      </c>
      <c r="AA1313" s="28">
        <v>0.97518610421836227</v>
      </c>
      <c r="AB1313" s="28">
        <v>0.96607933666258361</v>
      </c>
      <c r="AC1313" s="28">
        <v>0.92</v>
      </c>
      <c r="AD1313" s="26">
        <v>0.99312557286892755</v>
      </c>
      <c r="AE1313" s="26">
        <v>0.99573863636363635</v>
      </c>
      <c r="AF1313" s="26">
        <v>0.93266951161688005</v>
      </c>
      <c r="AG1313" s="26">
        <v>0.98845865312481962</v>
      </c>
      <c r="AH1313" s="28">
        <v>0.92</v>
      </c>
      <c r="AI1313" s="26">
        <v>0.97108524220803605</v>
      </c>
      <c r="AJ1313" s="26">
        <v>0.97459309249702264</v>
      </c>
      <c r="AK1313" s="26">
        <v>0.98486932599724897</v>
      </c>
      <c r="AL1313" s="26">
        <v>0.97521263669501823</v>
      </c>
      <c r="AM1313" s="25">
        <v>0.99</v>
      </c>
      <c r="AN1313" s="30">
        <v>1</v>
      </c>
      <c r="AO1313" s="30">
        <v>1</v>
      </c>
      <c r="AP1313" s="30">
        <v>1</v>
      </c>
      <c r="AQ1313" s="30">
        <v>1</v>
      </c>
      <c r="AR1313" s="50">
        <v>7.2186152540827803E-2</v>
      </c>
      <c r="AS1313" s="34">
        <v>0</v>
      </c>
      <c r="AT1313" s="34">
        <v>0</v>
      </c>
      <c r="AU1313" s="34">
        <v>0.25</v>
      </c>
      <c r="AV1313" s="34">
        <v>4.6875E-2</v>
      </c>
      <c r="AW1313" s="10"/>
      <c r="AX1313" s="8"/>
    </row>
    <row r="1314" spans="1:50">
      <c r="A1314" s="7"/>
      <c r="B1314" s="10"/>
      <c r="C1314" s="45" t="s">
        <v>1100</v>
      </c>
      <c r="D1314" s="23" t="s">
        <v>25</v>
      </c>
      <c r="E1314" s="83" t="s">
        <v>1358</v>
      </c>
      <c r="F1314" s="83" t="s">
        <v>1358</v>
      </c>
      <c r="G1314" s="83" t="s">
        <v>1358</v>
      </c>
      <c r="H1314" s="83" t="s">
        <v>1358</v>
      </c>
      <c r="I1314" s="25">
        <v>0.9</v>
      </c>
      <c r="J1314" s="26">
        <v>0.89189189189189189</v>
      </c>
      <c r="K1314" s="26">
        <v>0.86842105263157898</v>
      </c>
      <c r="L1314" s="27">
        <v>0.92500000000000004</v>
      </c>
      <c r="M1314" s="26">
        <v>0.85423728813559319</v>
      </c>
      <c r="N1314" s="28">
        <v>0.9</v>
      </c>
      <c r="O1314" s="26">
        <v>0.91109785202863958</v>
      </c>
      <c r="P1314" s="26">
        <v>0.82835820895522383</v>
      </c>
      <c r="Q1314" s="26">
        <v>0.80478648521820739</v>
      </c>
      <c r="R1314" s="26">
        <v>0.83404287101351859</v>
      </c>
      <c r="S1314" s="28">
        <v>0.9</v>
      </c>
      <c r="T1314" s="26">
        <v>0.9701670644391408</v>
      </c>
      <c r="U1314" s="26">
        <v>0.96169154228855724</v>
      </c>
      <c r="V1314" s="26">
        <v>0.88503050211168466</v>
      </c>
      <c r="W1314" s="26">
        <v>0.9534692658152214</v>
      </c>
      <c r="X1314" s="28">
        <v>0.92</v>
      </c>
      <c r="Y1314" s="28">
        <v>0.98071979434447298</v>
      </c>
      <c r="Z1314" s="28">
        <v>0.9848121502797762</v>
      </c>
      <c r="AA1314" s="28">
        <v>0.97636103151862463</v>
      </c>
      <c r="AB1314" s="28">
        <v>0.97928807686249808</v>
      </c>
      <c r="AC1314" s="28">
        <v>0.92</v>
      </c>
      <c r="AD1314" s="26">
        <v>0.99473684210526314</v>
      </c>
      <c r="AE1314" s="26">
        <v>0.99776286353467558</v>
      </c>
      <c r="AF1314" s="26">
        <v>1</v>
      </c>
      <c r="AG1314" s="26">
        <v>0.99811158798283262</v>
      </c>
      <c r="AH1314" s="28">
        <v>0.92</v>
      </c>
      <c r="AI1314" s="26">
        <v>0.98452970297029707</v>
      </c>
      <c r="AJ1314" s="26">
        <v>0.98988040478380868</v>
      </c>
      <c r="AK1314" s="26">
        <v>0.98667422738871557</v>
      </c>
      <c r="AL1314" s="26">
        <v>0.98608555657773689</v>
      </c>
      <c r="AM1314" s="25">
        <v>0.99</v>
      </c>
      <c r="AN1314" s="30">
        <v>1</v>
      </c>
      <c r="AO1314" s="30">
        <v>1</v>
      </c>
      <c r="AP1314" s="30">
        <v>1</v>
      </c>
      <c r="AQ1314" s="30">
        <v>1</v>
      </c>
      <c r="AR1314" s="50">
        <v>7.2186152540827803E-2</v>
      </c>
      <c r="AS1314" s="34">
        <v>0</v>
      </c>
      <c r="AT1314" s="34">
        <v>1.8181818181818181E-2</v>
      </c>
      <c r="AU1314" s="34">
        <v>9.0909090909090905E-3</v>
      </c>
      <c r="AV1314" s="34">
        <v>2.554278416347382E-2</v>
      </c>
      <c r="AW1314" s="10"/>
      <c r="AX1314" s="8"/>
    </row>
    <row r="1315" spans="1:50">
      <c r="A1315" s="7"/>
      <c r="B1315" s="10"/>
      <c r="C1315" s="45" t="s">
        <v>1100</v>
      </c>
      <c r="D1315" s="23" t="s">
        <v>25</v>
      </c>
      <c r="E1315" s="83" t="s">
        <v>1359</v>
      </c>
      <c r="F1315" s="83" t="s">
        <v>1359</v>
      </c>
      <c r="G1315" s="83" t="s">
        <v>1359</v>
      </c>
      <c r="H1315" s="83" t="s">
        <v>1359</v>
      </c>
      <c r="I1315" s="25">
        <v>0.9</v>
      </c>
      <c r="J1315" s="26">
        <v>0.96491228070175439</v>
      </c>
      <c r="K1315" s="26">
        <v>0.93442622950819676</v>
      </c>
      <c r="L1315" s="27">
        <v>0.93103448275862066</v>
      </c>
      <c r="M1315" s="26">
        <v>0.92935982339955847</v>
      </c>
      <c r="N1315" s="28">
        <v>0.9</v>
      </c>
      <c r="O1315" s="26">
        <v>0.97226011823556158</v>
      </c>
      <c r="P1315" s="26">
        <v>0.96425636811832371</v>
      </c>
      <c r="Q1315" s="26">
        <v>0.96270048489369642</v>
      </c>
      <c r="R1315" s="26">
        <v>0.96499383891564916</v>
      </c>
      <c r="S1315" s="28">
        <v>0.9</v>
      </c>
      <c r="T1315" s="26">
        <v>0.90177353342428379</v>
      </c>
      <c r="U1315" s="26">
        <v>0.88167625308134756</v>
      </c>
      <c r="V1315" s="26">
        <v>0.90003729951510625</v>
      </c>
      <c r="W1315" s="26">
        <v>0.89173294499831968</v>
      </c>
      <c r="X1315" s="28">
        <v>0.92</v>
      </c>
      <c r="Y1315" s="28">
        <v>0.96193628465039305</v>
      </c>
      <c r="Z1315" s="28">
        <v>0.95586652314316467</v>
      </c>
      <c r="AA1315" s="28">
        <v>0.96017699115044253</v>
      </c>
      <c r="AB1315" s="28">
        <v>0.96167319184009892</v>
      </c>
      <c r="AC1315" s="28">
        <v>0.92</v>
      </c>
      <c r="AD1315" s="26">
        <v>0.989247311827957</v>
      </c>
      <c r="AE1315" s="26">
        <v>0.996248124062031</v>
      </c>
      <c r="AF1315" s="26">
        <v>0.99691040164778577</v>
      </c>
      <c r="AG1315" s="26">
        <v>0.99643276987312013</v>
      </c>
      <c r="AH1315" s="28">
        <v>0.92</v>
      </c>
      <c r="AI1315" s="26">
        <v>0.96815424610051992</v>
      </c>
      <c r="AJ1315" s="26">
        <v>0.96831314072693386</v>
      </c>
      <c r="AK1315" s="26">
        <v>0.97484033288174954</v>
      </c>
      <c r="AL1315" s="26">
        <v>0.97177202962326925</v>
      </c>
      <c r="AM1315" s="25">
        <v>0.99</v>
      </c>
      <c r="AN1315" s="30">
        <v>1</v>
      </c>
      <c r="AO1315" s="30">
        <v>1</v>
      </c>
      <c r="AP1315" s="30">
        <v>1</v>
      </c>
      <c r="AQ1315" s="30">
        <v>1</v>
      </c>
      <c r="AR1315" s="50">
        <v>7.2186152540827803E-2</v>
      </c>
      <c r="AS1315" s="34">
        <v>0</v>
      </c>
      <c r="AT1315" s="34">
        <v>1.2987012987012988E-2</v>
      </c>
      <c r="AU1315" s="34">
        <v>1.2048192771084338E-2</v>
      </c>
      <c r="AV1315" s="34">
        <v>2.1113243761996161E-2</v>
      </c>
      <c r="AW1315" s="10"/>
      <c r="AX1315" s="8"/>
    </row>
    <row r="1316" spans="1:50">
      <c r="A1316" s="7"/>
      <c r="B1316" s="10"/>
      <c r="C1316" s="45" t="s">
        <v>1100</v>
      </c>
      <c r="D1316" s="23" t="s">
        <v>25</v>
      </c>
      <c r="E1316" s="83" t="s">
        <v>1360</v>
      </c>
      <c r="F1316" s="83" t="s">
        <v>1360</v>
      </c>
      <c r="G1316" s="83" t="s">
        <v>1360</v>
      </c>
      <c r="H1316" s="83" t="s">
        <v>1360</v>
      </c>
      <c r="I1316" s="25">
        <v>0.9</v>
      </c>
      <c r="J1316" s="26">
        <v>0.97619047619047616</v>
      </c>
      <c r="K1316" s="26">
        <v>0.9375</v>
      </c>
      <c r="L1316" s="27">
        <v>0.89583333333333337</v>
      </c>
      <c r="M1316" s="26">
        <v>0.91316526610644255</v>
      </c>
      <c r="N1316" s="28">
        <v>0.9</v>
      </c>
      <c r="O1316" s="26">
        <v>0.96703296703296704</v>
      </c>
      <c r="P1316" s="26">
        <v>0.9768637532133676</v>
      </c>
      <c r="Q1316" s="26">
        <v>0.97704389850986706</v>
      </c>
      <c r="R1316" s="26">
        <v>0.9758321933424533</v>
      </c>
      <c r="S1316" s="28">
        <v>0.9</v>
      </c>
      <c r="T1316" s="26">
        <v>0.88958660387231814</v>
      </c>
      <c r="U1316" s="26">
        <v>0.90574121679520136</v>
      </c>
      <c r="V1316" s="26">
        <v>0.90898107128473615</v>
      </c>
      <c r="W1316" s="26">
        <v>0.90456647775389221</v>
      </c>
      <c r="X1316" s="28">
        <v>0.92</v>
      </c>
      <c r="Y1316" s="28">
        <v>0.93293991416309008</v>
      </c>
      <c r="Z1316" s="28">
        <v>0.95140470766894458</v>
      </c>
      <c r="AA1316" s="28">
        <v>0.9595267745952677</v>
      </c>
      <c r="AB1316" s="28">
        <v>0.95045546890359789</v>
      </c>
      <c r="AC1316" s="28">
        <v>0.92</v>
      </c>
      <c r="AD1316" s="26">
        <v>1</v>
      </c>
      <c r="AE1316" s="26">
        <v>0.98452012383900933</v>
      </c>
      <c r="AF1316" s="26">
        <v>0.99732977303070758</v>
      </c>
      <c r="AG1316" s="26">
        <v>0.99538698103536649</v>
      </c>
      <c r="AH1316" s="28">
        <v>0.92</v>
      </c>
      <c r="AI1316" s="26">
        <v>0.94913907284768206</v>
      </c>
      <c r="AJ1316" s="26">
        <v>0.96851040525739318</v>
      </c>
      <c r="AK1316" s="26">
        <v>0.97114208853020301</v>
      </c>
      <c r="AL1316" s="26">
        <v>0.96419587729901013</v>
      </c>
      <c r="AM1316" s="25">
        <v>0.99</v>
      </c>
      <c r="AN1316" s="30">
        <v>1</v>
      </c>
      <c r="AO1316" s="30">
        <v>1</v>
      </c>
      <c r="AP1316" s="30">
        <v>1</v>
      </c>
      <c r="AQ1316" s="30">
        <v>1</v>
      </c>
      <c r="AR1316" s="50">
        <v>7.2186152540827803E-2</v>
      </c>
      <c r="AS1316" s="34">
        <v>0.15384615384615385</v>
      </c>
      <c r="AT1316" s="34">
        <v>7.1428571428571425E-2</v>
      </c>
      <c r="AU1316" s="34">
        <v>4.3010752688172046E-2</v>
      </c>
      <c r="AV1316" s="34">
        <v>3.237410071942446E-2</v>
      </c>
      <c r="AW1316" s="10"/>
      <c r="AX1316" s="8"/>
    </row>
    <row r="1317" spans="1:50">
      <c r="A1317" s="7"/>
      <c r="B1317" s="10"/>
      <c r="C1317" s="45" t="s">
        <v>1100</v>
      </c>
      <c r="D1317" s="23" t="s">
        <v>25</v>
      </c>
      <c r="E1317" s="83" t="s">
        <v>1361</v>
      </c>
      <c r="F1317" s="83" t="s">
        <v>1361</v>
      </c>
      <c r="G1317" s="83" t="s">
        <v>1361</v>
      </c>
      <c r="H1317" s="83" t="s">
        <v>1361</v>
      </c>
      <c r="I1317" s="25">
        <v>0.9</v>
      </c>
      <c r="J1317" s="26">
        <v>0.9375</v>
      </c>
      <c r="K1317" s="26">
        <v>0.9375</v>
      </c>
      <c r="L1317" s="27">
        <v>0.94444444444444442</v>
      </c>
      <c r="M1317" s="26">
        <v>0.93129770992366412</v>
      </c>
      <c r="N1317" s="28">
        <v>0.9</v>
      </c>
      <c r="O1317" s="26">
        <v>0.9826771653543307</v>
      </c>
      <c r="P1317" s="26">
        <v>0.99382716049382713</v>
      </c>
      <c r="Q1317" s="26">
        <v>0.99215070643642067</v>
      </c>
      <c r="R1317" s="26">
        <v>0.99202056919939707</v>
      </c>
      <c r="S1317" s="28">
        <v>0.9</v>
      </c>
      <c r="T1317" s="26">
        <v>0.89685039370078745</v>
      </c>
      <c r="U1317" s="26">
        <v>0.89969135802469136</v>
      </c>
      <c r="V1317" s="26">
        <v>0.93197278911564629</v>
      </c>
      <c r="W1317" s="26">
        <v>0.91160563879776579</v>
      </c>
      <c r="X1317" s="28">
        <v>0.92</v>
      </c>
      <c r="Y1317" s="28">
        <v>0</v>
      </c>
      <c r="Z1317" s="28">
        <v>0</v>
      </c>
      <c r="AA1317" s="28">
        <v>0</v>
      </c>
      <c r="AB1317" s="28">
        <v>0</v>
      </c>
      <c r="AC1317" s="28">
        <v>0.92</v>
      </c>
      <c r="AD1317" s="26">
        <v>1</v>
      </c>
      <c r="AE1317" s="26">
        <v>0.96296296296296291</v>
      </c>
      <c r="AF1317" s="26">
        <v>0.97142857142857142</v>
      </c>
      <c r="AG1317" s="26">
        <v>0.99145299145299148</v>
      </c>
      <c r="AH1317" s="28">
        <v>0.92</v>
      </c>
      <c r="AI1317" s="26">
        <v>0.96062992125984248</v>
      </c>
      <c r="AJ1317" s="26">
        <v>0.97685185185185186</v>
      </c>
      <c r="AK1317" s="26">
        <v>0.98691784406070115</v>
      </c>
      <c r="AL1317" s="26">
        <v>0.98022874368295065</v>
      </c>
      <c r="AM1317" s="25">
        <v>0.99</v>
      </c>
      <c r="AN1317" s="30">
        <v>1</v>
      </c>
      <c r="AO1317" s="30">
        <v>1</v>
      </c>
      <c r="AP1317" s="30">
        <v>1</v>
      </c>
      <c r="AQ1317" s="30">
        <v>1</v>
      </c>
      <c r="AR1317" s="50">
        <v>7.2186152540827803E-2</v>
      </c>
      <c r="AS1317" s="34">
        <v>9.433962264150943E-3</v>
      </c>
      <c r="AT1317" s="34">
        <v>4.9180327868852458E-2</v>
      </c>
      <c r="AU1317" s="34">
        <v>0</v>
      </c>
      <c r="AV1317" s="34">
        <v>2.4590163934426229E-2</v>
      </c>
      <c r="AW1317" s="10"/>
      <c r="AX1317" s="8"/>
    </row>
    <row r="1318" spans="1:50">
      <c r="A1318" s="7"/>
      <c r="B1318" s="10"/>
      <c r="C1318" s="45" t="s">
        <v>1100</v>
      </c>
      <c r="D1318" s="23" t="s">
        <v>25</v>
      </c>
      <c r="E1318" s="83" t="s">
        <v>1362</v>
      </c>
      <c r="F1318" s="83" t="s">
        <v>1362</v>
      </c>
      <c r="G1318" s="83" t="s">
        <v>1362</v>
      </c>
      <c r="H1318" s="83" t="s">
        <v>1362</v>
      </c>
      <c r="I1318" s="25">
        <v>0.9</v>
      </c>
      <c r="J1318" s="26">
        <v>0.86206896551724133</v>
      </c>
      <c r="K1318" s="26">
        <v>0.95081967213114749</v>
      </c>
      <c r="L1318" s="27">
        <v>0.96923076923076923</v>
      </c>
      <c r="M1318" s="26">
        <v>0.90963855421686746</v>
      </c>
      <c r="N1318" s="28">
        <v>0.9</v>
      </c>
      <c r="O1318" s="26">
        <v>0.98303886925795048</v>
      </c>
      <c r="P1318" s="26">
        <v>0.96119574590399537</v>
      </c>
      <c r="Q1318" s="26">
        <v>0.90130445483632782</v>
      </c>
      <c r="R1318" s="26">
        <v>0.95861107480503638</v>
      </c>
      <c r="S1318" s="28">
        <v>0.9</v>
      </c>
      <c r="T1318" s="26">
        <v>0.93392226148409896</v>
      </c>
      <c r="U1318" s="26">
        <v>0.92986490370796204</v>
      </c>
      <c r="V1318" s="26">
        <v>0.92173270982032984</v>
      </c>
      <c r="W1318" s="26">
        <v>0.92741689539493743</v>
      </c>
      <c r="X1318" s="28">
        <v>0.92</v>
      </c>
      <c r="Y1318" s="28">
        <v>0.94854742737136855</v>
      </c>
      <c r="Z1318" s="28">
        <v>0.97458033573141489</v>
      </c>
      <c r="AA1318" s="28">
        <v>0.97336065573770492</v>
      </c>
      <c r="AB1318" s="28">
        <v>0.96997731619445804</v>
      </c>
      <c r="AC1318" s="28">
        <v>0.92</v>
      </c>
      <c r="AD1318" s="26">
        <v>0.99582172701949856</v>
      </c>
      <c r="AE1318" s="26">
        <v>0.99273447820343463</v>
      </c>
      <c r="AF1318" s="26">
        <v>0.97916666666666663</v>
      </c>
      <c r="AG1318" s="26">
        <v>0.97205392305362015</v>
      </c>
      <c r="AH1318" s="28">
        <v>0.92</v>
      </c>
      <c r="AI1318" s="26">
        <v>0.96430455424652717</v>
      </c>
      <c r="AJ1318" s="26">
        <v>0.98418972332015808</v>
      </c>
      <c r="AK1318" s="26">
        <v>0.98308473012455788</v>
      </c>
      <c r="AL1318" s="26">
        <v>0.97931338028169013</v>
      </c>
      <c r="AM1318" s="25">
        <v>0.99</v>
      </c>
      <c r="AN1318" s="30">
        <v>1</v>
      </c>
      <c r="AO1318" s="30">
        <v>1</v>
      </c>
      <c r="AP1318" s="30">
        <v>1</v>
      </c>
      <c r="AQ1318" s="30">
        <v>1</v>
      </c>
      <c r="AR1318" s="50">
        <v>7.2186152540827803E-2</v>
      </c>
      <c r="AS1318" s="34">
        <v>0</v>
      </c>
      <c r="AT1318" s="34">
        <v>8.3333333333333329E-2</v>
      </c>
      <c r="AU1318" s="34">
        <v>0.14285714285714285</v>
      </c>
      <c r="AV1318" s="34">
        <v>3.2967032967032968E-2</v>
      </c>
      <c r="AW1318" s="10"/>
      <c r="AX1318" s="8"/>
    </row>
    <row r="1319" spans="1:50">
      <c r="A1319" s="7"/>
      <c r="B1319" s="10"/>
      <c r="C1319" s="45" t="s">
        <v>1100</v>
      </c>
      <c r="D1319" s="23" t="s">
        <v>25</v>
      </c>
      <c r="E1319" s="83" t="s">
        <v>1363</v>
      </c>
      <c r="F1319" s="83" t="s">
        <v>1363</v>
      </c>
      <c r="G1319" s="83" t="s">
        <v>1363</v>
      </c>
      <c r="H1319" s="83" t="s">
        <v>1363</v>
      </c>
      <c r="I1319" s="25">
        <v>0.9</v>
      </c>
      <c r="J1319" s="26">
        <v>0.90625</v>
      </c>
      <c r="K1319" s="26">
        <v>0.93548387096774188</v>
      </c>
      <c r="L1319" s="27">
        <v>1</v>
      </c>
      <c r="M1319" s="26">
        <v>0.94509803921568625</v>
      </c>
      <c r="N1319" s="28">
        <v>0.9</v>
      </c>
      <c r="O1319" s="26">
        <v>0.94570135746606332</v>
      </c>
      <c r="P1319" s="26">
        <v>0.96320068463842534</v>
      </c>
      <c r="Q1319" s="26">
        <v>0.97377792165749433</v>
      </c>
      <c r="R1319" s="26">
        <v>0.96628533714662856</v>
      </c>
      <c r="S1319" s="28">
        <v>0.9</v>
      </c>
      <c r="T1319" s="26">
        <v>0.92609351432880849</v>
      </c>
      <c r="U1319" s="26">
        <v>0.94137783483097992</v>
      </c>
      <c r="V1319" s="26">
        <v>0.93039818711557143</v>
      </c>
      <c r="W1319" s="26">
        <v>0.93983060169398303</v>
      </c>
      <c r="X1319" s="28">
        <v>0.92</v>
      </c>
      <c r="Y1319" s="28">
        <v>0</v>
      </c>
      <c r="Z1319" s="28">
        <v>0</v>
      </c>
      <c r="AA1319" s="28">
        <v>0</v>
      </c>
      <c r="AB1319" s="28">
        <v>0</v>
      </c>
      <c r="AC1319" s="28">
        <v>0.92</v>
      </c>
      <c r="AD1319" s="26">
        <v>0.99124343257443082</v>
      </c>
      <c r="AE1319" s="26">
        <v>0.97965474722564738</v>
      </c>
      <c r="AF1319" s="26">
        <v>0.99849170437405732</v>
      </c>
      <c r="AG1319" s="26">
        <v>0.99150772657663933</v>
      </c>
      <c r="AH1319" s="28">
        <v>0.92</v>
      </c>
      <c r="AI1319" s="26">
        <v>0.97385620915032678</v>
      </c>
      <c r="AJ1319" s="26">
        <v>0.9841677364142063</v>
      </c>
      <c r="AK1319" s="26">
        <v>0.98705082550987377</v>
      </c>
      <c r="AL1319" s="26">
        <v>0.98300516994830056</v>
      </c>
      <c r="AM1319" s="25">
        <v>0.99</v>
      </c>
      <c r="AN1319" s="30">
        <v>1</v>
      </c>
      <c r="AO1319" s="30">
        <v>1</v>
      </c>
      <c r="AP1319" s="30">
        <v>1</v>
      </c>
      <c r="AQ1319" s="30">
        <v>1</v>
      </c>
      <c r="AR1319" s="50">
        <v>7.2186152540827803E-2</v>
      </c>
      <c r="AS1319" s="34">
        <v>0.16666666666666666</v>
      </c>
      <c r="AT1319" s="34">
        <v>0</v>
      </c>
      <c r="AU1319" s="34">
        <v>0</v>
      </c>
      <c r="AV1319" s="34">
        <v>3.3333333333333333E-2</v>
      </c>
      <c r="AW1319" s="10"/>
      <c r="AX1319" s="8"/>
    </row>
    <row r="1320" spans="1:50">
      <c r="A1320" s="7"/>
      <c r="B1320" s="10"/>
      <c r="C1320" s="45" t="s">
        <v>1100</v>
      </c>
      <c r="D1320" s="23" t="s">
        <v>25</v>
      </c>
      <c r="E1320" s="83" t="s">
        <v>1364</v>
      </c>
      <c r="F1320" s="83" t="s">
        <v>1364</v>
      </c>
      <c r="G1320" s="83" t="s">
        <v>1364</v>
      </c>
      <c r="H1320" s="83" t="s">
        <v>1364</v>
      </c>
      <c r="I1320" s="25">
        <v>0.9</v>
      </c>
      <c r="J1320" s="26">
        <v>0.90322580645161288</v>
      </c>
      <c r="K1320" s="26">
        <v>0.96666666666666667</v>
      </c>
      <c r="L1320" s="27">
        <v>0.93333333333333335</v>
      </c>
      <c r="M1320" s="26">
        <v>0.88381742738589208</v>
      </c>
      <c r="N1320" s="28">
        <v>0.9</v>
      </c>
      <c r="O1320" s="26">
        <v>0.98760107816711595</v>
      </c>
      <c r="P1320" s="26">
        <v>0.98806112702960835</v>
      </c>
      <c r="Q1320" s="26">
        <v>0.98438067562658915</v>
      </c>
      <c r="R1320" s="26">
        <v>0.98778041218311141</v>
      </c>
      <c r="S1320" s="28">
        <v>0.9</v>
      </c>
      <c r="T1320" s="26">
        <v>0.96495956873315369</v>
      </c>
      <c r="U1320" s="26">
        <v>0.940305635148042</v>
      </c>
      <c r="V1320" s="26">
        <v>0.93970214311660005</v>
      </c>
      <c r="W1320" s="26">
        <v>0.95489087482521728</v>
      </c>
      <c r="X1320" s="28">
        <v>0.92</v>
      </c>
      <c r="Y1320" s="28">
        <v>0</v>
      </c>
      <c r="Z1320" s="28">
        <v>0</v>
      </c>
      <c r="AA1320" s="28">
        <v>0</v>
      </c>
      <c r="AB1320" s="28">
        <v>0</v>
      </c>
      <c r="AC1320" s="28">
        <v>0.92</v>
      </c>
      <c r="AD1320" s="26">
        <v>1</v>
      </c>
      <c r="AE1320" s="26">
        <v>1</v>
      </c>
      <c r="AF1320" s="26">
        <v>1</v>
      </c>
      <c r="AG1320" s="26">
        <v>0.99835436094349972</v>
      </c>
      <c r="AH1320" s="28">
        <v>0.92</v>
      </c>
      <c r="AI1320" s="26">
        <v>0.97735849056603774</v>
      </c>
      <c r="AJ1320" s="26">
        <v>0.97994269340974216</v>
      </c>
      <c r="AK1320" s="26">
        <v>0.97965855430439519</v>
      </c>
      <c r="AL1320" s="26">
        <v>0.97890449267432667</v>
      </c>
      <c r="AM1320" s="25">
        <v>0.99</v>
      </c>
      <c r="AN1320" s="30">
        <v>1</v>
      </c>
      <c r="AO1320" s="30">
        <v>1</v>
      </c>
      <c r="AP1320" s="30">
        <v>1</v>
      </c>
      <c r="AQ1320" s="30">
        <v>1</v>
      </c>
      <c r="AR1320" s="50">
        <v>7.2186152540827803E-2</v>
      </c>
      <c r="AS1320" s="34">
        <v>0</v>
      </c>
      <c r="AT1320" s="34">
        <v>0.125</v>
      </c>
      <c r="AU1320" s="34">
        <v>0</v>
      </c>
      <c r="AV1320" s="34">
        <v>3.125E-2</v>
      </c>
      <c r="AW1320" s="10"/>
      <c r="AX1320" s="8"/>
    </row>
    <row r="1321" spans="1:50">
      <c r="A1321" s="7"/>
      <c r="B1321" s="10"/>
      <c r="C1321" s="45" t="s">
        <v>1100</v>
      </c>
      <c r="D1321" s="23" t="s">
        <v>25</v>
      </c>
      <c r="E1321" s="83" t="s">
        <v>1365</v>
      </c>
      <c r="F1321" s="83" t="s">
        <v>1365</v>
      </c>
      <c r="G1321" s="83" t="s">
        <v>1365</v>
      </c>
      <c r="H1321" s="83" t="s">
        <v>1365</v>
      </c>
      <c r="I1321" s="25">
        <v>0.9</v>
      </c>
      <c r="J1321" s="26">
        <v>1</v>
      </c>
      <c r="K1321" s="26">
        <v>1</v>
      </c>
      <c r="L1321" s="27">
        <v>0.93548387096774188</v>
      </c>
      <c r="M1321" s="26">
        <v>0.96052631578947367</v>
      </c>
      <c r="N1321" s="28">
        <v>0.9</v>
      </c>
      <c r="O1321" s="26">
        <v>0.98545765611633873</v>
      </c>
      <c r="P1321" s="26">
        <v>0.98867497168742924</v>
      </c>
      <c r="Q1321" s="26">
        <v>0.95534749729924384</v>
      </c>
      <c r="R1321" s="26">
        <v>0.98077534159516999</v>
      </c>
      <c r="S1321" s="28">
        <v>0.9</v>
      </c>
      <c r="T1321" s="26">
        <v>0.95038494439692045</v>
      </c>
      <c r="U1321" s="26">
        <v>0.96526991317478295</v>
      </c>
      <c r="V1321" s="26">
        <v>0.94490457328051858</v>
      </c>
      <c r="W1321" s="26">
        <v>0.95731384387247109</v>
      </c>
      <c r="X1321" s="28">
        <v>0.92</v>
      </c>
      <c r="Y1321" s="28">
        <v>0</v>
      </c>
      <c r="Z1321" s="28">
        <v>0</v>
      </c>
      <c r="AA1321" s="28">
        <v>0</v>
      </c>
      <c r="AB1321" s="28">
        <v>0</v>
      </c>
      <c r="AC1321" s="28">
        <v>0.92</v>
      </c>
      <c r="AD1321" s="26">
        <v>1</v>
      </c>
      <c r="AE1321" s="26">
        <v>1</v>
      </c>
      <c r="AF1321" s="26">
        <v>0.96</v>
      </c>
      <c r="AG1321" s="26">
        <v>0.99521002210759024</v>
      </c>
      <c r="AH1321" s="28">
        <v>0.92</v>
      </c>
      <c r="AI1321" s="26">
        <v>0.98375374091492096</v>
      </c>
      <c r="AJ1321" s="26">
        <v>0.98754246885617214</v>
      </c>
      <c r="AK1321" s="26">
        <v>0.9830752610731005</v>
      </c>
      <c r="AL1321" s="26">
        <v>0.98623100142985753</v>
      </c>
      <c r="AM1321" s="25">
        <v>0.99</v>
      </c>
      <c r="AN1321" s="30">
        <v>1</v>
      </c>
      <c r="AO1321" s="30">
        <v>1</v>
      </c>
      <c r="AP1321" s="30">
        <v>1</v>
      </c>
      <c r="AQ1321" s="30">
        <v>1</v>
      </c>
      <c r="AR1321" s="50">
        <v>7.2186152540827803E-2</v>
      </c>
      <c r="AS1321" s="34">
        <v>0</v>
      </c>
      <c r="AT1321" s="34">
        <v>0.16666666666666666</v>
      </c>
      <c r="AU1321" s="34">
        <v>0</v>
      </c>
      <c r="AV1321" s="34">
        <v>0.04</v>
      </c>
      <c r="AW1321" s="10"/>
      <c r="AX1321" s="8"/>
    </row>
    <row r="1322" spans="1:50">
      <c r="A1322" s="7"/>
      <c r="B1322" s="10"/>
      <c r="C1322" s="45" t="s">
        <v>1100</v>
      </c>
      <c r="D1322" s="23" t="s">
        <v>25</v>
      </c>
      <c r="E1322" s="83" t="s">
        <v>1366</v>
      </c>
      <c r="F1322" s="83" t="s">
        <v>1366</v>
      </c>
      <c r="G1322" s="83" t="s">
        <v>1366</v>
      </c>
      <c r="H1322" s="83" t="s">
        <v>1366</v>
      </c>
      <c r="I1322" s="25">
        <v>0.9</v>
      </c>
      <c r="J1322" s="26">
        <v>0.92592592592592593</v>
      </c>
      <c r="K1322" s="26">
        <v>0.93103448275862066</v>
      </c>
      <c r="L1322" s="27">
        <v>0.96296296296296291</v>
      </c>
      <c r="M1322" s="26">
        <v>0.93838862559241709</v>
      </c>
      <c r="N1322" s="28">
        <v>0.9</v>
      </c>
      <c r="O1322" s="26">
        <v>0.94980859208847301</v>
      </c>
      <c r="P1322" s="26">
        <v>0.96822429906542051</v>
      </c>
      <c r="Q1322" s="26">
        <v>0.88371313672922247</v>
      </c>
      <c r="R1322" s="26">
        <v>0.94749415472196807</v>
      </c>
      <c r="S1322" s="28">
        <v>0.9</v>
      </c>
      <c r="T1322" s="26">
        <v>0.90004253509145049</v>
      </c>
      <c r="U1322" s="26">
        <v>0.93233644859813081</v>
      </c>
      <c r="V1322" s="26">
        <v>0.88840482573726542</v>
      </c>
      <c r="W1322" s="26">
        <v>0.90652637999390062</v>
      </c>
      <c r="X1322" s="28">
        <v>0.92</v>
      </c>
      <c r="Y1322" s="28">
        <v>0</v>
      </c>
      <c r="Z1322" s="28">
        <v>0</v>
      </c>
      <c r="AA1322" s="28">
        <v>0</v>
      </c>
      <c r="AB1322" s="28">
        <v>0.5</v>
      </c>
      <c r="AC1322" s="28">
        <v>0.92</v>
      </c>
      <c r="AD1322" s="26">
        <v>0.99594868332207964</v>
      </c>
      <c r="AE1322" s="26">
        <v>0.98824343015214389</v>
      </c>
      <c r="AF1322" s="26">
        <v>0.9977443609022556</v>
      </c>
      <c r="AG1322" s="26">
        <v>0.99377677200355619</v>
      </c>
      <c r="AH1322" s="28">
        <v>0.92</v>
      </c>
      <c r="AI1322" s="26">
        <v>0.94683113568694177</v>
      </c>
      <c r="AJ1322" s="26">
        <v>0.95478325859491775</v>
      </c>
      <c r="AK1322" s="26">
        <v>0.96481233243967823</v>
      </c>
      <c r="AL1322" s="26">
        <v>0.95868272602530868</v>
      </c>
      <c r="AM1322" s="25">
        <v>0.99</v>
      </c>
      <c r="AN1322" s="30">
        <v>1</v>
      </c>
      <c r="AO1322" s="30">
        <v>1</v>
      </c>
      <c r="AP1322" s="30">
        <v>1</v>
      </c>
      <c r="AQ1322" s="30">
        <v>1</v>
      </c>
      <c r="AR1322" s="50">
        <v>7.2186152540827803E-2</v>
      </c>
      <c r="AS1322" s="34">
        <v>0</v>
      </c>
      <c r="AT1322" s="34">
        <v>0</v>
      </c>
      <c r="AU1322" s="34">
        <v>0</v>
      </c>
      <c r="AV1322" s="34">
        <v>1.6129032258064516E-2</v>
      </c>
      <c r="AW1322" s="10"/>
      <c r="AX1322" s="8"/>
    </row>
    <row r="1323" spans="1:50">
      <c r="A1323" s="7"/>
      <c r="B1323" s="10"/>
      <c r="C1323" s="45" t="s">
        <v>1100</v>
      </c>
      <c r="D1323" s="23" t="s">
        <v>25</v>
      </c>
      <c r="E1323" s="83" t="s">
        <v>1367</v>
      </c>
      <c r="F1323" s="83" t="s">
        <v>1367</v>
      </c>
      <c r="G1323" s="83" t="s">
        <v>1367</v>
      </c>
      <c r="H1323" s="83" t="s">
        <v>1367</v>
      </c>
      <c r="I1323" s="25">
        <v>0.9</v>
      </c>
      <c r="J1323" s="26">
        <v>0.96491228070175439</v>
      </c>
      <c r="K1323" s="26">
        <v>0.96551724137931039</v>
      </c>
      <c r="L1323" s="27">
        <v>0.92982456140350878</v>
      </c>
      <c r="M1323" s="26">
        <v>0.94026548672566368</v>
      </c>
      <c r="N1323" s="28">
        <v>0.9</v>
      </c>
      <c r="O1323" s="26">
        <v>0.98150749063670417</v>
      </c>
      <c r="P1323" s="26">
        <v>0.9813964170877354</v>
      </c>
      <c r="Q1323" s="26">
        <v>0.93583100836986843</v>
      </c>
      <c r="R1323" s="26">
        <v>0.97400541807445284</v>
      </c>
      <c r="S1323" s="28">
        <v>0.9</v>
      </c>
      <c r="T1323" s="26">
        <v>0.90566479400749067</v>
      </c>
      <c r="U1323" s="26">
        <v>0.9056040422599908</v>
      </c>
      <c r="V1323" s="26">
        <v>0.89736946990833</v>
      </c>
      <c r="W1323" s="26">
        <v>0.91461966943658113</v>
      </c>
      <c r="X1323" s="28">
        <v>0.92</v>
      </c>
      <c r="Y1323" s="28">
        <v>0.95035460992907805</v>
      </c>
      <c r="Z1323" s="28">
        <v>0.94123556002009046</v>
      </c>
      <c r="AA1323" s="28">
        <v>0.94644317252657395</v>
      </c>
      <c r="AB1323" s="28">
        <v>0.94317118802619271</v>
      </c>
      <c r="AC1323" s="28">
        <v>0.92</v>
      </c>
      <c r="AD1323" s="26">
        <v>1</v>
      </c>
      <c r="AE1323" s="26">
        <v>1</v>
      </c>
      <c r="AF1323" s="26">
        <v>1</v>
      </c>
      <c r="AG1323" s="26">
        <v>0.99686434901158827</v>
      </c>
      <c r="AH1323" s="28">
        <v>0.92</v>
      </c>
      <c r="AI1323" s="26">
        <v>0.96363636363636362</v>
      </c>
      <c r="AJ1323" s="26">
        <v>0.96517491333123229</v>
      </c>
      <c r="AK1323" s="26">
        <v>0.96972132904608788</v>
      </c>
      <c r="AL1323" s="26">
        <v>0.96605352174696268</v>
      </c>
      <c r="AM1323" s="25">
        <v>0.99</v>
      </c>
      <c r="AN1323" s="30">
        <v>1</v>
      </c>
      <c r="AO1323" s="30">
        <v>1</v>
      </c>
      <c r="AP1323" s="30">
        <v>1</v>
      </c>
      <c r="AQ1323" s="30">
        <v>1</v>
      </c>
      <c r="AR1323" s="50">
        <v>7.2186152540827803E-2</v>
      </c>
      <c r="AS1323" s="34">
        <v>7.4999999999999997E-2</v>
      </c>
      <c r="AT1323" s="34">
        <v>0</v>
      </c>
      <c r="AU1323" s="34">
        <v>0</v>
      </c>
      <c r="AV1323" s="34">
        <v>2.8469750889679714E-2</v>
      </c>
      <c r="AW1323" s="10"/>
      <c r="AX1323" s="8"/>
    </row>
    <row r="1324" spans="1:50">
      <c r="A1324" s="7"/>
      <c r="B1324" s="10"/>
      <c r="C1324" s="45" t="s">
        <v>1100</v>
      </c>
      <c r="D1324" s="23" t="s">
        <v>25</v>
      </c>
      <c r="E1324" s="83" t="s">
        <v>1368</v>
      </c>
      <c r="F1324" s="83" t="s">
        <v>1368</v>
      </c>
      <c r="G1324" s="83" t="s">
        <v>1368</v>
      </c>
      <c r="H1324" s="83" t="s">
        <v>1368</v>
      </c>
      <c r="I1324" s="25">
        <v>0.9</v>
      </c>
      <c r="J1324" s="26">
        <v>1</v>
      </c>
      <c r="K1324" s="26">
        <v>1</v>
      </c>
      <c r="L1324" s="27">
        <v>0.9375</v>
      </c>
      <c r="M1324" s="26">
        <v>0.98328690807799446</v>
      </c>
      <c r="N1324" s="28">
        <v>0.9</v>
      </c>
      <c r="O1324" s="26">
        <v>0.93264248704663211</v>
      </c>
      <c r="P1324" s="26">
        <v>0.95777075553002011</v>
      </c>
      <c r="Q1324" s="26">
        <v>0.91683991683991684</v>
      </c>
      <c r="R1324" s="26">
        <v>0.94907991889513754</v>
      </c>
      <c r="S1324" s="28">
        <v>0.9</v>
      </c>
      <c r="T1324" s="26">
        <v>0.92098445595854928</v>
      </c>
      <c r="U1324" s="26">
        <v>0.92502154553289284</v>
      </c>
      <c r="V1324" s="26">
        <v>0.91528066528066532</v>
      </c>
      <c r="W1324" s="26">
        <v>0.9240215769539768</v>
      </c>
      <c r="X1324" s="28">
        <v>0.92</v>
      </c>
      <c r="Y1324" s="28">
        <v>0</v>
      </c>
      <c r="Z1324" s="28">
        <v>0</v>
      </c>
      <c r="AA1324" s="28">
        <v>0</v>
      </c>
      <c r="AB1324" s="28">
        <v>0</v>
      </c>
      <c r="AC1324" s="28">
        <v>0.92</v>
      </c>
      <c r="AD1324" s="26">
        <v>1</v>
      </c>
      <c r="AE1324" s="26">
        <v>0.99823008849557526</v>
      </c>
      <c r="AF1324" s="26">
        <v>0.99624765478424016</v>
      </c>
      <c r="AG1324" s="26">
        <v>0.99808114035087714</v>
      </c>
      <c r="AH1324" s="28">
        <v>0.92</v>
      </c>
      <c r="AI1324" s="26">
        <v>0.96211139896373055</v>
      </c>
      <c r="AJ1324" s="26">
        <v>0.96725079000287273</v>
      </c>
      <c r="AK1324" s="26">
        <v>0.97063409563409564</v>
      </c>
      <c r="AL1324" s="26">
        <v>0.96595126056849923</v>
      </c>
      <c r="AM1324" s="25">
        <v>0.99</v>
      </c>
      <c r="AN1324" s="30">
        <v>1</v>
      </c>
      <c r="AO1324" s="30">
        <v>1</v>
      </c>
      <c r="AP1324" s="30">
        <v>1</v>
      </c>
      <c r="AQ1324" s="30">
        <v>1</v>
      </c>
      <c r="AR1324" s="50">
        <v>7.2186152540827803E-2</v>
      </c>
      <c r="AS1324" s="34">
        <v>7.6923076923076927E-2</v>
      </c>
      <c r="AT1324" s="34">
        <v>0</v>
      </c>
      <c r="AU1324" s="34">
        <v>0.04</v>
      </c>
      <c r="AV1324" s="34">
        <v>3.482587064676617E-2</v>
      </c>
      <c r="AW1324" s="10"/>
      <c r="AX1324" s="8"/>
    </row>
    <row r="1325" spans="1:50">
      <c r="A1325" s="7"/>
      <c r="B1325" s="10"/>
      <c r="C1325" s="45" t="s">
        <v>1100</v>
      </c>
      <c r="D1325" s="23" t="s">
        <v>25</v>
      </c>
      <c r="E1325" s="83" t="s">
        <v>1369</v>
      </c>
      <c r="F1325" s="83" t="s">
        <v>1369</v>
      </c>
      <c r="G1325" s="83" t="s">
        <v>1369</v>
      </c>
      <c r="H1325" s="83" t="s">
        <v>1369</v>
      </c>
      <c r="I1325" s="25">
        <v>0.9</v>
      </c>
      <c r="J1325" s="26">
        <v>0.8571428571428571</v>
      </c>
      <c r="K1325" s="26">
        <v>0.97222222222222221</v>
      </c>
      <c r="L1325" s="27">
        <v>0.91891891891891897</v>
      </c>
      <c r="M1325" s="26">
        <v>0.92779783393501802</v>
      </c>
      <c r="N1325" s="28">
        <v>0.9</v>
      </c>
      <c r="O1325" s="26">
        <v>0.98620689655172411</v>
      </c>
      <c r="P1325" s="26">
        <v>0.99258710155670871</v>
      </c>
      <c r="Q1325" s="26">
        <v>0.99007279947054927</v>
      </c>
      <c r="R1325" s="26">
        <v>0.98826846583757111</v>
      </c>
      <c r="S1325" s="28">
        <v>0.9</v>
      </c>
      <c r="T1325" s="26">
        <v>0.96422413793103445</v>
      </c>
      <c r="U1325" s="26">
        <v>0.95737583395107484</v>
      </c>
      <c r="V1325" s="26">
        <v>0.96161482461945735</v>
      </c>
      <c r="W1325" s="26">
        <v>0.95463471124313981</v>
      </c>
      <c r="X1325" s="28">
        <v>0.92</v>
      </c>
      <c r="Y1325" s="28">
        <v>0</v>
      </c>
      <c r="Z1325" s="28">
        <v>0</v>
      </c>
      <c r="AA1325" s="28">
        <v>0</v>
      </c>
      <c r="AB1325" s="28">
        <v>0.5</v>
      </c>
      <c r="AC1325" s="28">
        <v>0.92</v>
      </c>
      <c r="AD1325" s="26">
        <v>0.99593495934959353</v>
      </c>
      <c r="AE1325" s="26">
        <v>1</v>
      </c>
      <c r="AF1325" s="26">
        <v>1</v>
      </c>
      <c r="AG1325" s="26">
        <v>0.99711934156378601</v>
      </c>
      <c r="AH1325" s="28">
        <v>0.92</v>
      </c>
      <c r="AI1325" s="26">
        <v>0.97673416630762599</v>
      </c>
      <c r="AJ1325" s="26">
        <v>0.98480355819125276</v>
      </c>
      <c r="AK1325" s="26">
        <v>0.98643282594308401</v>
      </c>
      <c r="AL1325" s="26">
        <v>0.98101998691033576</v>
      </c>
      <c r="AM1325" s="25">
        <v>0.99</v>
      </c>
      <c r="AN1325" s="30">
        <v>1</v>
      </c>
      <c r="AO1325" s="30">
        <v>1</v>
      </c>
      <c r="AP1325" s="30">
        <v>1</v>
      </c>
      <c r="AQ1325" s="30">
        <v>1</v>
      </c>
      <c r="AR1325" s="50">
        <v>7.2186152540827803E-2</v>
      </c>
      <c r="AS1325" s="34">
        <v>0.14285714285714285</v>
      </c>
      <c r="AT1325" s="34">
        <v>0</v>
      </c>
      <c r="AU1325" s="34">
        <v>0</v>
      </c>
      <c r="AV1325" s="34">
        <v>1.7543859649122806E-2</v>
      </c>
      <c r="AW1325" s="10"/>
      <c r="AX1325" s="8"/>
    </row>
    <row r="1326" spans="1:50">
      <c r="A1326" s="7"/>
      <c r="B1326" s="10"/>
      <c r="C1326" s="45" t="s">
        <v>1100</v>
      </c>
      <c r="D1326" s="23" t="s">
        <v>25</v>
      </c>
      <c r="E1326" s="83" t="s">
        <v>1370</v>
      </c>
      <c r="F1326" s="83" t="s">
        <v>1370</v>
      </c>
      <c r="G1326" s="83" t="s">
        <v>1370</v>
      </c>
      <c r="H1326" s="83" t="s">
        <v>1370</v>
      </c>
      <c r="I1326" s="25">
        <v>0.9</v>
      </c>
      <c r="J1326" s="26">
        <v>0.9</v>
      </c>
      <c r="K1326" s="26">
        <v>0.97368421052631582</v>
      </c>
      <c r="L1326" s="27">
        <v>0.92500000000000004</v>
      </c>
      <c r="M1326" s="26">
        <v>0.94019933554817281</v>
      </c>
      <c r="N1326" s="28">
        <v>0.9</v>
      </c>
      <c r="O1326" s="26">
        <v>0.98609241812471959</v>
      </c>
      <c r="P1326" s="26">
        <v>0.98916967509025266</v>
      </c>
      <c r="Q1326" s="26">
        <v>0.95746214852198985</v>
      </c>
      <c r="R1326" s="26">
        <v>0.97425217720560398</v>
      </c>
      <c r="S1326" s="28">
        <v>0.9</v>
      </c>
      <c r="T1326" s="26">
        <v>0.95917451772095108</v>
      </c>
      <c r="U1326" s="26">
        <v>0.96109105495387082</v>
      </c>
      <c r="V1326" s="26">
        <v>0.96142754145638065</v>
      </c>
      <c r="W1326" s="26">
        <v>0.95337264023367774</v>
      </c>
      <c r="X1326" s="28">
        <v>0.92</v>
      </c>
      <c r="Y1326" s="28">
        <v>0</v>
      </c>
      <c r="Z1326" s="28">
        <v>0</v>
      </c>
      <c r="AA1326" s="28">
        <v>0</v>
      </c>
      <c r="AB1326" s="28">
        <v>0</v>
      </c>
      <c r="AC1326" s="28">
        <v>0.92</v>
      </c>
      <c r="AD1326" s="26">
        <v>1</v>
      </c>
      <c r="AE1326" s="26">
        <v>1</v>
      </c>
      <c r="AF1326" s="26">
        <v>1</v>
      </c>
      <c r="AG1326" s="26">
        <v>0.99916666666666665</v>
      </c>
      <c r="AH1326" s="28">
        <v>0.92</v>
      </c>
      <c r="AI1326" s="26">
        <v>0.97397936294302379</v>
      </c>
      <c r="AJ1326" s="26">
        <v>0.97914159647011634</v>
      </c>
      <c r="AK1326" s="26">
        <v>0.98341744772891126</v>
      </c>
      <c r="AL1326" s="26">
        <v>0.98036458051603825</v>
      </c>
      <c r="AM1326" s="25">
        <v>0.99</v>
      </c>
      <c r="AN1326" s="30">
        <v>1</v>
      </c>
      <c r="AO1326" s="30">
        <v>1</v>
      </c>
      <c r="AP1326" s="30">
        <v>1</v>
      </c>
      <c r="AQ1326" s="30">
        <v>1</v>
      </c>
      <c r="AR1326" s="50">
        <v>7.2186152540827803E-2</v>
      </c>
      <c r="AS1326" s="34">
        <v>0</v>
      </c>
      <c r="AT1326" s="34">
        <v>0</v>
      </c>
      <c r="AU1326" s="34">
        <v>0</v>
      </c>
      <c r="AV1326" s="34">
        <v>2.3255813953488372E-2</v>
      </c>
      <c r="AW1326" s="10"/>
      <c r="AX1326" s="8"/>
    </row>
    <row r="1327" spans="1:50">
      <c r="A1327" s="7"/>
      <c r="B1327" s="10"/>
      <c r="C1327" s="45" t="s">
        <v>1100</v>
      </c>
      <c r="D1327" s="23" t="s">
        <v>25</v>
      </c>
      <c r="E1327" s="83" t="s">
        <v>1371</v>
      </c>
      <c r="F1327" s="83" t="s">
        <v>1371</v>
      </c>
      <c r="G1327" s="83" t="s">
        <v>1371</v>
      </c>
      <c r="H1327" s="83" t="s">
        <v>1371</v>
      </c>
      <c r="I1327" s="25">
        <v>0.9</v>
      </c>
      <c r="J1327" s="26">
        <v>0.875</v>
      </c>
      <c r="K1327" s="26">
        <v>0.84210526315789469</v>
      </c>
      <c r="L1327" s="27">
        <v>0.88524590163934425</v>
      </c>
      <c r="M1327" s="26">
        <v>0.87391304347826082</v>
      </c>
      <c r="N1327" s="28">
        <v>0.9</v>
      </c>
      <c r="O1327" s="26">
        <v>0.97669540899557217</v>
      </c>
      <c r="P1327" s="26">
        <v>0.98639313376596194</v>
      </c>
      <c r="Q1327" s="26">
        <v>0.97819660014781962</v>
      </c>
      <c r="R1327" s="26">
        <v>0.97977976867389671</v>
      </c>
      <c r="S1327" s="28">
        <v>0.9</v>
      </c>
      <c r="T1327" s="26">
        <v>0.91959916103472383</v>
      </c>
      <c r="U1327" s="26">
        <v>0.93322168725141297</v>
      </c>
      <c r="V1327" s="26">
        <v>0.93699186991869921</v>
      </c>
      <c r="W1327" s="26">
        <v>0.92602557346129311</v>
      </c>
      <c r="X1327" s="28">
        <v>0.92</v>
      </c>
      <c r="Y1327" s="28">
        <v>0</v>
      </c>
      <c r="Z1327" s="28">
        <v>0</v>
      </c>
      <c r="AA1327" s="28">
        <v>0</v>
      </c>
      <c r="AB1327" s="28">
        <v>0</v>
      </c>
      <c r="AC1327" s="28">
        <v>0.92</v>
      </c>
      <c r="AD1327" s="26">
        <v>1</v>
      </c>
      <c r="AE1327" s="26">
        <v>1</v>
      </c>
      <c r="AF1327" s="26">
        <v>1</v>
      </c>
      <c r="AG1327" s="26">
        <v>0.9971830985915493</v>
      </c>
      <c r="AH1327" s="28">
        <v>0.92</v>
      </c>
      <c r="AI1327" s="26">
        <v>0.95246971109040079</v>
      </c>
      <c r="AJ1327" s="26">
        <v>0.96859953945991206</v>
      </c>
      <c r="AK1327" s="26">
        <v>0.97634885439763486</v>
      </c>
      <c r="AL1327" s="26">
        <v>0.96499694902091304</v>
      </c>
      <c r="AM1327" s="25">
        <v>0.99</v>
      </c>
      <c r="AN1327" s="30">
        <v>1</v>
      </c>
      <c r="AO1327" s="30">
        <v>1</v>
      </c>
      <c r="AP1327" s="30">
        <v>1</v>
      </c>
      <c r="AQ1327" s="30">
        <v>1</v>
      </c>
      <c r="AR1327" s="50">
        <v>7.2186152540827803E-2</v>
      </c>
      <c r="AS1327" s="34">
        <v>0</v>
      </c>
      <c r="AT1327" s="34">
        <v>4.5454545454545456E-2</v>
      </c>
      <c r="AU1327" s="34">
        <v>-7.6923076923076927E-2</v>
      </c>
      <c r="AV1327" s="34">
        <v>3.6036036036036036E-2</v>
      </c>
      <c r="AW1327" s="10"/>
      <c r="AX1327" s="8"/>
    </row>
    <row r="1328" spans="1:50">
      <c r="A1328" s="7"/>
      <c r="B1328" s="10"/>
      <c r="C1328" s="45" t="s">
        <v>1100</v>
      </c>
      <c r="D1328" s="23" t="s">
        <v>25</v>
      </c>
      <c r="E1328" s="83" t="s">
        <v>1372</v>
      </c>
      <c r="F1328" s="83" t="s">
        <v>1372</v>
      </c>
      <c r="G1328" s="83" t="s">
        <v>1372</v>
      </c>
      <c r="H1328" s="83" t="s">
        <v>1372</v>
      </c>
      <c r="I1328" s="25">
        <v>0.9</v>
      </c>
      <c r="J1328" s="26">
        <v>0.97802197802197799</v>
      </c>
      <c r="K1328" s="26">
        <v>0.96907216494845361</v>
      </c>
      <c r="L1328" s="27">
        <v>0.97029702970297027</v>
      </c>
      <c r="M1328" s="26">
        <v>0.96316507503410642</v>
      </c>
      <c r="N1328" s="28">
        <v>0.9</v>
      </c>
      <c r="O1328" s="26">
        <v>0.9745048461862621</v>
      </c>
      <c r="P1328" s="26">
        <v>0.96934278597432455</v>
      </c>
      <c r="Q1328" s="26">
        <v>0.99131077833240899</v>
      </c>
      <c r="R1328" s="26">
        <v>0.9837898267188373</v>
      </c>
      <c r="S1328" s="28">
        <v>0.9</v>
      </c>
      <c r="T1328" s="26">
        <v>0.92793931731984824</v>
      </c>
      <c r="U1328" s="26">
        <v>0.94366736922782146</v>
      </c>
      <c r="V1328" s="26">
        <v>0.93991495655389168</v>
      </c>
      <c r="W1328" s="26">
        <v>0.93790092895738508</v>
      </c>
      <c r="X1328" s="28">
        <v>0.92</v>
      </c>
      <c r="Y1328" s="28">
        <v>0.91697247706422014</v>
      </c>
      <c r="Z1328" s="28">
        <v>0.96306068601583117</v>
      </c>
      <c r="AA1328" s="28">
        <v>0.95809248554913296</v>
      </c>
      <c r="AB1328" s="28">
        <v>0.9558385539693951</v>
      </c>
      <c r="AC1328" s="28">
        <v>0.92</v>
      </c>
      <c r="AD1328" s="26">
        <v>0.99821428571428572</v>
      </c>
      <c r="AE1328" s="26">
        <v>0.99092558983666057</v>
      </c>
      <c r="AF1328" s="26">
        <v>0.88770999115826699</v>
      </c>
      <c r="AG1328" s="26">
        <v>0.98075853631409182</v>
      </c>
      <c r="AH1328" s="28">
        <v>0.92</v>
      </c>
      <c r="AI1328" s="26">
        <v>0.96303782847242281</v>
      </c>
      <c r="AJ1328" s="26">
        <v>0.97918056853062863</v>
      </c>
      <c r="AK1328" s="26">
        <v>0.97957935925654194</v>
      </c>
      <c r="AL1328" s="26">
        <v>0.97724563494846084</v>
      </c>
      <c r="AM1328" s="25">
        <v>0.99</v>
      </c>
      <c r="AN1328" s="30">
        <v>1</v>
      </c>
      <c r="AO1328" s="30">
        <v>1</v>
      </c>
      <c r="AP1328" s="30">
        <v>1</v>
      </c>
      <c r="AQ1328" s="30">
        <v>1</v>
      </c>
      <c r="AR1328" s="50">
        <v>7.2186152540827803E-2</v>
      </c>
      <c r="AS1328" s="34">
        <v>0</v>
      </c>
      <c r="AT1328" s="34">
        <v>0.11428571428571428</v>
      </c>
      <c r="AU1328" s="34">
        <v>0</v>
      </c>
      <c r="AV1328" s="34">
        <v>6.7632850241545889E-2</v>
      </c>
      <c r="AW1328" s="10"/>
      <c r="AX1328" s="8"/>
    </row>
    <row r="1329" spans="1:50">
      <c r="A1329" s="7"/>
      <c r="B1329" s="10"/>
      <c r="C1329" s="45" t="s">
        <v>1100</v>
      </c>
      <c r="D1329" s="23" t="s">
        <v>25</v>
      </c>
      <c r="E1329" s="83" t="s">
        <v>1373</v>
      </c>
      <c r="F1329" s="83" t="s">
        <v>1373</v>
      </c>
      <c r="G1329" s="83" t="s">
        <v>1373</v>
      </c>
      <c r="H1329" s="83" t="s">
        <v>1373</v>
      </c>
      <c r="I1329" s="25">
        <v>0.9</v>
      </c>
      <c r="J1329" s="26">
        <v>1</v>
      </c>
      <c r="K1329" s="26">
        <v>1</v>
      </c>
      <c r="L1329" s="27">
        <v>1</v>
      </c>
      <c r="M1329" s="26">
        <v>1</v>
      </c>
      <c r="N1329" s="28">
        <v>0.9</v>
      </c>
      <c r="O1329" s="26">
        <v>0.99249530956848031</v>
      </c>
      <c r="P1329" s="26">
        <v>0.99371398638030384</v>
      </c>
      <c r="Q1329" s="26">
        <v>0.9955223880597015</v>
      </c>
      <c r="R1329" s="26">
        <v>0.99431650428107465</v>
      </c>
      <c r="S1329" s="28">
        <v>0.9</v>
      </c>
      <c r="T1329" s="26">
        <v>0.96747967479674801</v>
      </c>
      <c r="U1329" s="26">
        <v>0.97485594552121535</v>
      </c>
      <c r="V1329" s="26">
        <v>0.96666666666666667</v>
      </c>
      <c r="W1329" s="26">
        <v>0.968187186300561</v>
      </c>
      <c r="X1329" s="28">
        <v>0.92</v>
      </c>
      <c r="Y1329" s="28">
        <v>0</v>
      </c>
      <c r="Z1329" s="28">
        <v>0</v>
      </c>
      <c r="AA1329" s="28">
        <v>0</v>
      </c>
      <c r="AB1329" s="28">
        <v>0</v>
      </c>
      <c r="AC1329" s="28">
        <v>0.92</v>
      </c>
      <c r="AD1329" s="26">
        <v>0.99873417721518987</v>
      </c>
      <c r="AE1329" s="26">
        <v>0.99715909090909094</v>
      </c>
      <c r="AF1329" s="26">
        <v>1</v>
      </c>
      <c r="AG1329" s="26">
        <v>0.99915611814345995</v>
      </c>
      <c r="AH1329" s="28">
        <v>0.92</v>
      </c>
      <c r="AI1329" s="26">
        <v>0.9881175734834271</v>
      </c>
      <c r="AJ1329" s="26">
        <v>0.99476439790575921</v>
      </c>
      <c r="AK1329" s="26">
        <v>0.99353233830845766</v>
      </c>
      <c r="AL1329" s="26">
        <v>0.99261938150417006</v>
      </c>
      <c r="AM1329" s="25">
        <v>0.99</v>
      </c>
      <c r="AN1329" s="30">
        <v>1</v>
      </c>
      <c r="AO1329" s="30">
        <v>1</v>
      </c>
      <c r="AP1329" s="30">
        <v>1</v>
      </c>
      <c r="AQ1329" s="30">
        <v>1</v>
      </c>
      <c r="AR1329" s="50">
        <v>7.2186152540827803E-2</v>
      </c>
      <c r="AS1329" s="34">
        <v>0</v>
      </c>
      <c r="AT1329" s="34">
        <v>0</v>
      </c>
      <c r="AU1329" s="34">
        <v>0</v>
      </c>
      <c r="AV1329" s="34">
        <v>2.564102564102564E-2</v>
      </c>
      <c r="AW1329" s="10"/>
      <c r="AX1329" s="8"/>
    </row>
    <row r="1330" spans="1:50">
      <c r="A1330" s="7"/>
      <c r="B1330" s="10"/>
      <c r="C1330" s="45" t="s">
        <v>1100</v>
      </c>
      <c r="D1330" s="23" t="s">
        <v>25</v>
      </c>
      <c r="E1330" s="83" t="s">
        <v>1374</v>
      </c>
      <c r="F1330" s="83" t="s">
        <v>1374</v>
      </c>
      <c r="G1330" s="83" t="s">
        <v>1374</v>
      </c>
      <c r="H1330" s="83" t="s">
        <v>1374</v>
      </c>
      <c r="I1330" s="25">
        <v>0.9</v>
      </c>
      <c r="J1330" s="26">
        <v>0.92307692307692313</v>
      </c>
      <c r="K1330" s="26">
        <v>0.96969696969696972</v>
      </c>
      <c r="L1330" s="27">
        <v>0.967741935483871</v>
      </c>
      <c r="M1330" s="26">
        <v>0.97435897435897434</v>
      </c>
      <c r="N1330" s="28">
        <v>0.9</v>
      </c>
      <c r="O1330" s="26">
        <v>0.95910184442662394</v>
      </c>
      <c r="P1330" s="26">
        <v>0.98522349464351677</v>
      </c>
      <c r="Q1330" s="26">
        <v>0.98973814578910124</v>
      </c>
      <c r="R1330" s="26">
        <v>0.98022798345606776</v>
      </c>
      <c r="S1330" s="28">
        <v>0.9</v>
      </c>
      <c r="T1330" s="26">
        <v>0.96551724137931039</v>
      </c>
      <c r="U1330" s="26">
        <v>0.98005171776874767</v>
      </c>
      <c r="V1330" s="26">
        <v>0.98089171974522293</v>
      </c>
      <c r="W1330" s="26">
        <v>0.97170382326238269</v>
      </c>
      <c r="X1330" s="28">
        <v>0.92</v>
      </c>
      <c r="Y1330" s="28">
        <v>0</v>
      </c>
      <c r="Z1330" s="28">
        <v>0</v>
      </c>
      <c r="AA1330" s="28">
        <v>0</v>
      </c>
      <c r="AB1330" s="28">
        <v>1</v>
      </c>
      <c r="AC1330" s="28">
        <v>0.92</v>
      </c>
      <c r="AD1330" s="26">
        <v>0.99390243902439024</v>
      </c>
      <c r="AE1330" s="26">
        <v>0.998</v>
      </c>
      <c r="AF1330" s="26">
        <v>0.97957099080694587</v>
      </c>
      <c r="AG1330" s="26">
        <v>0.99505195447798123</v>
      </c>
      <c r="AH1330" s="28">
        <v>0.92</v>
      </c>
      <c r="AI1330" s="26">
        <v>0.99037690457097027</v>
      </c>
      <c r="AJ1330" s="26">
        <v>0.98891762098263758</v>
      </c>
      <c r="AK1330" s="26">
        <v>0.99433828733191787</v>
      </c>
      <c r="AL1330" s="26">
        <v>0.98885358349725128</v>
      </c>
      <c r="AM1330" s="25">
        <v>0.99</v>
      </c>
      <c r="AN1330" s="30">
        <v>1</v>
      </c>
      <c r="AO1330" s="30">
        <v>1</v>
      </c>
      <c r="AP1330" s="30">
        <v>1</v>
      </c>
      <c r="AQ1330" s="30">
        <v>1</v>
      </c>
      <c r="AR1330" s="50">
        <v>7.2186152540827803E-2</v>
      </c>
      <c r="AS1330" s="34">
        <v>0</v>
      </c>
      <c r="AT1330" s="34">
        <v>0</v>
      </c>
      <c r="AU1330" s="34">
        <v>0</v>
      </c>
      <c r="AV1330" s="34">
        <v>1.6949152542372881E-2</v>
      </c>
      <c r="AW1330" s="10"/>
      <c r="AX1330" s="8"/>
    </row>
    <row r="1331" spans="1:50">
      <c r="A1331" s="7"/>
      <c r="B1331" s="10"/>
      <c r="C1331" s="45" t="s">
        <v>1100</v>
      </c>
      <c r="D1331" s="23" t="s">
        <v>25</v>
      </c>
      <c r="E1331" s="83" t="s">
        <v>1375</v>
      </c>
      <c r="F1331" s="83" t="s">
        <v>1375</v>
      </c>
      <c r="G1331" s="83" t="s">
        <v>1375</v>
      </c>
      <c r="H1331" s="83" t="s">
        <v>1375</v>
      </c>
      <c r="I1331" s="25">
        <v>0.9</v>
      </c>
      <c r="J1331" s="26">
        <v>0.97916666666666663</v>
      </c>
      <c r="K1331" s="26">
        <v>1</v>
      </c>
      <c r="L1331" s="27">
        <v>1</v>
      </c>
      <c r="M1331" s="26">
        <v>0.98691099476439792</v>
      </c>
      <c r="N1331" s="28">
        <v>0.9</v>
      </c>
      <c r="O1331" s="26">
        <v>0.99026171637248939</v>
      </c>
      <c r="P1331" s="26">
        <v>0.98554676847559308</v>
      </c>
      <c r="Q1331" s="26">
        <v>0.98782566350133916</v>
      </c>
      <c r="R1331" s="26">
        <v>0.97846642535273698</v>
      </c>
      <c r="S1331" s="28">
        <v>0.9</v>
      </c>
      <c r="T1331" s="26">
        <v>0.96591600730371274</v>
      </c>
      <c r="U1331" s="26">
        <v>0.9631851649850014</v>
      </c>
      <c r="V1331" s="26">
        <v>0.96785975164353544</v>
      </c>
      <c r="W1331" s="26">
        <v>0.96143901898500406</v>
      </c>
      <c r="X1331" s="28">
        <v>0.92</v>
      </c>
      <c r="Y1331" s="28">
        <v>0</v>
      </c>
      <c r="Z1331" s="28">
        <v>0</v>
      </c>
      <c r="AA1331" s="28">
        <v>0</v>
      </c>
      <c r="AB1331" s="28">
        <v>0</v>
      </c>
      <c r="AC1331" s="28">
        <v>0.92</v>
      </c>
      <c r="AD1331" s="26">
        <v>0.9996893445169307</v>
      </c>
      <c r="AE1331" s="26">
        <v>0.9969111969111969</v>
      </c>
      <c r="AF1331" s="26">
        <v>0.99786507258753199</v>
      </c>
      <c r="AG1331" s="26">
        <v>0.99851649655827202</v>
      </c>
      <c r="AH1331" s="28">
        <v>0.92</v>
      </c>
      <c r="AI1331" s="26">
        <v>0.9750456482045039</v>
      </c>
      <c r="AJ1331" s="26">
        <v>0.98418325606763024</v>
      </c>
      <c r="AK1331" s="26">
        <v>0.98539079620160697</v>
      </c>
      <c r="AL1331" s="26">
        <v>0.9828254847645429</v>
      </c>
      <c r="AM1331" s="25">
        <v>0.99</v>
      </c>
      <c r="AN1331" s="30">
        <v>1</v>
      </c>
      <c r="AO1331" s="30">
        <v>1</v>
      </c>
      <c r="AP1331" s="30">
        <v>1</v>
      </c>
      <c r="AQ1331" s="30">
        <v>1</v>
      </c>
      <c r="AR1331" s="50">
        <v>7.2186152540827803E-2</v>
      </c>
      <c r="AS1331" s="34">
        <v>0</v>
      </c>
      <c r="AT1331" s="34">
        <v>0</v>
      </c>
      <c r="AU1331" s="34">
        <v>0.125</v>
      </c>
      <c r="AV1331" s="34">
        <v>3.7499999999999999E-2</v>
      </c>
      <c r="AW1331" s="10"/>
      <c r="AX1331" s="8"/>
    </row>
    <row r="1332" spans="1:50">
      <c r="A1332" s="7"/>
      <c r="B1332" s="10"/>
      <c r="C1332" s="45" t="s">
        <v>1100</v>
      </c>
      <c r="D1332" s="23" t="s">
        <v>25</v>
      </c>
      <c r="E1332" s="83" t="s">
        <v>1376</v>
      </c>
      <c r="F1332" s="83" t="s">
        <v>1376</v>
      </c>
      <c r="G1332" s="83" t="s">
        <v>1376</v>
      </c>
      <c r="H1332" s="83" t="s">
        <v>1376</v>
      </c>
      <c r="I1332" s="25">
        <v>0.9</v>
      </c>
      <c r="J1332" s="26">
        <v>0.95652173913043481</v>
      </c>
      <c r="K1332" s="26">
        <v>1</v>
      </c>
      <c r="L1332" s="27">
        <v>0.98039215686274506</v>
      </c>
      <c r="M1332" s="26">
        <v>0.95967741935483875</v>
      </c>
      <c r="N1332" s="28">
        <v>0.9</v>
      </c>
      <c r="O1332" s="26">
        <v>0.99654714475431605</v>
      </c>
      <c r="P1332" s="26">
        <v>0.992648747989892</v>
      </c>
      <c r="Q1332" s="26">
        <v>0.99303209459459463</v>
      </c>
      <c r="R1332" s="26">
        <v>0.99337623606969083</v>
      </c>
      <c r="S1332" s="28">
        <v>0.9</v>
      </c>
      <c r="T1332" s="26">
        <v>0.97158034528552462</v>
      </c>
      <c r="U1332" s="26">
        <v>0.97794624396967611</v>
      </c>
      <c r="V1332" s="26">
        <v>0.98289695945945943</v>
      </c>
      <c r="W1332" s="26">
        <v>0.97535708679956046</v>
      </c>
      <c r="X1332" s="28">
        <v>0.92</v>
      </c>
      <c r="Y1332" s="28">
        <v>0</v>
      </c>
      <c r="Z1332" s="28">
        <v>0</v>
      </c>
      <c r="AA1332" s="28">
        <v>0</v>
      </c>
      <c r="AB1332" s="28">
        <v>0</v>
      </c>
      <c r="AC1332" s="28">
        <v>0.92</v>
      </c>
      <c r="AD1332" s="26">
        <v>1</v>
      </c>
      <c r="AE1332" s="26">
        <v>0.99572649572649574</v>
      </c>
      <c r="AF1332" s="26">
        <v>1</v>
      </c>
      <c r="AG1332" s="26">
        <v>0.99941211052322165</v>
      </c>
      <c r="AH1332" s="28">
        <v>0.92</v>
      </c>
      <c r="AI1332" s="26">
        <v>0.98725438130642595</v>
      </c>
      <c r="AJ1332" s="26">
        <v>0.99333792786583963</v>
      </c>
      <c r="AK1332" s="26">
        <v>0.99619932432432434</v>
      </c>
      <c r="AL1332" s="26">
        <v>0.99337644399799097</v>
      </c>
      <c r="AM1332" s="25">
        <v>0.99</v>
      </c>
      <c r="AN1332" s="30">
        <v>1</v>
      </c>
      <c r="AO1332" s="30">
        <v>1</v>
      </c>
      <c r="AP1332" s="30">
        <v>1</v>
      </c>
      <c r="AQ1332" s="30">
        <v>1</v>
      </c>
      <c r="AR1332" s="50">
        <v>7.2186152540827803E-2</v>
      </c>
      <c r="AS1332" s="34">
        <v>0</v>
      </c>
      <c r="AT1332" s="34">
        <v>5.2631578947368418E-2</v>
      </c>
      <c r="AU1332" s="34">
        <v>0.1111111111111111</v>
      </c>
      <c r="AV1332" s="34">
        <v>2.6086956521739129E-2</v>
      </c>
      <c r="AW1332" s="10"/>
      <c r="AX1332" s="8"/>
    </row>
    <row r="1333" spans="1:50">
      <c r="A1333" s="7"/>
      <c r="B1333" s="10"/>
      <c r="C1333" s="45" t="s">
        <v>1100</v>
      </c>
      <c r="D1333" s="23" t="s">
        <v>25</v>
      </c>
      <c r="E1333" s="83" t="s">
        <v>1377</v>
      </c>
      <c r="F1333" s="83" t="s">
        <v>1377</v>
      </c>
      <c r="G1333" s="83" t="s">
        <v>1377</v>
      </c>
      <c r="H1333" s="83" t="s">
        <v>1377</v>
      </c>
      <c r="I1333" s="25">
        <v>0.9</v>
      </c>
      <c r="J1333" s="26">
        <v>0.86746987951807231</v>
      </c>
      <c r="K1333" s="26">
        <v>0.88461538461538458</v>
      </c>
      <c r="L1333" s="27">
        <v>0.93902439024390238</v>
      </c>
      <c r="M1333" s="26">
        <v>0.92259083728278046</v>
      </c>
      <c r="N1333" s="28">
        <v>0.9</v>
      </c>
      <c r="O1333" s="26">
        <v>0.95133149678604223</v>
      </c>
      <c r="P1333" s="26">
        <v>0.93725743855109966</v>
      </c>
      <c r="Q1333" s="26">
        <v>0.963882618510158</v>
      </c>
      <c r="R1333" s="26">
        <v>0.95117519826964669</v>
      </c>
      <c r="S1333" s="28">
        <v>0.9</v>
      </c>
      <c r="T1333" s="26">
        <v>0.92079889807162529</v>
      </c>
      <c r="U1333" s="26">
        <v>0.90728762397585161</v>
      </c>
      <c r="V1333" s="26">
        <v>0.90237020316027083</v>
      </c>
      <c r="W1333" s="26">
        <v>0.91512617159336695</v>
      </c>
      <c r="X1333" s="28">
        <v>0.92</v>
      </c>
      <c r="Y1333" s="28">
        <v>0.92163801820020219</v>
      </c>
      <c r="Z1333" s="28">
        <v>0.92790456431535273</v>
      </c>
      <c r="AA1333" s="28">
        <v>0.92445896284197626</v>
      </c>
      <c r="AB1333" s="28">
        <v>0.92235707803992739</v>
      </c>
      <c r="AC1333" s="28">
        <v>0.92</v>
      </c>
      <c r="AD1333" s="26">
        <v>1</v>
      </c>
      <c r="AE1333" s="26">
        <v>0.99835661462612979</v>
      </c>
      <c r="AF1333" s="26">
        <v>0.9966666666666667</v>
      </c>
      <c r="AG1333" s="26">
        <v>0.99907028635180362</v>
      </c>
      <c r="AH1333" s="28">
        <v>0.92</v>
      </c>
      <c r="AI1333" s="26">
        <v>0.95863593305967798</v>
      </c>
      <c r="AJ1333" s="26">
        <v>0.9623819677124581</v>
      </c>
      <c r="AK1333" s="26">
        <v>0.96239536381197677</v>
      </c>
      <c r="AL1333" s="26">
        <v>0.9588415216975722</v>
      </c>
      <c r="AM1333" s="25">
        <v>0.99</v>
      </c>
      <c r="AN1333" s="30">
        <v>1</v>
      </c>
      <c r="AO1333" s="30">
        <v>1</v>
      </c>
      <c r="AP1333" s="30">
        <v>1</v>
      </c>
      <c r="AQ1333" s="30">
        <v>1</v>
      </c>
      <c r="AR1333" s="50">
        <v>7.2186152540827803E-2</v>
      </c>
      <c r="AS1333" s="34">
        <v>0</v>
      </c>
      <c r="AT1333" s="34">
        <v>8.3333333333333329E-2</v>
      </c>
      <c r="AU1333" s="34">
        <v>0</v>
      </c>
      <c r="AV1333" s="34">
        <v>1.4814814814814815E-2</v>
      </c>
      <c r="AW1333" s="10"/>
      <c r="AX1333" s="8"/>
    </row>
    <row r="1334" spans="1:50">
      <c r="A1334" s="7"/>
      <c r="B1334" s="10"/>
      <c r="C1334" s="45" t="s">
        <v>1100</v>
      </c>
      <c r="D1334" s="23" t="s">
        <v>25</v>
      </c>
      <c r="E1334" s="83" t="s">
        <v>1378</v>
      </c>
      <c r="F1334" s="83" t="s">
        <v>1378</v>
      </c>
      <c r="G1334" s="83" t="s">
        <v>1378</v>
      </c>
      <c r="H1334" s="83" t="s">
        <v>1378</v>
      </c>
      <c r="I1334" s="25">
        <v>0.9</v>
      </c>
      <c r="J1334" s="26">
        <v>0.90243902439024393</v>
      </c>
      <c r="K1334" s="26">
        <v>0.90243902439024393</v>
      </c>
      <c r="L1334" s="27">
        <v>0.95454545454545459</v>
      </c>
      <c r="M1334" s="26">
        <v>0.95029239766081874</v>
      </c>
      <c r="N1334" s="28">
        <v>0.9</v>
      </c>
      <c r="O1334" s="26">
        <v>0.92990353697749195</v>
      </c>
      <c r="P1334" s="26">
        <v>0.93032222528229136</v>
      </c>
      <c r="Q1334" s="26">
        <v>0.93170731707317078</v>
      </c>
      <c r="R1334" s="26">
        <v>0.95141832409520699</v>
      </c>
      <c r="S1334" s="28">
        <v>0.9</v>
      </c>
      <c r="T1334" s="26">
        <v>0.8987138263665595</v>
      </c>
      <c r="U1334" s="26">
        <v>0.86890663729000273</v>
      </c>
      <c r="V1334" s="26">
        <v>0.89951219512195124</v>
      </c>
      <c r="W1334" s="26">
        <v>0.90935767851320504</v>
      </c>
      <c r="X1334" s="28">
        <v>0.92</v>
      </c>
      <c r="Y1334" s="28">
        <v>0</v>
      </c>
      <c r="Z1334" s="28">
        <v>0</v>
      </c>
      <c r="AA1334" s="28">
        <v>0</v>
      </c>
      <c r="AB1334" s="28">
        <v>0</v>
      </c>
      <c r="AC1334" s="28">
        <v>0.92</v>
      </c>
      <c r="AD1334" s="26">
        <v>0.99130434782608701</v>
      </c>
      <c r="AE1334" s="26">
        <v>1</v>
      </c>
      <c r="AF1334" s="26">
        <v>0.98901098901098905</v>
      </c>
      <c r="AG1334" s="26">
        <v>0.99186046511627912</v>
      </c>
      <c r="AH1334" s="28">
        <v>0.92</v>
      </c>
      <c r="AI1334" s="26">
        <v>0.96366559485530545</v>
      </c>
      <c r="AJ1334" s="26">
        <v>0.97411181492701737</v>
      </c>
      <c r="AK1334" s="26">
        <v>0.97073884418434531</v>
      </c>
      <c r="AL1334" s="26">
        <v>0.97094623967540938</v>
      </c>
      <c r="AM1334" s="25">
        <v>0.99</v>
      </c>
      <c r="AN1334" s="30">
        <v>1</v>
      </c>
      <c r="AO1334" s="30">
        <v>1</v>
      </c>
      <c r="AP1334" s="30">
        <v>1</v>
      </c>
      <c r="AQ1334" s="30">
        <v>1</v>
      </c>
      <c r="AR1334" s="50">
        <v>7.2186152540827803E-2</v>
      </c>
      <c r="AS1334" s="34">
        <v>0.25</v>
      </c>
      <c r="AT1334" s="34">
        <v>0</v>
      </c>
      <c r="AU1334" s="34">
        <v>0.125</v>
      </c>
      <c r="AV1334" s="34">
        <v>0.11290322580645161</v>
      </c>
      <c r="AW1334" s="10"/>
      <c r="AX1334" s="8"/>
    </row>
    <row r="1335" spans="1:50">
      <c r="A1335" s="7"/>
      <c r="B1335" s="10"/>
      <c r="C1335" s="45" t="s">
        <v>1100</v>
      </c>
      <c r="D1335" s="23" t="s">
        <v>25</v>
      </c>
      <c r="E1335" s="83" t="s">
        <v>1379</v>
      </c>
      <c r="F1335" s="83" t="s">
        <v>1379</v>
      </c>
      <c r="G1335" s="83" t="s">
        <v>1379</v>
      </c>
      <c r="H1335" s="83" t="s">
        <v>1379</v>
      </c>
      <c r="I1335" s="25">
        <v>0.9</v>
      </c>
      <c r="J1335" s="26">
        <v>1</v>
      </c>
      <c r="K1335" s="26">
        <v>0.91176470588235292</v>
      </c>
      <c r="L1335" s="27">
        <v>1</v>
      </c>
      <c r="M1335" s="26">
        <v>0.98120300751879697</v>
      </c>
      <c r="N1335" s="28">
        <v>0.9</v>
      </c>
      <c r="O1335" s="26">
        <v>0.98609022556390979</v>
      </c>
      <c r="P1335" s="26">
        <v>0.91134289439374183</v>
      </c>
      <c r="Q1335" s="26">
        <v>0.99297573435504471</v>
      </c>
      <c r="R1335" s="26">
        <v>0.97685078012870963</v>
      </c>
      <c r="S1335" s="28">
        <v>0.9</v>
      </c>
      <c r="T1335" s="26">
        <v>0.95451127819548875</v>
      </c>
      <c r="U1335" s="26">
        <v>0.93546284224250331</v>
      </c>
      <c r="V1335" s="26">
        <v>0.97605363984674332</v>
      </c>
      <c r="W1335" s="26">
        <v>0.96291494976619285</v>
      </c>
      <c r="X1335" s="28">
        <v>0.92</v>
      </c>
      <c r="Y1335" s="28">
        <v>0</v>
      </c>
      <c r="Z1335" s="28">
        <v>0</v>
      </c>
      <c r="AA1335" s="28">
        <v>0</v>
      </c>
      <c r="AB1335" s="28">
        <v>0</v>
      </c>
      <c r="AC1335" s="28">
        <v>0.92</v>
      </c>
      <c r="AD1335" s="26">
        <v>0.99970997679814388</v>
      </c>
      <c r="AE1335" s="26">
        <v>0.99931972789115642</v>
      </c>
      <c r="AF1335" s="26">
        <v>0.99909310761789605</v>
      </c>
      <c r="AG1335" s="26">
        <v>0.99914718765747956</v>
      </c>
      <c r="AH1335" s="28">
        <v>0.92</v>
      </c>
      <c r="AI1335" s="26">
        <v>0.96729323308270676</v>
      </c>
      <c r="AJ1335" s="26">
        <v>0.98044328552803128</v>
      </c>
      <c r="AK1335" s="26">
        <v>0.98690932311621971</v>
      </c>
      <c r="AL1335" s="26">
        <v>0.97824074074074074</v>
      </c>
      <c r="AM1335" s="25">
        <v>0.99</v>
      </c>
      <c r="AN1335" s="30">
        <v>1</v>
      </c>
      <c r="AO1335" s="30">
        <v>1</v>
      </c>
      <c r="AP1335" s="30">
        <v>1</v>
      </c>
      <c r="AQ1335" s="30">
        <v>1</v>
      </c>
      <c r="AR1335" s="50">
        <v>7.2186152540827803E-2</v>
      </c>
      <c r="AS1335" s="34">
        <v>0</v>
      </c>
      <c r="AT1335" s="34">
        <v>0</v>
      </c>
      <c r="AU1335" s="34">
        <v>0</v>
      </c>
      <c r="AV1335" s="34">
        <v>0</v>
      </c>
      <c r="AW1335" s="10"/>
      <c r="AX1335" s="8"/>
    </row>
    <row r="1336" spans="1:50">
      <c r="A1336" s="7"/>
      <c r="B1336" s="10"/>
      <c r="C1336" s="45" t="s">
        <v>1100</v>
      </c>
      <c r="D1336" s="23" t="s">
        <v>25</v>
      </c>
      <c r="E1336" s="83" t="s">
        <v>1380</v>
      </c>
      <c r="F1336" s="83" t="s">
        <v>1380</v>
      </c>
      <c r="G1336" s="83" t="s">
        <v>1380</v>
      </c>
      <c r="H1336" s="83" t="s">
        <v>1380</v>
      </c>
      <c r="I1336" s="25">
        <v>0.9</v>
      </c>
      <c r="J1336" s="26">
        <v>1</v>
      </c>
      <c r="K1336" s="26">
        <v>1</v>
      </c>
      <c r="L1336" s="27">
        <v>1</v>
      </c>
      <c r="M1336" s="26">
        <v>0.96531791907514453</v>
      </c>
      <c r="N1336" s="28">
        <v>0.9</v>
      </c>
      <c r="O1336" s="26">
        <v>0.91763565891472865</v>
      </c>
      <c r="P1336" s="26">
        <v>0.96225614927905001</v>
      </c>
      <c r="Q1336" s="26">
        <v>0.95441359303771234</v>
      </c>
      <c r="R1336" s="26">
        <v>0.94894050041901112</v>
      </c>
      <c r="S1336" s="28">
        <v>0.9</v>
      </c>
      <c r="T1336" s="26">
        <v>0.90116279069767447</v>
      </c>
      <c r="U1336" s="26">
        <v>0.94232400339270572</v>
      </c>
      <c r="V1336" s="26">
        <v>0.93535018648984669</v>
      </c>
      <c r="W1336" s="26">
        <v>0.92320124506165446</v>
      </c>
      <c r="X1336" s="28">
        <v>0.92</v>
      </c>
      <c r="Y1336" s="28">
        <v>0</v>
      </c>
      <c r="Z1336" s="28">
        <v>0</v>
      </c>
      <c r="AA1336" s="28">
        <v>0</v>
      </c>
      <c r="AB1336" s="28">
        <v>1</v>
      </c>
      <c r="AC1336" s="28">
        <v>0.92</v>
      </c>
      <c r="AD1336" s="26">
        <v>0.99483870967741939</v>
      </c>
      <c r="AE1336" s="26">
        <v>0.98881789137380194</v>
      </c>
      <c r="AF1336" s="26">
        <v>0.99610136452241715</v>
      </c>
      <c r="AG1336" s="26">
        <v>0.99491266745802953</v>
      </c>
      <c r="AH1336" s="28">
        <v>0.92</v>
      </c>
      <c r="AI1336" s="26">
        <v>0.95009689922480622</v>
      </c>
      <c r="AJ1336" s="26">
        <v>0.97709923664122134</v>
      </c>
      <c r="AK1336" s="26">
        <v>0.96021549937836714</v>
      </c>
      <c r="AL1336" s="26">
        <v>0.95869994613036447</v>
      </c>
      <c r="AM1336" s="25">
        <v>0.99</v>
      </c>
      <c r="AN1336" s="30">
        <v>1</v>
      </c>
      <c r="AO1336" s="30">
        <v>1</v>
      </c>
      <c r="AP1336" s="30">
        <v>0</v>
      </c>
      <c r="AQ1336" s="30">
        <v>1</v>
      </c>
      <c r="AR1336" s="50">
        <v>7.2186152540827803E-2</v>
      </c>
      <c r="AS1336" s="34">
        <v>8.3333333333333329E-2</v>
      </c>
      <c r="AT1336" s="34">
        <v>0</v>
      </c>
      <c r="AU1336" s="34">
        <v>8.3333333333333329E-2</v>
      </c>
      <c r="AV1336" s="34">
        <v>6.4516129032258063E-2</v>
      </c>
      <c r="AW1336" s="10"/>
      <c r="AX1336" s="8"/>
    </row>
    <row r="1337" spans="1:50">
      <c r="A1337" s="7"/>
      <c r="B1337" s="10"/>
      <c r="C1337" s="45" t="s">
        <v>1100</v>
      </c>
      <c r="D1337" s="23" t="s">
        <v>25</v>
      </c>
      <c r="E1337" s="83" t="s">
        <v>1381</v>
      </c>
      <c r="F1337" s="83" t="s">
        <v>1381</v>
      </c>
      <c r="G1337" s="83" t="s">
        <v>1381</v>
      </c>
      <c r="H1337" s="83" t="s">
        <v>1381</v>
      </c>
      <c r="I1337" s="25">
        <v>0.9</v>
      </c>
      <c r="J1337" s="26">
        <v>0.82051282051282048</v>
      </c>
      <c r="K1337" s="26">
        <v>0.87179487179487181</v>
      </c>
      <c r="L1337" s="27">
        <v>0.94736842105263153</v>
      </c>
      <c r="M1337" s="26">
        <v>0.87908496732026142</v>
      </c>
      <c r="N1337" s="28">
        <v>0.9</v>
      </c>
      <c r="O1337" s="26">
        <v>0.91615255187885591</v>
      </c>
      <c r="P1337" s="26">
        <v>0.91207445505755569</v>
      </c>
      <c r="Q1337" s="26">
        <v>0.87046755725190839</v>
      </c>
      <c r="R1337" s="26">
        <v>0.91923076923076918</v>
      </c>
      <c r="S1337" s="28">
        <v>0.9</v>
      </c>
      <c r="T1337" s="26">
        <v>0.88250140213123951</v>
      </c>
      <c r="U1337" s="26">
        <v>0.84839578741121724</v>
      </c>
      <c r="V1337" s="26">
        <v>0.85162213740458015</v>
      </c>
      <c r="W1337" s="26">
        <v>0.87300824175824177</v>
      </c>
      <c r="X1337" s="28">
        <v>0.92</v>
      </c>
      <c r="Y1337" s="28">
        <v>0</v>
      </c>
      <c r="Z1337" s="28">
        <v>0</v>
      </c>
      <c r="AA1337" s="28">
        <v>0</v>
      </c>
      <c r="AB1337" s="28">
        <v>0</v>
      </c>
      <c r="AC1337" s="28">
        <v>0.92</v>
      </c>
      <c r="AD1337" s="26">
        <v>0.99170124481327804</v>
      </c>
      <c r="AE1337" s="26">
        <v>0.99459459459459465</v>
      </c>
      <c r="AF1337" s="26">
        <v>0.9856459330143541</v>
      </c>
      <c r="AG1337" s="26">
        <v>0.98587404355503239</v>
      </c>
      <c r="AH1337" s="28">
        <v>0.92</v>
      </c>
      <c r="AI1337" s="26">
        <v>0.94307347167694899</v>
      </c>
      <c r="AJ1337" s="26">
        <v>0.96473181484202797</v>
      </c>
      <c r="AK1337" s="26">
        <v>0.9742366412213741</v>
      </c>
      <c r="AL1337" s="26">
        <v>0.96407967032967035</v>
      </c>
      <c r="AM1337" s="25">
        <v>0.99</v>
      </c>
      <c r="AN1337" s="30">
        <v>1</v>
      </c>
      <c r="AO1337" s="30">
        <v>1</v>
      </c>
      <c r="AP1337" s="30">
        <v>1</v>
      </c>
      <c r="AQ1337" s="30">
        <v>1</v>
      </c>
      <c r="AR1337" s="50">
        <v>7.2186152540827803E-2</v>
      </c>
      <c r="AS1337" s="34">
        <v>8.3333333333333329E-2</v>
      </c>
      <c r="AT1337" s="34">
        <v>0.13333333333333333</v>
      </c>
      <c r="AU1337" s="34">
        <v>0.1111111111111111</v>
      </c>
      <c r="AV1337" s="34">
        <v>0.10465116279069768</v>
      </c>
      <c r="AW1337" s="10"/>
      <c r="AX1337" s="8"/>
    </row>
    <row r="1338" spans="1:50">
      <c r="A1338" s="7"/>
      <c r="B1338" s="10"/>
      <c r="C1338" s="45" t="s">
        <v>1100</v>
      </c>
      <c r="D1338" s="23" t="s">
        <v>25</v>
      </c>
      <c r="E1338" s="83" t="s">
        <v>1382</v>
      </c>
      <c r="F1338" s="83" t="s">
        <v>1382</v>
      </c>
      <c r="G1338" s="83" t="s">
        <v>1382</v>
      </c>
      <c r="H1338" s="83" t="s">
        <v>1382</v>
      </c>
      <c r="I1338" s="25">
        <v>0.9</v>
      </c>
      <c r="J1338" s="26">
        <v>0</v>
      </c>
      <c r="K1338" s="26">
        <v>0</v>
      </c>
      <c r="L1338" s="27">
        <v>0</v>
      </c>
      <c r="M1338" s="26">
        <v>0</v>
      </c>
      <c r="N1338" s="28">
        <v>0.9</v>
      </c>
      <c r="O1338" s="26">
        <v>0</v>
      </c>
      <c r="P1338" s="26">
        <v>0</v>
      </c>
      <c r="Q1338" s="26">
        <v>0</v>
      </c>
      <c r="R1338" s="26">
        <v>0</v>
      </c>
      <c r="S1338" s="28">
        <v>0.9</v>
      </c>
      <c r="T1338" s="26">
        <v>1</v>
      </c>
      <c r="U1338" s="26">
        <v>1</v>
      </c>
      <c r="V1338" s="26">
        <v>0</v>
      </c>
      <c r="W1338" s="26">
        <v>1</v>
      </c>
      <c r="X1338" s="28">
        <v>0.92</v>
      </c>
      <c r="Y1338" s="28">
        <v>1</v>
      </c>
      <c r="Z1338" s="28">
        <v>1</v>
      </c>
      <c r="AA1338" s="28">
        <v>0</v>
      </c>
      <c r="AB1338" s="28">
        <v>1</v>
      </c>
      <c r="AC1338" s="28">
        <v>0.92</v>
      </c>
      <c r="AD1338" s="26">
        <v>1</v>
      </c>
      <c r="AE1338" s="26">
        <v>1</v>
      </c>
      <c r="AF1338" s="26">
        <v>1</v>
      </c>
      <c r="AG1338" s="26">
        <v>0.99884459849797802</v>
      </c>
      <c r="AH1338" s="28">
        <v>0.92</v>
      </c>
      <c r="AI1338" s="26">
        <v>1</v>
      </c>
      <c r="AJ1338" s="26">
        <v>1</v>
      </c>
      <c r="AK1338" s="26">
        <v>0</v>
      </c>
      <c r="AL1338" s="26">
        <v>1</v>
      </c>
      <c r="AM1338" s="25">
        <v>0.99</v>
      </c>
      <c r="AN1338" s="30">
        <v>0</v>
      </c>
      <c r="AO1338" s="30">
        <v>0</v>
      </c>
      <c r="AP1338" s="30">
        <v>0</v>
      </c>
      <c r="AQ1338" s="30">
        <v>1</v>
      </c>
      <c r="AR1338" s="50">
        <v>7.2186152540827803E-2</v>
      </c>
      <c r="AS1338" s="34">
        <v>0</v>
      </c>
      <c r="AT1338" s="34">
        <v>0</v>
      </c>
      <c r="AU1338" s="34">
        <v>0</v>
      </c>
      <c r="AV1338" s="34">
        <v>0</v>
      </c>
      <c r="AW1338" s="10"/>
      <c r="AX1338" s="8"/>
    </row>
    <row r="1339" spans="1:50">
      <c r="A1339" s="7"/>
      <c r="B1339" s="10"/>
      <c r="C1339" s="45" t="s">
        <v>1100</v>
      </c>
      <c r="D1339" s="23" t="s">
        <v>25</v>
      </c>
      <c r="E1339" s="83" t="s">
        <v>1383</v>
      </c>
      <c r="F1339" s="83" t="s">
        <v>1383</v>
      </c>
      <c r="G1339" s="83" t="s">
        <v>1383</v>
      </c>
      <c r="H1339" s="83" t="s">
        <v>1383</v>
      </c>
      <c r="I1339" s="25">
        <v>0.9</v>
      </c>
      <c r="J1339" s="26">
        <v>0.93333333333333335</v>
      </c>
      <c r="K1339" s="26">
        <v>0.9285714285714286</v>
      </c>
      <c r="L1339" s="27">
        <v>0.97727272727272729</v>
      </c>
      <c r="M1339" s="26">
        <v>0.91907514450867056</v>
      </c>
      <c r="N1339" s="28">
        <v>0.9</v>
      </c>
      <c r="O1339" s="26">
        <v>0.96960985626283369</v>
      </c>
      <c r="P1339" s="26">
        <v>0.95449241540256713</v>
      </c>
      <c r="Q1339" s="26">
        <v>0.97527272727272729</v>
      </c>
      <c r="R1339" s="26">
        <v>0.97450959823770067</v>
      </c>
      <c r="S1339" s="28">
        <v>0.9</v>
      </c>
      <c r="T1339" s="26">
        <v>0.94004106776180696</v>
      </c>
      <c r="U1339" s="26">
        <v>0.95215869311551926</v>
      </c>
      <c r="V1339" s="26">
        <v>0.95236363636363641</v>
      </c>
      <c r="W1339" s="26">
        <v>0.94770796181684669</v>
      </c>
      <c r="X1339" s="28">
        <v>0.92</v>
      </c>
      <c r="Y1339" s="28">
        <v>0.94577205882352944</v>
      </c>
      <c r="Z1339" s="28">
        <v>0.95769576957695768</v>
      </c>
      <c r="AA1339" s="28">
        <v>0.97293447293447288</v>
      </c>
      <c r="AB1339" s="28">
        <v>0.95866854384553502</v>
      </c>
      <c r="AC1339" s="28">
        <v>0.92</v>
      </c>
      <c r="AD1339" s="26">
        <v>0.99592326139088727</v>
      </c>
      <c r="AE1339" s="26">
        <v>0.99555659494855009</v>
      </c>
      <c r="AF1339" s="26">
        <v>0.99609285221788091</v>
      </c>
      <c r="AG1339" s="26">
        <v>0.99072721309520262</v>
      </c>
      <c r="AH1339" s="28">
        <v>0.92</v>
      </c>
      <c r="AI1339" s="26">
        <v>0.96877661084303146</v>
      </c>
      <c r="AJ1339" s="26">
        <v>0.97609994568169478</v>
      </c>
      <c r="AK1339" s="26">
        <v>0.98194076571153388</v>
      </c>
      <c r="AL1339" s="26">
        <v>0.97518695936864597</v>
      </c>
      <c r="AM1339" s="25">
        <v>0.99</v>
      </c>
      <c r="AN1339" s="30">
        <v>1</v>
      </c>
      <c r="AO1339" s="30">
        <v>1</v>
      </c>
      <c r="AP1339" s="30">
        <v>1</v>
      </c>
      <c r="AQ1339" s="30">
        <v>1</v>
      </c>
      <c r="AR1339" s="50">
        <v>7.2186152540827803E-2</v>
      </c>
      <c r="AS1339" s="34">
        <v>0</v>
      </c>
      <c r="AT1339" s="34">
        <v>7.6923076923076927E-2</v>
      </c>
      <c r="AU1339" s="34">
        <v>0.1111111111111111</v>
      </c>
      <c r="AV1339" s="34">
        <v>5.6179775280898875E-2</v>
      </c>
      <c r="AW1339" s="10"/>
      <c r="AX1339" s="8"/>
    </row>
    <row r="1340" spans="1:50">
      <c r="A1340" s="7"/>
      <c r="B1340" s="10"/>
      <c r="C1340" s="45" t="s">
        <v>1100</v>
      </c>
      <c r="D1340" s="23" t="s">
        <v>25</v>
      </c>
      <c r="E1340" s="83" t="s">
        <v>1384</v>
      </c>
      <c r="F1340" s="83" t="s">
        <v>1384</v>
      </c>
      <c r="G1340" s="83" t="s">
        <v>1384</v>
      </c>
      <c r="H1340" s="83" t="s">
        <v>1384</v>
      </c>
      <c r="I1340" s="25">
        <v>0.9</v>
      </c>
      <c r="J1340" s="26">
        <v>0.91428571428571426</v>
      </c>
      <c r="K1340" s="26">
        <v>0.94736842105263153</v>
      </c>
      <c r="L1340" s="27">
        <v>0.95121951219512191</v>
      </c>
      <c r="M1340" s="26">
        <v>0.91362126245847175</v>
      </c>
      <c r="N1340" s="28">
        <v>0.9</v>
      </c>
      <c r="O1340" s="26">
        <v>0.87752808988764042</v>
      </c>
      <c r="P1340" s="26">
        <v>0.92437619961612283</v>
      </c>
      <c r="Q1340" s="26">
        <v>0.90752032520325199</v>
      </c>
      <c r="R1340" s="26">
        <v>0.92957675932882544</v>
      </c>
      <c r="S1340" s="28">
        <v>0.9</v>
      </c>
      <c r="T1340" s="26">
        <v>0.90561797752808992</v>
      </c>
      <c r="U1340" s="26">
        <v>0.91631477927063343</v>
      </c>
      <c r="V1340" s="26">
        <v>0.93563685636856364</v>
      </c>
      <c r="W1340" s="26">
        <v>0.92732281492612068</v>
      </c>
      <c r="X1340" s="28">
        <v>0.92</v>
      </c>
      <c r="Y1340" s="28">
        <v>0.96907216494845361</v>
      </c>
      <c r="Z1340" s="28">
        <v>0.95020964360587001</v>
      </c>
      <c r="AA1340" s="28">
        <v>0.95440729483282671</v>
      </c>
      <c r="AB1340" s="28">
        <v>0.95482016509433965</v>
      </c>
      <c r="AC1340" s="28">
        <v>0.92</v>
      </c>
      <c r="AD1340" s="26">
        <v>0.98892371995820272</v>
      </c>
      <c r="AE1340" s="26">
        <v>0.99542450432130147</v>
      </c>
      <c r="AF1340" s="26">
        <v>0.9924975798644724</v>
      </c>
      <c r="AG1340" s="26">
        <v>0.99379026173756602</v>
      </c>
      <c r="AH1340" s="28">
        <v>0.92</v>
      </c>
      <c r="AI1340" s="26">
        <v>0.96494398265269243</v>
      </c>
      <c r="AJ1340" s="26">
        <v>0.96389011962782456</v>
      </c>
      <c r="AK1340" s="26">
        <v>0.97150315423102018</v>
      </c>
      <c r="AL1340" s="26">
        <v>0.96728888358778631</v>
      </c>
      <c r="AM1340" s="25">
        <v>0.99</v>
      </c>
      <c r="AN1340" s="30">
        <v>1</v>
      </c>
      <c r="AO1340" s="30">
        <v>1</v>
      </c>
      <c r="AP1340" s="30">
        <v>1</v>
      </c>
      <c r="AQ1340" s="30">
        <v>1</v>
      </c>
      <c r="AR1340" s="50">
        <v>7.2186152540827803E-2</v>
      </c>
      <c r="AS1340" s="34">
        <v>3.8461538461538464E-2</v>
      </c>
      <c r="AT1340" s="34">
        <v>8.3333333333333329E-2</v>
      </c>
      <c r="AU1340" s="34">
        <v>0</v>
      </c>
      <c r="AV1340" s="34">
        <v>4.2780748663101602E-2</v>
      </c>
      <c r="AW1340" s="10"/>
      <c r="AX1340" s="8"/>
    </row>
    <row r="1341" spans="1:50">
      <c r="A1341" s="7"/>
      <c r="B1341" s="10"/>
      <c r="C1341" s="45" t="s">
        <v>1100</v>
      </c>
      <c r="D1341" s="23" t="s">
        <v>25</v>
      </c>
      <c r="E1341" s="83" t="s">
        <v>1385</v>
      </c>
      <c r="F1341" s="83" t="s">
        <v>1385</v>
      </c>
      <c r="G1341" s="83" t="s">
        <v>1385</v>
      </c>
      <c r="H1341" s="83" t="s">
        <v>1385</v>
      </c>
      <c r="I1341" s="25">
        <v>0.9</v>
      </c>
      <c r="J1341" s="26">
        <v>0.85185185185185186</v>
      </c>
      <c r="K1341" s="26">
        <v>0.8</v>
      </c>
      <c r="L1341" s="27">
        <v>0.875</v>
      </c>
      <c r="M1341" s="26">
        <v>0.86324786324786329</v>
      </c>
      <c r="N1341" s="28">
        <v>0.9</v>
      </c>
      <c r="O1341" s="26">
        <v>0.92199687987519496</v>
      </c>
      <c r="P1341" s="26">
        <v>0.9083665338645418</v>
      </c>
      <c r="Q1341" s="26">
        <v>0.91634033463866149</v>
      </c>
      <c r="R1341" s="26">
        <v>0.93561993561993562</v>
      </c>
      <c r="S1341" s="28">
        <v>0.9</v>
      </c>
      <c r="T1341" s="26">
        <v>0.9274570982839313</v>
      </c>
      <c r="U1341" s="26">
        <v>0.93138556883576806</v>
      </c>
      <c r="V1341" s="26">
        <v>0.93271626913492345</v>
      </c>
      <c r="W1341" s="26">
        <v>0.9329004329004329</v>
      </c>
      <c r="X1341" s="28">
        <v>0.92</v>
      </c>
      <c r="Y1341" s="28">
        <v>0.94002607561929596</v>
      </c>
      <c r="Z1341" s="28">
        <v>0.96293754289636235</v>
      </c>
      <c r="AA1341" s="28">
        <v>0.97049591964846205</v>
      </c>
      <c r="AB1341" s="28">
        <v>0.95850622406639008</v>
      </c>
      <c r="AC1341" s="28">
        <v>0.92</v>
      </c>
      <c r="AD1341" s="26">
        <v>0.99858088930936617</v>
      </c>
      <c r="AE1341" s="26">
        <v>0.99841605068637806</v>
      </c>
      <c r="AF1341" s="26">
        <v>0.99515738498789341</v>
      </c>
      <c r="AG1341" s="26">
        <v>0.9979451614974636</v>
      </c>
      <c r="AH1341" s="28">
        <v>0.92</v>
      </c>
      <c r="AI1341" s="26">
        <v>0.95339189848706685</v>
      </c>
      <c r="AJ1341" s="26">
        <v>0.972551130247578</v>
      </c>
      <c r="AK1341" s="26">
        <v>0.98114921644333408</v>
      </c>
      <c r="AL1341" s="26">
        <v>0.9690908522674001</v>
      </c>
      <c r="AM1341" s="25">
        <v>0.99</v>
      </c>
      <c r="AN1341" s="30">
        <v>1</v>
      </c>
      <c r="AO1341" s="30">
        <v>1</v>
      </c>
      <c r="AP1341" s="30">
        <v>1</v>
      </c>
      <c r="AQ1341" s="30">
        <v>1</v>
      </c>
      <c r="AR1341" s="50">
        <v>7.2186152540827803E-2</v>
      </c>
      <c r="AS1341" s="34">
        <v>0.10526315789473684</v>
      </c>
      <c r="AT1341" s="34">
        <v>0</v>
      </c>
      <c r="AU1341" s="34">
        <v>0</v>
      </c>
      <c r="AV1341" s="34">
        <v>4.8128342245989303E-2</v>
      </c>
      <c r="AW1341" s="10"/>
      <c r="AX1341" s="8"/>
    </row>
    <row r="1342" spans="1:50">
      <c r="A1342" s="7"/>
      <c r="B1342" s="10"/>
      <c r="C1342" s="45" t="s">
        <v>1100</v>
      </c>
      <c r="D1342" s="23" t="s">
        <v>25</v>
      </c>
      <c r="E1342" s="83" t="s">
        <v>1386</v>
      </c>
      <c r="F1342" s="83" t="s">
        <v>1386</v>
      </c>
      <c r="G1342" s="83" t="s">
        <v>1386</v>
      </c>
      <c r="H1342" s="83" t="s">
        <v>1386</v>
      </c>
      <c r="I1342" s="25">
        <v>0.9</v>
      </c>
      <c r="J1342" s="26">
        <v>0</v>
      </c>
      <c r="K1342" s="26">
        <v>0</v>
      </c>
      <c r="L1342" s="27">
        <v>0</v>
      </c>
      <c r="M1342" s="26">
        <v>0</v>
      </c>
      <c r="N1342" s="28">
        <v>0.9</v>
      </c>
      <c r="O1342" s="26">
        <v>0</v>
      </c>
      <c r="P1342" s="26">
        <v>0</v>
      </c>
      <c r="Q1342" s="26">
        <v>0</v>
      </c>
      <c r="R1342" s="26">
        <v>0.7142857142857143</v>
      </c>
      <c r="S1342" s="28">
        <v>0.9</v>
      </c>
      <c r="T1342" s="26">
        <v>0</v>
      </c>
      <c r="U1342" s="26">
        <v>0</v>
      </c>
      <c r="V1342" s="26">
        <v>0</v>
      </c>
      <c r="W1342" s="26">
        <v>0.8571428571428571</v>
      </c>
      <c r="X1342" s="28">
        <v>0.92</v>
      </c>
      <c r="Y1342" s="28">
        <v>0</v>
      </c>
      <c r="Z1342" s="28">
        <v>0</v>
      </c>
      <c r="AA1342" s="28">
        <v>0</v>
      </c>
      <c r="AB1342" s="28">
        <v>0</v>
      </c>
      <c r="AC1342" s="28">
        <v>0.92</v>
      </c>
      <c r="AD1342" s="26">
        <v>1</v>
      </c>
      <c r="AE1342" s="26">
        <v>0.9984007310943569</v>
      </c>
      <c r="AF1342" s="26">
        <v>0.99695555104526079</v>
      </c>
      <c r="AG1342" s="26">
        <v>0.99312107831745289</v>
      </c>
      <c r="AH1342" s="28">
        <v>0.92</v>
      </c>
      <c r="AI1342" s="26">
        <v>0</v>
      </c>
      <c r="AJ1342" s="26">
        <v>0</v>
      </c>
      <c r="AK1342" s="26">
        <v>1</v>
      </c>
      <c r="AL1342" s="26">
        <v>1</v>
      </c>
      <c r="AM1342" s="25">
        <v>0.99</v>
      </c>
      <c r="AN1342" s="30">
        <v>1</v>
      </c>
      <c r="AO1342" s="30">
        <v>1</v>
      </c>
      <c r="AP1342" s="30">
        <v>1</v>
      </c>
      <c r="AQ1342" s="30">
        <v>1</v>
      </c>
      <c r="AR1342" s="50">
        <v>7.2186152540827803E-2</v>
      </c>
      <c r="AS1342" s="34">
        <v>0</v>
      </c>
      <c r="AT1342" s="34">
        <v>0</v>
      </c>
      <c r="AU1342" s="34">
        <v>0</v>
      </c>
      <c r="AV1342" s="34">
        <v>0</v>
      </c>
      <c r="AW1342" s="10"/>
      <c r="AX1342" s="8"/>
    </row>
    <row r="1343" spans="1:50">
      <c r="A1343" s="7"/>
      <c r="B1343" s="10"/>
      <c r="C1343" s="45" t="s">
        <v>1100</v>
      </c>
      <c r="D1343" s="23" t="s">
        <v>25</v>
      </c>
      <c r="E1343" s="83" t="s">
        <v>1387</v>
      </c>
      <c r="F1343" s="83" t="s">
        <v>1387</v>
      </c>
      <c r="G1343" s="83" t="s">
        <v>1387</v>
      </c>
      <c r="H1343" s="83" t="s">
        <v>1387</v>
      </c>
      <c r="I1343" s="25">
        <v>0.9</v>
      </c>
      <c r="J1343" s="26">
        <v>0.91666666666666663</v>
      </c>
      <c r="K1343" s="26">
        <v>0.75</v>
      </c>
      <c r="L1343" s="27">
        <v>0.8571428571428571</v>
      </c>
      <c r="M1343" s="26">
        <v>0.84615384615384615</v>
      </c>
      <c r="N1343" s="28">
        <v>0.9</v>
      </c>
      <c r="O1343" s="26">
        <v>0.95617173524150267</v>
      </c>
      <c r="P1343" s="26">
        <v>0.89900662251655628</v>
      </c>
      <c r="Q1343" s="26">
        <v>0.96648044692737434</v>
      </c>
      <c r="R1343" s="26">
        <v>0.93913981071043484</v>
      </c>
      <c r="S1343" s="28">
        <v>0.9</v>
      </c>
      <c r="T1343" s="26">
        <v>0.89892665474060818</v>
      </c>
      <c r="U1343" s="26">
        <v>0.93460264900662249</v>
      </c>
      <c r="V1343" s="26">
        <v>0.93854748603351956</v>
      </c>
      <c r="W1343" s="26">
        <v>0.93015454654366836</v>
      </c>
      <c r="X1343" s="28">
        <v>0.92</v>
      </c>
      <c r="Y1343" s="28">
        <v>0.90275952693823913</v>
      </c>
      <c r="Z1343" s="28">
        <v>0.95798319327731096</v>
      </c>
      <c r="AA1343" s="28">
        <v>0.95042492917847021</v>
      </c>
      <c r="AB1343" s="28">
        <v>0.9469264360094054</v>
      </c>
      <c r="AC1343" s="28">
        <v>0.92</v>
      </c>
      <c r="AD1343" s="26">
        <v>0.99919517102615696</v>
      </c>
      <c r="AE1343" s="26">
        <v>0.99877974374618672</v>
      </c>
      <c r="AF1343" s="26">
        <v>0.99180607715944014</v>
      </c>
      <c r="AG1343" s="26">
        <v>0.98767529587928704</v>
      </c>
      <c r="AH1343" s="28">
        <v>0.92</v>
      </c>
      <c r="AI1343" s="26">
        <v>0.9361362426822778</v>
      </c>
      <c r="AJ1343" s="26">
        <v>0.97086368366285125</v>
      </c>
      <c r="AK1343" s="26">
        <v>0.97396630934150075</v>
      </c>
      <c r="AL1343" s="26">
        <v>0.96622613803230539</v>
      </c>
      <c r="AM1343" s="25">
        <v>0.99</v>
      </c>
      <c r="AN1343" s="30">
        <v>1</v>
      </c>
      <c r="AO1343" s="30">
        <v>1</v>
      </c>
      <c r="AP1343" s="30">
        <v>1</v>
      </c>
      <c r="AQ1343" s="30">
        <v>1</v>
      </c>
      <c r="AR1343" s="50">
        <v>7.2186152540827803E-2</v>
      </c>
      <c r="AS1343" s="34">
        <v>0.16666666666666666</v>
      </c>
      <c r="AT1343" s="34">
        <v>0.1111111111111111</v>
      </c>
      <c r="AU1343" s="34">
        <v>0.14285714285714285</v>
      </c>
      <c r="AV1343" s="34">
        <v>9.8039215686274508E-2</v>
      </c>
      <c r="AW1343" s="10"/>
      <c r="AX1343" s="8"/>
    </row>
    <row r="1344" spans="1:50">
      <c r="A1344" s="7"/>
      <c r="B1344" s="10"/>
      <c r="C1344" s="45" t="s">
        <v>1100</v>
      </c>
      <c r="D1344" s="23" t="s">
        <v>25</v>
      </c>
      <c r="E1344" s="83" t="s">
        <v>1388</v>
      </c>
      <c r="F1344" s="83" t="s">
        <v>1388</v>
      </c>
      <c r="G1344" s="83" t="s">
        <v>1388</v>
      </c>
      <c r="H1344" s="83" t="s">
        <v>1388</v>
      </c>
      <c r="I1344" s="25">
        <v>0.9</v>
      </c>
      <c r="J1344" s="26">
        <v>0.96875</v>
      </c>
      <c r="K1344" s="26">
        <v>1</v>
      </c>
      <c r="L1344" s="27">
        <v>0.93939393939393945</v>
      </c>
      <c r="M1344" s="26">
        <v>0.96186440677966101</v>
      </c>
      <c r="N1344" s="28">
        <v>0.9</v>
      </c>
      <c r="O1344" s="26">
        <v>0.87754090233019333</v>
      </c>
      <c r="P1344" s="26">
        <v>0.96198521647307289</v>
      </c>
      <c r="Q1344" s="26">
        <v>0.96040515653775327</v>
      </c>
      <c r="R1344" s="26">
        <v>0.95188615315111813</v>
      </c>
      <c r="S1344" s="28">
        <v>0.9</v>
      </c>
      <c r="T1344" s="26">
        <v>0.93554784333168073</v>
      </c>
      <c r="U1344" s="26">
        <v>0.94139387539598729</v>
      </c>
      <c r="V1344" s="26">
        <v>0.93001841620626147</v>
      </c>
      <c r="W1344" s="26">
        <v>0.93825766132068367</v>
      </c>
      <c r="X1344" s="28">
        <v>0.92</v>
      </c>
      <c r="Y1344" s="28">
        <v>0.94404973357015987</v>
      </c>
      <c r="Z1344" s="28">
        <v>0.9632952691680261</v>
      </c>
      <c r="AA1344" s="28">
        <v>0.9622331691297209</v>
      </c>
      <c r="AB1344" s="28">
        <v>0.95635456718279122</v>
      </c>
      <c r="AC1344" s="28">
        <v>0.92</v>
      </c>
      <c r="AD1344" s="26">
        <v>0.99627740245415686</v>
      </c>
      <c r="AE1344" s="26">
        <v>0.99045907079646023</v>
      </c>
      <c r="AF1344" s="26">
        <v>0.98695950583390524</v>
      </c>
      <c r="AG1344" s="26">
        <v>0.97225256718374486</v>
      </c>
      <c r="AH1344" s="28">
        <v>0.92</v>
      </c>
      <c r="AI1344" s="26">
        <v>0.96304347826086956</v>
      </c>
      <c r="AJ1344" s="26">
        <v>0.9653846153846154</v>
      </c>
      <c r="AK1344" s="26">
        <v>0.971976401179941</v>
      </c>
      <c r="AL1344" s="26">
        <v>0.96806335117260589</v>
      </c>
      <c r="AM1344" s="25">
        <v>0.99</v>
      </c>
      <c r="AN1344" s="30">
        <v>1</v>
      </c>
      <c r="AO1344" s="30">
        <v>1</v>
      </c>
      <c r="AP1344" s="30">
        <v>1</v>
      </c>
      <c r="AQ1344" s="30">
        <v>1</v>
      </c>
      <c r="AR1344" s="50">
        <v>7.2186152540827803E-2</v>
      </c>
      <c r="AS1344" s="34">
        <v>0</v>
      </c>
      <c r="AT1344" s="34">
        <v>0</v>
      </c>
      <c r="AU1344" s="34">
        <v>0</v>
      </c>
      <c r="AV1344" s="34">
        <v>2.2099447513812154E-2</v>
      </c>
      <c r="AW1344" s="10"/>
      <c r="AX1344" s="8"/>
    </row>
    <row r="1345" spans="1:50">
      <c r="A1345" s="7"/>
      <c r="B1345" s="10"/>
      <c r="C1345" s="45" t="s">
        <v>1100</v>
      </c>
      <c r="D1345" s="23" t="s">
        <v>25</v>
      </c>
      <c r="E1345" s="83" t="s">
        <v>1389</v>
      </c>
      <c r="F1345" s="83" t="s">
        <v>1389</v>
      </c>
      <c r="G1345" s="83" t="s">
        <v>1389</v>
      </c>
      <c r="H1345" s="83" t="s">
        <v>1389</v>
      </c>
      <c r="I1345" s="25">
        <v>0.9</v>
      </c>
      <c r="J1345" s="26">
        <v>0</v>
      </c>
      <c r="K1345" s="26">
        <v>0</v>
      </c>
      <c r="L1345" s="27">
        <v>0</v>
      </c>
      <c r="M1345" s="26">
        <v>0</v>
      </c>
      <c r="N1345" s="28">
        <v>0.9</v>
      </c>
      <c r="O1345" s="26">
        <v>1</v>
      </c>
      <c r="P1345" s="26">
        <v>0.99363057324840764</v>
      </c>
      <c r="Q1345" s="26">
        <v>1</v>
      </c>
      <c r="R1345" s="26">
        <v>0.99855142443264122</v>
      </c>
      <c r="S1345" s="28">
        <v>0.9</v>
      </c>
      <c r="T1345" s="26">
        <v>1</v>
      </c>
      <c r="U1345" s="26">
        <v>0.99681528662420382</v>
      </c>
      <c r="V1345" s="26">
        <v>1</v>
      </c>
      <c r="W1345" s="26">
        <v>0.99951714147754711</v>
      </c>
      <c r="X1345" s="28">
        <v>0.92</v>
      </c>
      <c r="Y1345" s="28">
        <v>1</v>
      </c>
      <c r="Z1345" s="28">
        <v>1</v>
      </c>
      <c r="AA1345" s="28">
        <v>1</v>
      </c>
      <c r="AB1345" s="28">
        <v>1</v>
      </c>
      <c r="AC1345" s="28">
        <v>0.92</v>
      </c>
      <c r="AD1345" s="26">
        <v>0.99686282994374731</v>
      </c>
      <c r="AE1345" s="26">
        <v>0.99764439837934604</v>
      </c>
      <c r="AF1345" s="26">
        <v>0.99472629469465246</v>
      </c>
      <c r="AG1345" s="26">
        <v>0.97941183696533429</v>
      </c>
      <c r="AH1345" s="28">
        <v>0.92</v>
      </c>
      <c r="AI1345" s="26">
        <v>1</v>
      </c>
      <c r="AJ1345" s="26">
        <v>0.99767981438515085</v>
      </c>
      <c r="AK1345" s="26">
        <v>1</v>
      </c>
      <c r="AL1345" s="26">
        <v>0.99967341606792948</v>
      </c>
      <c r="AM1345" s="25">
        <v>0.99</v>
      </c>
      <c r="AN1345" s="30">
        <v>1</v>
      </c>
      <c r="AO1345" s="30">
        <v>1</v>
      </c>
      <c r="AP1345" s="30">
        <v>1</v>
      </c>
      <c r="AQ1345" s="30">
        <v>1</v>
      </c>
      <c r="AR1345" s="50">
        <v>7.2186152540827803E-2</v>
      </c>
      <c r="AS1345" s="34">
        <v>0</v>
      </c>
      <c r="AT1345" s="34">
        <v>0</v>
      </c>
      <c r="AU1345" s="34">
        <v>0</v>
      </c>
      <c r="AV1345" s="34">
        <v>0</v>
      </c>
      <c r="AW1345" s="10"/>
      <c r="AX1345" s="8"/>
    </row>
    <row r="1346" spans="1:50">
      <c r="A1346" s="7"/>
      <c r="B1346" s="10"/>
      <c r="C1346" s="45" t="s">
        <v>1100</v>
      </c>
      <c r="D1346" s="23" t="s">
        <v>25</v>
      </c>
      <c r="E1346" s="83" t="s">
        <v>1390</v>
      </c>
      <c r="F1346" s="83" t="s">
        <v>1390</v>
      </c>
      <c r="G1346" s="83" t="s">
        <v>1390</v>
      </c>
      <c r="H1346" s="83" t="s">
        <v>1390</v>
      </c>
      <c r="I1346" s="25">
        <v>0.9</v>
      </c>
      <c r="J1346" s="26">
        <v>1</v>
      </c>
      <c r="K1346" s="26">
        <v>0.96</v>
      </c>
      <c r="L1346" s="27">
        <v>1</v>
      </c>
      <c r="M1346" s="26">
        <v>0.967741935483871</v>
      </c>
      <c r="N1346" s="28">
        <v>0.9</v>
      </c>
      <c r="O1346" s="26">
        <v>0.97574123989218331</v>
      </c>
      <c r="P1346" s="26">
        <v>0.98527679623085984</v>
      </c>
      <c r="Q1346" s="26">
        <v>0.90891566265060242</v>
      </c>
      <c r="R1346" s="26">
        <v>0.87911748823574787</v>
      </c>
      <c r="S1346" s="28">
        <v>0.9</v>
      </c>
      <c r="T1346" s="26">
        <v>0.90835579514824794</v>
      </c>
      <c r="U1346" s="26">
        <v>0.91578327444051821</v>
      </c>
      <c r="V1346" s="26">
        <v>0.90891566265060242</v>
      </c>
      <c r="W1346" s="26">
        <v>0.82774049217002232</v>
      </c>
      <c r="X1346" s="28">
        <v>0.92</v>
      </c>
      <c r="Y1346" s="28">
        <v>0.93721973094170408</v>
      </c>
      <c r="Z1346" s="28">
        <v>0.95615671641791045</v>
      </c>
      <c r="AA1346" s="28">
        <v>0.97251773049645385</v>
      </c>
      <c r="AB1346" s="28">
        <v>0.95596368569341539</v>
      </c>
      <c r="AC1346" s="28">
        <v>0.92</v>
      </c>
      <c r="AD1346" s="26">
        <v>0.99675675675675679</v>
      </c>
      <c r="AE1346" s="26">
        <v>0.99558303886925792</v>
      </c>
      <c r="AF1346" s="26">
        <v>0.98858230256898194</v>
      </c>
      <c r="AG1346" s="26">
        <v>0.996558601540808</v>
      </c>
      <c r="AH1346" s="28">
        <v>0.92</v>
      </c>
      <c r="AI1346" s="26">
        <v>0.95690235690235692</v>
      </c>
      <c r="AJ1346" s="26">
        <v>0.97076867556838686</v>
      </c>
      <c r="AK1346" s="26">
        <v>0.98064314704964095</v>
      </c>
      <c r="AL1346" s="26">
        <v>0.96589346698008605</v>
      </c>
      <c r="AM1346" s="25">
        <v>0.99</v>
      </c>
      <c r="AN1346" s="30">
        <v>1</v>
      </c>
      <c r="AO1346" s="30">
        <v>1</v>
      </c>
      <c r="AP1346" s="30">
        <v>1</v>
      </c>
      <c r="AQ1346" s="30">
        <v>1</v>
      </c>
      <c r="AR1346" s="50">
        <v>7.2186152540827803E-2</v>
      </c>
      <c r="AS1346" s="34">
        <v>0</v>
      </c>
      <c r="AT1346" s="34">
        <v>0</v>
      </c>
      <c r="AU1346" s="34">
        <v>0.17647058823529413</v>
      </c>
      <c r="AV1346" s="34">
        <v>3.6363636363636362E-2</v>
      </c>
      <c r="AW1346" s="10"/>
      <c r="AX1346" s="8"/>
    </row>
    <row r="1347" spans="1:50">
      <c r="A1347" s="7"/>
      <c r="B1347" s="10"/>
      <c r="C1347" s="45" t="s">
        <v>1100</v>
      </c>
      <c r="D1347" s="23" t="s">
        <v>25</v>
      </c>
      <c r="E1347" s="83" t="s">
        <v>1391</v>
      </c>
      <c r="F1347" s="83" t="s">
        <v>1391</v>
      </c>
      <c r="G1347" s="83" t="s">
        <v>1391</v>
      </c>
      <c r="H1347" s="83" t="s">
        <v>1391</v>
      </c>
      <c r="I1347" s="25">
        <v>0.9</v>
      </c>
      <c r="J1347" s="26">
        <v>0.94594594594594594</v>
      </c>
      <c r="K1347" s="26">
        <v>0.92500000000000004</v>
      </c>
      <c r="L1347" s="27">
        <v>0.92682926829268297</v>
      </c>
      <c r="M1347" s="26">
        <v>0.9273927392739274</v>
      </c>
      <c r="N1347" s="28">
        <v>0.9</v>
      </c>
      <c r="O1347" s="26">
        <v>0.88447387785136133</v>
      </c>
      <c r="P1347" s="26">
        <v>0.96937380366420567</v>
      </c>
      <c r="Q1347" s="26">
        <v>0.97073058308365978</v>
      </c>
      <c r="R1347" s="26">
        <v>0.94811767275904757</v>
      </c>
      <c r="S1347" s="28">
        <v>0.9</v>
      </c>
      <c r="T1347" s="26">
        <v>0.90924699533971054</v>
      </c>
      <c r="U1347" s="26">
        <v>0.94175553732567674</v>
      </c>
      <c r="V1347" s="26">
        <v>0.95920719059691173</v>
      </c>
      <c r="W1347" s="26">
        <v>0.93632126993373621</v>
      </c>
      <c r="X1347" s="28">
        <v>0.92</v>
      </c>
      <c r="Y1347" s="28">
        <v>0.94680428741564115</v>
      </c>
      <c r="Z1347" s="28">
        <v>0.96400351185250222</v>
      </c>
      <c r="AA1347" s="28">
        <v>0.96781698332687083</v>
      </c>
      <c r="AB1347" s="28">
        <v>0.95372406539822163</v>
      </c>
      <c r="AC1347" s="28">
        <v>0.92</v>
      </c>
      <c r="AD1347" s="26">
        <v>0.99920886075949367</v>
      </c>
      <c r="AE1347" s="26">
        <v>0.99813710879284645</v>
      </c>
      <c r="AF1347" s="26">
        <v>0.99885931558935359</v>
      </c>
      <c r="AG1347" s="26">
        <v>0.99923691534249037</v>
      </c>
      <c r="AH1347" s="28">
        <v>0.92</v>
      </c>
      <c r="AI1347" s="26">
        <v>0.96209249431387411</v>
      </c>
      <c r="AJ1347" s="26">
        <v>0.97472620050547598</v>
      </c>
      <c r="AK1347" s="26">
        <v>0.97991039167509753</v>
      </c>
      <c r="AL1347" s="26">
        <v>0.9690619381238762</v>
      </c>
      <c r="AM1347" s="25">
        <v>0.99</v>
      </c>
      <c r="AN1347" s="30">
        <v>1</v>
      </c>
      <c r="AO1347" s="30">
        <v>1</v>
      </c>
      <c r="AP1347" s="30">
        <v>1</v>
      </c>
      <c r="AQ1347" s="30">
        <v>1</v>
      </c>
      <c r="AR1347" s="50">
        <v>7.2186152540827803E-2</v>
      </c>
      <c r="AS1347" s="34">
        <v>4.2553191489361701E-2</v>
      </c>
      <c r="AT1347" s="34">
        <v>0</v>
      </c>
      <c r="AU1347" s="34">
        <v>5.4054054054054057E-2</v>
      </c>
      <c r="AV1347" s="34">
        <v>6.8965517241379309E-3</v>
      </c>
      <c r="AW1347" s="10"/>
      <c r="AX1347" s="8"/>
    </row>
    <row r="1348" spans="1:50">
      <c r="A1348" s="7"/>
      <c r="B1348" s="10"/>
      <c r="C1348" s="45" t="s">
        <v>1100</v>
      </c>
      <c r="D1348" s="23" t="s">
        <v>25</v>
      </c>
      <c r="E1348" s="83" t="s">
        <v>1392</v>
      </c>
      <c r="F1348" s="83" t="s">
        <v>1392</v>
      </c>
      <c r="G1348" s="83" t="s">
        <v>1392</v>
      </c>
      <c r="H1348" s="83" t="s">
        <v>1392</v>
      </c>
      <c r="I1348" s="25">
        <v>0.9</v>
      </c>
      <c r="J1348" s="26">
        <v>1</v>
      </c>
      <c r="K1348" s="26">
        <v>0.92</v>
      </c>
      <c r="L1348" s="27">
        <v>1</v>
      </c>
      <c r="M1348" s="26">
        <v>0.97752808988764039</v>
      </c>
      <c r="N1348" s="28">
        <v>0.9</v>
      </c>
      <c r="O1348" s="26">
        <v>0.99142156862745101</v>
      </c>
      <c r="P1348" s="26">
        <v>0.98595146871008943</v>
      </c>
      <c r="Q1348" s="26">
        <v>0.98414322250639386</v>
      </c>
      <c r="R1348" s="26">
        <v>0.98659344209336131</v>
      </c>
      <c r="S1348" s="28">
        <v>0.9</v>
      </c>
      <c r="T1348" s="26">
        <v>0.92953431372549022</v>
      </c>
      <c r="U1348" s="26">
        <v>0.94252873563218387</v>
      </c>
      <c r="V1348" s="26">
        <v>0.9416879795396419</v>
      </c>
      <c r="W1348" s="26">
        <v>0.92682926829268297</v>
      </c>
      <c r="X1348" s="28">
        <v>0.92</v>
      </c>
      <c r="Y1348" s="28">
        <v>0.94495412844036697</v>
      </c>
      <c r="Z1348" s="28">
        <v>0.97385620915032678</v>
      </c>
      <c r="AA1348" s="28">
        <v>0.96578947368421053</v>
      </c>
      <c r="AB1348" s="28">
        <v>0.94934196782953828</v>
      </c>
      <c r="AC1348" s="28">
        <v>0.92</v>
      </c>
      <c r="AD1348" s="26">
        <v>1</v>
      </c>
      <c r="AE1348" s="26">
        <v>1</v>
      </c>
      <c r="AF1348" s="26">
        <v>1</v>
      </c>
      <c r="AG1348" s="26">
        <v>1</v>
      </c>
      <c r="AH1348" s="28">
        <v>0.92</v>
      </c>
      <c r="AI1348" s="26">
        <v>0.96142542248346807</v>
      </c>
      <c r="AJ1348" s="26">
        <v>0.9767108563238982</v>
      </c>
      <c r="AK1348" s="26">
        <v>0.97802907915993542</v>
      </c>
      <c r="AL1348" s="26">
        <v>0.96420439019947168</v>
      </c>
      <c r="AM1348" s="25">
        <v>0.99</v>
      </c>
      <c r="AN1348" s="30">
        <v>1</v>
      </c>
      <c r="AO1348" s="30">
        <v>1</v>
      </c>
      <c r="AP1348" s="30">
        <v>1</v>
      </c>
      <c r="AQ1348" s="30">
        <v>1</v>
      </c>
      <c r="AR1348" s="50">
        <v>7.2186152540827803E-2</v>
      </c>
      <c r="AS1348" s="34">
        <v>0.05</v>
      </c>
      <c r="AT1348" s="34">
        <v>0</v>
      </c>
      <c r="AU1348" s="34">
        <v>0</v>
      </c>
      <c r="AV1348" s="34">
        <v>4.2735042735042736E-2</v>
      </c>
      <c r="AW1348" s="10"/>
      <c r="AX1348" s="8"/>
    </row>
    <row r="1349" spans="1:50">
      <c r="A1349" s="7"/>
      <c r="B1349" s="10"/>
      <c r="C1349" s="45" t="s">
        <v>1100</v>
      </c>
      <c r="D1349" s="23" t="s">
        <v>25</v>
      </c>
      <c r="E1349" s="83" t="s">
        <v>1393</v>
      </c>
      <c r="F1349" s="83" t="s">
        <v>1393</v>
      </c>
      <c r="G1349" s="83" t="s">
        <v>1393</v>
      </c>
      <c r="H1349" s="83" t="s">
        <v>1393</v>
      </c>
      <c r="I1349" s="25">
        <v>0.9</v>
      </c>
      <c r="J1349" s="26">
        <v>0.91304347826086951</v>
      </c>
      <c r="K1349" s="26">
        <v>1</v>
      </c>
      <c r="L1349" s="27">
        <v>1</v>
      </c>
      <c r="M1349" s="26">
        <v>0.94117647058823528</v>
      </c>
      <c r="N1349" s="28">
        <v>0.9</v>
      </c>
      <c r="O1349" s="26">
        <v>0.97093889716840531</v>
      </c>
      <c r="P1349" s="26">
        <v>0.97264437689969607</v>
      </c>
      <c r="Q1349" s="26">
        <v>0.96741637831603233</v>
      </c>
      <c r="R1349" s="26">
        <v>0.96995651601001454</v>
      </c>
      <c r="S1349" s="28">
        <v>0.9</v>
      </c>
      <c r="T1349" s="26">
        <v>0.93666169895678097</v>
      </c>
      <c r="U1349" s="26">
        <v>0.95402735562310026</v>
      </c>
      <c r="V1349" s="26">
        <v>0.95559400230680502</v>
      </c>
      <c r="W1349" s="26">
        <v>0.953968463126455</v>
      </c>
      <c r="X1349" s="28">
        <v>0.92</v>
      </c>
      <c r="Y1349" s="28">
        <v>0</v>
      </c>
      <c r="Z1349" s="28">
        <v>0</v>
      </c>
      <c r="AA1349" s="28">
        <v>0</v>
      </c>
      <c r="AB1349" s="28">
        <v>0</v>
      </c>
      <c r="AC1349" s="28">
        <v>0.92</v>
      </c>
      <c r="AD1349" s="26">
        <v>0.99716110716820439</v>
      </c>
      <c r="AE1349" s="26">
        <v>1</v>
      </c>
      <c r="AF1349" s="26">
        <v>1</v>
      </c>
      <c r="AG1349" s="26">
        <v>0.99949966644429622</v>
      </c>
      <c r="AH1349" s="28">
        <v>0.92</v>
      </c>
      <c r="AI1349" s="26">
        <v>0.98363703979174411</v>
      </c>
      <c r="AJ1349" s="26">
        <v>0.98480243161094227</v>
      </c>
      <c r="AK1349" s="26">
        <v>0.99192618223760087</v>
      </c>
      <c r="AL1349" s="26">
        <v>0.98919725979272788</v>
      </c>
      <c r="AM1349" s="25">
        <v>0.99</v>
      </c>
      <c r="AN1349" s="30">
        <v>1</v>
      </c>
      <c r="AO1349" s="30">
        <v>1</v>
      </c>
      <c r="AP1349" s="30">
        <v>1</v>
      </c>
      <c r="AQ1349" s="30">
        <v>1</v>
      </c>
      <c r="AR1349" s="50">
        <v>7.2186152540827803E-2</v>
      </c>
      <c r="AS1349" s="34">
        <v>0</v>
      </c>
      <c r="AT1349" s="34">
        <v>0</v>
      </c>
      <c r="AU1349" s="34">
        <v>0</v>
      </c>
      <c r="AV1349" s="34">
        <v>1.4285714285714285E-2</v>
      </c>
      <c r="AW1349" s="10"/>
      <c r="AX1349" s="8"/>
    </row>
    <row r="1350" spans="1:50">
      <c r="A1350" s="7"/>
      <c r="B1350" s="10"/>
      <c r="C1350" s="45" t="s">
        <v>1100</v>
      </c>
      <c r="D1350" s="23" t="s">
        <v>25</v>
      </c>
      <c r="E1350" s="83" t="s">
        <v>1394</v>
      </c>
      <c r="F1350" s="83" t="s">
        <v>1394</v>
      </c>
      <c r="G1350" s="83" t="s">
        <v>1394</v>
      </c>
      <c r="H1350" s="83" t="s">
        <v>1394</v>
      </c>
      <c r="I1350" s="25">
        <v>0.9</v>
      </c>
      <c r="J1350" s="26">
        <v>0.9</v>
      </c>
      <c r="K1350" s="26">
        <v>1</v>
      </c>
      <c r="L1350" s="27">
        <v>1</v>
      </c>
      <c r="M1350" s="26">
        <v>0.93975903614457834</v>
      </c>
      <c r="N1350" s="28">
        <v>0.9</v>
      </c>
      <c r="O1350" s="26">
        <v>0.96739130434782605</v>
      </c>
      <c r="P1350" s="26">
        <v>0.96983141082519964</v>
      </c>
      <c r="Q1350" s="26">
        <v>0.97068403908794787</v>
      </c>
      <c r="R1350" s="26">
        <v>0.95803237858032375</v>
      </c>
      <c r="S1350" s="28">
        <v>0.9</v>
      </c>
      <c r="T1350" s="26">
        <v>0.90316205533596838</v>
      </c>
      <c r="U1350" s="26">
        <v>0.93788819875776397</v>
      </c>
      <c r="V1350" s="26">
        <v>0.94706840390879476</v>
      </c>
      <c r="W1350" s="26">
        <v>0.93661270236612704</v>
      </c>
      <c r="X1350" s="28">
        <v>0.92</v>
      </c>
      <c r="Y1350" s="28">
        <v>0.94808743169398912</v>
      </c>
      <c r="Z1350" s="28">
        <v>0.95819935691318325</v>
      </c>
      <c r="AA1350" s="28">
        <v>0.9670846394984326</v>
      </c>
      <c r="AB1350" s="28">
        <v>0.95095022624434389</v>
      </c>
      <c r="AC1350" s="28">
        <v>0.92</v>
      </c>
      <c r="AD1350" s="26">
        <v>0.99896103896103894</v>
      </c>
      <c r="AE1350" s="26">
        <v>0.99801587301587302</v>
      </c>
      <c r="AF1350" s="26">
        <v>0.99790036266463067</v>
      </c>
      <c r="AG1350" s="26">
        <v>0.99840464104423499</v>
      </c>
      <c r="AH1350" s="28">
        <v>0.92</v>
      </c>
      <c r="AI1350" s="26">
        <v>0.96043577981651373</v>
      </c>
      <c r="AJ1350" s="26">
        <v>0.97428571428571431</v>
      </c>
      <c r="AK1350" s="26">
        <v>0.97695605573419075</v>
      </c>
      <c r="AL1350" s="26">
        <v>0.96614544918129519</v>
      </c>
      <c r="AM1350" s="25">
        <v>0.99</v>
      </c>
      <c r="AN1350" s="30">
        <v>1</v>
      </c>
      <c r="AO1350" s="30">
        <v>1</v>
      </c>
      <c r="AP1350" s="30">
        <v>1</v>
      </c>
      <c r="AQ1350" s="30">
        <v>1</v>
      </c>
      <c r="AR1350" s="50">
        <v>7.2186152540827803E-2</v>
      </c>
      <c r="AS1350" s="34">
        <v>0</v>
      </c>
      <c r="AT1350" s="34">
        <v>0</v>
      </c>
      <c r="AU1350" s="34">
        <v>0</v>
      </c>
      <c r="AV1350" s="34">
        <v>6.8965517241379309E-2</v>
      </c>
      <c r="AW1350" s="10"/>
      <c r="AX1350" s="8"/>
    </row>
    <row r="1351" spans="1:50">
      <c r="A1351" s="7"/>
      <c r="B1351" s="10"/>
      <c r="C1351" s="45" t="s">
        <v>1100</v>
      </c>
      <c r="D1351" s="23" t="s">
        <v>25</v>
      </c>
      <c r="E1351" s="83" t="s">
        <v>1395</v>
      </c>
      <c r="F1351" s="83" t="s">
        <v>1395</v>
      </c>
      <c r="G1351" s="83" t="s">
        <v>1395</v>
      </c>
      <c r="H1351" s="83" t="s">
        <v>1395</v>
      </c>
      <c r="I1351" s="25">
        <v>0.9</v>
      </c>
      <c r="J1351" s="26">
        <v>0.93333333333333335</v>
      </c>
      <c r="K1351" s="26">
        <v>0.87878787878787878</v>
      </c>
      <c r="L1351" s="27">
        <v>0.96875</v>
      </c>
      <c r="M1351" s="26">
        <v>0.94230769230769229</v>
      </c>
      <c r="N1351" s="28">
        <v>0.9</v>
      </c>
      <c r="O1351" s="26">
        <v>0.94665109034267914</v>
      </c>
      <c r="P1351" s="26">
        <v>0.96931969764339709</v>
      </c>
      <c r="Q1351" s="26">
        <v>0.8910505836575876</v>
      </c>
      <c r="R1351" s="26">
        <v>0.94246815985946419</v>
      </c>
      <c r="S1351" s="28">
        <v>0.9</v>
      </c>
      <c r="T1351" s="26">
        <v>0.91627725856697817</v>
      </c>
      <c r="U1351" s="26">
        <v>0.94797687861271673</v>
      </c>
      <c r="V1351" s="26">
        <v>0.85758754863813225</v>
      </c>
      <c r="W1351" s="26">
        <v>0.91886253842775578</v>
      </c>
      <c r="X1351" s="28">
        <v>0.92</v>
      </c>
      <c r="Y1351" s="28">
        <v>0.95045317220543801</v>
      </c>
      <c r="Z1351" s="28">
        <v>0.95917044718081657</v>
      </c>
      <c r="AA1351" s="28">
        <v>0.96237172177879138</v>
      </c>
      <c r="AB1351" s="28">
        <v>0.96298511430090372</v>
      </c>
      <c r="AC1351" s="28">
        <v>0.92</v>
      </c>
      <c r="AD1351" s="26">
        <v>0.99954524783992726</v>
      </c>
      <c r="AE1351" s="26">
        <v>1</v>
      </c>
      <c r="AF1351" s="26">
        <v>0.99949647532729102</v>
      </c>
      <c r="AG1351" s="26">
        <v>0.99883260911861993</v>
      </c>
      <c r="AH1351" s="28">
        <v>0.92</v>
      </c>
      <c r="AI1351" s="26">
        <v>0.96234904096613783</v>
      </c>
      <c r="AJ1351" s="26">
        <v>0.97494725738396626</v>
      </c>
      <c r="AK1351" s="26">
        <v>0.97363552266419984</v>
      </c>
      <c r="AL1351" s="26">
        <v>0.97342711996873776</v>
      </c>
      <c r="AM1351" s="25">
        <v>0.99</v>
      </c>
      <c r="AN1351" s="30">
        <v>1</v>
      </c>
      <c r="AO1351" s="30">
        <v>1</v>
      </c>
      <c r="AP1351" s="30">
        <v>1</v>
      </c>
      <c r="AQ1351" s="30">
        <v>1</v>
      </c>
      <c r="AR1351" s="50">
        <v>7.2186152540827803E-2</v>
      </c>
      <c r="AS1351" s="34">
        <v>5.8823529411764705E-2</v>
      </c>
      <c r="AT1351" s="34">
        <v>4.7619047619047616E-2</v>
      </c>
      <c r="AU1351" s="34">
        <v>0</v>
      </c>
      <c r="AV1351" s="34">
        <v>3.787878787878788E-2</v>
      </c>
      <c r="AW1351" s="10"/>
      <c r="AX1351" s="8"/>
    </row>
    <row r="1352" spans="1:50">
      <c r="A1352" s="7"/>
      <c r="B1352" s="10"/>
      <c r="C1352" s="45" t="s">
        <v>1100</v>
      </c>
      <c r="D1352" s="23" t="s">
        <v>25</v>
      </c>
      <c r="E1352" s="83" t="s">
        <v>1396</v>
      </c>
      <c r="F1352" s="83" t="s">
        <v>1396</v>
      </c>
      <c r="G1352" s="83" t="s">
        <v>1396</v>
      </c>
      <c r="H1352" s="83" t="s">
        <v>1396</v>
      </c>
      <c r="I1352" s="25">
        <v>0.9</v>
      </c>
      <c r="J1352" s="26">
        <v>0.97435897435897434</v>
      </c>
      <c r="K1352" s="26">
        <v>0.9555555555555556</v>
      </c>
      <c r="L1352" s="27">
        <v>0.95744680851063835</v>
      </c>
      <c r="M1352" s="26">
        <v>0.96561604584527216</v>
      </c>
      <c r="N1352" s="28">
        <v>0.9</v>
      </c>
      <c r="O1352" s="26">
        <v>0.97719399538106233</v>
      </c>
      <c r="P1352" s="26">
        <v>0.97134146341463412</v>
      </c>
      <c r="Q1352" s="26">
        <v>0.94324601951720599</v>
      </c>
      <c r="R1352" s="26">
        <v>0.97135577516985794</v>
      </c>
      <c r="S1352" s="28">
        <v>0.9</v>
      </c>
      <c r="T1352" s="26">
        <v>0.9272517321016166</v>
      </c>
      <c r="U1352" s="26">
        <v>0.94451219512195117</v>
      </c>
      <c r="V1352" s="26">
        <v>0.92090395480225984</v>
      </c>
      <c r="W1352" s="26">
        <v>0.93989345274861025</v>
      </c>
      <c r="X1352" s="28">
        <v>0.92</v>
      </c>
      <c r="Y1352" s="28">
        <v>0.94070647603027757</v>
      </c>
      <c r="Z1352" s="28">
        <v>0.94831362242663164</v>
      </c>
      <c r="AA1352" s="28">
        <v>0.94261183913239943</v>
      </c>
      <c r="AB1352" s="28">
        <v>0.95435970656294622</v>
      </c>
      <c r="AC1352" s="28">
        <v>0.92</v>
      </c>
      <c r="AD1352" s="26">
        <v>0.99229074889867841</v>
      </c>
      <c r="AE1352" s="26">
        <v>0.99767225325884545</v>
      </c>
      <c r="AF1352" s="26">
        <v>0.99846232701178883</v>
      </c>
      <c r="AG1352" s="26">
        <v>0.99613537884998249</v>
      </c>
      <c r="AH1352" s="28">
        <v>0.92</v>
      </c>
      <c r="AI1352" s="26">
        <v>0.96252566735112932</v>
      </c>
      <c r="AJ1352" s="26">
        <v>0.96908143088261733</v>
      </c>
      <c r="AK1352" s="26">
        <v>0.96921565416734889</v>
      </c>
      <c r="AL1352" s="26">
        <v>0.97118255376227769</v>
      </c>
      <c r="AM1352" s="25">
        <v>0.99</v>
      </c>
      <c r="AN1352" s="30">
        <v>1</v>
      </c>
      <c r="AO1352" s="30">
        <v>1</v>
      </c>
      <c r="AP1352" s="30">
        <v>1</v>
      </c>
      <c r="AQ1352" s="30">
        <v>1</v>
      </c>
      <c r="AR1352" s="50">
        <v>7.2186152540827803E-2</v>
      </c>
      <c r="AS1352" s="34">
        <v>2.8571428571428571E-2</v>
      </c>
      <c r="AT1352" s="34">
        <v>0</v>
      </c>
      <c r="AU1352" s="34">
        <v>-3.2258064516129031E-2</v>
      </c>
      <c r="AV1352" s="34">
        <v>1.9607843137254902E-2</v>
      </c>
      <c r="AW1352" s="10"/>
      <c r="AX1352" s="8"/>
    </row>
    <row r="1353" spans="1:50">
      <c r="A1353" s="7"/>
      <c r="B1353" s="10"/>
      <c r="C1353" s="45" t="s">
        <v>1100</v>
      </c>
      <c r="D1353" s="23" t="s">
        <v>25</v>
      </c>
      <c r="E1353" s="83" t="s">
        <v>1397</v>
      </c>
      <c r="F1353" s="83" t="s">
        <v>1397</v>
      </c>
      <c r="G1353" s="83" t="s">
        <v>1397</v>
      </c>
      <c r="H1353" s="83" t="s">
        <v>1397</v>
      </c>
      <c r="I1353" s="25">
        <v>0.9</v>
      </c>
      <c r="J1353" s="26">
        <v>1</v>
      </c>
      <c r="K1353" s="26">
        <v>1</v>
      </c>
      <c r="L1353" s="27">
        <v>1</v>
      </c>
      <c r="M1353" s="26">
        <v>1</v>
      </c>
      <c r="N1353" s="28">
        <v>0.9</v>
      </c>
      <c r="O1353" s="26">
        <v>0.98306188925081428</v>
      </c>
      <c r="P1353" s="26">
        <v>0.99141016463851106</v>
      </c>
      <c r="Q1353" s="26">
        <v>0.98612652608213092</v>
      </c>
      <c r="R1353" s="26">
        <v>0.98697527061515444</v>
      </c>
      <c r="S1353" s="28">
        <v>0.9</v>
      </c>
      <c r="T1353" s="26">
        <v>0.94788273615635177</v>
      </c>
      <c r="U1353" s="26">
        <v>0.96564065855404435</v>
      </c>
      <c r="V1353" s="26">
        <v>0.96448390677025531</v>
      </c>
      <c r="W1353" s="26">
        <v>0.95837366892545983</v>
      </c>
      <c r="X1353" s="28">
        <v>0.92</v>
      </c>
      <c r="Y1353" s="28">
        <v>0.95968534906587999</v>
      </c>
      <c r="Z1353" s="28">
        <v>0.98837209302325579</v>
      </c>
      <c r="AA1353" s="28">
        <v>0.98315163528245786</v>
      </c>
      <c r="AB1353" s="28">
        <v>0.97490503050535282</v>
      </c>
      <c r="AC1353" s="28">
        <v>0.92</v>
      </c>
      <c r="AD1353" s="26">
        <v>0.9997852233676976</v>
      </c>
      <c r="AE1353" s="26">
        <v>0.9997251992305578</v>
      </c>
      <c r="AF1353" s="26">
        <v>1</v>
      </c>
      <c r="AG1353" s="26">
        <v>0.9996168162907817</v>
      </c>
      <c r="AH1353" s="28">
        <v>0.92</v>
      </c>
      <c r="AI1353" s="26">
        <v>0.97021943573667713</v>
      </c>
      <c r="AJ1353" s="26">
        <v>0.98888431453272951</v>
      </c>
      <c r="AK1353" s="26">
        <v>0.98754891497687658</v>
      </c>
      <c r="AL1353" s="26">
        <v>0.9808497905445841</v>
      </c>
      <c r="AM1353" s="25">
        <v>0.99</v>
      </c>
      <c r="AN1353" s="30">
        <v>1</v>
      </c>
      <c r="AO1353" s="30">
        <v>1</v>
      </c>
      <c r="AP1353" s="30">
        <v>1</v>
      </c>
      <c r="AQ1353" s="30">
        <v>1</v>
      </c>
      <c r="AR1353" s="50">
        <v>7.2186152540827803E-2</v>
      </c>
      <c r="AS1353" s="34">
        <v>0.04</v>
      </c>
      <c r="AT1353" s="34">
        <v>4.3478260869565216E-2</v>
      </c>
      <c r="AU1353" s="34">
        <v>0.16666666666666666</v>
      </c>
      <c r="AV1353" s="34">
        <v>3.614457831325301E-2</v>
      </c>
      <c r="AW1353" s="10"/>
      <c r="AX1353" s="8"/>
    </row>
    <row r="1354" spans="1:50">
      <c r="A1354" s="7"/>
      <c r="B1354" s="10"/>
      <c r="C1354" s="45" t="s">
        <v>1100</v>
      </c>
      <c r="D1354" s="23" t="s">
        <v>25</v>
      </c>
      <c r="E1354" s="83" t="s">
        <v>1398</v>
      </c>
      <c r="F1354" s="83" t="s">
        <v>1398</v>
      </c>
      <c r="G1354" s="83" t="s">
        <v>1398</v>
      </c>
      <c r="H1354" s="83" t="s">
        <v>1398</v>
      </c>
      <c r="I1354" s="25">
        <v>0.9</v>
      </c>
      <c r="J1354" s="26">
        <v>1</v>
      </c>
      <c r="K1354" s="26">
        <v>0.95652173913043481</v>
      </c>
      <c r="L1354" s="27">
        <v>0.95652173913043481</v>
      </c>
      <c r="M1354" s="26">
        <v>0.9731182795698925</v>
      </c>
      <c r="N1354" s="28">
        <v>0.9</v>
      </c>
      <c r="O1354" s="26">
        <v>0.93882141250562301</v>
      </c>
      <c r="P1354" s="26">
        <v>0.96194291437155732</v>
      </c>
      <c r="Q1354" s="26">
        <v>0.91880521665965498</v>
      </c>
      <c r="R1354" s="26">
        <v>0.95124282982791586</v>
      </c>
      <c r="S1354" s="28">
        <v>0.9</v>
      </c>
      <c r="T1354" s="26">
        <v>0.91947818263607739</v>
      </c>
      <c r="U1354" s="26">
        <v>0.94491737606409609</v>
      </c>
      <c r="V1354" s="26">
        <v>0.89061842658813628</v>
      </c>
      <c r="W1354" s="26">
        <v>0.92492033142128749</v>
      </c>
      <c r="X1354" s="28">
        <v>0.92</v>
      </c>
      <c r="Y1354" s="28">
        <v>0.94404069767441856</v>
      </c>
      <c r="Z1354" s="28">
        <v>0.95305164319248825</v>
      </c>
      <c r="AA1354" s="28">
        <v>0.96304849884526555</v>
      </c>
      <c r="AB1354" s="28">
        <v>0.95451904722383596</v>
      </c>
      <c r="AC1354" s="28">
        <v>0.92</v>
      </c>
      <c r="AD1354" s="26">
        <v>0.99726626571897214</v>
      </c>
      <c r="AE1354" s="26">
        <v>0.99594731509625123</v>
      </c>
      <c r="AF1354" s="26">
        <v>0.99874134675896786</v>
      </c>
      <c r="AG1354" s="26">
        <v>0.99696912293995077</v>
      </c>
      <c r="AH1354" s="28">
        <v>0.92</v>
      </c>
      <c r="AI1354" s="26">
        <v>0.95998888580161157</v>
      </c>
      <c r="AJ1354" s="26">
        <v>0.97068702290076336</v>
      </c>
      <c r="AK1354" s="26">
        <v>0.97742110990206743</v>
      </c>
      <c r="AL1354" s="26">
        <v>0.97000612855546342</v>
      </c>
      <c r="AM1354" s="25">
        <v>0.99</v>
      </c>
      <c r="AN1354" s="30">
        <v>1</v>
      </c>
      <c r="AO1354" s="30">
        <v>1</v>
      </c>
      <c r="AP1354" s="30">
        <v>1</v>
      </c>
      <c r="AQ1354" s="30">
        <v>1</v>
      </c>
      <c r="AR1354" s="50">
        <v>7.2186152540827803E-2</v>
      </c>
      <c r="AS1354" s="34">
        <v>5.5555555555555552E-2</v>
      </c>
      <c r="AT1354" s="34">
        <v>5.2631578947368418E-2</v>
      </c>
      <c r="AU1354" s="34">
        <v>5.5555555555555552E-2</v>
      </c>
      <c r="AV1354" s="34">
        <v>6.2992125984251968E-2</v>
      </c>
      <c r="AW1354" s="10"/>
      <c r="AX1354" s="8"/>
    </row>
    <row r="1355" spans="1:50">
      <c r="A1355" s="7"/>
      <c r="B1355" s="10"/>
      <c r="C1355" s="45" t="s">
        <v>1100</v>
      </c>
      <c r="D1355" s="23" t="s">
        <v>25</v>
      </c>
      <c r="E1355" s="83" t="s">
        <v>1399</v>
      </c>
      <c r="F1355" s="83" t="s">
        <v>1399</v>
      </c>
      <c r="G1355" s="83" t="s">
        <v>1399</v>
      </c>
      <c r="H1355" s="83" t="s">
        <v>1399</v>
      </c>
      <c r="I1355" s="25">
        <v>0.9</v>
      </c>
      <c r="J1355" s="26">
        <v>0.80769230769230771</v>
      </c>
      <c r="K1355" s="26">
        <v>0.81818181818181823</v>
      </c>
      <c r="L1355" s="27">
        <v>0.90625</v>
      </c>
      <c r="M1355" s="26">
        <v>0.82553191489361699</v>
      </c>
      <c r="N1355" s="28">
        <v>0.9</v>
      </c>
      <c r="O1355" s="26">
        <v>0.99132052076875388</v>
      </c>
      <c r="P1355" s="26">
        <v>0.95418848167539272</v>
      </c>
      <c r="Q1355" s="26">
        <v>0.9880239520958084</v>
      </c>
      <c r="R1355" s="26">
        <v>0.97875533091138844</v>
      </c>
      <c r="S1355" s="28">
        <v>0.9</v>
      </c>
      <c r="T1355" s="26">
        <v>0.94420334779913206</v>
      </c>
      <c r="U1355" s="26">
        <v>0.93586387434554974</v>
      </c>
      <c r="V1355" s="26">
        <v>0.93363273453093809</v>
      </c>
      <c r="W1355" s="26">
        <v>0.93942505133470222</v>
      </c>
      <c r="X1355" s="28">
        <v>0.92</v>
      </c>
      <c r="Y1355" s="28">
        <v>0.92666091458153577</v>
      </c>
      <c r="Z1355" s="28">
        <v>0.95764119601328901</v>
      </c>
      <c r="AA1355" s="28">
        <v>0.9590690208667737</v>
      </c>
      <c r="AB1355" s="28">
        <v>0.92439261418853258</v>
      </c>
      <c r="AC1355" s="28">
        <v>0.92</v>
      </c>
      <c r="AD1355" s="26">
        <v>1</v>
      </c>
      <c r="AE1355" s="26">
        <v>0.99934554973821987</v>
      </c>
      <c r="AF1355" s="26">
        <v>0.99918666124440825</v>
      </c>
      <c r="AG1355" s="26">
        <v>0.99965732300733334</v>
      </c>
      <c r="AH1355" s="28">
        <v>0.92</v>
      </c>
      <c r="AI1355" s="26">
        <v>0.95526695526695526</v>
      </c>
      <c r="AJ1355" s="26">
        <v>0.96888726207906295</v>
      </c>
      <c r="AK1355" s="26">
        <v>0.97784615384615381</v>
      </c>
      <c r="AL1355" s="26">
        <v>0.95647248485904757</v>
      </c>
      <c r="AM1355" s="25">
        <v>0.99</v>
      </c>
      <c r="AN1355" s="30">
        <v>1</v>
      </c>
      <c r="AO1355" s="30">
        <v>1</v>
      </c>
      <c r="AP1355" s="30">
        <v>1</v>
      </c>
      <c r="AQ1355" s="30">
        <v>1</v>
      </c>
      <c r="AR1355" s="50">
        <v>7.2186152540827803E-2</v>
      </c>
      <c r="AS1355" s="34">
        <v>0</v>
      </c>
      <c r="AT1355" s="34">
        <v>8.3333333333333329E-2</v>
      </c>
      <c r="AU1355" s="34">
        <v>5.2631578947368418E-2</v>
      </c>
      <c r="AV1355" s="34">
        <v>0</v>
      </c>
      <c r="AW1355" s="10"/>
      <c r="AX1355" s="8"/>
    </row>
    <row r="1356" spans="1:50">
      <c r="A1356" s="7"/>
      <c r="B1356" s="10"/>
      <c r="C1356" s="45" t="s">
        <v>1100</v>
      </c>
      <c r="D1356" s="23" t="s">
        <v>25</v>
      </c>
      <c r="E1356" s="83" t="s">
        <v>1400</v>
      </c>
      <c r="F1356" s="83" t="s">
        <v>1400</v>
      </c>
      <c r="G1356" s="83" t="s">
        <v>1400</v>
      </c>
      <c r="H1356" s="83" t="s">
        <v>1400</v>
      </c>
      <c r="I1356" s="25">
        <v>0.9</v>
      </c>
      <c r="J1356" s="26">
        <v>0.94736842105263153</v>
      </c>
      <c r="K1356" s="26">
        <v>0.89473684210526316</v>
      </c>
      <c r="L1356" s="27">
        <v>0.94736842105263153</v>
      </c>
      <c r="M1356" s="26">
        <v>0.88590604026845643</v>
      </c>
      <c r="N1356" s="28">
        <v>0.9</v>
      </c>
      <c r="O1356" s="26">
        <v>0.89934829833454022</v>
      </c>
      <c r="P1356" s="26">
        <v>0.97747747747747749</v>
      </c>
      <c r="Q1356" s="26">
        <v>0.80914512922465209</v>
      </c>
      <c r="R1356" s="26">
        <v>0.91366403832717835</v>
      </c>
      <c r="S1356" s="28">
        <v>0.9</v>
      </c>
      <c r="T1356" s="26">
        <v>0.92251991310644466</v>
      </c>
      <c r="U1356" s="26">
        <v>0.94144144144144148</v>
      </c>
      <c r="V1356" s="26">
        <v>0.87541418157720341</v>
      </c>
      <c r="W1356" s="26">
        <v>0.92194829823335667</v>
      </c>
      <c r="X1356" s="28">
        <v>0.92</v>
      </c>
      <c r="Y1356" s="28">
        <v>0.94168734491315131</v>
      </c>
      <c r="Z1356" s="28">
        <v>0.94189189189189193</v>
      </c>
      <c r="AA1356" s="28">
        <v>0.95634920634920639</v>
      </c>
      <c r="AB1356" s="28">
        <v>0.94740079975392189</v>
      </c>
      <c r="AC1356" s="28">
        <v>0.92</v>
      </c>
      <c r="AD1356" s="26">
        <v>0.99581151832460735</v>
      </c>
      <c r="AE1356" s="26">
        <v>0.99787460148777896</v>
      </c>
      <c r="AF1356" s="26">
        <v>0.99881656804733732</v>
      </c>
      <c r="AG1356" s="26">
        <v>0.99771443936542081</v>
      </c>
      <c r="AH1356" s="28">
        <v>0.92</v>
      </c>
      <c r="AI1356" s="26">
        <v>0.96204846822130774</v>
      </c>
      <c r="AJ1356" s="26">
        <v>0.96864864864864864</v>
      </c>
      <c r="AK1356" s="26">
        <v>0.9713024282560706</v>
      </c>
      <c r="AL1356" s="26">
        <v>0.96871028263632508</v>
      </c>
      <c r="AM1356" s="25">
        <v>0.99</v>
      </c>
      <c r="AN1356" s="30">
        <v>1</v>
      </c>
      <c r="AO1356" s="30">
        <v>1</v>
      </c>
      <c r="AP1356" s="30">
        <v>1</v>
      </c>
      <c r="AQ1356" s="30">
        <v>1</v>
      </c>
      <c r="AR1356" s="50">
        <v>7.2186152540827803E-2</v>
      </c>
      <c r="AS1356" s="34">
        <v>0</v>
      </c>
      <c r="AT1356" s="34">
        <v>0</v>
      </c>
      <c r="AU1356" s="34">
        <v>0</v>
      </c>
      <c r="AV1356" s="34">
        <v>3.7037037037037035E-2</v>
      </c>
      <c r="AW1356" s="10"/>
      <c r="AX1356" s="8"/>
    </row>
    <row r="1357" spans="1:50">
      <c r="A1357" s="7"/>
      <c r="B1357" s="10"/>
      <c r="C1357" s="45" t="s">
        <v>1100</v>
      </c>
      <c r="D1357" s="23" t="s">
        <v>25</v>
      </c>
      <c r="E1357" s="83" t="s">
        <v>1401</v>
      </c>
      <c r="F1357" s="83" t="s">
        <v>1401</v>
      </c>
      <c r="G1357" s="83" t="s">
        <v>1401</v>
      </c>
      <c r="H1357" s="83" t="s">
        <v>1401</v>
      </c>
      <c r="I1357" s="25">
        <v>0.9</v>
      </c>
      <c r="J1357" s="26">
        <v>1</v>
      </c>
      <c r="K1357" s="26">
        <v>0.8666666666666667</v>
      </c>
      <c r="L1357" s="27">
        <v>1</v>
      </c>
      <c r="M1357" s="26">
        <v>0.95652173913043481</v>
      </c>
      <c r="N1357" s="28">
        <v>0.9</v>
      </c>
      <c r="O1357" s="26">
        <v>0.99744897959183676</v>
      </c>
      <c r="P1357" s="26">
        <v>0.99360681939264783</v>
      </c>
      <c r="Q1357" s="26">
        <v>0.99712643678160917</v>
      </c>
      <c r="R1357" s="26">
        <v>0.99505446350319271</v>
      </c>
      <c r="S1357" s="28">
        <v>0.9</v>
      </c>
      <c r="T1357" s="26">
        <v>0.97499999999999998</v>
      </c>
      <c r="U1357" s="26">
        <v>0.98028769312733088</v>
      </c>
      <c r="V1357" s="26">
        <v>0.97249589490968802</v>
      </c>
      <c r="W1357" s="26">
        <v>0.97689996243896327</v>
      </c>
      <c r="X1357" s="28">
        <v>0.92</v>
      </c>
      <c r="Y1357" s="28">
        <v>0</v>
      </c>
      <c r="Z1357" s="28">
        <v>0</v>
      </c>
      <c r="AA1357" s="28">
        <v>0</v>
      </c>
      <c r="AB1357" s="28">
        <v>0</v>
      </c>
      <c r="AC1357" s="28">
        <v>0.92</v>
      </c>
      <c r="AD1357" s="26">
        <v>1</v>
      </c>
      <c r="AE1357" s="26">
        <v>0.9880239520958084</v>
      </c>
      <c r="AF1357" s="26">
        <v>1</v>
      </c>
      <c r="AG1357" s="26">
        <v>0.99707259953161598</v>
      </c>
      <c r="AH1357" s="28">
        <v>0.92</v>
      </c>
      <c r="AI1357" s="26">
        <v>0.99183673469387756</v>
      </c>
      <c r="AJ1357" s="26">
        <v>0.99307405434203522</v>
      </c>
      <c r="AK1357" s="26">
        <v>0.99425287356321834</v>
      </c>
      <c r="AL1357" s="26">
        <v>0.9927381995743082</v>
      </c>
      <c r="AM1357" s="25">
        <v>0.99</v>
      </c>
      <c r="AN1357" s="30">
        <v>1</v>
      </c>
      <c r="AO1357" s="30">
        <v>1</v>
      </c>
      <c r="AP1357" s="30">
        <v>1</v>
      </c>
      <c r="AQ1357" s="30">
        <v>1</v>
      </c>
      <c r="AR1357" s="50">
        <v>7.2186152540827803E-2</v>
      </c>
      <c r="AS1357" s="34">
        <v>0</v>
      </c>
      <c r="AT1357" s="34">
        <v>0</v>
      </c>
      <c r="AU1357" s="34">
        <v>0</v>
      </c>
      <c r="AV1357" s="34">
        <v>4.878048780487805E-2</v>
      </c>
      <c r="AW1357" s="10"/>
      <c r="AX1357" s="8"/>
    </row>
    <row r="1358" spans="1:50">
      <c r="A1358" s="7"/>
      <c r="B1358" s="10"/>
      <c r="C1358" s="45" t="s">
        <v>1100</v>
      </c>
      <c r="D1358" s="23" t="s">
        <v>25</v>
      </c>
      <c r="E1358" s="83" t="s">
        <v>1402</v>
      </c>
      <c r="F1358" s="83" t="s">
        <v>1402</v>
      </c>
      <c r="G1358" s="83" t="s">
        <v>1402</v>
      </c>
      <c r="H1358" s="83" t="s">
        <v>1402</v>
      </c>
      <c r="I1358" s="25">
        <v>0.9</v>
      </c>
      <c r="J1358" s="26">
        <v>0.88461538461538458</v>
      </c>
      <c r="K1358" s="26">
        <v>0.96153846153846156</v>
      </c>
      <c r="L1358" s="27">
        <v>0.8</v>
      </c>
      <c r="M1358" s="26">
        <v>0.90306122448979587</v>
      </c>
      <c r="N1358" s="28">
        <v>0.9</v>
      </c>
      <c r="O1358" s="26">
        <v>0.99195171026156936</v>
      </c>
      <c r="P1358" s="26">
        <v>0.99786780383795304</v>
      </c>
      <c r="Q1358" s="26">
        <v>0.92963885429638859</v>
      </c>
      <c r="R1358" s="26">
        <v>0.98210838551720891</v>
      </c>
      <c r="S1358" s="28">
        <v>0.9</v>
      </c>
      <c r="T1358" s="26">
        <v>0.94366197183098588</v>
      </c>
      <c r="U1358" s="26">
        <v>0.94541577825159917</v>
      </c>
      <c r="V1358" s="26">
        <v>0.91843088418430885</v>
      </c>
      <c r="W1358" s="26">
        <v>0.95070389378030984</v>
      </c>
      <c r="X1358" s="28">
        <v>0.92</v>
      </c>
      <c r="Y1358" s="28">
        <v>0</v>
      </c>
      <c r="Z1358" s="28">
        <v>0</v>
      </c>
      <c r="AA1358" s="28">
        <v>1</v>
      </c>
      <c r="AB1358" s="28">
        <v>8.3333333333333329E-2</v>
      </c>
      <c r="AC1358" s="28">
        <v>0.92</v>
      </c>
      <c r="AD1358" s="26">
        <v>0.99728905455777705</v>
      </c>
      <c r="AE1358" s="26">
        <v>0.99340866290018837</v>
      </c>
      <c r="AF1358" s="26">
        <v>0.99313388916135359</v>
      </c>
      <c r="AG1358" s="26">
        <v>0.99350806646964784</v>
      </c>
      <c r="AH1358" s="28">
        <v>0.92</v>
      </c>
      <c r="AI1358" s="26">
        <v>0.97793822703569999</v>
      </c>
      <c r="AJ1358" s="26">
        <v>0.98556263269639066</v>
      </c>
      <c r="AK1358" s="26">
        <v>0.97915370255133793</v>
      </c>
      <c r="AL1358" s="26">
        <v>0.98753469118961379</v>
      </c>
      <c r="AM1358" s="25">
        <v>0.99</v>
      </c>
      <c r="AN1358" s="30">
        <v>1</v>
      </c>
      <c r="AO1358" s="30">
        <v>1</v>
      </c>
      <c r="AP1358" s="30">
        <v>1</v>
      </c>
      <c r="AQ1358" s="30">
        <v>1</v>
      </c>
      <c r="AR1358" s="50">
        <v>7.2186152540827803E-2</v>
      </c>
      <c r="AS1358" s="34">
        <v>0</v>
      </c>
      <c r="AT1358" s="34">
        <v>0</v>
      </c>
      <c r="AU1358" s="34">
        <v>0.22222222222222221</v>
      </c>
      <c r="AV1358" s="34">
        <v>4.3010752688172046E-2</v>
      </c>
      <c r="AW1358" s="10"/>
      <c r="AX1358" s="8"/>
    </row>
    <row r="1359" spans="1:50">
      <c r="A1359" s="7"/>
      <c r="B1359" s="10"/>
      <c r="C1359" s="45" t="s">
        <v>1100</v>
      </c>
      <c r="D1359" s="23" t="s">
        <v>25</v>
      </c>
      <c r="E1359" s="83" t="s">
        <v>1403</v>
      </c>
      <c r="F1359" s="83" t="s">
        <v>1403</v>
      </c>
      <c r="G1359" s="83" t="s">
        <v>1403</v>
      </c>
      <c r="H1359" s="83" t="s">
        <v>1403</v>
      </c>
      <c r="I1359" s="25">
        <v>0.9</v>
      </c>
      <c r="J1359" s="26">
        <v>0.94444444444444442</v>
      </c>
      <c r="K1359" s="26">
        <v>0.84210526315789469</v>
      </c>
      <c r="L1359" s="27">
        <v>0.90476190476190477</v>
      </c>
      <c r="M1359" s="26">
        <v>0.90506329113924056</v>
      </c>
      <c r="N1359" s="28">
        <v>0.9</v>
      </c>
      <c r="O1359" s="26">
        <v>0.974716652136007</v>
      </c>
      <c r="P1359" s="26">
        <v>0.99213286713286708</v>
      </c>
      <c r="Q1359" s="26">
        <v>0.87103905674281501</v>
      </c>
      <c r="R1359" s="26">
        <v>0.95968458462905371</v>
      </c>
      <c r="S1359" s="28">
        <v>0.9</v>
      </c>
      <c r="T1359" s="26">
        <v>0.9197907585004359</v>
      </c>
      <c r="U1359" s="26">
        <v>0.95104895104895104</v>
      </c>
      <c r="V1359" s="26">
        <v>0.89977892409727345</v>
      </c>
      <c r="W1359" s="26">
        <v>0.93291870279875611</v>
      </c>
      <c r="X1359" s="28">
        <v>0.92</v>
      </c>
      <c r="Y1359" s="28">
        <v>0.8052995391705069</v>
      </c>
      <c r="Z1359" s="28">
        <v>0.85947302383939772</v>
      </c>
      <c r="AA1359" s="28">
        <v>0.91907514450867056</v>
      </c>
      <c r="AB1359" s="28">
        <v>0.86889567147613767</v>
      </c>
      <c r="AC1359" s="28">
        <v>0.92</v>
      </c>
      <c r="AD1359" s="26">
        <v>0.99457896638959165</v>
      </c>
      <c r="AE1359" s="26">
        <v>0.99707495429616089</v>
      </c>
      <c r="AF1359" s="26">
        <v>0.99821852731591454</v>
      </c>
      <c r="AG1359" s="26">
        <v>0.99567269866247055</v>
      </c>
      <c r="AH1359" s="28">
        <v>0.92</v>
      </c>
      <c r="AI1359" s="26">
        <v>0.89280397022332503</v>
      </c>
      <c r="AJ1359" s="26">
        <v>0.92945417095777549</v>
      </c>
      <c r="AK1359" s="26">
        <v>0.93429342934293425</v>
      </c>
      <c r="AL1359" s="26">
        <v>0.923024733238759</v>
      </c>
      <c r="AM1359" s="25">
        <v>0.99</v>
      </c>
      <c r="AN1359" s="30">
        <v>1</v>
      </c>
      <c r="AO1359" s="30">
        <v>1</v>
      </c>
      <c r="AP1359" s="30">
        <v>1</v>
      </c>
      <c r="AQ1359" s="30">
        <v>1</v>
      </c>
      <c r="AR1359" s="50">
        <v>7.2186152540827803E-2</v>
      </c>
      <c r="AS1359" s="34">
        <v>0</v>
      </c>
      <c r="AT1359" s="34">
        <v>0</v>
      </c>
      <c r="AU1359" s="34">
        <v>6.6666666666666666E-2</v>
      </c>
      <c r="AV1359" s="34">
        <v>6.3157894736842107E-2</v>
      </c>
      <c r="AW1359" s="10"/>
      <c r="AX1359" s="8"/>
    </row>
    <row r="1360" spans="1:50">
      <c r="A1360" s="7"/>
      <c r="B1360" s="10"/>
      <c r="C1360" s="45" t="s">
        <v>1100</v>
      </c>
      <c r="D1360" s="23" t="s">
        <v>25</v>
      </c>
      <c r="E1360" s="83" t="s">
        <v>1404</v>
      </c>
      <c r="F1360" s="83" t="s">
        <v>1404</v>
      </c>
      <c r="G1360" s="83" t="s">
        <v>1404</v>
      </c>
      <c r="H1360" s="83" t="s">
        <v>1404</v>
      </c>
      <c r="I1360" s="25">
        <v>0.9</v>
      </c>
      <c r="J1360" s="26">
        <v>0.8571428571428571</v>
      </c>
      <c r="K1360" s="26">
        <v>1</v>
      </c>
      <c r="L1360" s="27">
        <v>1</v>
      </c>
      <c r="M1360" s="26">
        <v>0.93333333333333335</v>
      </c>
      <c r="N1360" s="28">
        <v>0.9</v>
      </c>
      <c r="O1360" s="26">
        <v>0.98716452742123684</v>
      </c>
      <c r="P1360" s="26">
        <v>0.99770114942528731</v>
      </c>
      <c r="Q1360" s="26">
        <v>0.99429115128449097</v>
      </c>
      <c r="R1360" s="26">
        <v>0.94231567298381513</v>
      </c>
      <c r="S1360" s="28">
        <v>0.9</v>
      </c>
      <c r="T1360" s="26">
        <v>0.9533255542590432</v>
      </c>
      <c r="U1360" s="26">
        <v>0.96206896551724141</v>
      </c>
      <c r="V1360" s="26">
        <v>0.96098953377735485</v>
      </c>
      <c r="W1360" s="26">
        <v>0.90773274311799701</v>
      </c>
      <c r="X1360" s="28">
        <v>0.92</v>
      </c>
      <c r="Y1360" s="28">
        <v>0</v>
      </c>
      <c r="Z1360" s="28">
        <v>0</v>
      </c>
      <c r="AA1360" s="28">
        <v>0</v>
      </c>
      <c r="AB1360" s="28">
        <v>0</v>
      </c>
      <c r="AC1360" s="28">
        <v>0.92</v>
      </c>
      <c r="AD1360" s="26">
        <v>0.97839506172839508</v>
      </c>
      <c r="AE1360" s="26">
        <v>0.97635135135135132</v>
      </c>
      <c r="AF1360" s="26">
        <v>0.72972972972972971</v>
      </c>
      <c r="AG1360" s="26">
        <v>0.93291404612159334</v>
      </c>
      <c r="AH1360" s="28">
        <v>0.92</v>
      </c>
      <c r="AI1360" s="26">
        <v>0.97906976744186047</v>
      </c>
      <c r="AJ1360" s="26">
        <v>0.99311136624569463</v>
      </c>
      <c r="AK1360" s="26">
        <v>0.99429657794676807</v>
      </c>
      <c r="AL1360" s="26">
        <v>0.98659109759469177</v>
      </c>
      <c r="AM1360" s="25">
        <v>0.99</v>
      </c>
      <c r="AN1360" s="30">
        <v>1</v>
      </c>
      <c r="AO1360" s="30">
        <v>1</v>
      </c>
      <c r="AP1360" s="30">
        <v>1</v>
      </c>
      <c r="AQ1360" s="30">
        <v>1</v>
      </c>
      <c r="AR1360" s="50">
        <v>7.2186152540827803E-2</v>
      </c>
      <c r="AS1360" s="34">
        <v>0.14285714285714285</v>
      </c>
      <c r="AT1360" s="34">
        <v>0</v>
      </c>
      <c r="AU1360" s="34">
        <v>0.4</v>
      </c>
      <c r="AV1360" s="34">
        <v>0.1</v>
      </c>
      <c r="AW1360" s="10"/>
      <c r="AX1360" s="8"/>
    </row>
    <row r="1361" spans="1:50">
      <c r="A1361" s="7"/>
      <c r="B1361" s="10"/>
      <c r="C1361" s="45" t="s">
        <v>1100</v>
      </c>
      <c r="D1361" s="23" t="s">
        <v>25</v>
      </c>
      <c r="E1361" s="83" t="s">
        <v>1405</v>
      </c>
      <c r="F1361" s="83" t="s">
        <v>1405</v>
      </c>
      <c r="G1361" s="83" t="s">
        <v>1405</v>
      </c>
      <c r="H1361" s="83" t="s">
        <v>1405</v>
      </c>
      <c r="I1361" s="25">
        <v>0.9</v>
      </c>
      <c r="J1361" s="26">
        <v>0.9</v>
      </c>
      <c r="K1361" s="26">
        <v>0.86363636363636365</v>
      </c>
      <c r="L1361" s="27">
        <v>0.91304347826086951</v>
      </c>
      <c r="M1361" s="26">
        <v>0.8902439024390244</v>
      </c>
      <c r="N1361" s="28">
        <v>0.9</v>
      </c>
      <c r="O1361" s="26">
        <v>0.98194945848375448</v>
      </c>
      <c r="P1361" s="26">
        <v>0.98818897637795278</v>
      </c>
      <c r="Q1361" s="26">
        <v>0.9762348555452004</v>
      </c>
      <c r="R1361" s="26">
        <v>0.97818997146351405</v>
      </c>
      <c r="S1361" s="28">
        <v>0.9</v>
      </c>
      <c r="T1361" s="26">
        <v>0.93295513151108822</v>
      </c>
      <c r="U1361" s="26">
        <v>0.94206974128233967</v>
      </c>
      <c r="V1361" s="26">
        <v>0.9389561975768872</v>
      </c>
      <c r="W1361" s="26">
        <v>0.94285908411468955</v>
      </c>
      <c r="X1361" s="28">
        <v>0.92</v>
      </c>
      <c r="Y1361" s="28">
        <v>0.94027676620538969</v>
      </c>
      <c r="Z1361" s="28">
        <v>0.9652677279305355</v>
      </c>
      <c r="AA1361" s="28">
        <v>0.9700973574408901</v>
      </c>
      <c r="AB1361" s="28">
        <v>0.95927209705372618</v>
      </c>
      <c r="AC1361" s="28">
        <v>0.92</v>
      </c>
      <c r="AD1361" s="26">
        <v>0.99911079494931532</v>
      </c>
      <c r="AE1361" s="26">
        <v>0.99935414424111946</v>
      </c>
      <c r="AF1361" s="26">
        <v>0.99721746575342463</v>
      </c>
      <c r="AG1361" s="26">
        <v>0.99876945349258051</v>
      </c>
      <c r="AH1361" s="28">
        <v>0.92</v>
      </c>
      <c r="AI1361" s="26">
        <v>0.95530051344004829</v>
      </c>
      <c r="AJ1361" s="26">
        <v>0.97499999999999998</v>
      </c>
      <c r="AK1361" s="26">
        <v>0.9762834821428571</v>
      </c>
      <c r="AL1361" s="26">
        <v>0.97136110899535377</v>
      </c>
      <c r="AM1361" s="25">
        <v>0.99</v>
      </c>
      <c r="AN1361" s="30">
        <v>1</v>
      </c>
      <c r="AO1361" s="30">
        <v>1</v>
      </c>
      <c r="AP1361" s="30">
        <v>1</v>
      </c>
      <c r="AQ1361" s="30">
        <v>1</v>
      </c>
      <c r="AR1361" s="50">
        <v>7.2186152540827803E-2</v>
      </c>
      <c r="AS1361" s="34">
        <v>0</v>
      </c>
      <c r="AT1361" s="34">
        <v>4.5454545454545456E-2</v>
      </c>
      <c r="AU1361" s="34">
        <v>0</v>
      </c>
      <c r="AV1361" s="34">
        <v>2.9197080291970802E-2</v>
      </c>
      <c r="AW1361" s="10"/>
      <c r="AX1361" s="8"/>
    </row>
    <row r="1362" spans="1:50">
      <c r="A1362" s="7"/>
      <c r="B1362" s="10"/>
      <c r="C1362" s="45" t="s">
        <v>1100</v>
      </c>
      <c r="D1362" s="23" t="s">
        <v>25</v>
      </c>
      <c r="E1362" s="83" t="s">
        <v>1406</v>
      </c>
      <c r="F1362" s="83" t="s">
        <v>1406</v>
      </c>
      <c r="G1362" s="83" t="s">
        <v>1406</v>
      </c>
      <c r="H1362" s="83" t="s">
        <v>1406</v>
      </c>
      <c r="I1362" s="25">
        <v>0.9</v>
      </c>
      <c r="J1362" s="26">
        <v>0.9555555555555556</v>
      </c>
      <c r="K1362" s="26">
        <v>0.97777777777777775</v>
      </c>
      <c r="L1362" s="27">
        <v>1</v>
      </c>
      <c r="M1362" s="26">
        <v>0.96438356164383565</v>
      </c>
      <c r="N1362" s="28">
        <v>0.9</v>
      </c>
      <c r="O1362" s="26">
        <v>0.98568640208197789</v>
      </c>
      <c r="P1362" s="26">
        <v>0.98769230769230765</v>
      </c>
      <c r="Q1362" s="26">
        <v>0.98577356253704806</v>
      </c>
      <c r="R1362" s="26">
        <v>0.97031869220607658</v>
      </c>
      <c r="S1362" s="28">
        <v>0.9</v>
      </c>
      <c r="T1362" s="26">
        <v>0.93493819128171762</v>
      </c>
      <c r="U1362" s="26">
        <v>0.92239316239316238</v>
      </c>
      <c r="V1362" s="26">
        <v>0.92768227622999411</v>
      </c>
      <c r="W1362" s="26">
        <v>0.9220607661822986</v>
      </c>
      <c r="X1362" s="28">
        <v>0.92</v>
      </c>
      <c r="Y1362" s="28">
        <v>0.94258823529411762</v>
      </c>
      <c r="Z1362" s="28">
        <v>0.95434887073522345</v>
      </c>
      <c r="AA1362" s="28">
        <v>0.97046413502109707</v>
      </c>
      <c r="AB1362" s="28">
        <v>0.96170047666555813</v>
      </c>
      <c r="AC1362" s="28">
        <v>0.92</v>
      </c>
      <c r="AD1362" s="26">
        <v>0.97620635979541914</v>
      </c>
      <c r="AE1362" s="26">
        <v>0.96790663749088257</v>
      </c>
      <c r="AF1362" s="26">
        <v>0.99797479747974793</v>
      </c>
      <c r="AG1362" s="26">
        <v>0.99081951324574624</v>
      </c>
      <c r="AH1362" s="28">
        <v>0.92</v>
      </c>
      <c r="AI1362" s="26">
        <v>0.96537795729948062</v>
      </c>
      <c r="AJ1362" s="26">
        <v>0.97023571713943269</v>
      </c>
      <c r="AK1362" s="26">
        <v>0.97808572349339351</v>
      </c>
      <c r="AL1362" s="26">
        <v>0.97470766769404515</v>
      </c>
      <c r="AM1362" s="25">
        <v>0.99</v>
      </c>
      <c r="AN1362" s="30">
        <v>1</v>
      </c>
      <c r="AO1362" s="30">
        <v>1</v>
      </c>
      <c r="AP1362" s="30">
        <v>1</v>
      </c>
      <c r="AQ1362" s="30">
        <v>1</v>
      </c>
      <c r="AR1362" s="50">
        <v>7.2186152540827803E-2</v>
      </c>
      <c r="AS1362" s="34">
        <v>0</v>
      </c>
      <c r="AT1362" s="34">
        <v>2.7777777777777776E-2</v>
      </c>
      <c r="AU1362" s="34">
        <v>2.5000000000000001E-2</v>
      </c>
      <c r="AV1362" s="34">
        <v>3.7854889589905363E-2</v>
      </c>
      <c r="AW1362" s="10"/>
      <c r="AX1362" s="8"/>
    </row>
    <row r="1363" spans="1:50">
      <c r="A1363" s="7"/>
      <c r="B1363" s="10"/>
      <c r="C1363" s="45" t="s">
        <v>1100</v>
      </c>
      <c r="D1363" s="23" t="s">
        <v>25</v>
      </c>
      <c r="E1363" s="83" t="s">
        <v>1407</v>
      </c>
      <c r="F1363" s="83" t="s">
        <v>1407</v>
      </c>
      <c r="G1363" s="83" t="s">
        <v>1407</v>
      </c>
      <c r="H1363" s="83" t="s">
        <v>1407</v>
      </c>
      <c r="I1363" s="25">
        <v>0.9</v>
      </c>
      <c r="J1363" s="26">
        <v>0.97402597402597402</v>
      </c>
      <c r="K1363" s="26">
        <v>0.97368421052631582</v>
      </c>
      <c r="L1363" s="27">
        <v>0.96103896103896103</v>
      </c>
      <c r="M1363" s="26">
        <v>0.96768707482993199</v>
      </c>
      <c r="N1363" s="28">
        <v>0.9</v>
      </c>
      <c r="O1363" s="26">
        <v>0.99611072981011206</v>
      </c>
      <c r="P1363" s="26">
        <v>0.99201198202695962</v>
      </c>
      <c r="Q1363" s="26">
        <v>0.9898571724280687</v>
      </c>
      <c r="R1363" s="26">
        <v>0.99208497017314123</v>
      </c>
      <c r="S1363" s="28">
        <v>0.9</v>
      </c>
      <c r="T1363" s="26">
        <v>0.94463509494394871</v>
      </c>
      <c r="U1363" s="26">
        <v>0.95032451323015477</v>
      </c>
      <c r="V1363" s="26">
        <v>0.94555992548126677</v>
      </c>
      <c r="W1363" s="26">
        <v>0.94337261748872403</v>
      </c>
      <c r="X1363" s="28">
        <v>0.92</v>
      </c>
      <c r="Y1363" s="28">
        <v>0.93751783166904423</v>
      </c>
      <c r="Z1363" s="28">
        <v>0.97075812274368234</v>
      </c>
      <c r="AA1363" s="28">
        <v>0.9688179840464104</v>
      </c>
      <c r="AB1363" s="28">
        <v>0.96546725150546431</v>
      </c>
      <c r="AC1363" s="28">
        <v>0.92</v>
      </c>
      <c r="AD1363" s="26">
        <v>0.99543501611170782</v>
      </c>
      <c r="AE1363" s="26">
        <v>0.96950289722476368</v>
      </c>
      <c r="AF1363" s="26">
        <v>0.99688764394646745</v>
      </c>
      <c r="AG1363" s="26">
        <v>0.98898837461188538</v>
      </c>
      <c r="AH1363" s="28">
        <v>0.92</v>
      </c>
      <c r="AI1363" s="26">
        <v>0.96026405992128983</v>
      </c>
      <c r="AJ1363" s="26">
        <v>0.97978754794924761</v>
      </c>
      <c r="AK1363" s="26">
        <v>0.9789250669045495</v>
      </c>
      <c r="AL1363" s="26">
        <v>0.97641701891534605</v>
      </c>
      <c r="AM1363" s="25">
        <v>0.99</v>
      </c>
      <c r="AN1363" s="30">
        <v>1</v>
      </c>
      <c r="AO1363" s="30">
        <v>1</v>
      </c>
      <c r="AP1363" s="30">
        <v>1</v>
      </c>
      <c r="AQ1363" s="30">
        <v>1</v>
      </c>
      <c r="AR1363" s="50">
        <v>7.2186152540827803E-2</v>
      </c>
      <c r="AS1363" s="34">
        <v>2.0833333333333332E-2</v>
      </c>
      <c r="AT1363" s="34">
        <v>0</v>
      </c>
      <c r="AU1363" s="34">
        <v>0</v>
      </c>
      <c r="AV1363" s="34">
        <v>3.0303030303030304E-2</v>
      </c>
      <c r="AW1363" s="10"/>
      <c r="AX1363" s="8"/>
    </row>
    <row r="1364" spans="1:50">
      <c r="A1364" s="7"/>
      <c r="B1364" s="10"/>
      <c r="C1364" s="45" t="s">
        <v>1100</v>
      </c>
      <c r="D1364" s="23" t="s">
        <v>25</v>
      </c>
      <c r="E1364" s="83" t="s">
        <v>1408</v>
      </c>
      <c r="F1364" s="83" t="s">
        <v>1408</v>
      </c>
      <c r="G1364" s="83" t="s">
        <v>1408</v>
      </c>
      <c r="H1364" s="83" t="s">
        <v>1408</v>
      </c>
      <c r="I1364" s="25">
        <v>0.9</v>
      </c>
      <c r="J1364" s="26">
        <v>1</v>
      </c>
      <c r="K1364" s="26">
        <v>1</v>
      </c>
      <c r="L1364" s="27">
        <v>1</v>
      </c>
      <c r="M1364" s="26">
        <v>0.97435897435897434</v>
      </c>
      <c r="N1364" s="28">
        <v>0.9</v>
      </c>
      <c r="O1364" s="26">
        <v>0.99185667752442996</v>
      </c>
      <c r="P1364" s="26">
        <v>0.99475982532751095</v>
      </c>
      <c r="Q1364" s="26">
        <v>0.99047619047619051</v>
      </c>
      <c r="R1364" s="26">
        <v>0.98160073597056119</v>
      </c>
      <c r="S1364" s="28">
        <v>0.9</v>
      </c>
      <c r="T1364" s="26">
        <v>0.90635179153094458</v>
      </c>
      <c r="U1364" s="26">
        <v>0.92401746724890832</v>
      </c>
      <c r="V1364" s="26">
        <v>0.90340136054421771</v>
      </c>
      <c r="W1364" s="26">
        <v>0.91720331186752535</v>
      </c>
      <c r="X1364" s="28">
        <v>0.92</v>
      </c>
      <c r="Y1364" s="28">
        <v>0.96173469387755106</v>
      </c>
      <c r="Z1364" s="28">
        <v>0.95824411134903642</v>
      </c>
      <c r="AA1364" s="28">
        <v>0.96612779060816012</v>
      </c>
      <c r="AB1364" s="28">
        <v>0.95733846327939343</v>
      </c>
      <c r="AC1364" s="28">
        <v>0.92</v>
      </c>
      <c r="AD1364" s="26">
        <v>0.9700973574408901</v>
      </c>
      <c r="AE1364" s="26">
        <v>0.97658862876254182</v>
      </c>
      <c r="AF1364" s="26">
        <v>0.99621212121212122</v>
      </c>
      <c r="AG1364" s="26">
        <v>0.98865495800152725</v>
      </c>
      <c r="AH1364" s="28">
        <v>0.92</v>
      </c>
      <c r="AI1364" s="26">
        <v>0.97212978369384362</v>
      </c>
      <c r="AJ1364" s="26">
        <v>0.97113997113997119</v>
      </c>
      <c r="AK1364" s="26">
        <v>0.97652582159624413</v>
      </c>
      <c r="AL1364" s="26">
        <v>0.9719134310724451</v>
      </c>
      <c r="AM1364" s="25">
        <v>0.99</v>
      </c>
      <c r="AN1364" s="30">
        <v>1</v>
      </c>
      <c r="AO1364" s="30">
        <v>1</v>
      </c>
      <c r="AP1364" s="30">
        <v>1</v>
      </c>
      <c r="AQ1364" s="30">
        <v>1</v>
      </c>
      <c r="AR1364" s="50">
        <v>7.2186152540827803E-2</v>
      </c>
      <c r="AS1364" s="34">
        <v>0</v>
      </c>
      <c r="AT1364" s="34">
        <v>0.1</v>
      </c>
      <c r="AU1364" s="34">
        <v>0.10526315789473684</v>
      </c>
      <c r="AV1364" s="34">
        <v>8.3333333333333329E-2</v>
      </c>
      <c r="AW1364" s="10"/>
      <c r="AX1364" s="8"/>
    </row>
    <row r="1365" spans="1:50">
      <c r="A1365" s="7"/>
      <c r="B1365" s="10"/>
      <c r="C1365" s="45" t="s">
        <v>1100</v>
      </c>
      <c r="D1365" s="23" t="s">
        <v>25</v>
      </c>
      <c r="E1365" s="83" t="s">
        <v>1409</v>
      </c>
      <c r="F1365" s="83" t="s">
        <v>1409</v>
      </c>
      <c r="G1365" s="83" t="s">
        <v>1409</v>
      </c>
      <c r="H1365" s="83" t="s">
        <v>1409</v>
      </c>
      <c r="I1365" s="25">
        <v>0.9</v>
      </c>
      <c r="J1365" s="26">
        <v>0.88461538461538458</v>
      </c>
      <c r="K1365" s="26">
        <v>0.94827586206896552</v>
      </c>
      <c r="L1365" s="27">
        <v>0.93103448275862066</v>
      </c>
      <c r="M1365" s="26">
        <v>0.9320843091334895</v>
      </c>
      <c r="N1365" s="28">
        <v>0.9</v>
      </c>
      <c r="O1365" s="26">
        <v>0.96875</v>
      </c>
      <c r="P1365" s="26">
        <v>0.97448121144139088</v>
      </c>
      <c r="Q1365" s="26">
        <v>0.97362052274927391</v>
      </c>
      <c r="R1365" s="26">
        <v>0.96936287137214494</v>
      </c>
      <c r="S1365" s="28">
        <v>0.9</v>
      </c>
      <c r="T1365" s="26">
        <v>0.89453125</v>
      </c>
      <c r="U1365" s="26">
        <v>0.92120022434099835</v>
      </c>
      <c r="V1365" s="26">
        <v>0.92449177153920614</v>
      </c>
      <c r="W1365" s="26">
        <v>0.90630259316503525</v>
      </c>
      <c r="X1365" s="28">
        <v>0.92</v>
      </c>
      <c r="Y1365" s="28">
        <v>0.92457231726283051</v>
      </c>
      <c r="Z1365" s="28">
        <v>0.95588235294117652</v>
      </c>
      <c r="AA1365" s="28">
        <v>0.9600127959053103</v>
      </c>
      <c r="AB1365" s="28">
        <v>0.9447858561028647</v>
      </c>
      <c r="AC1365" s="28">
        <v>0.92</v>
      </c>
      <c r="AD1365" s="26">
        <v>0.99785752544188533</v>
      </c>
      <c r="AE1365" s="26">
        <v>0.94192913385826771</v>
      </c>
      <c r="AF1365" s="26">
        <v>0.99103139013452912</v>
      </c>
      <c r="AG1365" s="26">
        <v>0.98594894122303578</v>
      </c>
      <c r="AH1365" s="28">
        <v>0.92</v>
      </c>
      <c r="AI1365" s="26">
        <v>0.95321272613849028</v>
      </c>
      <c r="AJ1365" s="26">
        <v>0.96836734693877546</v>
      </c>
      <c r="AK1365" s="26">
        <v>0.97492422154863601</v>
      </c>
      <c r="AL1365" s="26">
        <v>0.9629600159140641</v>
      </c>
      <c r="AM1365" s="25">
        <v>0.99</v>
      </c>
      <c r="AN1365" s="30">
        <v>1</v>
      </c>
      <c r="AO1365" s="30">
        <v>1</v>
      </c>
      <c r="AP1365" s="30">
        <v>1</v>
      </c>
      <c r="AQ1365" s="30">
        <v>1</v>
      </c>
      <c r="AR1365" s="50">
        <v>7.2186152540827803E-2</v>
      </c>
      <c r="AS1365" s="34">
        <v>0</v>
      </c>
      <c r="AT1365" s="34">
        <v>0</v>
      </c>
      <c r="AU1365" s="34">
        <v>0.11363636363636363</v>
      </c>
      <c r="AV1365" s="34">
        <v>4.6666666666666669E-2</v>
      </c>
      <c r="AW1365" s="10"/>
      <c r="AX1365" s="8"/>
    </row>
    <row r="1366" spans="1:50">
      <c r="A1366" s="7"/>
      <c r="B1366" s="10"/>
      <c r="C1366" s="45" t="s">
        <v>1100</v>
      </c>
      <c r="D1366" s="23" t="s">
        <v>25</v>
      </c>
      <c r="E1366" s="83" t="s">
        <v>1410</v>
      </c>
      <c r="F1366" s="83" t="s">
        <v>1410</v>
      </c>
      <c r="G1366" s="83" t="s">
        <v>1410</v>
      </c>
      <c r="H1366" s="83" t="s">
        <v>1410</v>
      </c>
      <c r="I1366" s="25">
        <v>0.9</v>
      </c>
      <c r="J1366" s="26">
        <v>0.98571428571428577</v>
      </c>
      <c r="K1366" s="26">
        <v>0.97333333333333338</v>
      </c>
      <c r="L1366" s="27">
        <v>0.96103896103896103</v>
      </c>
      <c r="M1366" s="26">
        <v>0.94880546075085326</v>
      </c>
      <c r="N1366" s="28">
        <v>0.9</v>
      </c>
      <c r="O1366" s="26">
        <v>0.97643097643097643</v>
      </c>
      <c r="P1366" s="26">
        <v>0.96796943873053187</v>
      </c>
      <c r="Q1366" s="26">
        <v>0.97831722837614898</v>
      </c>
      <c r="R1366" s="26">
        <v>0.93645781943759254</v>
      </c>
      <c r="S1366" s="28">
        <v>0.9</v>
      </c>
      <c r="T1366" s="26">
        <v>0.76374859708193044</v>
      </c>
      <c r="U1366" s="26">
        <v>0.76550102850426094</v>
      </c>
      <c r="V1366" s="26">
        <v>0.76855998114541602</v>
      </c>
      <c r="W1366" s="26">
        <v>0.74606150304226282</v>
      </c>
      <c r="X1366" s="28">
        <v>0.92</v>
      </c>
      <c r="Y1366" s="28">
        <v>0.88228603923798687</v>
      </c>
      <c r="Z1366" s="28">
        <v>0.91672623302358824</v>
      </c>
      <c r="AA1366" s="28">
        <v>0.9054165521033819</v>
      </c>
      <c r="AB1366" s="28">
        <v>0.89348513086459769</v>
      </c>
      <c r="AC1366" s="28">
        <v>0.92</v>
      </c>
      <c r="AD1366" s="26">
        <v>0.99835526315789469</v>
      </c>
      <c r="AE1366" s="26">
        <v>0.96721311475409832</v>
      </c>
      <c r="AF1366" s="26">
        <v>0.99529190207156304</v>
      </c>
      <c r="AG1366" s="26">
        <v>0.99026483827070033</v>
      </c>
      <c r="AH1366" s="28">
        <v>0.92</v>
      </c>
      <c r="AI1366" s="26">
        <v>0.91568987431153792</v>
      </c>
      <c r="AJ1366" s="26">
        <v>0.9416223189808095</v>
      </c>
      <c r="AK1366" s="26">
        <v>0.93794416243654821</v>
      </c>
      <c r="AL1366" s="26">
        <v>0.9300210572175428</v>
      </c>
      <c r="AM1366" s="25">
        <v>0.99</v>
      </c>
      <c r="AN1366" s="30">
        <v>1</v>
      </c>
      <c r="AO1366" s="30">
        <v>1</v>
      </c>
      <c r="AP1366" s="30">
        <v>1</v>
      </c>
      <c r="AQ1366" s="30">
        <v>1</v>
      </c>
      <c r="AR1366" s="50">
        <v>7.2186152540827803E-2</v>
      </c>
      <c r="AS1366" s="34">
        <v>0</v>
      </c>
      <c r="AT1366" s="34">
        <v>4.5454545454545456E-2</v>
      </c>
      <c r="AU1366" s="34">
        <v>0.11538461538461539</v>
      </c>
      <c r="AV1366" s="34">
        <v>6.6298342541436461E-2</v>
      </c>
      <c r="AW1366" s="10"/>
      <c r="AX1366" s="8"/>
    </row>
    <row r="1367" spans="1:50">
      <c r="A1367" s="7"/>
      <c r="B1367" s="10"/>
      <c r="C1367" s="45" t="s">
        <v>1100</v>
      </c>
      <c r="D1367" s="23" t="s">
        <v>25</v>
      </c>
      <c r="E1367" s="83" t="s">
        <v>1411</v>
      </c>
      <c r="F1367" s="83" t="s">
        <v>1411</v>
      </c>
      <c r="G1367" s="83" t="s">
        <v>1411</v>
      </c>
      <c r="H1367" s="83" t="s">
        <v>1411</v>
      </c>
      <c r="I1367" s="25">
        <v>0.9</v>
      </c>
      <c r="J1367" s="26">
        <v>0.94871794871794868</v>
      </c>
      <c r="K1367" s="26">
        <v>1</v>
      </c>
      <c r="L1367" s="27">
        <v>0.97560975609756095</v>
      </c>
      <c r="M1367" s="26">
        <v>0.96540880503144655</v>
      </c>
      <c r="N1367" s="28">
        <v>0.9</v>
      </c>
      <c r="O1367" s="26">
        <v>0.98765976200969585</v>
      </c>
      <c r="P1367" s="26">
        <v>0.98460861917326292</v>
      </c>
      <c r="Q1367" s="26">
        <v>0.98573631457208943</v>
      </c>
      <c r="R1367" s="26">
        <v>0.9799720790378007</v>
      </c>
      <c r="S1367" s="28">
        <v>0.9</v>
      </c>
      <c r="T1367" s="26">
        <v>0.93609519612163949</v>
      </c>
      <c r="U1367" s="26">
        <v>0.93403693931398413</v>
      </c>
      <c r="V1367" s="26">
        <v>0.93369313801079412</v>
      </c>
      <c r="W1367" s="26">
        <v>0.93438573883161513</v>
      </c>
      <c r="X1367" s="28">
        <v>0.92</v>
      </c>
      <c r="Y1367" s="28">
        <v>0.94994499449944991</v>
      </c>
      <c r="Z1367" s="28">
        <v>0.96009821976672804</v>
      </c>
      <c r="AA1367" s="28">
        <v>0.96387355745107872</v>
      </c>
      <c r="AB1367" s="28">
        <v>0.96015879767474832</v>
      </c>
      <c r="AC1367" s="28">
        <v>0.92</v>
      </c>
      <c r="AD1367" s="26">
        <v>0.98594990836896768</v>
      </c>
      <c r="AE1367" s="26">
        <v>0.98583420776495279</v>
      </c>
      <c r="AF1367" s="26">
        <v>0.98995363214837717</v>
      </c>
      <c r="AG1367" s="26">
        <v>0.99103040910085316</v>
      </c>
      <c r="AH1367" s="28">
        <v>0.92</v>
      </c>
      <c r="AI1367" s="26">
        <v>0.96745779300220214</v>
      </c>
      <c r="AJ1367" s="26">
        <v>0.97566598360655743</v>
      </c>
      <c r="AK1367" s="26">
        <v>0.97972972972972971</v>
      </c>
      <c r="AL1367" s="26">
        <v>0.97592643509608046</v>
      </c>
      <c r="AM1367" s="25">
        <v>0.99</v>
      </c>
      <c r="AN1367" s="30">
        <v>1</v>
      </c>
      <c r="AO1367" s="30">
        <v>1</v>
      </c>
      <c r="AP1367" s="30">
        <v>1</v>
      </c>
      <c r="AQ1367" s="30">
        <v>1</v>
      </c>
      <c r="AR1367" s="50">
        <v>7.2186152540827803E-2</v>
      </c>
      <c r="AS1367" s="34">
        <v>3.5714285714285712E-2</v>
      </c>
      <c r="AT1367" s="34">
        <v>0</v>
      </c>
      <c r="AU1367" s="34">
        <v>0</v>
      </c>
      <c r="AV1367" s="34">
        <v>2.3668639053254437E-2</v>
      </c>
      <c r="AW1367" s="10"/>
      <c r="AX1367" s="8"/>
    </row>
    <row r="1368" spans="1:50">
      <c r="A1368" s="7"/>
      <c r="B1368" s="10"/>
      <c r="C1368" s="45" t="s">
        <v>1100</v>
      </c>
      <c r="D1368" s="23" t="s">
        <v>25</v>
      </c>
      <c r="E1368" s="83" t="s">
        <v>1412</v>
      </c>
      <c r="F1368" s="83" t="s">
        <v>1412</v>
      </c>
      <c r="G1368" s="83" t="s">
        <v>1412</v>
      </c>
      <c r="H1368" s="83" t="s">
        <v>1412</v>
      </c>
      <c r="I1368" s="25">
        <v>0.9</v>
      </c>
      <c r="J1368" s="26">
        <v>0.97916666666666663</v>
      </c>
      <c r="K1368" s="26">
        <v>1</v>
      </c>
      <c r="L1368" s="27">
        <v>1</v>
      </c>
      <c r="M1368" s="26">
        <v>0.99476439790575921</v>
      </c>
      <c r="N1368" s="28">
        <v>0.9</v>
      </c>
      <c r="O1368" s="26">
        <v>0.99487929773226047</v>
      </c>
      <c r="P1368" s="26">
        <v>0.99541666666666662</v>
      </c>
      <c r="Q1368" s="26">
        <v>0.99638038828562026</v>
      </c>
      <c r="R1368" s="26">
        <v>0.99565832940066068</v>
      </c>
      <c r="S1368" s="28">
        <v>0.9</v>
      </c>
      <c r="T1368" s="26">
        <v>0.93599122165325532</v>
      </c>
      <c r="U1368" s="26">
        <v>0.92458333333333331</v>
      </c>
      <c r="V1368" s="26">
        <v>0.94011187890753534</v>
      </c>
      <c r="W1368" s="26">
        <v>0.92345445965077866</v>
      </c>
      <c r="X1368" s="28">
        <v>0.92</v>
      </c>
      <c r="Y1368" s="28">
        <v>0.97491871806781238</v>
      </c>
      <c r="Z1368" s="28">
        <v>0.98421645997745211</v>
      </c>
      <c r="AA1368" s="28">
        <v>0.98613251155624038</v>
      </c>
      <c r="AB1368" s="28">
        <v>0.9772427835668942</v>
      </c>
      <c r="AC1368" s="28">
        <v>0.92</v>
      </c>
      <c r="AD1368" s="26">
        <v>0.99855491329479773</v>
      </c>
      <c r="AE1368" s="26">
        <v>0.99428026692087701</v>
      </c>
      <c r="AF1368" s="26">
        <v>0.99920508744038161</v>
      </c>
      <c r="AG1368" s="26">
        <v>0.99618831770886984</v>
      </c>
      <c r="AH1368" s="28">
        <v>0.92</v>
      </c>
      <c r="AI1368" s="26">
        <v>0.98260691630857377</v>
      </c>
      <c r="AJ1368" s="26">
        <v>0.98706276952563488</v>
      </c>
      <c r="AK1368" s="26">
        <v>0.98971083909881141</v>
      </c>
      <c r="AL1368" s="26">
        <v>0.98553746272201848</v>
      </c>
      <c r="AM1368" s="25">
        <v>0.99</v>
      </c>
      <c r="AN1368" s="30">
        <v>1</v>
      </c>
      <c r="AO1368" s="30">
        <v>1</v>
      </c>
      <c r="AP1368" s="30">
        <v>1</v>
      </c>
      <c r="AQ1368" s="30">
        <v>1</v>
      </c>
      <c r="AR1368" s="50">
        <v>7.2186152540827803E-2</v>
      </c>
      <c r="AS1368" s="34">
        <v>6.25E-2</v>
      </c>
      <c r="AT1368" s="34">
        <v>0</v>
      </c>
      <c r="AU1368" s="34">
        <v>6.25E-2</v>
      </c>
      <c r="AV1368" s="34">
        <v>6.7307692307692304E-2</v>
      </c>
      <c r="AW1368" s="10"/>
      <c r="AX1368" s="8"/>
    </row>
    <row r="1369" spans="1:50">
      <c r="A1369" s="7"/>
      <c r="B1369" s="10"/>
      <c r="C1369" s="45" t="s">
        <v>1100</v>
      </c>
      <c r="D1369" s="23" t="s">
        <v>25</v>
      </c>
      <c r="E1369" s="83" t="s">
        <v>1413</v>
      </c>
      <c r="F1369" s="83" t="s">
        <v>1413</v>
      </c>
      <c r="G1369" s="83" t="s">
        <v>1413</v>
      </c>
      <c r="H1369" s="83" t="s">
        <v>1413</v>
      </c>
      <c r="I1369" s="25">
        <v>0.9</v>
      </c>
      <c r="J1369" s="26">
        <v>0.96551724137931039</v>
      </c>
      <c r="K1369" s="26">
        <v>1</v>
      </c>
      <c r="L1369" s="27">
        <v>1</v>
      </c>
      <c r="M1369" s="26">
        <v>0.94422310756972117</v>
      </c>
      <c r="N1369" s="28">
        <v>0.9</v>
      </c>
      <c r="O1369" s="26">
        <v>0.99616564417177911</v>
      </c>
      <c r="P1369" s="26">
        <v>0.99646486964206804</v>
      </c>
      <c r="Q1369" s="26">
        <v>0.99969632553902221</v>
      </c>
      <c r="R1369" s="26">
        <v>0.98201895827225638</v>
      </c>
      <c r="S1369" s="28">
        <v>0.9</v>
      </c>
      <c r="T1369" s="26">
        <v>0.95858895705521474</v>
      </c>
      <c r="U1369" s="26">
        <v>0.97437030490499332</v>
      </c>
      <c r="V1369" s="26">
        <v>0.96568478590950502</v>
      </c>
      <c r="W1369" s="26">
        <v>0.95431447278412973</v>
      </c>
      <c r="X1369" s="28">
        <v>0.92</v>
      </c>
      <c r="Y1369" s="28">
        <v>0.9587180879956545</v>
      </c>
      <c r="Z1369" s="28">
        <v>0.97641509433962259</v>
      </c>
      <c r="AA1369" s="28">
        <v>0.97965738758029974</v>
      </c>
      <c r="AB1369" s="28">
        <v>0.97211071202197341</v>
      </c>
      <c r="AC1369" s="28">
        <v>0.92</v>
      </c>
      <c r="AD1369" s="26">
        <v>1</v>
      </c>
      <c r="AE1369" s="26">
        <v>1</v>
      </c>
      <c r="AF1369" s="26">
        <v>1</v>
      </c>
      <c r="AG1369" s="26">
        <v>0.99964402676918696</v>
      </c>
      <c r="AH1369" s="28">
        <v>0.92</v>
      </c>
      <c r="AI1369" s="26">
        <v>0.97325241627331982</v>
      </c>
      <c r="AJ1369" s="26">
        <v>0.98762313715584749</v>
      </c>
      <c r="AK1369" s="26">
        <v>0.99069947684557258</v>
      </c>
      <c r="AL1369" s="26">
        <v>0.98197132719877689</v>
      </c>
      <c r="AM1369" s="25">
        <v>0.99</v>
      </c>
      <c r="AN1369" s="30">
        <v>1</v>
      </c>
      <c r="AO1369" s="30">
        <v>1</v>
      </c>
      <c r="AP1369" s="30">
        <v>1</v>
      </c>
      <c r="AQ1369" s="30">
        <v>1</v>
      </c>
      <c r="AR1369" s="50">
        <v>7.2186152540827803E-2</v>
      </c>
      <c r="AS1369" s="34">
        <v>0.14285714285714285</v>
      </c>
      <c r="AT1369" s="34">
        <v>0</v>
      </c>
      <c r="AU1369" s="34">
        <v>7.1428571428571425E-2</v>
      </c>
      <c r="AV1369" s="34">
        <v>4.3478260869565216E-2</v>
      </c>
      <c r="AW1369" s="10"/>
      <c r="AX1369" s="8"/>
    </row>
    <row r="1370" spans="1:50">
      <c r="A1370" s="7"/>
      <c r="B1370" s="10"/>
      <c r="C1370" s="45" t="s">
        <v>1100</v>
      </c>
      <c r="D1370" s="23" t="s">
        <v>25</v>
      </c>
      <c r="E1370" s="83" t="s">
        <v>1414</v>
      </c>
      <c r="F1370" s="83" t="s">
        <v>1414</v>
      </c>
      <c r="G1370" s="83" t="s">
        <v>1414</v>
      </c>
      <c r="H1370" s="83" t="s">
        <v>1414</v>
      </c>
      <c r="I1370" s="25">
        <v>0.9</v>
      </c>
      <c r="J1370" s="26">
        <v>1</v>
      </c>
      <c r="K1370" s="26">
        <v>0.97560975609756095</v>
      </c>
      <c r="L1370" s="27">
        <v>0.97435897435897434</v>
      </c>
      <c r="M1370" s="26">
        <v>0.97627118644067801</v>
      </c>
      <c r="N1370" s="28">
        <v>0.9</v>
      </c>
      <c r="O1370" s="26">
        <v>0.97424242424242424</v>
      </c>
      <c r="P1370" s="26">
        <v>0.95958244111349034</v>
      </c>
      <c r="Q1370" s="26">
        <v>0.95660621761658027</v>
      </c>
      <c r="R1370" s="26">
        <v>0.9726009481772111</v>
      </c>
      <c r="S1370" s="28">
        <v>0.9</v>
      </c>
      <c r="T1370" s="26">
        <v>0.95277777777777772</v>
      </c>
      <c r="U1370" s="26">
        <v>0.9660064239828694</v>
      </c>
      <c r="V1370" s="26">
        <v>0.95617443868739205</v>
      </c>
      <c r="W1370" s="26">
        <v>0.96004577407225766</v>
      </c>
      <c r="X1370" s="28">
        <v>0.92</v>
      </c>
      <c r="Y1370" s="28">
        <v>0</v>
      </c>
      <c r="Z1370" s="28">
        <v>0</v>
      </c>
      <c r="AA1370" s="28">
        <v>0</v>
      </c>
      <c r="AB1370" s="28">
        <v>0</v>
      </c>
      <c r="AC1370" s="28">
        <v>0.92</v>
      </c>
      <c r="AD1370" s="26">
        <v>0.99957118353344765</v>
      </c>
      <c r="AE1370" s="26">
        <v>0.99904897765097478</v>
      </c>
      <c r="AF1370" s="26">
        <v>0.99790246460409016</v>
      </c>
      <c r="AG1370" s="26">
        <v>0.99898038745276796</v>
      </c>
      <c r="AH1370" s="28">
        <v>0.92</v>
      </c>
      <c r="AI1370" s="26">
        <v>0.98308507952537239</v>
      </c>
      <c r="AJ1370" s="26">
        <v>0.98902569593147749</v>
      </c>
      <c r="AK1370" s="26">
        <v>0.98597021368443771</v>
      </c>
      <c r="AL1370" s="26">
        <v>0.98590904632687093</v>
      </c>
      <c r="AM1370" s="25">
        <v>0.99</v>
      </c>
      <c r="AN1370" s="30">
        <v>1</v>
      </c>
      <c r="AO1370" s="30">
        <v>1</v>
      </c>
      <c r="AP1370" s="30">
        <v>1</v>
      </c>
      <c r="AQ1370" s="30">
        <v>1</v>
      </c>
      <c r="AR1370" s="50">
        <v>7.2186152540827803E-2</v>
      </c>
      <c r="AS1370" s="34">
        <v>0.05</v>
      </c>
      <c r="AT1370" s="34">
        <v>0.33333333333333331</v>
      </c>
      <c r="AU1370" s="34">
        <v>0</v>
      </c>
      <c r="AV1370" s="34">
        <v>6.8965517241379309E-2</v>
      </c>
      <c r="AW1370" s="10"/>
      <c r="AX1370" s="8"/>
    </row>
    <row r="1371" spans="1:50">
      <c r="A1371" s="7"/>
      <c r="B1371" s="10"/>
      <c r="C1371" s="45" t="s">
        <v>1100</v>
      </c>
      <c r="D1371" s="23" t="s">
        <v>25</v>
      </c>
      <c r="E1371" s="83" t="s">
        <v>1415</v>
      </c>
      <c r="F1371" s="83" t="s">
        <v>1415</v>
      </c>
      <c r="G1371" s="83" t="s">
        <v>1415</v>
      </c>
      <c r="H1371" s="83" t="s">
        <v>1415</v>
      </c>
      <c r="I1371" s="25">
        <v>0.9</v>
      </c>
      <c r="J1371" s="26">
        <v>0.94285714285714284</v>
      </c>
      <c r="K1371" s="26">
        <v>0.97368421052631582</v>
      </c>
      <c r="L1371" s="27">
        <v>0.97435897435897434</v>
      </c>
      <c r="M1371" s="26">
        <v>0.92473118279569888</v>
      </c>
      <c r="N1371" s="28">
        <v>0.9</v>
      </c>
      <c r="O1371" s="26">
        <v>0.98860837438423643</v>
      </c>
      <c r="P1371" s="26">
        <v>0.99082007343941247</v>
      </c>
      <c r="Q1371" s="26">
        <v>0.9910668708524758</v>
      </c>
      <c r="R1371" s="26">
        <v>0.98613498338489747</v>
      </c>
      <c r="S1371" s="28">
        <v>0.9</v>
      </c>
      <c r="T1371" s="26">
        <v>0.92395320197044339</v>
      </c>
      <c r="U1371" s="26">
        <v>0.9458384332925337</v>
      </c>
      <c r="V1371" s="26">
        <v>0.85987748851454826</v>
      </c>
      <c r="W1371" s="26">
        <v>0.91841411710782628</v>
      </c>
      <c r="X1371" s="28">
        <v>0.92</v>
      </c>
      <c r="Y1371" s="28">
        <v>0</v>
      </c>
      <c r="Z1371" s="28">
        <v>0</v>
      </c>
      <c r="AA1371" s="28">
        <v>0</v>
      </c>
      <c r="AB1371" s="28">
        <v>0</v>
      </c>
      <c r="AC1371" s="28">
        <v>0.92</v>
      </c>
      <c r="AD1371" s="26">
        <v>0.99891126837234623</v>
      </c>
      <c r="AE1371" s="26">
        <v>1</v>
      </c>
      <c r="AF1371" s="26">
        <v>0.99932659932659929</v>
      </c>
      <c r="AG1371" s="26">
        <v>0.99926475994412178</v>
      </c>
      <c r="AH1371" s="28">
        <v>0.92</v>
      </c>
      <c r="AI1371" s="26">
        <v>0.97879532882606024</v>
      </c>
      <c r="AJ1371" s="26">
        <v>0.9877600979192166</v>
      </c>
      <c r="AK1371" s="26">
        <v>0.98928024502297085</v>
      </c>
      <c r="AL1371" s="26">
        <v>0.98686421261646551</v>
      </c>
      <c r="AM1371" s="25">
        <v>0.99</v>
      </c>
      <c r="AN1371" s="30">
        <v>1</v>
      </c>
      <c r="AO1371" s="30">
        <v>1</v>
      </c>
      <c r="AP1371" s="30">
        <v>1</v>
      </c>
      <c r="AQ1371" s="30">
        <v>1</v>
      </c>
      <c r="AR1371" s="50">
        <v>7.2186152540827803E-2</v>
      </c>
      <c r="AS1371" s="34">
        <v>5.2631578947368418E-2</v>
      </c>
      <c r="AT1371" s="34">
        <v>0</v>
      </c>
      <c r="AU1371" s="34">
        <v>0</v>
      </c>
      <c r="AV1371" s="34">
        <v>4.6511627906976744E-2</v>
      </c>
      <c r="AW1371" s="10"/>
      <c r="AX1371" s="8"/>
    </row>
    <row r="1372" spans="1:50">
      <c r="A1372" s="7"/>
      <c r="B1372" s="10"/>
      <c r="C1372" s="45" t="s">
        <v>1100</v>
      </c>
      <c r="D1372" s="23" t="s">
        <v>25</v>
      </c>
      <c r="E1372" s="83" t="s">
        <v>1416</v>
      </c>
      <c r="F1372" s="83" t="s">
        <v>1416</v>
      </c>
      <c r="G1372" s="83" t="s">
        <v>1416</v>
      </c>
      <c r="H1372" s="83" t="s">
        <v>1416</v>
      </c>
      <c r="I1372" s="25">
        <v>0.9</v>
      </c>
      <c r="J1372" s="26">
        <v>0.92307692307692313</v>
      </c>
      <c r="K1372" s="26">
        <v>1</v>
      </c>
      <c r="L1372" s="27">
        <v>0.95</v>
      </c>
      <c r="M1372" s="26">
        <v>0.95959595959595956</v>
      </c>
      <c r="N1372" s="28">
        <v>0.9</v>
      </c>
      <c r="O1372" s="26">
        <v>0.93790757017295157</v>
      </c>
      <c r="P1372" s="26">
        <v>0.94574780058651031</v>
      </c>
      <c r="Q1372" s="26">
        <v>0.94365175332527207</v>
      </c>
      <c r="R1372" s="26">
        <v>0.94821818181818185</v>
      </c>
      <c r="S1372" s="28">
        <v>0.9</v>
      </c>
      <c r="T1372" s="26">
        <v>0.92032889140912955</v>
      </c>
      <c r="U1372" s="26">
        <v>0.91319648093841643</v>
      </c>
      <c r="V1372" s="26">
        <v>0.92599758162031442</v>
      </c>
      <c r="W1372" s="26">
        <v>0.92610909090909088</v>
      </c>
      <c r="X1372" s="28">
        <v>0.92</v>
      </c>
      <c r="Y1372" s="28">
        <v>0</v>
      </c>
      <c r="Z1372" s="28">
        <v>0</v>
      </c>
      <c r="AA1372" s="28">
        <v>0</v>
      </c>
      <c r="AB1372" s="28">
        <v>0</v>
      </c>
      <c r="AC1372" s="28">
        <v>0.92</v>
      </c>
      <c r="AD1372" s="26">
        <v>1</v>
      </c>
      <c r="AE1372" s="26">
        <v>0.99626865671641796</v>
      </c>
      <c r="AF1372" s="26">
        <v>0.99293286219081267</v>
      </c>
      <c r="AG1372" s="26">
        <v>0.99344262295081964</v>
      </c>
      <c r="AH1372" s="28">
        <v>0.92</v>
      </c>
      <c r="AI1372" s="26">
        <v>0.95888857385880355</v>
      </c>
      <c r="AJ1372" s="26">
        <v>0.9639296187683285</v>
      </c>
      <c r="AK1372" s="26">
        <v>0.97243047158403872</v>
      </c>
      <c r="AL1372" s="26">
        <v>0.96916363636363634</v>
      </c>
      <c r="AM1372" s="25">
        <v>0.99</v>
      </c>
      <c r="AN1372" s="30">
        <v>1</v>
      </c>
      <c r="AO1372" s="30">
        <v>1</v>
      </c>
      <c r="AP1372" s="30">
        <v>1</v>
      </c>
      <c r="AQ1372" s="30">
        <v>1</v>
      </c>
      <c r="AR1372" s="50">
        <v>7.2186152540827803E-2</v>
      </c>
      <c r="AS1372" s="34">
        <v>9.0909090909090912E-2</v>
      </c>
      <c r="AT1372" s="34">
        <v>0</v>
      </c>
      <c r="AU1372" s="34">
        <v>0</v>
      </c>
      <c r="AV1372" s="34">
        <v>1.4705882352941176E-2</v>
      </c>
      <c r="AW1372" s="10"/>
      <c r="AX1372" s="8"/>
    </row>
    <row r="1373" spans="1:50">
      <c r="A1373" s="7"/>
      <c r="B1373" s="10"/>
      <c r="C1373" s="45" t="s">
        <v>1100</v>
      </c>
      <c r="D1373" s="23" t="s">
        <v>25</v>
      </c>
      <c r="E1373" s="83" t="s">
        <v>1417</v>
      </c>
      <c r="F1373" s="83" t="s">
        <v>1417</v>
      </c>
      <c r="G1373" s="83" t="s">
        <v>1417</v>
      </c>
      <c r="H1373" s="83" t="s">
        <v>1417</v>
      </c>
      <c r="I1373" s="25">
        <v>0.9</v>
      </c>
      <c r="J1373" s="26">
        <v>1</v>
      </c>
      <c r="K1373" s="26">
        <v>0.96296296296296291</v>
      </c>
      <c r="L1373" s="27">
        <v>1</v>
      </c>
      <c r="M1373" s="26">
        <v>0.98994974874371855</v>
      </c>
      <c r="N1373" s="28">
        <v>0.9</v>
      </c>
      <c r="O1373" s="26">
        <v>0.95951417004048578</v>
      </c>
      <c r="P1373" s="26">
        <v>0.99003984063745021</v>
      </c>
      <c r="Q1373" s="26">
        <v>0.99237804878048785</v>
      </c>
      <c r="R1373" s="26">
        <v>0.9887640449438202</v>
      </c>
      <c r="S1373" s="28">
        <v>0.9</v>
      </c>
      <c r="T1373" s="26">
        <v>0.96182764603817239</v>
      </c>
      <c r="U1373" s="26">
        <v>0.95949535192563085</v>
      </c>
      <c r="V1373" s="26">
        <v>0.94715447154471544</v>
      </c>
      <c r="W1373" s="26">
        <v>0.95309554332252466</v>
      </c>
      <c r="X1373" s="28">
        <v>0.92</v>
      </c>
      <c r="Y1373" s="28">
        <v>0.9832007073386384</v>
      </c>
      <c r="Z1373" s="28">
        <v>0.98336594911937381</v>
      </c>
      <c r="AA1373" s="28">
        <v>0.98343504795117698</v>
      </c>
      <c r="AB1373" s="28">
        <v>0.98243302591128678</v>
      </c>
      <c r="AC1373" s="28">
        <v>0.92</v>
      </c>
      <c r="AD1373" s="26">
        <v>0.9986130374479889</v>
      </c>
      <c r="AE1373" s="26">
        <v>0.99866844207723038</v>
      </c>
      <c r="AF1373" s="26">
        <v>0.99096774193548387</v>
      </c>
      <c r="AG1373" s="26">
        <v>0.99721676489849376</v>
      </c>
      <c r="AH1373" s="28">
        <v>0.92</v>
      </c>
      <c r="AI1373" s="26">
        <v>0.98741698706745895</v>
      </c>
      <c r="AJ1373" s="26">
        <v>0.98813760379596682</v>
      </c>
      <c r="AK1373" s="26">
        <v>0.9903691813804173</v>
      </c>
      <c r="AL1373" s="26">
        <v>0.98851293970410758</v>
      </c>
      <c r="AM1373" s="25">
        <v>0.99</v>
      </c>
      <c r="AN1373" s="30">
        <v>1</v>
      </c>
      <c r="AO1373" s="30">
        <v>1</v>
      </c>
      <c r="AP1373" s="30">
        <v>1</v>
      </c>
      <c r="AQ1373" s="30">
        <v>1</v>
      </c>
      <c r="AR1373" s="50">
        <v>7.2186152540827803E-2</v>
      </c>
      <c r="AS1373" s="34">
        <v>0.14285714285714285</v>
      </c>
      <c r="AT1373" s="34">
        <v>0</v>
      </c>
      <c r="AU1373" s="34">
        <v>7.6923076923076927E-2</v>
      </c>
      <c r="AV1373" s="34">
        <v>6.9767441860465115E-2</v>
      </c>
      <c r="AW1373" s="10"/>
      <c r="AX1373" s="8"/>
    </row>
    <row r="1374" spans="1:50">
      <c r="A1374" s="7"/>
      <c r="B1374" s="10"/>
      <c r="C1374" s="45" t="s">
        <v>1100</v>
      </c>
      <c r="D1374" s="23" t="s">
        <v>25</v>
      </c>
      <c r="E1374" s="83" t="s">
        <v>1418</v>
      </c>
      <c r="F1374" s="83" t="s">
        <v>1418</v>
      </c>
      <c r="G1374" s="83" t="s">
        <v>1418</v>
      </c>
      <c r="H1374" s="83" t="s">
        <v>1418</v>
      </c>
      <c r="I1374" s="25">
        <v>0.9</v>
      </c>
      <c r="J1374" s="26">
        <v>0.97499999999999998</v>
      </c>
      <c r="K1374" s="26">
        <v>0.97499999999999998</v>
      </c>
      <c r="L1374" s="27">
        <v>1</v>
      </c>
      <c r="M1374" s="26">
        <v>0.99065420560747663</v>
      </c>
      <c r="N1374" s="28">
        <v>0.9</v>
      </c>
      <c r="O1374" s="26">
        <v>0.968148407420371</v>
      </c>
      <c r="P1374" s="26">
        <v>0.98523379819524204</v>
      </c>
      <c r="Q1374" s="26">
        <v>0.9176803394625177</v>
      </c>
      <c r="R1374" s="26">
        <v>0.96346217066641615</v>
      </c>
      <c r="S1374" s="28">
        <v>0.9</v>
      </c>
      <c r="T1374" s="26">
        <v>0.93559677983899192</v>
      </c>
      <c r="U1374" s="26">
        <v>0.94585726004922066</v>
      </c>
      <c r="V1374" s="26">
        <v>0.9298444130127298</v>
      </c>
      <c r="W1374" s="26">
        <v>0.94091955102615887</v>
      </c>
      <c r="X1374" s="28">
        <v>0.92</v>
      </c>
      <c r="Y1374" s="28">
        <v>0.945049504950495</v>
      </c>
      <c r="Z1374" s="28">
        <v>0.9571847507331378</v>
      </c>
      <c r="AA1374" s="28">
        <v>0.95995839833593344</v>
      </c>
      <c r="AB1374" s="28">
        <v>0.96219306223203849</v>
      </c>
      <c r="AC1374" s="28">
        <v>0.92</v>
      </c>
      <c r="AD1374" s="26">
        <v>1</v>
      </c>
      <c r="AE1374" s="26">
        <v>0.98936170212765961</v>
      </c>
      <c r="AF1374" s="26">
        <v>0.99906103286384973</v>
      </c>
      <c r="AG1374" s="26">
        <v>0.99775672981056829</v>
      </c>
      <c r="AH1374" s="28">
        <v>0.92</v>
      </c>
      <c r="AI1374" s="26">
        <v>0.96350215296288699</v>
      </c>
      <c r="AJ1374" s="26">
        <v>0.97200096548394888</v>
      </c>
      <c r="AK1374" s="26">
        <v>0.97654818614877248</v>
      </c>
      <c r="AL1374" s="26">
        <v>0.97541363425736638</v>
      </c>
      <c r="AM1374" s="25">
        <v>0.99</v>
      </c>
      <c r="AN1374" s="30">
        <v>1</v>
      </c>
      <c r="AO1374" s="30">
        <v>1</v>
      </c>
      <c r="AP1374" s="30">
        <v>1</v>
      </c>
      <c r="AQ1374" s="30">
        <v>1</v>
      </c>
      <c r="AR1374" s="50">
        <v>7.2186152540827803E-2</v>
      </c>
      <c r="AS1374" s="34">
        <v>0.1111111111111111</v>
      </c>
      <c r="AT1374" s="34">
        <v>0</v>
      </c>
      <c r="AU1374" s="34">
        <v>-4.7619047619047616E-2</v>
      </c>
      <c r="AV1374" s="34">
        <v>4.6666666666666669E-2</v>
      </c>
      <c r="AW1374" s="10"/>
      <c r="AX1374" s="8"/>
    </row>
    <row r="1375" spans="1:50">
      <c r="A1375" s="7"/>
      <c r="B1375" s="10"/>
      <c r="C1375" s="45" t="s">
        <v>1100</v>
      </c>
      <c r="D1375" s="23" t="s">
        <v>25</v>
      </c>
      <c r="E1375" s="83" t="s">
        <v>1419</v>
      </c>
      <c r="F1375" s="83" t="s">
        <v>1419</v>
      </c>
      <c r="G1375" s="83" t="s">
        <v>1419</v>
      </c>
      <c r="H1375" s="83" t="s">
        <v>1419</v>
      </c>
      <c r="I1375" s="25">
        <v>0.9</v>
      </c>
      <c r="J1375" s="26">
        <v>0.94117647058823528</v>
      </c>
      <c r="K1375" s="26">
        <v>1</v>
      </c>
      <c r="L1375" s="27">
        <v>1</v>
      </c>
      <c r="M1375" s="26">
        <v>0.97931034482758617</v>
      </c>
      <c r="N1375" s="28">
        <v>0.9</v>
      </c>
      <c r="O1375" s="26">
        <v>0.98803418803418808</v>
      </c>
      <c r="P1375" s="26">
        <v>0.98959236773633996</v>
      </c>
      <c r="Q1375" s="26">
        <v>0.98845108695652173</v>
      </c>
      <c r="R1375" s="26">
        <v>0.98849833387079433</v>
      </c>
      <c r="S1375" s="28">
        <v>0.9</v>
      </c>
      <c r="T1375" s="26">
        <v>0.89572649572649576</v>
      </c>
      <c r="U1375" s="26">
        <v>0.91587163920208148</v>
      </c>
      <c r="V1375" s="26">
        <v>0.90353260869565222</v>
      </c>
      <c r="W1375" s="26">
        <v>0.91744598516607545</v>
      </c>
      <c r="X1375" s="28">
        <v>0.92</v>
      </c>
      <c r="Y1375" s="28">
        <v>0.9459119496855346</v>
      </c>
      <c r="Z1375" s="28">
        <v>0.94339622641509435</v>
      </c>
      <c r="AA1375" s="28">
        <v>0.95314787701317716</v>
      </c>
      <c r="AB1375" s="28">
        <v>0.95097210481825867</v>
      </c>
      <c r="AC1375" s="28">
        <v>0.92</v>
      </c>
      <c r="AD1375" s="26">
        <v>0.99417475728155336</v>
      </c>
      <c r="AE1375" s="26">
        <v>0.9934383202099738</v>
      </c>
      <c r="AF1375" s="26">
        <v>1</v>
      </c>
      <c r="AG1375" s="26">
        <v>0.99686707444427869</v>
      </c>
      <c r="AH1375" s="28">
        <v>0.92</v>
      </c>
      <c r="AI1375" s="26">
        <v>0.95674300254452926</v>
      </c>
      <c r="AJ1375" s="26">
        <v>0.96796959826275786</v>
      </c>
      <c r="AK1375" s="26">
        <v>0.97262180974477963</v>
      </c>
      <c r="AL1375" s="26">
        <v>0.96816871888917999</v>
      </c>
      <c r="AM1375" s="25">
        <v>0.99</v>
      </c>
      <c r="AN1375" s="30">
        <v>1</v>
      </c>
      <c r="AO1375" s="30">
        <v>1</v>
      </c>
      <c r="AP1375" s="30">
        <v>1</v>
      </c>
      <c r="AQ1375" s="30">
        <v>1</v>
      </c>
      <c r="AR1375" s="50">
        <v>7.2186152540827803E-2</v>
      </c>
      <c r="AS1375" s="34">
        <v>0</v>
      </c>
      <c r="AT1375" s="34">
        <v>0</v>
      </c>
      <c r="AU1375" s="34">
        <v>0.11764705882352941</v>
      </c>
      <c r="AV1375" s="34">
        <v>5.4945054945054944E-2</v>
      </c>
      <c r="AW1375" s="10"/>
      <c r="AX1375" s="8"/>
    </row>
    <row r="1376" spans="1:50">
      <c r="A1376" s="7"/>
      <c r="B1376" s="10"/>
      <c r="C1376" s="45" t="s">
        <v>1100</v>
      </c>
      <c r="D1376" s="23" t="s">
        <v>25</v>
      </c>
      <c r="E1376" s="83" t="s">
        <v>1420</v>
      </c>
      <c r="F1376" s="83" t="s">
        <v>1420</v>
      </c>
      <c r="G1376" s="83" t="s">
        <v>1420</v>
      </c>
      <c r="H1376" s="83" t="s">
        <v>1420</v>
      </c>
      <c r="I1376" s="25">
        <v>0.9</v>
      </c>
      <c r="J1376" s="26">
        <v>1</v>
      </c>
      <c r="K1376" s="26">
        <v>0.97674418604651159</v>
      </c>
      <c r="L1376" s="27">
        <v>0.95652173913043481</v>
      </c>
      <c r="M1376" s="26">
        <v>0.96501457725947526</v>
      </c>
      <c r="N1376" s="28">
        <v>0.9</v>
      </c>
      <c r="O1376" s="26">
        <v>0.88772919605077572</v>
      </c>
      <c r="P1376" s="26">
        <v>0.98675496688741726</v>
      </c>
      <c r="Q1376" s="26">
        <v>0.91956211327939075</v>
      </c>
      <c r="R1376" s="26">
        <v>0.95630859514778499</v>
      </c>
      <c r="S1376" s="28">
        <v>0.9</v>
      </c>
      <c r="T1376" s="26">
        <v>0.80818053596614947</v>
      </c>
      <c r="U1376" s="26">
        <v>0.85370258880192651</v>
      </c>
      <c r="V1376" s="26">
        <v>0.85292717753450742</v>
      </c>
      <c r="W1376" s="26">
        <v>0.86956988477778574</v>
      </c>
      <c r="X1376" s="28">
        <v>0.92</v>
      </c>
      <c r="Y1376" s="28">
        <v>0</v>
      </c>
      <c r="Z1376" s="28">
        <v>0</v>
      </c>
      <c r="AA1376" s="28">
        <v>0</v>
      </c>
      <c r="AB1376" s="28">
        <v>0</v>
      </c>
      <c r="AC1376" s="28">
        <v>0.92</v>
      </c>
      <c r="AD1376" s="26">
        <v>1</v>
      </c>
      <c r="AE1376" s="26">
        <v>1</v>
      </c>
      <c r="AF1376" s="26">
        <v>1</v>
      </c>
      <c r="AG1376" s="26">
        <v>1</v>
      </c>
      <c r="AH1376" s="28">
        <v>0.92</v>
      </c>
      <c r="AI1376" s="26">
        <v>0.96673244995771079</v>
      </c>
      <c r="AJ1376" s="26">
        <v>0.97411198073449734</v>
      </c>
      <c r="AK1376" s="26">
        <v>0.9704902427415516</v>
      </c>
      <c r="AL1376" s="26">
        <v>0.96887075998282524</v>
      </c>
      <c r="AM1376" s="25">
        <v>0.99</v>
      </c>
      <c r="AN1376" s="30">
        <v>1</v>
      </c>
      <c r="AO1376" s="30">
        <v>1</v>
      </c>
      <c r="AP1376" s="30">
        <v>1</v>
      </c>
      <c r="AQ1376" s="30">
        <v>1</v>
      </c>
      <c r="AR1376" s="50">
        <v>7.2186152540827803E-2</v>
      </c>
      <c r="AS1376" s="34">
        <v>0</v>
      </c>
      <c r="AT1376" s="34">
        <v>8.3333333333333329E-2</v>
      </c>
      <c r="AU1376" s="34">
        <v>0</v>
      </c>
      <c r="AV1376" s="34">
        <v>3.6585365853658534E-2</v>
      </c>
      <c r="AW1376" s="10"/>
      <c r="AX1376" s="8"/>
    </row>
    <row r="1377" spans="1:50">
      <c r="A1377" s="7"/>
      <c r="B1377" s="10"/>
      <c r="C1377" s="45" t="s">
        <v>1100</v>
      </c>
      <c r="D1377" s="23" t="s">
        <v>25</v>
      </c>
      <c r="E1377" s="83" t="s">
        <v>1421</v>
      </c>
      <c r="F1377" s="83" t="s">
        <v>1421</v>
      </c>
      <c r="G1377" s="83" t="s">
        <v>1421</v>
      </c>
      <c r="H1377" s="83" t="s">
        <v>1421</v>
      </c>
      <c r="I1377" s="25">
        <v>0.9</v>
      </c>
      <c r="J1377" s="26">
        <v>0.87179487179487181</v>
      </c>
      <c r="K1377" s="26">
        <v>0.94444444444444442</v>
      </c>
      <c r="L1377" s="27">
        <v>1</v>
      </c>
      <c r="M1377" s="26">
        <v>0.95302013422818788</v>
      </c>
      <c r="N1377" s="28">
        <v>0.9</v>
      </c>
      <c r="O1377" s="26">
        <v>0.95047523761880937</v>
      </c>
      <c r="P1377" s="26">
        <v>0.98896856039713188</v>
      </c>
      <c r="Q1377" s="26">
        <v>0.99375780274656678</v>
      </c>
      <c r="R1377" s="26">
        <v>0.98225125362892585</v>
      </c>
      <c r="S1377" s="28">
        <v>0.9</v>
      </c>
      <c r="T1377" s="26">
        <v>0.92096048024012001</v>
      </c>
      <c r="U1377" s="26">
        <v>0.94153337010479865</v>
      </c>
      <c r="V1377" s="26">
        <v>0.84311277569704535</v>
      </c>
      <c r="W1377" s="26">
        <v>0.8904724201636316</v>
      </c>
      <c r="X1377" s="28">
        <v>0.92</v>
      </c>
      <c r="Y1377" s="28">
        <v>0.96061884669479602</v>
      </c>
      <c r="Z1377" s="28">
        <v>0.95308641975308639</v>
      </c>
      <c r="AA1377" s="28">
        <v>0.96824224519940916</v>
      </c>
      <c r="AB1377" s="28">
        <v>0.95757286192068802</v>
      </c>
      <c r="AC1377" s="28">
        <v>0.92</v>
      </c>
      <c r="AD1377" s="26">
        <v>1</v>
      </c>
      <c r="AE1377" s="26">
        <v>1</v>
      </c>
      <c r="AF1377" s="26">
        <v>1</v>
      </c>
      <c r="AG1377" s="26">
        <v>0.99985873710976125</v>
      </c>
      <c r="AH1377" s="28">
        <v>0.92</v>
      </c>
      <c r="AI1377" s="26">
        <v>0.96959953230049689</v>
      </c>
      <c r="AJ1377" s="26">
        <v>0.97027741083223251</v>
      </c>
      <c r="AK1377" s="26">
        <v>0.97338301836571728</v>
      </c>
      <c r="AL1377" s="26">
        <v>0.96940010147925526</v>
      </c>
      <c r="AM1377" s="25">
        <v>0.99</v>
      </c>
      <c r="AN1377" s="30">
        <v>1</v>
      </c>
      <c r="AO1377" s="30">
        <v>1</v>
      </c>
      <c r="AP1377" s="30">
        <v>1</v>
      </c>
      <c r="AQ1377" s="30">
        <v>1</v>
      </c>
      <c r="AR1377" s="50">
        <v>7.2186152540827803E-2</v>
      </c>
      <c r="AS1377" s="34">
        <v>7.6923076923076927E-2</v>
      </c>
      <c r="AT1377" s="34">
        <v>0</v>
      </c>
      <c r="AU1377" s="34">
        <v>0</v>
      </c>
      <c r="AV1377" s="34">
        <v>7.407407407407407E-2</v>
      </c>
      <c r="AW1377" s="10"/>
      <c r="AX1377" s="8"/>
    </row>
    <row r="1378" spans="1:50">
      <c r="A1378" s="7"/>
      <c r="B1378" s="10"/>
      <c r="C1378" s="45" t="s">
        <v>1100</v>
      </c>
      <c r="D1378" s="23" t="s">
        <v>25</v>
      </c>
      <c r="E1378" s="83" t="s">
        <v>1422</v>
      </c>
      <c r="F1378" s="83" t="s">
        <v>1422</v>
      </c>
      <c r="G1378" s="83" t="s">
        <v>1422</v>
      </c>
      <c r="H1378" s="83" t="s">
        <v>1422</v>
      </c>
      <c r="I1378" s="25">
        <v>0.9</v>
      </c>
      <c r="J1378" s="26">
        <v>0.96226415094339623</v>
      </c>
      <c r="K1378" s="26">
        <v>1</v>
      </c>
      <c r="L1378" s="27">
        <v>0.94545454545454544</v>
      </c>
      <c r="M1378" s="26">
        <v>0.94103194103194099</v>
      </c>
      <c r="N1378" s="28">
        <v>0.9</v>
      </c>
      <c r="O1378" s="26">
        <v>0.96133942161339425</v>
      </c>
      <c r="P1378" s="26">
        <v>0.97001594896331733</v>
      </c>
      <c r="Q1378" s="26">
        <v>0.89052035033487897</v>
      </c>
      <c r="R1378" s="26">
        <v>0.91670357099722211</v>
      </c>
      <c r="S1378" s="28">
        <v>0.9</v>
      </c>
      <c r="T1378" s="26">
        <v>0.89254185692541854</v>
      </c>
      <c r="U1378" s="26">
        <v>0.92376395534290268</v>
      </c>
      <c r="V1378" s="26">
        <v>0.89026275115919629</v>
      </c>
      <c r="W1378" s="26">
        <v>0.88811948951246023</v>
      </c>
      <c r="X1378" s="28">
        <v>0.92</v>
      </c>
      <c r="Y1378" s="28">
        <v>0</v>
      </c>
      <c r="Z1378" s="28">
        <v>0</v>
      </c>
      <c r="AA1378" s="28">
        <v>0</v>
      </c>
      <c r="AB1378" s="28">
        <v>0</v>
      </c>
      <c r="AC1378" s="28">
        <v>0.92</v>
      </c>
      <c r="AD1378" s="26">
        <v>0.98773006134969321</v>
      </c>
      <c r="AE1378" s="26">
        <v>0.98726114649681529</v>
      </c>
      <c r="AF1378" s="26">
        <v>1</v>
      </c>
      <c r="AG1378" s="26">
        <v>0.99482368165642188</v>
      </c>
      <c r="AH1378" s="28">
        <v>0.92</v>
      </c>
      <c r="AI1378" s="26">
        <v>0.93789954337899539</v>
      </c>
      <c r="AJ1378" s="26">
        <v>0.97033492822966505</v>
      </c>
      <c r="AK1378" s="26">
        <v>0.96625450798557444</v>
      </c>
      <c r="AL1378" s="26">
        <v>0.94987720922742458</v>
      </c>
      <c r="AM1378" s="25">
        <v>0.99</v>
      </c>
      <c r="AN1378" s="30">
        <v>1</v>
      </c>
      <c r="AO1378" s="30">
        <v>1</v>
      </c>
      <c r="AP1378" s="30">
        <v>1</v>
      </c>
      <c r="AQ1378" s="30">
        <v>1</v>
      </c>
      <c r="AR1378" s="50">
        <v>7.2186152540827803E-2</v>
      </c>
      <c r="AS1378" s="34">
        <v>5.8823529411764705E-2</v>
      </c>
      <c r="AT1378" s="34">
        <v>6.6666666666666666E-2</v>
      </c>
      <c r="AU1378" s="34">
        <v>0</v>
      </c>
      <c r="AV1378" s="34">
        <v>4.5454545454545456E-2</v>
      </c>
      <c r="AW1378" s="10"/>
      <c r="AX1378" s="8"/>
    </row>
    <row r="1379" spans="1:50">
      <c r="A1379" s="7"/>
      <c r="B1379" s="10"/>
      <c r="C1379" s="45" t="s">
        <v>1100</v>
      </c>
      <c r="D1379" s="23" t="s">
        <v>25</v>
      </c>
      <c r="E1379" s="83" t="s">
        <v>1423</v>
      </c>
      <c r="F1379" s="83" t="s">
        <v>1423</v>
      </c>
      <c r="G1379" s="83" t="s">
        <v>1423</v>
      </c>
      <c r="H1379" s="83" t="s">
        <v>1423</v>
      </c>
      <c r="I1379" s="25">
        <v>0.9</v>
      </c>
      <c r="J1379" s="26">
        <v>0.97499999999999998</v>
      </c>
      <c r="K1379" s="26">
        <v>1</v>
      </c>
      <c r="L1379" s="27">
        <v>0.97435897435897434</v>
      </c>
      <c r="M1379" s="26">
        <v>0.96440129449838186</v>
      </c>
      <c r="N1379" s="28">
        <v>0.9</v>
      </c>
      <c r="O1379" s="26">
        <v>0.90358974358974364</v>
      </c>
      <c r="P1379" s="26">
        <v>0.9553214674900109</v>
      </c>
      <c r="Q1379" s="26">
        <v>0.93885830194146624</v>
      </c>
      <c r="R1379" s="26">
        <v>0.94051995798319332</v>
      </c>
      <c r="S1379" s="28">
        <v>0.9</v>
      </c>
      <c r="T1379" s="26">
        <v>0.91179487179487184</v>
      </c>
      <c r="U1379" s="26">
        <v>0.92081365782782421</v>
      </c>
      <c r="V1379" s="26">
        <v>0.88959721819762383</v>
      </c>
      <c r="W1379" s="26">
        <v>0.90515581232492992</v>
      </c>
      <c r="X1379" s="28">
        <v>0.92</v>
      </c>
      <c r="Y1379" s="28">
        <v>0</v>
      </c>
      <c r="Z1379" s="28">
        <v>0</v>
      </c>
      <c r="AA1379" s="28">
        <v>0</v>
      </c>
      <c r="AB1379" s="28">
        <v>0</v>
      </c>
      <c r="AC1379" s="28">
        <v>0.92</v>
      </c>
      <c r="AD1379" s="26">
        <v>0.9941860465116279</v>
      </c>
      <c r="AE1379" s="26">
        <v>1</v>
      </c>
      <c r="AF1379" s="26">
        <v>0.99539170506912444</v>
      </c>
      <c r="AG1379" s="26">
        <v>0.99673416067929455</v>
      </c>
      <c r="AH1379" s="28">
        <v>0.92</v>
      </c>
      <c r="AI1379" s="26">
        <v>0.96073745305565039</v>
      </c>
      <c r="AJ1379" s="26">
        <v>0.96440247003269164</v>
      </c>
      <c r="AK1379" s="26">
        <v>0.95827296435815701</v>
      </c>
      <c r="AL1379" s="26">
        <v>0.95995974094171188</v>
      </c>
      <c r="AM1379" s="25">
        <v>0.99</v>
      </c>
      <c r="AN1379" s="30">
        <v>1</v>
      </c>
      <c r="AO1379" s="30">
        <v>1</v>
      </c>
      <c r="AP1379" s="30">
        <v>1</v>
      </c>
      <c r="AQ1379" s="30">
        <v>1</v>
      </c>
      <c r="AR1379" s="50">
        <v>7.2186152540827803E-2</v>
      </c>
      <c r="AS1379" s="34">
        <v>0</v>
      </c>
      <c r="AT1379" s="34">
        <v>0</v>
      </c>
      <c r="AU1379" s="34">
        <v>0.1111111111111111</v>
      </c>
      <c r="AV1379" s="34">
        <v>4.2253521126760563E-2</v>
      </c>
      <c r="AW1379" s="10"/>
      <c r="AX1379" s="8"/>
    </row>
    <row r="1380" spans="1:50">
      <c r="A1380" s="7"/>
      <c r="B1380" s="10"/>
      <c r="C1380" s="45" t="s">
        <v>1100</v>
      </c>
      <c r="D1380" s="23" t="s">
        <v>25</v>
      </c>
      <c r="E1380" s="83" t="s">
        <v>1424</v>
      </c>
      <c r="F1380" s="83" t="s">
        <v>1424</v>
      </c>
      <c r="G1380" s="83" t="s">
        <v>1424</v>
      </c>
      <c r="H1380" s="83" t="s">
        <v>1424</v>
      </c>
      <c r="I1380" s="25">
        <v>0.9</v>
      </c>
      <c r="J1380" s="26">
        <v>1</v>
      </c>
      <c r="K1380" s="26">
        <v>0.96875</v>
      </c>
      <c r="L1380" s="27">
        <v>0.94444444444444442</v>
      </c>
      <c r="M1380" s="26">
        <v>0.98841698841698844</v>
      </c>
      <c r="N1380" s="28">
        <v>0.9</v>
      </c>
      <c r="O1380" s="26">
        <v>0.98925116445718375</v>
      </c>
      <c r="P1380" s="26">
        <v>0.99676506267691067</v>
      </c>
      <c r="Q1380" s="26">
        <v>0.88819682341949546</v>
      </c>
      <c r="R1380" s="26">
        <v>0.9707173547543434</v>
      </c>
      <c r="S1380" s="28">
        <v>0.9</v>
      </c>
      <c r="T1380" s="26">
        <v>0.88355428161949123</v>
      </c>
      <c r="U1380" s="26">
        <v>0.91346542660735952</v>
      </c>
      <c r="V1380" s="26">
        <v>0.84895671130488948</v>
      </c>
      <c r="W1380" s="26">
        <v>0.8874929945824771</v>
      </c>
      <c r="X1380" s="28">
        <v>0.92</v>
      </c>
      <c r="Y1380" s="28">
        <v>0</v>
      </c>
      <c r="Z1380" s="28">
        <v>0</v>
      </c>
      <c r="AA1380" s="28">
        <v>0</v>
      </c>
      <c r="AB1380" s="28">
        <v>0</v>
      </c>
      <c r="AC1380" s="28">
        <v>0.92</v>
      </c>
      <c r="AD1380" s="26">
        <v>1</v>
      </c>
      <c r="AE1380" s="26">
        <v>1</v>
      </c>
      <c r="AF1380" s="26">
        <v>0.99479166666666663</v>
      </c>
      <c r="AG1380" s="26">
        <v>0.99657299520219333</v>
      </c>
      <c r="AH1380" s="28">
        <v>0.92</v>
      </c>
      <c r="AI1380" s="26">
        <v>0.9749193837334289</v>
      </c>
      <c r="AJ1380" s="26">
        <v>0.96926809543065107</v>
      </c>
      <c r="AK1380" s="26">
        <v>0.97134848956711306</v>
      </c>
      <c r="AL1380" s="26">
        <v>0.97389314403138427</v>
      </c>
      <c r="AM1380" s="25">
        <v>0.99</v>
      </c>
      <c r="AN1380" s="30">
        <v>1</v>
      </c>
      <c r="AO1380" s="30">
        <v>1</v>
      </c>
      <c r="AP1380" s="30">
        <v>0</v>
      </c>
      <c r="AQ1380" s="30">
        <v>1</v>
      </c>
      <c r="AR1380" s="50">
        <v>7.2186152540827803E-2</v>
      </c>
      <c r="AS1380" s="34">
        <v>0</v>
      </c>
      <c r="AT1380" s="34">
        <v>0.1</v>
      </c>
      <c r="AU1380" s="34">
        <v>0.125</v>
      </c>
      <c r="AV1380" s="34">
        <v>8.4337349397590355E-2</v>
      </c>
      <c r="AW1380" s="10"/>
      <c r="AX1380" s="8"/>
    </row>
    <row r="1381" spans="1:50">
      <c r="A1381" s="7"/>
      <c r="B1381" s="10"/>
      <c r="C1381" s="45" t="s">
        <v>1100</v>
      </c>
      <c r="D1381" s="23" t="s">
        <v>25</v>
      </c>
      <c r="E1381" s="83" t="s">
        <v>1425</v>
      </c>
      <c r="F1381" s="83" t="s">
        <v>1425</v>
      </c>
      <c r="G1381" s="83" t="s">
        <v>1425</v>
      </c>
      <c r="H1381" s="83" t="s">
        <v>1425</v>
      </c>
      <c r="I1381" s="25">
        <v>0.9</v>
      </c>
      <c r="J1381" s="26">
        <v>1</v>
      </c>
      <c r="K1381" s="26">
        <v>1</v>
      </c>
      <c r="L1381" s="27">
        <v>1</v>
      </c>
      <c r="M1381" s="26">
        <v>1</v>
      </c>
      <c r="N1381" s="28">
        <v>0.9</v>
      </c>
      <c r="O1381" s="26">
        <v>0.97366548042704626</v>
      </c>
      <c r="P1381" s="26">
        <v>0.97591362126245851</v>
      </c>
      <c r="Q1381" s="26">
        <v>0.97631241997439178</v>
      </c>
      <c r="R1381" s="26">
        <v>0.97758517632994624</v>
      </c>
      <c r="S1381" s="28">
        <v>0.9</v>
      </c>
      <c r="T1381" s="26">
        <v>0.95943060498220645</v>
      </c>
      <c r="U1381" s="26">
        <v>0.96594684385382057</v>
      </c>
      <c r="V1381" s="26">
        <v>0.95838668373879643</v>
      </c>
      <c r="W1381" s="26">
        <v>0.95646543136082884</v>
      </c>
      <c r="X1381" s="28">
        <v>0.92</v>
      </c>
      <c r="Y1381" s="28">
        <v>0.96444444444444444</v>
      </c>
      <c r="Z1381" s="28">
        <v>0.96576151121605669</v>
      </c>
      <c r="AA1381" s="28">
        <v>0.97159090909090906</v>
      </c>
      <c r="AB1381" s="28">
        <v>0.96697538386546433</v>
      </c>
      <c r="AC1381" s="28">
        <v>0.92</v>
      </c>
      <c r="AD1381" s="26">
        <v>0.99677419354838714</v>
      </c>
      <c r="AE1381" s="26">
        <v>1</v>
      </c>
      <c r="AF1381" s="26">
        <v>0.98989898989898994</v>
      </c>
      <c r="AG1381" s="26">
        <v>0.99862116511547738</v>
      </c>
      <c r="AH1381" s="28">
        <v>0.92</v>
      </c>
      <c r="AI1381" s="26">
        <v>0.97960954446854664</v>
      </c>
      <c r="AJ1381" s="26">
        <v>0.98244758654314968</v>
      </c>
      <c r="AK1381" s="26">
        <v>0.98484848484848486</v>
      </c>
      <c r="AL1381" s="26">
        <v>0.98081561061170797</v>
      </c>
      <c r="AM1381" s="25">
        <v>0.99</v>
      </c>
      <c r="AN1381" s="30">
        <v>1</v>
      </c>
      <c r="AO1381" s="30">
        <v>1</v>
      </c>
      <c r="AP1381" s="30">
        <v>1</v>
      </c>
      <c r="AQ1381" s="30">
        <v>1</v>
      </c>
      <c r="AR1381" s="50">
        <v>7.2186152540827803E-2</v>
      </c>
      <c r="AS1381" s="34">
        <v>0</v>
      </c>
      <c r="AT1381" s="34">
        <v>0</v>
      </c>
      <c r="AU1381" s="34">
        <v>0</v>
      </c>
      <c r="AV1381" s="34">
        <v>0</v>
      </c>
      <c r="AW1381" s="10"/>
      <c r="AX1381" s="8"/>
    </row>
    <row r="1382" spans="1:50">
      <c r="A1382" s="7"/>
      <c r="B1382" s="10"/>
      <c r="C1382" s="45" t="s">
        <v>1100</v>
      </c>
      <c r="D1382" s="23" t="s">
        <v>25</v>
      </c>
      <c r="E1382" s="83" t="s">
        <v>1426</v>
      </c>
      <c r="F1382" s="83" t="s">
        <v>1426</v>
      </c>
      <c r="G1382" s="83" t="s">
        <v>1426</v>
      </c>
      <c r="H1382" s="83" t="s">
        <v>1426</v>
      </c>
      <c r="I1382" s="25">
        <v>0.9</v>
      </c>
      <c r="J1382" s="26">
        <v>1</v>
      </c>
      <c r="K1382" s="26">
        <v>1</v>
      </c>
      <c r="L1382" s="27">
        <v>1</v>
      </c>
      <c r="M1382" s="26">
        <v>0.97709923664122134</v>
      </c>
      <c r="N1382" s="28">
        <v>0.9</v>
      </c>
      <c r="O1382" s="26">
        <v>0.97763578274760388</v>
      </c>
      <c r="P1382" s="26">
        <v>0.96622436670687573</v>
      </c>
      <c r="Q1382" s="26">
        <v>0.99005964214711728</v>
      </c>
      <c r="R1382" s="26">
        <v>0.95092387287509239</v>
      </c>
      <c r="S1382" s="28">
        <v>0.9</v>
      </c>
      <c r="T1382" s="26">
        <v>0.94142705005324812</v>
      </c>
      <c r="U1382" s="26">
        <v>0.93848009650180941</v>
      </c>
      <c r="V1382" s="26">
        <v>0.96123260437375746</v>
      </c>
      <c r="W1382" s="26">
        <v>0.91899482631189944</v>
      </c>
      <c r="X1382" s="28">
        <v>0.92</v>
      </c>
      <c r="Y1382" s="28">
        <v>0.95076400679117146</v>
      </c>
      <c r="Z1382" s="28">
        <v>0.96466431095406358</v>
      </c>
      <c r="AA1382" s="28">
        <v>0.9555555555555556</v>
      </c>
      <c r="AB1382" s="28">
        <v>0.96474917683517336</v>
      </c>
      <c r="AC1382" s="28">
        <v>0.92</v>
      </c>
      <c r="AD1382" s="26">
        <v>0.99778270509977829</v>
      </c>
      <c r="AE1382" s="26">
        <v>1</v>
      </c>
      <c r="AF1382" s="26">
        <v>1</v>
      </c>
      <c r="AG1382" s="26">
        <v>0.99969586374695862</v>
      </c>
      <c r="AH1382" s="28">
        <v>0.92</v>
      </c>
      <c r="AI1382" s="26">
        <v>0.96989528795811519</v>
      </c>
      <c r="AJ1382" s="26">
        <v>0.97275985663082443</v>
      </c>
      <c r="AK1382" s="26">
        <v>0.97800776196636485</v>
      </c>
      <c r="AL1382" s="26">
        <v>0.97660965794768617</v>
      </c>
      <c r="AM1382" s="25">
        <v>0.99</v>
      </c>
      <c r="AN1382" s="30">
        <v>1</v>
      </c>
      <c r="AO1382" s="30">
        <v>1</v>
      </c>
      <c r="AP1382" s="30">
        <v>1</v>
      </c>
      <c r="AQ1382" s="30">
        <v>1</v>
      </c>
      <c r="AR1382" s="50">
        <v>7.2186152540827803E-2</v>
      </c>
      <c r="AS1382" s="34">
        <v>0</v>
      </c>
      <c r="AT1382" s="34">
        <v>0</v>
      </c>
      <c r="AU1382" s="34">
        <v>0</v>
      </c>
      <c r="AV1382" s="34">
        <v>0</v>
      </c>
      <c r="AW1382" s="10"/>
      <c r="AX1382" s="8"/>
    </row>
    <row r="1383" spans="1:50">
      <c r="A1383" s="7"/>
      <c r="B1383" s="10"/>
      <c r="C1383" s="45" t="s">
        <v>1100</v>
      </c>
      <c r="D1383" s="23" t="s">
        <v>25</v>
      </c>
      <c r="E1383" s="83" t="s">
        <v>1427</v>
      </c>
      <c r="F1383" s="83" t="s">
        <v>1427</v>
      </c>
      <c r="G1383" s="83" t="s">
        <v>1427</v>
      </c>
      <c r="H1383" s="83" t="s">
        <v>1427</v>
      </c>
      <c r="I1383" s="25">
        <v>0.9</v>
      </c>
      <c r="J1383" s="26">
        <v>0.94736842105263153</v>
      </c>
      <c r="K1383" s="26">
        <v>0.9</v>
      </c>
      <c r="L1383" s="27">
        <v>0.95238095238095233</v>
      </c>
      <c r="M1383" s="26">
        <v>0.95</v>
      </c>
      <c r="N1383" s="28">
        <v>0.9</v>
      </c>
      <c r="O1383" s="26">
        <v>0.9435960089594787</v>
      </c>
      <c r="P1383" s="26">
        <v>0.93577981651376152</v>
      </c>
      <c r="Q1383" s="26">
        <v>0.90701024327784896</v>
      </c>
      <c r="R1383" s="26">
        <v>0.93957711321031767</v>
      </c>
      <c r="S1383" s="28">
        <v>0.9</v>
      </c>
      <c r="T1383" s="26">
        <v>0.88535939727143143</v>
      </c>
      <c r="U1383" s="26">
        <v>0.90679733110925775</v>
      </c>
      <c r="V1383" s="26">
        <v>0.87740076824583868</v>
      </c>
      <c r="W1383" s="26">
        <v>0.88899221770838432</v>
      </c>
      <c r="X1383" s="28">
        <v>0.92</v>
      </c>
      <c r="Y1383" s="28">
        <v>0</v>
      </c>
      <c r="Z1383" s="28">
        <v>0</v>
      </c>
      <c r="AA1383" s="28">
        <v>0</v>
      </c>
      <c r="AB1383" s="28">
        <v>0</v>
      </c>
      <c r="AC1383" s="28">
        <v>0.92</v>
      </c>
      <c r="AD1383" s="26">
        <v>0.98940196820590465</v>
      </c>
      <c r="AE1383" s="26">
        <v>0.96802074330164223</v>
      </c>
      <c r="AF1383" s="26">
        <v>0.97704315886134063</v>
      </c>
      <c r="AG1383" s="26">
        <v>0.9843734546533478</v>
      </c>
      <c r="AH1383" s="28">
        <v>0.92</v>
      </c>
      <c r="AI1383" s="26">
        <v>0.95504475183075677</v>
      </c>
      <c r="AJ1383" s="26">
        <v>0.97311379741558979</v>
      </c>
      <c r="AK1383" s="26">
        <v>0.96286811779769521</v>
      </c>
      <c r="AL1383" s="26">
        <v>0.96919425481416233</v>
      </c>
      <c r="AM1383" s="25">
        <v>0.99</v>
      </c>
      <c r="AN1383" s="30">
        <v>1</v>
      </c>
      <c r="AO1383" s="30">
        <v>1</v>
      </c>
      <c r="AP1383" s="30">
        <v>1</v>
      </c>
      <c r="AQ1383" s="30">
        <v>1</v>
      </c>
      <c r="AR1383" s="50">
        <v>7.2186152540827803E-2</v>
      </c>
      <c r="AS1383" s="34">
        <v>0</v>
      </c>
      <c r="AT1383" s="34">
        <v>0</v>
      </c>
      <c r="AU1383" s="34">
        <v>5.2631578947368418E-2</v>
      </c>
      <c r="AV1383" s="34">
        <v>2.4793388429752067E-2</v>
      </c>
      <c r="AW1383" s="10"/>
      <c r="AX1383" s="8"/>
    </row>
    <row r="1384" spans="1:50">
      <c r="A1384" s="7"/>
      <c r="B1384" s="10"/>
      <c r="C1384" s="45" t="s">
        <v>1100</v>
      </c>
      <c r="D1384" s="23" t="s">
        <v>25</v>
      </c>
      <c r="E1384" s="83" t="s">
        <v>1428</v>
      </c>
      <c r="F1384" s="83" t="s">
        <v>1428</v>
      </c>
      <c r="G1384" s="83" t="s">
        <v>1428</v>
      </c>
      <c r="H1384" s="83" t="s">
        <v>1428</v>
      </c>
      <c r="I1384" s="25">
        <v>0.9</v>
      </c>
      <c r="J1384" s="26">
        <v>0.97142857142857142</v>
      </c>
      <c r="K1384" s="26">
        <v>0.97222222222222221</v>
      </c>
      <c r="L1384" s="27">
        <v>0.92207792207792205</v>
      </c>
      <c r="M1384" s="26">
        <v>0.96619217081850539</v>
      </c>
      <c r="N1384" s="28">
        <v>0.9</v>
      </c>
      <c r="O1384" s="26">
        <v>0.97777777777777775</v>
      </c>
      <c r="P1384" s="26">
        <v>0.98496414526948883</v>
      </c>
      <c r="Q1384" s="26">
        <v>0.98450513267480144</v>
      </c>
      <c r="R1384" s="26">
        <v>0.97730804186578324</v>
      </c>
      <c r="S1384" s="28">
        <v>0.9</v>
      </c>
      <c r="T1384" s="26">
        <v>0.93041526374859707</v>
      </c>
      <c r="U1384" s="26">
        <v>0.93546148507980564</v>
      </c>
      <c r="V1384" s="26">
        <v>0.92930466782878174</v>
      </c>
      <c r="W1384" s="26">
        <v>0.93248116332932662</v>
      </c>
      <c r="X1384" s="28">
        <v>0.92</v>
      </c>
      <c r="Y1384" s="28">
        <v>0.92593845113290496</v>
      </c>
      <c r="Z1384" s="28">
        <v>0.95216693418940612</v>
      </c>
      <c r="AA1384" s="28">
        <v>0.95562543675751221</v>
      </c>
      <c r="AB1384" s="28">
        <v>0.9454917877328074</v>
      </c>
      <c r="AC1384" s="28">
        <v>0.92</v>
      </c>
      <c r="AD1384" s="26">
        <v>0.99727520435967298</v>
      </c>
      <c r="AE1384" s="26">
        <v>0.9932137663596704</v>
      </c>
      <c r="AF1384" s="26">
        <v>0.99685534591194969</v>
      </c>
      <c r="AG1384" s="26">
        <v>0.99477473293079421</v>
      </c>
      <c r="AH1384" s="28">
        <v>0.92</v>
      </c>
      <c r="AI1384" s="26">
        <v>0.95171948752528657</v>
      </c>
      <c r="AJ1384" s="26">
        <v>0.96935483870967742</v>
      </c>
      <c r="AK1384" s="26">
        <v>0.9738317757009346</v>
      </c>
      <c r="AL1384" s="26">
        <v>0.96400403445824168</v>
      </c>
      <c r="AM1384" s="25">
        <v>0.99</v>
      </c>
      <c r="AN1384" s="30">
        <v>1</v>
      </c>
      <c r="AO1384" s="30">
        <v>1</v>
      </c>
      <c r="AP1384" s="30">
        <v>1</v>
      </c>
      <c r="AQ1384" s="30">
        <v>1</v>
      </c>
      <c r="AR1384" s="50">
        <v>7.2186152540827803E-2</v>
      </c>
      <c r="AS1384" s="34">
        <v>3.6363636363636362E-2</v>
      </c>
      <c r="AT1384" s="34">
        <v>6.8181818181818177E-2</v>
      </c>
      <c r="AU1384" s="34">
        <v>4.0816326530612242E-2</v>
      </c>
      <c r="AV1384" s="34">
        <v>2.0737327188940093E-2</v>
      </c>
      <c r="AW1384" s="10"/>
      <c r="AX1384" s="8"/>
    </row>
    <row r="1385" spans="1:50">
      <c r="A1385" s="7"/>
      <c r="B1385" s="10"/>
      <c r="C1385" s="45" t="s">
        <v>1100</v>
      </c>
      <c r="D1385" s="23" t="s">
        <v>25</v>
      </c>
      <c r="E1385" s="83" t="s">
        <v>1429</v>
      </c>
      <c r="F1385" s="83" t="s">
        <v>1429</v>
      </c>
      <c r="G1385" s="83" t="s">
        <v>1429</v>
      </c>
      <c r="H1385" s="83" t="s">
        <v>1429</v>
      </c>
      <c r="I1385" s="25">
        <v>0.9</v>
      </c>
      <c r="J1385" s="26">
        <v>0.91935483870967738</v>
      </c>
      <c r="K1385" s="26">
        <v>0.94029850746268662</v>
      </c>
      <c r="L1385" s="27">
        <v>0.95081967213114749</v>
      </c>
      <c r="M1385" s="26">
        <v>0.93069306930693074</v>
      </c>
      <c r="N1385" s="28">
        <v>0.9</v>
      </c>
      <c r="O1385" s="26">
        <v>0.87854816193578411</v>
      </c>
      <c r="P1385" s="26">
        <v>0.91131422924901184</v>
      </c>
      <c r="Q1385" s="26">
        <v>0.76651548018142379</v>
      </c>
      <c r="R1385" s="26">
        <v>0.87895546223457743</v>
      </c>
      <c r="S1385" s="28">
        <v>0.9</v>
      </c>
      <c r="T1385" s="26">
        <v>0.79688227082363894</v>
      </c>
      <c r="U1385" s="26">
        <v>0.82707509881422925</v>
      </c>
      <c r="V1385" s="26">
        <v>0.80043383947939262</v>
      </c>
      <c r="W1385" s="26">
        <v>0.81631868456852197</v>
      </c>
      <c r="X1385" s="28">
        <v>0.92</v>
      </c>
      <c r="Y1385" s="28">
        <v>0.89124668435013266</v>
      </c>
      <c r="Z1385" s="28">
        <v>0.91014205483977539</v>
      </c>
      <c r="AA1385" s="28">
        <v>0.91132545115121344</v>
      </c>
      <c r="AB1385" s="28">
        <v>0.9121479138424462</v>
      </c>
      <c r="AC1385" s="28">
        <v>0.92</v>
      </c>
      <c r="AD1385" s="26">
        <v>0.99758191270704877</v>
      </c>
      <c r="AE1385" s="26">
        <v>0.999191965831698</v>
      </c>
      <c r="AF1385" s="26">
        <v>0.99714414549827146</v>
      </c>
      <c r="AG1385" s="26">
        <v>0.99543700092197585</v>
      </c>
      <c r="AH1385" s="28">
        <v>0.92</v>
      </c>
      <c r="AI1385" s="26">
        <v>0.92548537052228608</v>
      </c>
      <c r="AJ1385" s="26">
        <v>0.94176678445229678</v>
      </c>
      <c r="AK1385" s="26">
        <v>0.94580567290283646</v>
      </c>
      <c r="AL1385" s="26">
        <v>0.94132162967870159</v>
      </c>
      <c r="AM1385" s="25">
        <v>0.99</v>
      </c>
      <c r="AN1385" s="30">
        <v>1</v>
      </c>
      <c r="AO1385" s="30">
        <v>1</v>
      </c>
      <c r="AP1385" s="30">
        <v>1</v>
      </c>
      <c r="AQ1385" s="30">
        <v>1</v>
      </c>
      <c r="AR1385" s="50">
        <v>7.2186152540827803E-2</v>
      </c>
      <c r="AS1385" s="34">
        <v>3.5714285714285712E-2</v>
      </c>
      <c r="AT1385" s="34">
        <v>2.5000000000000001E-2</v>
      </c>
      <c r="AU1385" s="34">
        <v>9.6774193548387094E-2</v>
      </c>
      <c r="AV1385" s="34">
        <v>5.1724137931034482E-2</v>
      </c>
      <c r="AW1385" s="10"/>
      <c r="AX1385" s="8"/>
    </row>
    <row r="1386" spans="1:50">
      <c r="A1386" s="7"/>
      <c r="B1386" s="10"/>
      <c r="C1386" s="45" t="s">
        <v>1100</v>
      </c>
      <c r="D1386" s="23" t="s">
        <v>25</v>
      </c>
      <c r="E1386" s="83" t="s">
        <v>1430</v>
      </c>
      <c r="F1386" s="83" t="s">
        <v>1430</v>
      </c>
      <c r="G1386" s="83" t="s">
        <v>1430</v>
      </c>
      <c r="H1386" s="83" t="s">
        <v>1430</v>
      </c>
      <c r="I1386" s="25">
        <v>0.9</v>
      </c>
      <c r="J1386" s="26">
        <v>0.91666666666666663</v>
      </c>
      <c r="K1386" s="26">
        <v>0.95744680851063835</v>
      </c>
      <c r="L1386" s="27">
        <v>0.92156862745098034</v>
      </c>
      <c r="M1386" s="26">
        <v>0.90026246719160108</v>
      </c>
      <c r="N1386" s="28">
        <v>0.9</v>
      </c>
      <c r="O1386" s="26">
        <v>0.93947806774014442</v>
      </c>
      <c r="P1386" s="26">
        <v>0.95436132865244394</v>
      </c>
      <c r="Q1386" s="26">
        <v>0.9356775300171527</v>
      </c>
      <c r="R1386" s="26">
        <v>0.93677364324554857</v>
      </c>
      <c r="S1386" s="28">
        <v>0.9</v>
      </c>
      <c r="T1386" s="26">
        <v>0.94114380899500283</v>
      </c>
      <c r="U1386" s="26">
        <v>0.9486902511477181</v>
      </c>
      <c r="V1386" s="26">
        <v>0.96998284734133788</v>
      </c>
      <c r="W1386" s="26">
        <v>0.9617585385790951</v>
      </c>
      <c r="X1386" s="28">
        <v>0.92</v>
      </c>
      <c r="Y1386" s="28">
        <v>0.96182152713891444</v>
      </c>
      <c r="Z1386" s="28">
        <v>0.95783132530120485</v>
      </c>
      <c r="AA1386" s="28">
        <v>0.95634920634920639</v>
      </c>
      <c r="AB1386" s="28">
        <v>0.96449607329842935</v>
      </c>
      <c r="AC1386" s="28">
        <v>0.92</v>
      </c>
      <c r="AD1386" s="26">
        <v>0.99624413145539903</v>
      </c>
      <c r="AE1386" s="26">
        <v>0.97644287396937579</v>
      </c>
      <c r="AF1386" s="26">
        <v>0.99394550958627648</v>
      </c>
      <c r="AG1386" s="26">
        <v>0.99034205231388328</v>
      </c>
      <c r="AH1386" s="28">
        <v>0.92</v>
      </c>
      <c r="AI1386" s="26">
        <v>0.96295013850415512</v>
      </c>
      <c r="AJ1386" s="26">
        <v>0.97468354430379744</v>
      </c>
      <c r="AK1386" s="26">
        <v>0.97864974033467977</v>
      </c>
      <c r="AL1386" s="26">
        <v>0.97669815177399577</v>
      </c>
      <c r="AM1386" s="25">
        <v>0.99</v>
      </c>
      <c r="AN1386" s="30">
        <v>1</v>
      </c>
      <c r="AO1386" s="30">
        <v>1</v>
      </c>
      <c r="AP1386" s="30">
        <v>1</v>
      </c>
      <c r="AQ1386" s="30">
        <v>1</v>
      </c>
      <c r="AR1386" s="50">
        <v>7.2186152540827803E-2</v>
      </c>
      <c r="AS1386" s="34">
        <v>0</v>
      </c>
      <c r="AT1386" s="34">
        <v>3.8461538461538464E-2</v>
      </c>
      <c r="AU1386" s="34">
        <v>0</v>
      </c>
      <c r="AV1386" s="34">
        <v>1.2578616352201259E-2</v>
      </c>
      <c r="AW1386" s="10"/>
      <c r="AX1386" s="8"/>
    </row>
    <row r="1387" spans="1:50">
      <c r="A1387" s="7"/>
      <c r="B1387" s="10"/>
      <c r="C1387" s="45" t="s">
        <v>1100</v>
      </c>
      <c r="D1387" s="23" t="s">
        <v>25</v>
      </c>
      <c r="E1387" s="83" t="s">
        <v>1431</v>
      </c>
      <c r="F1387" s="83" t="s">
        <v>1431</v>
      </c>
      <c r="G1387" s="83" t="s">
        <v>1431</v>
      </c>
      <c r="H1387" s="83" t="s">
        <v>1431</v>
      </c>
      <c r="I1387" s="25">
        <v>0.9</v>
      </c>
      <c r="J1387" s="26">
        <v>0.97142857142857142</v>
      </c>
      <c r="K1387" s="26">
        <v>0.97142857142857142</v>
      </c>
      <c r="L1387" s="27">
        <v>1</v>
      </c>
      <c r="M1387" s="26">
        <v>0.98501872659176026</v>
      </c>
      <c r="N1387" s="28">
        <v>0.9</v>
      </c>
      <c r="O1387" s="26">
        <v>0.98749460974558001</v>
      </c>
      <c r="P1387" s="26">
        <v>0.98230088495575218</v>
      </c>
      <c r="Q1387" s="26">
        <v>0.97300177619893424</v>
      </c>
      <c r="R1387" s="26">
        <v>0.98515466245202077</v>
      </c>
      <c r="S1387" s="28">
        <v>0.9</v>
      </c>
      <c r="T1387" s="26">
        <v>0.97585166019836134</v>
      </c>
      <c r="U1387" s="26">
        <v>0.96858407079646014</v>
      </c>
      <c r="V1387" s="26">
        <v>0.97726465364120785</v>
      </c>
      <c r="W1387" s="26">
        <v>0.97533303228719803</v>
      </c>
      <c r="X1387" s="28">
        <v>0.92</v>
      </c>
      <c r="Y1387" s="28">
        <v>0.98609179415855353</v>
      </c>
      <c r="Z1387" s="28">
        <v>0.97516556291390732</v>
      </c>
      <c r="AA1387" s="28">
        <v>0.9861616897305171</v>
      </c>
      <c r="AB1387" s="28">
        <v>0.98099377823233613</v>
      </c>
      <c r="AC1387" s="28">
        <v>0.92</v>
      </c>
      <c r="AD1387" s="26">
        <v>0.99237472766884527</v>
      </c>
      <c r="AE1387" s="26">
        <v>0.9950900163666121</v>
      </c>
      <c r="AF1387" s="26">
        <v>0.99301675977653636</v>
      </c>
      <c r="AG1387" s="26">
        <v>0.98472906403940885</v>
      </c>
      <c r="AH1387" s="28">
        <v>0.92</v>
      </c>
      <c r="AI1387" s="26">
        <v>0.98802235826457274</v>
      </c>
      <c r="AJ1387" s="26">
        <v>0.98414071510957324</v>
      </c>
      <c r="AK1387" s="26">
        <v>0.99140401146131807</v>
      </c>
      <c r="AL1387" s="26">
        <v>0.98743675936300979</v>
      </c>
      <c r="AM1387" s="25">
        <v>0.99</v>
      </c>
      <c r="AN1387" s="30">
        <v>1</v>
      </c>
      <c r="AO1387" s="30">
        <v>1</v>
      </c>
      <c r="AP1387" s="30">
        <v>1</v>
      </c>
      <c r="AQ1387" s="30">
        <v>1</v>
      </c>
      <c r="AR1387" s="50">
        <v>7.2186152540827803E-2</v>
      </c>
      <c r="AS1387" s="34">
        <v>0</v>
      </c>
      <c r="AT1387" s="34">
        <v>0.14285714285714285</v>
      </c>
      <c r="AU1387" s="34">
        <v>0.14285714285714285</v>
      </c>
      <c r="AV1387" s="34">
        <v>5.9701492537313432E-2</v>
      </c>
      <c r="AW1387" s="10"/>
      <c r="AX1387" s="8"/>
    </row>
    <row r="1388" spans="1:50">
      <c r="A1388" s="7"/>
      <c r="B1388" s="10"/>
      <c r="C1388" s="45" t="s">
        <v>1100</v>
      </c>
      <c r="D1388" s="23" t="s">
        <v>25</v>
      </c>
      <c r="E1388" s="83" t="s">
        <v>1432</v>
      </c>
      <c r="F1388" s="83" t="s">
        <v>1432</v>
      </c>
      <c r="G1388" s="83" t="s">
        <v>1432</v>
      </c>
      <c r="H1388" s="83" t="s">
        <v>1432</v>
      </c>
      <c r="I1388" s="25">
        <v>0.9</v>
      </c>
      <c r="J1388" s="26">
        <v>0.94871794871794868</v>
      </c>
      <c r="K1388" s="26">
        <v>0.88888888888888884</v>
      </c>
      <c r="L1388" s="27">
        <v>1</v>
      </c>
      <c r="M1388" s="26">
        <v>0.91304347826086951</v>
      </c>
      <c r="N1388" s="28">
        <v>0.9</v>
      </c>
      <c r="O1388" s="26">
        <v>0.97254725472547254</v>
      </c>
      <c r="P1388" s="26">
        <v>0.98428633784373631</v>
      </c>
      <c r="Q1388" s="26">
        <v>0.98419269853217917</v>
      </c>
      <c r="R1388" s="26">
        <v>0.98119800332778706</v>
      </c>
      <c r="S1388" s="28">
        <v>0.9</v>
      </c>
      <c r="T1388" s="26">
        <v>0.95319531953195324</v>
      </c>
      <c r="U1388" s="26">
        <v>0.9668267132256656</v>
      </c>
      <c r="V1388" s="26">
        <v>0.96537448249905911</v>
      </c>
      <c r="W1388" s="26">
        <v>0.96283971159179149</v>
      </c>
      <c r="X1388" s="28">
        <v>0.92</v>
      </c>
      <c r="Y1388" s="28">
        <v>0.96664397549353298</v>
      </c>
      <c r="Z1388" s="28">
        <v>0.96355932203389827</v>
      </c>
      <c r="AA1388" s="28">
        <v>0.9854368932038835</v>
      </c>
      <c r="AB1388" s="28">
        <v>0.97426018526108693</v>
      </c>
      <c r="AC1388" s="28">
        <v>0.92</v>
      </c>
      <c r="AD1388" s="26">
        <v>1</v>
      </c>
      <c r="AE1388" s="26">
        <v>1</v>
      </c>
      <c r="AF1388" s="26">
        <v>0.99673202614379086</v>
      </c>
      <c r="AG1388" s="26">
        <v>0.9723429474516001</v>
      </c>
      <c r="AH1388" s="28">
        <v>0.92</v>
      </c>
      <c r="AI1388" s="26">
        <v>0.97778981581798485</v>
      </c>
      <c r="AJ1388" s="26">
        <v>0.98012100259291268</v>
      </c>
      <c r="AK1388" s="26">
        <v>0.9909734081483289</v>
      </c>
      <c r="AL1388" s="26">
        <v>0.98359300056233667</v>
      </c>
      <c r="AM1388" s="25">
        <v>0.99</v>
      </c>
      <c r="AN1388" s="30">
        <v>1</v>
      </c>
      <c r="AO1388" s="30">
        <v>1</v>
      </c>
      <c r="AP1388" s="30">
        <v>1</v>
      </c>
      <c r="AQ1388" s="30">
        <v>1</v>
      </c>
      <c r="AR1388" s="50">
        <v>7.2186152540827803E-2</v>
      </c>
      <c r="AS1388" s="34">
        <v>9.0909090909090912E-2</v>
      </c>
      <c r="AT1388" s="34">
        <v>0</v>
      </c>
      <c r="AU1388" s="34">
        <v>0</v>
      </c>
      <c r="AV1388" s="34">
        <v>-1.6949152542372881E-2</v>
      </c>
      <c r="AW1388" s="10"/>
      <c r="AX1388" s="8"/>
    </row>
    <row r="1389" spans="1:50">
      <c r="A1389" s="7"/>
      <c r="B1389" s="10"/>
      <c r="C1389" s="45" t="s">
        <v>1100</v>
      </c>
      <c r="D1389" s="23" t="s">
        <v>25</v>
      </c>
      <c r="E1389" s="83" t="s">
        <v>1433</v>
      </c>
      <c r="F1389" s="83" t="s">
        <v>1433</v>
      </c>
      <c r="G1389" s="83" t="s">
        <v>1433</v>
      </c>
      <c r="H1389" s="83" t="s">
        <v>1433</v>
      </c>
      <c r="I1389" s="25">
        <v>0.9</v>
      </c>
      <c r="J1389" s="26">
        <v>0.875</v>
      </c>
      <c r="K1389" s="26">
        <v>0.90625</v>
      </c>
      <c r="L1389" s="27">
        <v>0.967741935483871</v>
      </c>
      <c r="M1389" s="26">
        <v>0.91869918699186992</v>
      </c>
      <c r="N1389" s="28">
        <v>0.9</v>
      </c>
      <c r="O1389" s="26">
        <v>0.96265560165975106</v>
      </c>
      <c r="P1389" s="26">
        <v>0.95464480874316937</v>
      </c>
      <c r="Q1389" s="26">
        <v>0.96829836829836835</v>
      </c>
      <c r="R1389" s="26">
        <v>0.96370582617000955</v>
      </c>
      <c r="S1389" s="28">
        <v>0.9</v>
      </c>
      <c r="T1389" s="26">
        <v>0.94605809128630702</v>
      </c>
      <c r="U1389" s="26">
        <v>0.9278688524590164</v>
      </c>
      <c r="V1389" s="26">
        <v>0.9538461538461539</v>
      </c>
      <c r="W1389" s="26">
        <v>0.94673425905517594</v>
      </c>
      <c r="X1389" s="28">
        <v>0.92</v>
      </c>
      <c r="Y1389" s="28">
        <v>0.91750503018108653</v>
      </c>
      <c r="Z1389" s="28">
        <v>0.95519125683060113</v>
      </c>
      <c r="AA1389" s="28">
        <v>0.96669666966696666</v>
      </c>
      <c r="AB1389" s="28">
        <v>0.94859963515398649</v>
      </c>
      <c r="AC1389" s="28">
        <v>0.92</v>
      </c>
      <c r="AD1389" s="26">
        <v>1</v>
      </c>
      <c r="AE1389" s="26">
        <v>0.99029126213592233</v>
      </c>
      <c r="AF1389" s="26">
        <v>0.49295774647887325</v>
      </c>
      <c r="AG1389" s="26">
        <v>0.89309210526315785</v>
      </c>
      <c r="AH1389" s="28">
        <v>0.92</v>
      </c>
      <c r="AI1389" s="26">
        <v>0.94964565460649009</v>
      </c>
      <c r="AJ1389" s="26">
        <v>0.96939890710382515</v>
      </c>
      <c r="AK1389" s="26">
        <v>0.97727272727272729</v>
      </c>
      <c r="AL1389" s="26">
        <v>0.96703009158307895</v>
      </c>
      <c r="AM1389" s="25">
        <v>0.99</v>
      </c>
      <c r="AN1389" s="30">
        <v>1</v>
      </c>
      <c r="AO1389" s="30">
        <v>1</v>
      </c>
      <c r="AP1389" s="30">
        <v>1</v>
      </c>
      <c r="AQ1389" s="30">
        <v>1</v>
      </c>
      <c r="AR1389" s="50">
        <v>7.2186152540827803E-2</v>
      </c>
      <c r="AS1389" s="34">
        <v>0</v>
      </c>
      <c r="AT1389" s="34">
        <v>7.6923076923076927E-2</v>
      </c>
      <c r="AU1389" s="34">
        <v>0.125</v>
      </c>
      <c r="AV1389" s="34">
        <v>7.575757575757576E-2</v>
      </c>
      <c r="AW1389" s="10"/>
      <c r="AX1389" s="8"/>
    </row>
    <row r="1390" spans="1:50">
      <c r="A1390" s="7"/>
      <c r="B1390" s="10"/>
      <c r="C1390" s="45" t="s">
        <v>1100</v>
      </c>
      <c r="D1390" s="23" t="s">
        <v>25</v>
      </c>
      <c r="E1390" s="83" t="s">
        <v>1434</v>
      </c>
      <c r="F1390" s="83" t="s">
        <v>1434</v>
      </c>
      <c r="G1390" s="83" t="s">
        <v>1434</v>
      </c>
      <c r="H1390" s="83" t="s">
        <v>1434</v>
      </c>
      <c r="I1390" s="25">
        <v>0.9</v>
      </c>
      <c r="J1390" s="26">
        <v>1</v>
      </c>
      <c r="K1390" s="26">
        <v>0.95833333333333337</v>
      </c>
      <c r="L1390" s="27">
        <v>1</v>
      </c>
      <c r="M1390" s="26">
        <v>0.96590909090909094</v>
      </c>
      <c r="N1390" s="28">
        <v>0.9</v>
      </c>
      <c r="O1390" s="26">
        <v>0.98103448275862071</v>
      </c>
      <c r="P1390" s="26">
        <v>0.99125683060109293</v>
      </c>
      <c r="Q1390" s="26">
        <v>0.99376391982182632</v>
      </c>
      <c r="R1390" s="26">
        <v>0.9894496720844026</v>
      </c>
      <c r="S1390" s="28">
        <v>0.9</v>
      </c>
      <c r="T1390" s="26">
        <v>0.93448275862068964</v>
      </c>
      <c r="U1390" s="26">
        <v>0.93497267759562841</v>
      </c>
      <c r="V1390" s="26">
        <v>0.95011135857461027</v>
      </c>
      <c r="W1390" s="26">
        <v>0.94589392643284864</v>
      </c>
      <c r="X1390" s="28">
        <v>0.92</v>
      </c>
      <c r="Y1390" s="28">
        <v>0</v>
      </c>
      <c r="Z1390" s="28">
        <v>0</v>
      </c>
      <c r="AA1390" s="28">
        <v>0</v>
      </c>
      <c r="AB1390" s="28">
        <v>0</v>
      </c>
      <c r="AC1390" s="28">
        <v>0.92</v>
      </c>
      <c r="AD1390" s="26">
        <v>0.99793388429752061</v>
      </c>
      <c r="AE1390" s="26">
        <v>1</v>
      </c>
      <c r="AF1390" s="26">
        <v>1</v>
      </c>
      <c r="AG1390" s="26">
        <v>0.98976109215017061</v>
      </c>
      <c r="AH1390" s="28">
        <v>0.92</v>
      </c>
      <c r="AI1390" s="26">
        <v>0.95459770114942533</v>
      </c>
      <c r="AJ1390" s="26">
        <v>0.95300546448087431</v>
      </c>
      <c r="AK1390" s="26">
        <v>0.97505567928730508</v>
      </c>
      <c r="AL1390" s="26">
        <v>0.96464214428286288</v>
      </c>
      <c r="AM1390" s="25">
        <v>0.99</v>
      </c>
      <c r="AN1390" s="30">
        <v>1</v>
      </c>
      <c r="AO1390" s="30">
        <v>1</v>
      </c>
      <c r="AP1390" s="30">
        <v>1</v>
      </c>
      <c r="AQ1390" s="30">
        <v>1</v>
      </c>
      <c r="AR1390" s="50">
        <v>7.2186152540827803E-2</v>
      </c>
      <c r="AS1390" s="34">
        <v>0</v>
      </c>
      <c r="AT1390" s="34">
        <v>0</v>
      </c>
      <c r="AU1390" s="34">
        <v>0</v>
      </c>
      <c r="AV1390" s="34">
        <v>0</v>
      </c>
      <c r="AW1390" s="10"/>
      <c r="AX1390" s="8"/>
    </row>
    <row r="1391" spans="1:50">
      <c r="A1391" s="7"/>
      <c r="B1391" s="10"/>
      <c r="C1391" s="45" t="s">
        <v>1100</v>
      </c>
      <c r="D1391" s="23" t="s">
        <v>25</v>
      </c>
      <c r="E1391" s="83" t="s">
        <v>1435</v>
      </c>
      <c r="F1391" s="83" t="s">
        <v>1435</v>
      </c>
      <c r="G1391" s="83" t="s">
        <v>1435</v>
      </c>
      <c r="H1391" s="83" t="s">
        <v>1435</v>
      </c>
      <c r="I1391" s="25">
        <v>0.9</v>
      </c>
      <c r="J1391" s="26">
        <v>0.875</v>
      </c>
      <c r="K1391" s="26">
        <v>0.83720930232558144</v>
      </c>
      <c r="L1391" s="27">
        <v>0.88095238095238093</v>
      </c>
      <c r="M1391" s="26">
        <v>0.89456869009584661</v>
      </c>
      <c r="N1391" s="28">
        <v>0.9</v>
      </c>
      <c r="O1391" s="26">
        <v>0.97221119491861852</v>
      </c>
      <c r="P1391" s="26">
        <v>0.98553948832035598</v>
      </c>
      <c r="Q1391" s="26">
        <v>0.97446680684890352</v>
      </c>
      <c r="R1391" s="26">
        <v>0.97534496753246758</v>
      </c>
      <c r="S1391" s="28">
        <v>0.9</v>
      </c>
      <c r="T1391" s="26">
        <v>0.90710599444223894</v>
      </c>
      <c r="U1391" s="26">
        <v>0.91434927697441604</v>
      </c>
      <c r="V1391" s="26">
        <v>0.90898167617903269</v>
      </c>
      <c r="W1391" s="26">
        <v>0.90670657467532467</v>
      </c>
      <c r="X1391" s="28">
        <v>0.92</v>
      </c>
      <c r="Y1391" s="28">
        <v>0.91994750656167978</v>
      </c>
      <c r="Z1391" s="28">
        <v>0.9012810851544838</v>
      </c>
      <c r="AA1391" s="28">
        <v>0.93433029908972687</v>
      </c>
      <c r="AB1391" s="28">
        <v>0.93175670453667203</v>
      </c>
      <c r="AC1391" s="28">
        <v>0.92</v>
      </c>
      <c r="AD1391" s="26">
        <v>0.99932840832773673</v>
      </c>
      <c r="AE1391" s="26">
        <v>0.95561035758323054</v>
      </c>
      <c r="AF1391" s="26">
        <v>1</v>
      </c>
      <c r="AG1391" s="26">
        <v>0.99537688442211059</v>
      </c>
      <c r="AH1391" s="28">
        <v>0.92</v>
      </c>
      <c r="AI1391" s="26">
        <v>0.95004945598417412</v>
      </c>
      <c r="AJ1391" s="26">
        <v>0.94657057654075549</v>
      </c>
      <c r="AK1391" s="26">
        <v>0.96486542017670018</v>
      </c>
      <c r="AL1391" s="26">
        <v>0.95678804397758244</v>
      </c>
      <c r="AM1391" s="25">
        <v>0.99</v>
      </c>
      <c r="AN1391" s="30">
        <v>1</v>
      </c>
      <c r="AO1391" s="30">
        <v>1</v>
      </c>
      <c r="AP1391" s="30">
        <v>1</v>
      </c>
      <c r="AQ1391" s="30">
        <v>1</v>
      </c>
      <c r="AR1391" s="50">
        <v>7.2186152540827803E-2</v>
      </c>
      <c r="AS1391" s="34">
        <v>0</v>
      </c>
      <c r="AT1391" s="34">
        <v>0.1111111111111111</v>
      </c>
      <c r="AU1391" s="34">
        <v>0</v>
      </c>
      <c r="AV1391" s="34">
        <v>5.5045871559633031E-2</v>
      </c>
      <c r="AW1391" s="10"/>
      <c r="AX1391" s="8"/>
    </row>
    <row r="1392" spans="1:50">
      <c r="A1392" s="7"/>
      <c r="B1392" s="10"/>
      <c r="C1392" s="45" t="s">
        <v>1100</v>
      </c>
      <c r="D1392" s="23" t="s">
        <v>25</v>
      </c>
      <c r="E1392" s="83" t="s">
        <v>1436</v>
      </c>
      <c r="F1392" s="83" t="s">
        <v>1436</v>
      </c>
      <c r="G1392" s="83" t="s">
        <v>1436</v>
      </c>
      <c r="H1392" s="83" t="s">
        <v>1436</v>
      </c>
      <c r="I1392" s="25">
        <v>0.9</v>
      </c>
      <c r="J1392" s="26">
        <v>0.95</v>
      </c>
      <c r="K1392" s="26">
        <v>0.97674418604651159</v>
      </c>
      <c r="L1392" s="27">
        <v>1</v>
      </c>
      <c r="M1392" s="26">
        <v>0.96363636363636362</v>
      </c>
      <c r="N1392" s="28">
        <v>0.9</v>
      </c>
      <c r="O1392" s="26">
        <v>0.98709214772319831</v>
      </c>
      <c r="P1392" s="26">
        <v>0.98818624044475334</v>
      </c>
      <c r="Q1392" s="26">
        <v>0.98985551798339999</v>
      </c>
      <c r="R1392" s="26">
        <v>0.98897327964860904</v>
      </c>
      <c r="S1392" s="28">
        <v>0.9</v>
      </c>
      <c r="T1392" s="26">
        <v>0.94693438508425964</v>
      </c>
      <c r="U1392" s="26">
        <v>0.95760945100764416</v>
      </c>
      <c r="V1392" s="26">
        <v>0.96311097448509064</v>
      </c>
      <c r="W1392" s="26">
        <v>0.96284773060029283</v>
      </c>
      <c r="X1392" s="28">
        <v>0.92</v>
      </c>
      <c r="Y1392" s="28">
        <v>0.9558073654390935</v>
      </c>
      <c r="Z1392" s="28">
        <v>0.94712182061579653</v>
      </c>
      <c r="AA1392" s="28">
        <v>0.97629310344827591</v>
      </c>
      <c r="AB1392" s="28">
        <v>0.96437642461738848</v>
      </c>
      <c r="AC1392" s="28">
        <v>0.92</v>
      </c>
      <c r="AD1392" s="26">
        <v>0.99180022363026465</v>
      </c>
      <c r="AE1392" s="26">
        <v>0.99913494809688586</v>
      </c>
      <c r="AF1392" s="26">
        <v>0.9970149253731343</v>
      </c>
      <c r="AG1392" s="26">
        <v>0.99592914512047526</v>
      </c>
      <c r="AH1392" s="28">
        <v>0.92</v>
      </c>
      <c r="AI1392" s="26">
        <v>0.96245059288537549</v>
      </c>
      <c r="AJ1392" s="26">
        <v>0.96798536473816599</v>
      </c>
      <c r="AK1392" s="26">
        <v>0.98238402818555493</v>
      </c>
      <c r="AL1392" s="26">
        <v>0.97605739775353362</v>
      </c>
      <c r="AM1392" s="25">
        <v>0.99</v>
      </c>
      <c r="AN1392" s="30">
        <v>1</v>
      </c>
      <c r="AO1392" s="30">
        <v>1</v>
      </c>
      <c r="AP1392" s="30">
        <v>1</v>
      </c>
      <c r="AQ1392" s="30">
        <v>1</v>
      </c>
      <c r="AR1392" s="50">
        <v>7.2186152540827803E-2</v>
      </c>
      <c r="AS1392" s="34">
        <v>0</v>
      </c>
      <c r="AT1392" s="34">
        <v>0</v>
      </c>
      <c r="AU1392" s="34">
        <v>0</v>
      </c>
      <c r="AV1392" s="34">
        <v>0</v>
      </c>
      <c r="AW1392" s="10"/>
      <c r="AX1392" s="8"/>
    </row>
    <row r="1393" spans="1:50">
      <c r="A1393" s="7"/>
      <c r="B1393" s="10"/>
      <c r="C1393" s="45" t="s">
        <v>1100</v>
      </c>
      <c r="D1393" s="23" t="s">
        <v>25</v>
      </c>
      <c r="E1393" s="83" t="s">
        <v>1437</v>
      </c>
      <c r="F1393" s="83" t="s">
        <v>1437</v>
      </c>
      <c r="G1393" s="83" t="s">
        <v>1437</v>
      </c>
      <c r="H1393" s="83" t="s">
        <v>1437</v>
      </c>
      <c r="I1393" s="25">
        <v>0.9</v>
      </c>
      <c r="J1393" s="26">
        <v>0.8571428571428571</v>
      </c>
      <c r="K1393" s="26">
        <v>0.86206896551724133</v>
      </c>
      <c r="L1393" s="27">
        <v>0.76666666666666672</v>
      </c>
      <c r="M1393" s="26">
        <v>0.8660714285714286</v>
      </c>
      <c r="N1393" s="28">
        <v>0.9</v>
      </c>
      <c r="O1393" s="26">
        <v>0.98852772466539196</v>
      </c>
      <c r="P1393" s="26">
        <v>0.98220858895705521</v>
      </c>
      <c r="Q1393" s="26">
        <v>0.9808389435525634</v>
      </c>
      <c r="R1393" s="26">
        <v>0.98519335276049458</v>
      </c>
      <c r="S1393" s="28">
        <v>0.9</v>
      </c>
      <c r="T1393" s="26">
        <v>0.96367112810707456</v>
      </c>
      <c r="U1393" s="26">
        <v>0.95828220858895707</v>
      </c>
      <c r="V1393" s="26">
        <v>0.96116002071465567</v>
      </c>
      <c r="W1393" s="26">
        <v>0.96408600456800819</v>
      </c>
      <c r="X1393" s="28">
        <v>0.92</v>
      </c>
      <c r="Y1393" s="28">
        <v>0.97807435653002861</v>
      </c>
      <c r="Z1393" s="28">
        <v>0.96843291995490421</v>
      </c>
      <c r="AA1393" s="28">
        <v>0.98096101541251135</v>
      </c>
      <c r="AB1393" s="28">
        <v>0.9782995771199644</v>
      </c>
      <c r="AC1393" s="28">
        <v>0.92</v>
      </c>
      <c r="AD1393" s="26">
        <v>1</v>
      </c>
      <c r="AE1393" s="26">
        <v>0.98880597014925375</v>
      </c>
      <c r="AF1393" s="26">
        <v>0.99078341013824889</v>
      </c>
      <c r="AG1393" s="26">
        <v>0.99575070821529743</v>
      </c>
      <c r="AH1393" s="28">
        <v>0.92</v>
      </c>
      <c r="AI1393" s="26">
        <v>0.98357524828113063</v>
      </c>
      <c r="AJ1393" s="26">
        <v>0.98331346841477951</v>
      </c>
      <c r="AK1393" s="26">
        <v>0.98978246539222148</v>
      </c>
      <c r="AL1393" s="26">
        <v>0.98612007746933505</v>
      </c>
      <c r="AM1393" s="25">
        <v>0.99</v>
      </c>
      <c r="AN1393" s="30">
        <v>1</v>
      </c>
      <c r="AO1393" s="30">
        <v>1</v>
      </c>
      <c r="AP1393" s="30">
        <v>1</v>
      </c>
      <c r="AQ1393" s="30">
        <v>1</v>
      </c>
      <c r="AR1393" s="50">
        <v>7.2186152540827803E-2</v>
      </c>
      <c r="AS1393" s="34">
        <v>0.2</v>
      </c>
      <c r="AT1393" s="34">
        <v>0</v>
      </c>
      <c r="AU1393" s="34">
        <v>0</v>
      </c>
      <c r="AV1393" s="34">
        <v>0.1</v>
      </c>
      <c r="AW1393" s="10"/>
      <c r="AX1393" s="8"/>
    </row>
    <row r="1394" spans="1:50">
      <c r="A1394" s="7"/>
      <c r="B1394" s="10"/>
      <c r="C1394" s="45" t="s">
        <v>1100</v>
      </c>
      <c r="D1394" s="23" t="s">
        <v>25</v>
      </c>
      <c r="E1394" s="83" t="s">
        <v>1438</v>
      </c>
      <c r="F1394" s="83" t="s">
        <v>1438</v>
      </c>
      <c r="G1394" s="83" t="s">
        <v>1438</v>
      </c>
      <c r="H1394" s="83" t="s">
        <v>1438</v>
      </c>
      <c r="I1394" s="25">
        <v>0.9</v>
      </c>
      <c r="J1394" s="26">
        <v>0.85245901639344257</v>
      </c>
      <c r="K1394" s="26">
        <v>0.68852459016393441</v>
      </c>
      <c r="L1394" s="27">
        <v>0.96721311475409832</v>
      </c>
      <c r="M1394" s="26">
        <v>0.81645569620253167</v>
      </c>
      <c r="N1394" s="28">
        <v>0.9</v>
      </c>
      <c r="O1394" s="26">
        <v>0.97665937272064185</v>
      </c>
      <c r="P1394" s="26">
        <v>0.97704270550481365</v>
      </c>
      <c r="Q1394" s="26">
        <v>0.98145780051150899</v>
      </c>
      <c r="R1394" s="26">
        <v>0.97352181852528175</v>
      </c>
      <c r="S1394" s="28">
        <v>0.9</v>
      </c>
      <c r="T1394" s="26">
        <v>0.9562363238512035</v>
      </c>
      <c r="U1394" s="26">
        <v>0.96741545297457421</v>
      </c>
      <c r="V1394" s="26">
        <v>0.96867007672634275</v>
      </c>
      <c r="W1394" s="26">
        <v>0.95919652414835332</v>
      </c>
      <c r="X1394" s="28">
        <v>0.92</v>
      </c>
      <c r="Y1394" s="28">
        <v>0.95353091840468351</v>
      </c>
      <c r="Z1394" s="28">
        <v>0.96693860025762135</v>
      </c>
      <c r="AA1394" s="28">
        <v>0.97671840354767181</v>
      </c>
      <c r="AB1394" s="28">
        <v>0.96876110913615354</v>
      </c>
      <c r="AC1394" s="28">
        <v>0.92</v>
      </c>
      <c r="AD1394" s="26">
        <v>0.98177874186550973</v>
      </c>
      <c r="AE1394" s="26">
        <v>0.9799048122686409</v>
      </c>
      <c r="AF1394" s="26">
        <v>0.97325327510917026</v>
      </c>
      <c r="AG1394" s="26">
        <v>0.98295384615384618</v>
      </c>
      <c r="AH1394" s="28">
        <v>0.92</v>
      </c>
      <c r="AI1394" s="26">
        <v>0.96757230499561786</v>
      </c>
      <c r="AJ1394" s="26">
        <v>0.9824451410658307</v>
      </c>
      <c r="AK1394" s="26">
        <v>0.98810650087849705</v>
      </c>
      <c r="AL1394" s="26">
        <v>0.98139003537735847</v>
      </c>
      <c r="AM1394" s="25">
        <v>0.99</v>
      </c>
      <c r="AN1394" s="30">
        <v>1</v>
      </c>
      <c r="AO1394" s="30">
        <v>1</v>
      </c>
      <c r="AP1394" s="30">
        <v>1</v>
      </c>
      <c r="AQ1394" s="30">
        <v>1</v>
      </c>
      <c r="AR1394" s="50">
        <v>7.2186152540827803E-2</v>
      </c>
      <c r="AS1394" s="34">
        <v>0</v>
      </c>
      <c r="AT1394" s="34">
        <v>6.6666666666666666E-2</v>
      </c>
      <c r="AU1394" s="34">
        <v>0.05</v>
      </c>
      <c r="AV1394" s="34">
        <v>3.968253968253968E-2</v>
      </c>
      <c r="AW1394" s="10"/>
      <c r="AX1394" s="8"/>
    </row>
    <row r="1395" spans="1:50">
      <c r="A1395" s="7"/>
      <c r="B1395" s="10"/>
      <c r="C1395" s="45" t="s">
        <v>1100</v>
      </c>
      <c r="D1395" s="23" t="s">
        <v>25</v>
      </c>
      <c r="E1395" s="83" t="s">
        <v>1439</v>
      </c>
      <c r="F1395" s="83" t="s">
        <v>1439</v>
      </c>
      <c r="G1395" s="83" t="s">
        <v>1439</v>
      </c>
      <c r="H1395" s="83" t="s">
        <v>1439</v>
      </c>
      <c r="I1395" s="25">
        <v>0.9</v>
      </c>
      <c r="J1395" s="26">
        <v>0.875</v>
      </c>
      <c r="K1395" s="26">
        <v>0.86363636363636365</v>
      </c>
      <c r="L1395" s="27">
        <v>0.88372093023255816</v>
      </c>
      <c r="M1395" s="26">
        <v>0.86890243902439024</v>
      </c>
      <c r="N1395" s="28">
        <v>0.9</v>
      </c>
      <c r="O1395" s="26">
        <v>0.99217785096747635</v>
      </c>
      <c r="P1395" s="26">
        <v>0.99482895783611769</v>
      </c>
      <c r="Q1395" s="26">
        <v>0.99362380446333687</v>
      </c>
      <c r="R1395" s="26">
        <v>0.98872811156548179</v>
      </c>
      <c r="S1395" s="28">
        <v>0.9</v>
      </c>
      <c r="T1395" s="26">
        <v>0.97324001646768221</v>
      </c>
      <c r="U1395" s="26">
        <v>0.9761336515513126</v>
      </c>
      <c r="V1395" s="26">
        <v>0.98583067658519308</v>
      </c>
      <c r="W1395" s="26">
        <v>0.98023487469854254</v>
      </c>
      <c r="X1395" s="28">
        <v>0.92</v>
      </c>
      <c r="Y1395" s="28">
        <v>0.97594501718213056</v>
      </c>
      <c r="Z1395" s="28">
        <v>0.97791798107255523</v>
      </c>
      <c r="AA1395" s="28">
        <v>0.98326898326898327</v>
      </c>
      <c r="AB1395" s="28">
        <v>0.97762571121021069</v>
      </c>
      <c r="AC1395" s="28">
        <v>0.92</v>
      </c>
      <c r="AD1395" s="26">
        <v>0.99928605425987627</v>
      </c>
      <c r="AE1395" s="26">
        <v>0.99789196310935446</v>
      </c>
      <c r="AF1395" s="26">
        <v>0.98380992430613956</v>
      </c>
      <c r="AG1395" s="26">
        <v>0.99582515413752104</v>
      </c>
      <c r="AH1395" s="28">
        <v>0.92</v>
      </c>
      <c r="AI1395" s="26">
        <v>0.97812097812097809</v>
      </c>
      <c r="AJ1395" s="26">
        <v>0.97991012424002111</v>
      </c>
      <c r="AK1395" s="26">
        <v>0.99063285355266162</v>
      </c>
      <c r="AL1395" s="26">
        <v>0.98491412897796338</v>
      </c>
      <c r="AM1395" s="25">
        <v>0.99</v>
      </c>
      <c r="AN1395" s="30">
        <v>1</v>
      </c>
      <c r="AO1395" s="30">
        <v>1</v>
      </c>
      <c r="AP1395" s="30">
        <v>1</v>
      </c>
      <c r="AQ1395" s="30">
        <v>1</v>
      </c>
      <c r="AR1395" s="50">
        <v>7.2186152540827803E-2</v>
      </c>
      <c r="AS1395" s="34">
        <v>6.25E-2</v>
      </c>
      <c r="AT1395" s="34">
        <v>0</v>
      </c>
      <c r="AU1395" s="34">
        <v>0</v>
      </c>
      <c r="AV1395" s="34">
        <v>1.1976047904191617E-2</v>
      </c>
      <c r="AW1395" s="10"/>
      <c r="AX1395" s="8"/>
    </row>
    <row r="1396" spans="1:50">
      <c r="A1396" s="7"/>
      <c r="B1396" s="10"/>
      <c r="C1396" s="45" t="s">
        <v>1100</v>
      </c>
      <c r="D1396" s="23" t="s">
        <v>25</v>
      </c>
      <c r="E1396" s="83" t="s">
        <v>1440</v>
      </c>
      <c r="F1396" s="83" t="s">
        <v>1440</v>
      </c>
      <c r="G1396" s="83" t="s">
        <v>1440</v>
      </c>
      <c r="H1396" s="83" t="s">
        <v>1440</v>
      </c>
      <c r="I1396" s="25">
        <v>0.9</v>
      </c>
      <c r="J1396" s="26">
        <v>0.97560975609756095</v>
      </c>
      <c r="K1396" s="26">
        <v>0.97727272727272729</v>
      </c>
      <c r="L1396" s="27">
        <v>1</v>
      </c>
      <c r="M1396" s="26">
        <v>0.96835443037974689</v>
      </c>
      <c r="N1396" s="28">
        <v>0.9</v>
      </c>
      <c r="O1396" s="26">
        <v>0.96190049305244285</v>
      </c>
      <c r="P1396" s="26">
        <v>0.98929600658707284</v>
      </c>
      <c r="Q1396" s="26">
        <v>0.97929687499999996</v>
      </c>
      <c r="R1396" s="26">
        <v>0.96439368491770239</v>
      </c>
      <c r="S1396" s="28">
        <v>0.9</v>
      </c>
      <c r="T1396" s="26">
        <v>0.94083370685791123</v>
      </c>
      <c r="U1396" s="26">
        <v>0.94442157266364757</v>
      </c>
      <c r="V1396" s="26">
        <v>0.95156249999999998</v>
      </c>
      <c r="W1396" s="26">
        <v>0.93421789273317657</v>
      </c>
      <c r="X1396" s="28">
        <v>0.92</v>
      </c>
      <c r="Y1396" s="28">
        <v>0.94293125810635536</v>
      </c>
      <c r="Z1396" s="28">
        <v>0.93442622950819676</v>
      </c>
      <c r="AA1396" s="28">
        <v>0.95126582278481009</v>
      </c>
      <c r="AB1396" s="28">
        <v>0.95353439404733631</v>
      </c>
      <c r="AC1396" s="28">
        <v>0.92</v>
      </c>
      <c r="AD1396" s="26">
        <v>1</v>
      </c>
      <c r="AE1396" s="26">
        <v>1</v>
      </c>
      <c r="AF1396" s="26">
        <v>1</v>
      </c>
      <c r="AG1396" s="26">
        <v>0.99913718723037104</v>
      </c>
      <c r="AH1396" s="28">
        <v>0.92</v>
      </c>
      <c r="AI1396" s="26">
        <v>0.96103896103896103</v>
      </c>
      <c r="AJ1396" s="26">
        <v>0.95902964959568737</v>
      </c>
      <c r="AK1396" s="26">
        <v>0.97271190533687513</v>
      </c>
      <c r="AL1396" s="26">
        <v>0.97035774010558418</v>
      </c>
      <c r="AM1396" s="25">
        <v>0.99</v>
      </c>
      <c r="AN1396" s="30">
        <v>1</v>
      </c>
      <c r="AO1396" s="30">
        <v>1</v>
      </c>
      <c r="AP1396" s="30">
        <v>1</v>
      </c>
      <c r="AQ1396" s="30">
        <v>1</v>
      </c>
      <c r="AR1396" s="50">
        <v>7.2186152540827803E-2</v>
      </c>
      <c r="AS1396" s="34">
        <v>7.1428571428571425E-2</v>
      </c>
      <c r="AT1396" s="34">
        <v>0</v>
      </c>
      <c r="AU1396" s="34">
        <v>5.2631578947368418E-2</v>
      </c>
      <c r="AV1396" s="34">
        <v>7.5268817204301078E-2</v>
      </c>
      <c r="AW1396" s="10"/>
      <c r="AX1396" s="8"/>
    </row>
    <row r="1397" spans="1:50">
      <c r="A1397" s="7"/>
      <c r="B1397" s="10"/>
      <c r="C1397" s="45" t="s">
        <v>1100</v>
      </c>
      <c r="D1397" s="23" t="s">
        <v>25</v>
      </c>
      <c r="E1397" s="83" t="s">
        <v>1441</v>
      </c>
      <c r="F1397" s="83" t="s">
        <v>1441</v>
      </c>
      <c r="G1397" s="83" t="s">
        <v>1441</v>
      </c>
      <c r="H1397" s="83" t="s">
        <v>1441</v>
      </c>
      <c r="I1397" s="25">
        <v>0.9</v>
      </c>
      <c r="J1397" s="26">
        <v>0.92592592592592593</v>
      </c>
      <c r="K1397" s="26">
        <v>0.98039215686274506</v>
      </c>
      <c r="L1397" s="27">
        <v>1</v>
      </c>
      <c r="M1397" s="26">
        <v>0.93396226415094341</v>
      </c>
      <c r="N1397" s="28">
        <v>0.9</v>
      </c>
      <c r="O1397" s="26">
        <v>0.97562990499793478</v>
      </c>
      <c r="P1397" s="26">
        <v>0.96968555827527769</v>
      </c>
      <c r="Q1397" s="26">
        <v>0.96096788131931443</v>
      </c>
      <c r="R1397" s="26">
        <v>0.96990862555614021</v>
      </c>
      <c r="S1397" s="28">
        <v>0.9</v>
      </c>
      <c r="T1397" s="26">
        <v>0.81061544816191655</v>
      </c>
      <c r="U1397" s="26">
        <v>0.77292411975145925</v>
      </c>
      <c r="V1397" s="26">
        <v>0.72648710931873828</v>
      </c>
      <c r="W1397" s="26">
        <v>0.80050710424340998</v>
      </c>
      <c r="X1397" s="28">
        <v>0.92</v>
      </c>
      <c r="Y1397" s="28">
        <v>0</v>
      </c>
      <c r="Z1397" s="28">
        <v>0</v>
      </c>
      <c r="AA1397" s="28">
        <v>0</v>
      </c>
      <c r="AB1397" s="28">
        <v>0</v>
      </c>
      <c r="AC1397" s="28">
        <v>0.92</v>
      </c>
      <c r="AD1397" s="26">
        <v>0.99949698189134806</v>
      </c>
      <c r="AE1397" s="26">
        <v>0.99818840579710144</v>
      </c>
      <c r="AF1397" s="26">
        <v>1</v>
      </c>
      <c r="AG1397" s="26">
        <v>0.99843388260928778</v>
      </c>
      <c r="AH1397" s="28">
        <v>0.92</v>
      </c>
      <c r="AI1397" s="26">
        <v>0.95456422965716647</v>
      </c>
      <c r="AJ1397" s="26">
        <v>0.95951798154773116</v>
      </c>
      <c r="AK1397" s="26">
        <v>0.97018579864611842</v>
      </c>
      <c r="AL1397" s="26">
        <v>0.96414390278907336</v>
      </c>
      <c r="AM1397" s="25">
        <v>0.99</v>
      </c>
      <c r="AN1397" s="30">
        <v>1</v>
      </c>
      <c r="AO1397" s="30">
        <v>1</v>
      </c>
      <c r="AP1397" s="30">
        <v>1</v>
      </c>
      <c r="AQ1397" s="30">
        <v>1</v>
      </c>
      <c r="AR1397" s="50">
        <v>7.2186152540827803E-2</v>
      </c>
      <c r="AS1397" s="34">
        <v>5.2631578947368418E-2</v>
      </c>
      <c r="AT1397" s="34">
        <v>7.6923076923076927E-2</v>
      </c>
      <c r="AU1397" s="34">
        <v>0</v>
      </c>
      <c r="AV1397" s="34">
        <v>5.0505050505050504E-2</v>
      </c>
      <c r="AW1397" s="10"/>
      <c r="AX1397" s="8"/>
    </row>
    <row r="1398" spans="1:50">
      <c r="A1398" s="7"/>
      <c r="B1398" s="10"/>
      <c r="C1398" s="45" t="s">
        <v>1100</v>
      </c>
      <c r="D1398" s="23" t="s">
        <v>25</v>
      </c>
      <c r="E1398" s="83" t="s">
        <v>1442</v>
      </c>
      <c r="F1398" s="83" t="s">
        <v>1442</v>
      </c>
      <c r="G1398" s="83" t="s">
        <v>1442</v>
      </c>
      <c r="H1398" s="83" t="s">
        <v>1442</v>
      </c>
      <c r="I1398" s="25">
        <v>0.9</v>
      </c>
      <c r="J1398" s="26">
        <v>0.97560975609756095</v>
      </c>
      <c r="K1398" s="26">
        <v>0.97560975609756095</v>
      </c>
      <c r="L1398" s="27">
        <v>0.95121951219512191</v>
      </c>
      <c r="M1398" s="26">
        <v>0.946031746031746</v>
      </c>
      <c r="N1398" s="28">
        <v>0.9</v>
      </c>
      <c r="O1398" s="26">
        <v>0.98484314416637297</v>
      </c>
      <c r="P1398" s="26">
        <v>0.98570381231671556</v>
      </c>
      <c r="Q1398" s="26">
        <v>0.96013919645681745</v>
      </c>
      <c r="R1398" s="26">
        <v>0.98286787139169207</v>
      </c>
      <c r="S1398" s="28">
        <v>0.9</v>
      </c>
      <c r="T1398" s="26">
        <v>0.95946422277053223</v>
      </c>
      <c r="U1398" s="26">
        <v>0.95637829912023464</v>
      </c>
      <c r="V1398" s="26">
        <v>0.95887377412211328</v>
      </c>
      <c r="W1398" s="26">
        <v>0.95935226472658996</v>
      </c>
      <c r="X1398" s="28">
        <v>0.92</v>
      </c>
      <c r="Y1398" s="28">
        <v>0.97408450704225347</v>
      </c>
      <c r="Z1398" s="28">
        <v>0.98277099784637478</v>
      </c>
      <c r="AA1398" s="28">
        <v>0.98024149286498352</v>
      </c>
      <c r="AB1398" s="28">
        <v>0.9656719606865608</v>
      </c>
      <c r="AC1398" s="28">
        <v>0.92</v>
      </c>
      <c r="AD1398" s="26">
        <v>0.99934167215273206</v>
      </c>
      <c r="AE1398" s="26">
        <v>1</v>
      </c>
      <c r="AF1398" s="26">
        <v>0.99963596650891884</v>
      </c>
      <c r="AG1398" s="26">
        <v>0.98764881615909395</v>
      </c>
      <c r="AH1398" s="28">
        <v>0.92</v>
      </c>
      <c r="AI1398" s="26">
        <v>0.98005203816131825</v>
      </c>
      <c r="AJ1398" s="26">
        <v>0.97961659791312783</v>
      </c>
      <c r="AK1398" s="26">
        <v>0.98615291992775433</v>
      </c>
      <c r="AL1398" s="26">
        <v>0.97821597306702124</v>
      </c>
      <c r="AM1398" s="25">
        <v>0.99</v>
      </c>
      <c r="AN1398" s="30">
        <v>1</v>
      </c>
      <c r="AO1398" s="30">
        <v>1</v>
      </c>
      <c r="AP1398" s="30">
        <v>1</v>
      </c>
      <c r="AQ1398" s="30">
        <v>1</v>
      </c>
      <c r="AR1398" s="50">
        <v>7.2186152540827803E-2</v>
      </c>
      <c r="AS1398" s="34">
        <v>0</v>
      </c>
      <c r="AT1398" s="34">
        <v>0</v>
      </c>
      <c r="AU1398" s="34">
        <v>0</v>
      </c>
      <c r="AV1398" s="34">
        <v>1.984126984126984E-2</v>
      </c>
      <c r="AW1398" s="10"/>
      <c r="AX1398" s="8"/>
    </row>
    <row r="1399" spans="1:50">
      <c r="A1399" s="7"/>
      <c r="B1399" s="10"/>
      <c r="C1399" s="45" t="s">
        <v>1100</v>
      </c>
      <c r="D1399" s="23" t="s">
        <v>25</v>
      </c>
      <c r="E1399" s="83" t="s">
        <v>1443</v>
      </c>
      <c r="F1399" s="83" t="s">
        <v>1443</v>
      </c>
      <c r="G1399" s="83" t="s">
        <v>1443</v>
      </c>
      <c r="H1399" s="83" t="s">
        <v>1443</v>
      </c>
      <c r="I1399" s="25">
        <v>0.9</v>
      </c>
      <c r="J1399" s="26">
        <v>0.98571428571428577</v>
      </c>
      <c r="K1399" s="26">
        <v>0.98611111111111116</v>
      </c>
      <c r="L1399" s="27">
        <v>0.96202531645569622</v>
      </c>
      <c r="M1399" s="26">
        <v>0.95767195767195767</v>
      </c>
      <c r="N1399" s="28">
        <v>0.9</v>
      </c>
      <c r="O1399" s="26">
        <v>0.95607580824972127</v>
      </c>
      <c r="P1399" s="26">
        <v>0.97956463793869386</v>
      </c>
      <c r="Q1399" s="26">
        <v>0.96884441087613293</v>
      </c>
      <c r="R1399" s="26">
        <v>0.96854926170017519</v>
      </c>
      <c r="S1399" s="28">
        <v>0.9</v>
      </c>
      <c r="T1399" s="26">
        <v>0.91794871794871791</v>
      </c>
      <c r="U1399" s="26">
        <v>0.94113727232341182</v>
      </c>
      <c r="V1399" s="26">
        <v>0.93108006042296076</v>
      </c>
      <c r="W1399" s="26">
        <v>0.94427296237590719</v>
      </c>
      <c r="X1399" s="28">
        <v>0.92</v>
      </c>
      <c r="Y1399" s="28">
        <v>0.91594000697593303</v>
      </c>
      <c r="Z1399" s="28">
        <v>0.96899224806201545</v>
      </c>
      <c r="AA1399" s="28">
        <v>0.96325459317585305</v>
      </c>
      <c r="AB1399" s="28">
        <v>0.95532237570193057</v>
      </c>
      <c r="AC1399" s="28">
        <v>0.92</v>
      </c>
      <c r="AD1399" s="26">
        <v>0.9970326409495549</v>
      </c>
      <c r="AE1399" s="26">
        <v>0.98967889908256879</v>
      </c>
      <c r="AF1399" s="26">
        <v>0.99442379182156138</v>
      </c>
      <c r="AG1399" s="26">
        <v>0.9477549889135255</v>
      </c>
      <c r="AH1399" s="28">
        <v>0.92</v>
      </c>
      <c r="AI1399" s="26">
        <v>0.94396082698585415</v>
      </c>
      <c r="AJ1399" s="26">
        <v>0.97987059669302656</v>
      </c>
      <c r="AK1399" s="26">
        <v>0.97782837967401726</v>
      </c>
      <c r="AL1399" s="26">
        <v>0.97203445990722337</v>
      </c>
      <c r="AM1399" s="25">
        <v>0.99</v>
      </c>
      <c r="AN1399" s="30">
        <v>1</v>
      </c>
      <c r="AO1399" s="30">
        <v>1</v>
      </c>
      <c r="AP1399" s="30">
        <v>1</v>
      </c>
      <c r="AQ1399" s="30">
        <v>1</v>
      </c>
      <c r="AR1399" s="50">
        <v>7.2186152540827803E-2</v>
      </c>
      <c r="AS1399" s="34">
        <v>0</v>
      </c>
      <c r="AT1399" s="34">
        <v>0.1111111111111111</v>
      </c>
      <c r="AU1399" s="34">
        <v>6.6666666666666666E-2</v>
      </c>
      <c r="AV1399" s="34">
        <v>5.46875E-2</v>
      </c>
      <c r="AW1399" s="10"/>
      <c r="AX1399" s="8"/>
    </row>
    <row r="1400" spans="1:50">
      <c r="A1400" s="7"/>
      <c r="B1400" s="10"/>
      <c r="C1400" s="45" t="s">
        <v>1100</v>
      </c>
      <c r="D1400" s="23" t="s">
        <v>25</v>
      </c>
      <c r="E1400" s="83" t="s">
        <v>1444</v>
      </c>
      <c r="F1400" s="83" t="s">
        <v>1444</v>
      </c>
      <c r="G1400" s="83" t="s">
        <v>1444</v>
      </c>
      <c r="H1400" s="83" t="s">
        <v>1444</v>
      </c>
      <c r="I1400" s="25">
        <v>0.9</v>
      </c>
      <c r="J1400" s="26">
        <v>0.94444444444444442</v>
      </c>
      <c r="K1400" s="26">
        <v>0.88235294117647056</v>
      </c>
      <c r="L1400" s="27">
        <v>0.89473684210526316</v>
      </c>
      <c r="M1400" s="26">
        <v>0.82481751824817517</v>
      </c>
      <c r="N1400" s="28">
        <v>0.9</v>
      </c>
      <c r="O1400" s="26">
        <v>0.95761856710393545</v>
      </c>
      <c r="P1400" s="26">
        <v>0.93775100401606426</v>
      </c>
      <c r="Q1400" s="26">
        <v>0.98231392778187177</v>
      </c>
      <c r="R1400" s="26">
        <v>0.96805508522406591</v>
      </c>
      <c r="S1400" s="28">
        <v>0.9</v>
      </c>
      <c r="T1400" s="26">
        <v>0.78607467204843595</v>
      </c>
      <c r="U1400" s="26">
        <v>0.70281124497991965</v>
      </c>
      <c r="V1400" s="26">
        <v>0.70523212969786297</v>
      </c>
      <c r="W1400" s="26">
        <v>0.67705158595778303</v>
      </c>
      <c r="X1400" s="28">
        <v>0.92</v>
      </c>
      <c r="Y1400" s="28">
        <v>0</v>
      </c>
      <c r="Z1400" s="28">
        <v>0</v>
      </c>
      <c r="AA1400" s="28">
        <v>0</v>
      </c>
      <c r="AB1400" s="28">
        <v>0</v>
      </c>
      <c r="AC1400" s="28">
        <v>0.92</v>
      </c>
      <c r="AD1400" s="26">
        <v>0.25</v>
      </c>
      <c r="AE1400" s="26">
        <v>1</v>
      </c>
      <c r="AF1400" s="26">
        <v>1</v>
      </c>
      <c r="AG1400" s="26">
        <v>0.80303030303030298</v>
      </c>
      <c r="AH1400" s="28">
        <v>0.92</v>
      </c>
      <c r="AI1400" s="26">
        <v>0.88597376387487381</v>
      </c>
      <c r="AJ1400" s="26">
        <v>0.82530120481927716</v>
      </c>
      <c r="AK1400" s="26">
        <v>0.90051584377302873</v>
      </c>
      <c r="AL1400" s="26">
        <v>0.8806997742663657</v>
      </c>
      <c r="AM1400" s="25">
        <v>0.99</v>
      </c>
      <c r="AN1400" s="30">
        <v>1</v>
      </c>
      <c r="AO1400" s="30">
        <v>1</v>
      </c>
      <c r="AP1400" s="30">
        <v>1</v>
      </c>
      <c r="AQ1400" s="30">
        <v>1</v>
      </c>
      <c r="AR1400" s="50">
        <v>7.2186152540827803E-2</v>
      </c>
      <c r="AS1400" s="34">
        <v>0</v>
      </c>
      <c r="AT1400" s="34">
        <v>0</v>
      </c>
      <c r="AU1400" s="34">
        <v>0.125</v>
      </c>
      <c r="AV1400" s="34">
        <v>7.2727272727272724E-2</v>
      </c>
      <c r="AW1400" s="10"/>
      <c r="AX1400" s="8"/>
    </row>
    <row r="1401" spans="1:50">
      <c r="A1401" s="7"/>
      <c r="B1401" s="10"/>
      <c r="C1401" s="45" t="s">
        <v>1100</v>
      </c>
      <c r="D1401" s="23" t="s">
        <v>25</v>
      </c>
      <c r="E1401" s="83" t="s">
        <v>1445</v>
      </c>
      <c r="F1401" s="83" t="s">
        <v>1445</v>
      </c>
      <c r="G1401" s="83" t="s">
        <v>1445</v>
      </c>
      <c r="H1401" s="83" t="s">
        <v>1445</v>
      </c>
      <c r="I1401" s="25">
        <v>0.9</v>
      </c>
      <c r="J1401" s="26">
        <v>0.97297297297297303</v>
      </c>
      <c r="K1401" s="26">
        <v>1</v>
      </c>
      <c r="L1401" s="27">
        <v>0.97499999999999998</v>
      </c>
      <c r="M1401" s="26">
        <v>0.95286195286195285</v>
      </c>
      <c r="N1401" s="28">
        <v>0.9</v>
      </c>
      <c r="O1401" s="26">
        <v>0.98670717812381314</v>
      </c>
      <c r="P1401" s="26">
        <v>0.99012248123271429</v>
      </c>
      <c r="Q1401" s="26">
        <v>0.9828850855745721</v>
      </c>
      <c r="R1401" s="26">
        <v>0.97536945812807885</v>
      </c>
      <c r="S1401" s="28">
        <v>0.9</v>
      </c>
      <c r="T1401" s="26">
        <v>0.93353589061906572</v>
      </c>
      <c r="U1401" s="26">
        <v>0.95456341367048603</v>
      </c>
      <c r="V1401" s="26">
        <v>0.9577366398882291</v>
      </c>
      <c r="W1401" s="26">
        <v>0.95007183908045978</v>
      </c>
      <c r="X1401" s="28">
        <v>0.92</v>
      </c>
      <c r="Y1401" s="28">
        <v>0.96876913655848129</v>
      </c>
      <c r="Z1401" s="28">
        <v>0.97072419106317409</v>
      </c>
      <c r="AA1401" s="28">
        <v>0.98229548229548225</v>
      </c>
      <c r="AB1401" s="28">
        <v>0.96836200448765897</v>
      </c>
      <c r="AC1401" s="28">
        <v>0.92</v>
      </c>
      <c r="AD1401" s="26">
        <v>0.98686751641560444</v>
      </c>
      <c r="AE1401" s="26">
        <v>0.99733333333333329</v>
      </c>
      <c r="AF1401" s="26">
        <v>0.98197278911564623</v>
      </c>
      <c r="AG1401" s="26">
        <v>0.99348632127467684</v>
      </c>
      <c r="AH1401" s="28">
        <v>0.92</v>
      </c>
      <c r="AI1401" s="26">
        <v>0.97773089545241443</v>
      </c>
      <c r="AJ1401" s="26">
        <v>0.98093496996604856</v>
      </c>
      <c r="AK1401" s="26">
        <v>0.98755832037325042</v>
      </c>
      <c r="AL1401" s="26">
        <v>0.97957879359668876</v>
      </c>
      <c r="AM1401" s="25">
        <v>0.99</v>
      </c>
      <c r="AN1401" s="30">
        <v>1</v>
      </c>
      <c r="AO1401" s="30">
        <v>1</v>
      </c>
      <c r="AP1401" s="30">
        <v>1</v>
      </c>
      <c r="AQ1401" s="30">
        <v>1</v>
      </c>
      <c r="AR1401" s="50">
        <v>7.2186152540827803E-2</v>
      </c>
      <c r="AS1401" s="34">
        <v>0</v>
      </c>
      <c r="AT1401" s="34">
        <v>0</v>
      </c>
      <c r="AU1401" s="34">
        <v>7.6923076923076927E-2</v>
      </c>
      <c r="AV1401" s="34">
        <v>-2.9629629629629631E-2</v>
      </c>
      <c r="AW1401" s="10"/>
      <c r="AX1401" s="8"/>
    </row>
    <row r="1402" spans="1:50">
      <c r="A1402" s="7"/>
      <c r="B1402" s="10"/>
      <c r="C1402" s="45" t="s">
        <v>1100</v>
      </c>
      <c r="D1402" s="23" t="s">
        <v>25</v>
      </c>
      <c r="E1402" s="83" t="s">
        <v>1446</v>
      </c>
      <c r="F1402" s="83" t="s">
        <v>1446</v>
      </c>
      <c r="G1402" s="83" t="s">
        <v>1446</v>
      </c>
      <c r="H1402" s="83" t="s">
        <v>1446</v>
      </c>
      <c r="I1402" s="25">
        <v>0.9</v>
      </c>
      <c r="J1402" s="26">
        <v>0.88095238095238093</v>
      </c>
      <c r="K1402" s="26">
        <v>0.95121951219512191</v>
      </c>
      <c r="L1402" s="27">
        <v>1</v>
      </c>
      <c r="M1402" s="26">
        <v>0.93538461538461537</v>
      </c>
      <c r="N1402" s="28">
        <v>0.9</v>
      </c>
      <c r="O1402" s="26">
        <v>0.99192571659265238</v>
      </c>
      <c r="P1402" s="26">
        <v>0.99102407180742558</v>
      </c>
      <c r="Q1402" s="26">
        <v>0.99143468950749469</v>
      </c>
      <c r="R1402" s="26">
        <v>0.98864480526371645</v>
      </c>
      <c r="S1402" s="28">
        <v>0.9</v>
      </c>
      <c r="T1402" s="26">
        <v>0.92490916431166736</v>
      </c>
      <c r="U1402" s="26">
        <v>0.96164830681354552</v>
      </c>
      <c r="V1402" s="26">
        <v>0.94575303354746609</v>
      </c>
      <c r="W1402" s="26">
        <v>0.94391382786798261</v>
      </c>
      <c r="X1402" s="28">
        <v>0.92</v>
      </c>
      <c r="Y1402" s="28">
        <v>0.94110115236875802</v>
      </c>
      <c r="Z1402" s="28">
        <v>0.97297297297297303</v>
      </c>
      <c r="AA1402" s="28">
        <v>0.97657657657657659</v>
      </c>
      <c r="AB1402" s="28">
        <v>0.96790835293225097</v>
      </c>
      <c r="AC1402" s="28">
        <v>0.92</v>
      </c>
      <c r="AD1402" s="26">
        <v>0.99841269841269842</v>
      </c>
      <c r="AE1402" s="26">
        <v>0.99869621903520212</v>
      </c>
      <c r="AF1402" s="26">
        <v>1</v>
      </c>
      <c r="AG1402" s="26">
        <v>0.99912967798085295</v>
      </c>
      <c r="AH1402" s="28">
        <v>0.92</v>
      </c>
      <c r="AI1402" s="26">
        <v>0.95246348105966827</v>
      </c>
      <c r="AJ1402" s="26">
        <v>0.9815852682145717</v>
      </c>
      <c r="AK1402" s="26">
        <v>0.98522498321020824</v>
      </c>
      <c r="AL1402" s="26">
        <v>0.97614512754863081</v>
      </c>
      <c r="AM1402" s="25">
        <v>0.99</v>
      </c>
      <c r="AN1402" s="30">
        <v>1</v>
      </c>
      <c r="AO1402" s="30">
        <v>1</v>
      </c>
      <c r="AP1402" s="30">
        <v>1</v>
      </c>
      <c r="AQ1402" s="30">
        <v>1</v>
      </c>
      <c r="AR1402" s="50">
        <v>7.2186152540827803E-2</v>
      </c>
      <c r="AS1402" s="34">
        <v>0</v>
      </c>
      <c r="AT1402" s="34">
        <v>0</v>
      </c>
      <c r="AU1402" s="34">
        <v>0</v>
      </c>
      <c r="AV1402" s="34">
        <v>2.4096385542168676E-2</v>
      </c>
      <c r="AW1402" s="10"/>
      <c r="AX1402" s="8"/>
    </row>
    <row r="1403" spans="1:50">
      <c r="A1403" s="7"/>
      <c r="B1403" s="10"/>
      <c r="C1403" s="45" t="s">
        <v>1100</v>
      </c>
      <c r="D1403" s="23" t="s">
        <v>25</v>
      </c>
      <c r="E1403" s="83" t="s">
        <v>1447</v>
      </c>
      <c r="F1403" s="83" t="s">
        <v>1447</v>
      </c>
      <c r="G1403" s="83" t="s">
        <v>1447</v>
      </c>
      <c r="H1403" s="83" t="s">
        <v>1447</v>
      </c>
      <c r="I1403" s="25">
        <v>0.9</v>
      </c>
      <c r="J1403" s="26">
        <v>1</v>
      </c>
      <c r="K1403" s="26">
        <v>1</v>
      </c>
      <c r="L1403" s="27">
        <v>1</v>
      </c>
      <c r="M1403" s="26">
        <v>0.99472295514511877</v>
      </c>
      <c r="N1403" s="28">
        <v>0.9</v>
      </c>
      <c r="O1403" s="26">
        <v>0.9511609287429944</v>
      </c>
      <c r="P1403" s="26">
        <v>0.98645127670661803</v>
      </c>
      <c r="Q1403" s="26">
        <v>0.99134679387619262</v>
      </c>
      <c r="R1403" s="26">
        <v>0.98355211629437012</v>
      </c>
      <c r="S1403" s="28">
        <v>0.9</v>
      </c>
      <c r="T1403" s="26">
        <v>0.94955964771817458</v>
      </c>
      <c r="U1403" s="26">
        <v>0.9497133923918708</v>
      </c>
      <c r="V1403" s="26">
        <v>0.95362769025959615</v>
      </c>
      <c r="W1403" s="26">
        <v>0.95009242144177453</v>
      </c>
      <c r="X1403" s="28">
        <v>0.92</v>
      </c>
      <c r="Y1403" s="28">
        <v>0.95744680851063835</v>
      </c>
      <c r="Z1403" s="28">
        <v>0.95507060333761229</v>
      </c>
      <c r="AA1403" s="28">
        <v>0.97702702702702704</v>
      </c>
      <c r="AB1403" s="28">
        <v>0.96535476718403546</v>
      </c>
      <c r="AC1403" s="28">
        <v>0.92</v>
      </c>
      <c r="AD1403" s="26">
        <v>0.99989783408255006</v>
      </c>
      <c r="AE1403" s="26">
        <v>0.99888517279821631</v>
      </c>
      <c r="AF1403" s="26">
        <v>0.99944382647385988</v>
      </c>
      <c r="AG1403" s="26">
        <v>0.9980018223380277</v>
      </c>
      <c r="AH1403" s="28">
        <v>0.92</v>
      </c>
      <c r="AI1403" s="26">
        <v>0.98233139409609993</v>
      </c>
      <c r="AJ1403" s="26">
        <v>0.98050682261208577</v>
      </c>
      <c r="AK1403" s="26">
        <v>0.99047074518772626</v>
      </c>
      <c r="AL1403" s="26">
        <v>0.9850536535513541</v>
      </c>
      <c r="AM1403" s="25">
        <v>0.99</v>
      </c>
      <c r="AN1403" s="30">
        <v>1</v>
      </c>
      <c r="AO1403" s="30">
        <v>1</v>
      </c>
      <c r="AP1403" s="30">
        <v>1</v>
      </c>
      <c r="AQ1403" s="30">
        <v>1</v>
      </c>
      <c r="AR1403" s="50">
        <v>7.2186152540827803E-2</v>
      </c>
      <c r="AS1403" s="34">
        <v>0</v>
      </c>
      <c r="AT1403" s="34">
        <v>0</v>
      </c>
      <c r="AU1403" s="34">
        <v>0</v>
      </c>
      <c r="AV1403" s="34">
        <v>2.1582733812949641E-2</v>
      </c>
      <c r="AW1403" s="10"/>
      <c r="AX1403" s="8"/>
    </row>
    <row r="1404" spans="1:50">
      <c r="A1404" s="7"/>
      <c r="B1404" s="10"/>
      <c r="C1404" s="45" t="s">
        <v>1100</v>
      </c>
      <c r="D1404" s="23" t="s">
        <v>25</v>
      </c>
      <c r="E1404" s="83" t="s">
        <v>1448</v>
      </c>
      <c r="F1404" s="83" t="s">
        <v>1448</v>
      </c>
      <c r="G1404" s="83" t="s">
        <v>1448</v>
      </c>
      <c r="H1404" s="83" t="s">
        <v>1448</v>
      </c>
      <c r="I1404" s="25">
        <v>0.9</v>
      </c>
      <c r="J1404" s="26">
        <v>1</v>
      </c>
      <c r="K1404" s="26">
        <v>1</v>
      </c>
      <c r="L1404" s="27">
        <v>1</v>
      </c>
      <c r="M1404" s="26">
        <v>0.99657534246575341</v>
      </c>
      <c r="N1404" s="28">
        <v>0.9</v>
      </c>
      <c r="O1404" s="26">
        <v>0.96882043576258448</v>
      </c>
      <c r="P1404" s="26">
        <v>0.99083913521436429</v>
      </c>
      <c r="Q1404" s="26">
        <v>0.99464398235664775</v>
      </c>
      <c r="R1404" s="26">
        <v>0.99189043070823568</v>
      </c>
      <c r="S1404" s="28">
        <v>0.9</v>
      </c>
      <c r="T1404" s="26">
        <v>0.93425995492111191</v>
      </c>
      <c r="U1404" s="26">
        <v>0.96665445218028578</v>
      </c>
      <c r="V1404" s="26">
        <v>0.95557655954631382</v>
      </c>
      <c r="W1404" s="26">
        <v>0.96053342944674713</v>
      </c>
      <c r="X1404" s="28">
        <v>0.92</v>
      </c>
      <c r="Y1404" s="28">
        <v>0.98242530755711777</v>
      </c>
      <c r="Z1404" s="28">
        <v>0.989247311827957</v>
      </c>
      <c r="AA1404" s="28">
        <v>0.96715328467153283</v>
      </c>
      <c r="AB1404" s="28">
        <v>0.9835255354200988</v>
      </c>
      <c r="AC1404" s="28">
        <v>0.92</v>
      </c>
      <c r="AD1404" s="26">
        <v>0.99958333333333338</v>
      </c>
      <c r="AE1404" s="26">
        <v>0.99926632428466622</v>
      </c>
      <c r="AF1404" s="26">
        <v>0.99943693693693691</v>
      </c>
      <c r="AG1404" s="26">
        <v>0.99948303715670439</v>
      </c>
      <c r="AH1404" s="28">
        <v>0.92</v>
      </c>
      <c r="AI1404" s="26">
        <v>0.98266790467347576</v>
      </c>
      <c r="AJ1404" s="26">
        <v>0.98996045025859447</v>
      </c>
      <c r="AK1404" s="26">
        <v>0.98764105319720585</v>
      </c>
      <c r="AL1404" s="26">
        <v>0.9903153069899826</v>
      </c>
      <c r="AM1404" s="25">
        <v>0.99</v>
      </c>
      <c r="AN1404" s="30">
        <v>1</v>
      </c>
      <c r="AO1404" s="30">
        <v>1</v>
      </c>
      <c r="AP1404" s="30">
        <v>1</v>
      </c>
      <c r="AQ1404" s="30">
        <v>1</v>
      </c>
      <c r="AR1404" s="50">
        <v>7.2186152540827803E-2</v>
      </c>
      <c r="AS1404" s="34">
        <v>5.5555555555555552E-2</v>
      </c>
      <c r="AT1404" s="34">
        <v>0</v>
      </c>
      <c r="AU1404" s="34">
        <v>0</v>
      </c>
      <c r="AV1404" s="34">
        <v>0</v>
      </c>
      <c r="AW1404" s="10"/>
      <c r="AX1404" s="8"/>
    </row>
    <row r="1405" spans="1:50">
      <c r="A1405" s="7"/>
      <c r="B1405" s="10"/>
      <c r="C1405" s="45" t="s">
        <v>1100</v>
      </c>
      <c r="D1405" s="23" t="s">
        <v>25</v>
      </c>
      <c r="E1405" s="83" t="s">
        <v>1449</v>
      </c>
      <c r="F1405" s="83" t="s">
        <v>1449</v>
      </c>
      <c r="G1405" s="83" t="s">
        <v>1449</v>
      </c>
      <c r="H1405" s="83" t="s">
        <v>1449</v>
      </c>
      <c r="I1405" s="25">
        <v>0.9</v>
      </c>
      <c r="J1405" s="26">
        <v>0.94117647058823528</v>
      </c>
      <c r="K1405" s="26">
        <v>0.97058823529411764</v>
      </c>
      <c r="L1405" s="27">
        <v>0.94444444444444442</v>
      </c>
      <c r="M1405" s="26">
        <v>0.91756272401433692</v>
      </c>
      <c r="N1405" s="28">
        <v>0.9</v>
      </c>
      <c r="O1405" s="26">
        <v>0.98006407974368104</v>
      </c>
      <c r="P1405" s="26">
        <v>0.98211678832116789</v>
      </c>
      <c r="Q1405" s="26">
        <v>0.89020321504397937</v>
      </c>
      <c r="R1405" s="26">
        <v>0.89638826185101583</v>
      </c>
      <c r="S1405" s="28">
        <v>0.9</v>
      </c>
      <c r="T1405" s="26">
        <v>0.9241723033107867</v>
      </c>
      <c r="U1405" s="26">
        <v>0.90839416058394162</v>
      </c>
      <c r="V1405" s="26">
        <v>0.8989990900818926</v>
      </c>
      <c r="W1405" s="26">
        <v>0.90731376975169298</v>
      </c>
      <c r="X1405" s="28">
        <v>0.92</v>
      </c>
      <c r="Y1405" s="28">
        <v>0.94827586206896552</v>
      </c>
      <c r="Z1405" s="28">
        <v>0.93466424682395643</v>
      </c>
      <c r="AA1405" s="28">
        <v>0.93577981651376152</v>
      </c>
      <c r="AB1405" s="28">
        <v>0.93990188062142277</v>
      </c>
      <c r="AC1405" s="28">
        <v>0.92</v>
      </c>
      <c r="AD1405" s="26">
        <v>0.99697392923649908</v>
      </c>
      <c r="AE1405" s="26">
        <v>0.99422117152613609</v>
      </c>
      <c r="AF1405" s="26">
        <v>0.99802087081684054</v>
      </c>
      <c r="AG1405" s="26">
        <v>0.99472482881055035</v>
      </c>
      <c r="AH1405" s="28">
        <v>0.92</v>
      </c>
      <c r="AI1405" s="26">
        <v>0.96606668633815285</v>
      </c>
      <c r="AJ1405" s="26">
        <v>0.95595382746051027</v>
      </c>
      <c r="AK1405" s="26">
        <v>0.96486205101509626</v>
      </c>
      <c r="AL1405" s="26">
        <v>0.96243298206692551</v>
      </c>
      <c r="AM1405" s="25">
        <v>0.99</v>
      </c>
      <c r="AN1405" s="30">
        <v>1</v>
      </c>
      <c r="AO1405" s="30">
        <v>1</v>
      </c>
      <c r="AP1405" s="30">
        <v>1</v>
      </c>
      <c r="AQ1405" s="30">
        <v>1</v>
      </c>
      <c r="AR1405" s="50">
        <v>7.2186152540827803E-2</v>
      </c>
      <c r="AS1405" s="34">
        <v>0</v>
      </c>
      <c r="AT1405" s="34">
        <v>0.1111111111111111</v>
      </c>
      <c r="AU1405" s="34">
        <v>5.8823529411764705E-2</v>
      </c>
      <c r="AV1405" s="34">
        <v>5.3097345132743362E-2</v>
      </c>
      <c r="AW1405" s="10"/>
      <c r="AX1405" s="8"/>
    </row>
    <row r="1406" spans="1:50">
      <c r="A1406" s="7"/>
      <c r="B1406" s="10"/>
      <c r="C1406" s="45" t="s">
        <v>1100</v>
      </c>
      <c r="D1406" s="23" t="s">
        <v>25</v>
      </c>
      <c r="E1406" s="83" t="s">
        <v>1450</v>
      </c>
      <c r="F1406" s="83" t="s">
        <v>1450</v>
      </c>
      <c r="G1406" s="83" t="s">
        <v>1450</v>
      </c>
      <c r="H1406" s="83" t="s">
        <v>1450</v>
      </c>
      <c r="I1406" s="25">
        <v>0.9</v>
      </c>
      <c r="J1406" s="26">
        <v>0.95</v>
      </c>
      <c r="K1406" s="26">
        <v>0.94736842105263153</v>
      </c>
      <c r="L1406" s="27">
        <v>0.95238095238095233</v>
      </c>
      <c r="M1406" s="26">
        <v>0.95065789473684215</v>
      </c>
      <c r="N1406" s="28">
        <v>0.9</v>
      </c>
      <c r="O1406" s="26">
        <v>0.98089737894269213</v>
      </c>
      <c r="P1406" s="26">
        <v>0.99675625579240035</v>
      </c>
      <c r="Q1406" s="26">
        <v>0.99367324153330849</v>
      </c>
      <c r="R1406" s="26">
        <v>0.97724595781132884</v>
      </c>
      <c r="S1406" s="28">
        <v>0.9</v>
      </c>
      <c r="T1406" s="26">
        <v>0.9564637938693914</v>
      </c>
      <c r="U1406" s="26">
        <v>0.96292863762743286</v>
      </c>
      <c r="V1406" s="26">
        <v>0.97022701898027541</v>
      </c>
      <c r="W1406" s="26">
        <v>0.94737123889067354</v>
      </c>
      <c r="X1406" s="28">
        <v>0.92</v>
      </c>
      <c r="Y1406" s="28">
        <v>0.95612009237875284</v>
      </c>
      <c r="Z1406" s="28">
        <v>0.97991967871485941</v>
      </c>
      <c r="AA1406" s="28">
        <v>0.96902654867256632</v>
      </c>
      <c r="AB1406" s="28">
        <v>0.96640457469621155</v>
      </c>
      <c r="AC1406" s="28">
        <v>0.92</v>
      </c>
      <c r="AD1406" s="26">
        <v>0.85881006864988563</v>
      </c>
      <c r="AE1406" s="26">
        <v>0.94312796208530802</v>
      </c>
      <c r="AF1406" s="26">
        <v>0.90345390263802017</v>
      </c>
      <c r="AG1406" s="26">
        <v>0.81202790009964321</v>
      </c>
      <c r="AH1406" s="28">
        <v>0.92</v>
      </c>
      <c r="AI1406" s="26">
        <v>0.98397913561847983</v>
      </c>
      <c r="AJ1406" s="26">
        <v>0.98569277108433739</v>
      </c>
      <c r="AK1406" s="26">
        <v>0.98980891719745223</v>
      </c>
      <c r="AL1406" s="26">
        <v>0.98728035667453451</v>
      </c>
      <c r="AM1406" s="25">
        <v>0.99</v>
      </c>
      <c r="AN1406" s="30">
        <v>1</v>
      </c>
      <c r="AO1406" s="30">
        <v>1</v>
      </c>
      <c r="AP1406" s="30">
        <v>1</v>
      </c>
      <c r="AQ1406" s="30">
        <v>1</v>
      </c>
      <c r="AR1406" s="50">
        <v>7.2186152540827803E-2</v>
      </c>
      <c r="AS1406" s="34">
        <v>0</v>
      </c>
      <c r="AT1406" s="34">
        <v>0.1</v>
      </c>
      <c r="AU1406" s="34">
        <v>6.6666666666666666E-2</v>
      </c>
      <c r="AV1406" s="34">
        <v>4.8192771084337352E-2</v>
      </c>
      <c r="AW1406" s="10"/>
      <c r="AX1406" s="8"/>
    </row>
    <row r="1407" spans="1:50">
      <c r="A1407" s="7"/>
      <c r="B1407" s="10"/>
      <c r="C1407" s="45" t="s">
        <v>1100</v>
      </c>
      <c r="D1407" s="23" t="s">
        <v>25</v>
      </c>
      <c r="E1407" s="83" t="s">
        <v>1451</v>
      </c>
      <c r="F1407" s="83" t="s">
        <v>1451</v>
      </c>
      <c r="G1407" s="83" t="s">
        <v>1451</v>
      </c>
      <c r="H1407" s="83" t="s">
        <v>1451</v>
      </c>
      <c r="I1407" s="25">
        <v>0.9</v>
      </c>
      <c r="J1407" s="26">
        <v>0.9285714285714286</v>
      </c>
      <c r="K1407" s="26">
        <v>0.98837209302325579</v>
      </c>
      <c r="L1407" s="27">
        <v>0.96842105263157896</v>
      </c>
      <c r="M1407" s="26">
        <v>0.92481203007518797</v>
      </c>
      <c r="N1407" s="28">
        <v>0.9</v>
      </c>
      <c r="O1407" s="26">
        <v>0.92659993933879281</v>
      </c>
      <c r="P1407" s="26">
        <v>0.94140789658564006</v>
      </c>
      <c r="Q1407" s="26">
        <v>0.9544589623239883</v>
      </c>
      <c r="R1407" s="26">
        <v>0.94496422674738578</v>
      </c>
      <c r="S1407" s="28">
        <v>0.9</v>
      </c>
      <c r="T1407" s="26">
        <v>0.92690324537458291</v>
      </c>
      <c r="U1407" s="26">
        <v>0.90951243501475343</v>
      </c>
      <c r="V1407" s="26">
        <v>0.92756564759609283</v>
      </c>
      <c r="W1407" s="26">
        <v>0.91341630124096795</v>
      </c>
      <c r="X1407" s="28">
        <v>0.92</v>
      </c>
      <c r="Y1407" s="28">
        <v>0.92880051314945478</v>
      </c>
      <c r="Z1407" s="28">
        <v>0.93995711222301648</v>
      </c>
      <c r="AA1407" s="28">
        <v>0.94372801875732704</v>
      </c>
      <c r="AB1407" s="28">
        <v>0.92328666175386886</v>
      </c>
      <c r="AC1407" s="28">
        <v>0.92</v>
      </c>
      <c r="AD1407" s="26">
        <v>0.93749253017808054</v>
      </c>
      <c r="AE1407" s="26">
        <v>0.92709167906604095</v>
      </c>
      <c r="AF1407" s="26">
        <v>0.9510595948952113</v>
      </c>
      <c r="AG1407" s="26">
        <v>0.90494434100012056</v>
      </c>
      <c r="AH1407" s="28">
        <v>0.92</v>
      </c>
      <c r="AI1407" s="26">
        <v>0.9662783568362967</v>
      </c>
      <c r="AJ1407" s="26">
        <v>0.96618130577736028</v>
      </c>
      <c r="AK1407" s="26">
        <v>0.96944415476066326</v>
      </c>
      <c r="AL1407" s="26">
        <v>0.96426323319027185</v>
      </c>
      <c r="AM1407" s="25">
        <v>0.99</v>
      </c>
      <c r="AN1407" s="30">
        <v>1</v>
      </c>
      <c r="AO1407" s="30">
        <v>1</v>
      </c>
      <c r="AP1407" s="30">
        <v>1</v>
      </c>
      <c r="AQ1407" s="30">
        <v>1</v>
      </c>
      <c r="AR1407" s="50">
        <v>7.2186152540827803E-2</v>
      </c>
      <c r="AS1407" s="34">
        <v>1.7241379310344827E-2</v>
      </c>
      <c r="AT1407" s="34">
        <v>0</v>
      </c>
      <c r="AU1407" s="34">
        <v>0.02</v>
      </c>
      <c r="AV1407" s="34">
        <v>3.2000000000000001E-2</v>
      </c>
      <c r="AW1407" s="10"/>
      <c r="AX1407" s="8"/>
    </row>
    <row r="1408" spans="1:50">
      <c r="A1408" s="7"/>
      <c r="B1408" s="10"/>
      <c r="C1408" s="45" t="s">
        <v>1100</v>
      </c>
      <c r="D1408" s="23" t="s">
        <v>25</v>
      </c>
      <c r="E1408" s="83" t="s">
        <v>1452</v>
      </c>
      <c r="F1408" s="83" t="s">
        <v>1452</v>
      </c>
      <c r="G1408" s="83" t="s">
        <v>1452</v>
      </c>
      <c r="H1408" s="83" t="s">
        <v>1452</v>
      </c>
      <c r="I1408" s="25">
        <v>0.9</v>
      </c>
      <c r="J1408" s="26">
        <v>1</v>
      </c>
      <c r="K1408" s="26">
        <v>1</v>
      </c>
      <c r="L1408" s="27">
        <v>1</v>
      </c>
      <c r="M1408" s="26">
        <v>1</v>
      </c>
      <c r="N1408" s="28">
        <v>0.9</v>
      </c>
      <c r="O1408" s="26">
        <v>0.99161676646706587</v>
      </c>
      <c r="P1408" s="26">
        <v>0.98939929328621912</v>
      </c>
      <c r="Q1408" s="26">
        <v>0.99055118110236218</v>
      </c>
      <c r="R1408" s="26">
        <v>0.98457223001402527</v>
      </c>
      <c r="S1408" s="28">
        <v>0.9</v>
      </c>
      <c r="T1408" s="26">
        <v>0.95449101796407188</v>
      </c>
      <c r="U1408" s="26">
        <v>0.94935217903415781</v>
      </c>
      <c r="V1408" s="26">
        <v>0.95380577427821522</v>
      </c>
      <c r="W1408" s="26">
        <v>0.94698457223001398</v>
      </c>
      <c r="X1408" s="28">
        <v>0.92</v>
      </c>
      <c r="Y1408" s="28">
        <v>0.95290858725761773</v>
      </c>
      <c r="Z1408" s="28">
        <v>0.97694524495677237</v>
      </c>
      <c r="AA1408" s="28">
        <v>0.97478991596638653</v>
      </c>
      <c r="AB1408" s="28">
        <v>0.95495235345076523</v>
      </c>
      <c r="AC1408" s="28">
        <v>0.92</v>
      </c>
      <c r="AD1408" s="26">
        <v>0.99621346586202819</v>
      </c>
      <c r="AE1408" s="26">
        <v>0.99758162031438935</v>
      </c>
      <c r="AF1408" s="26">
        <v>0.99879348481801733</v>
      </c>
      <c r="AG1408" s="26">
        <v>0.99258929423364395</v>
      </c>
      <c r="AH1408" s="28">
        <v>0.92</v>
      </c>
      <c r="AI1408" s="26">
        <v>0.97636632200886264</v>
      </c>
      <c r="AJ1408" s="26">
        <v>0.98484107579462099</v>
      </c>
      <c r="AK1408" s="26">
        <v>0.98409191338930624</v>
      </c>
      <c r="AL1408" s="26">
        <v>0.97873180638609947</v>
      </c>
      <c r="AM1408" s="25">
        <v>0.99</v>
      </c>
      <c r="AN1408" s="30">
        <v>1</v>
      </c>
      <c r="AO1408" s="30">
        <v>1</v>
      </c>
      <c r="AP1408" s="30">
        <v>1</v>
      </c>
      <c r="AQ1408" s="30">
        <v>1</v>
      </c>
      <c r="AR1408" s="50">
        <v>7.2186152540827803E-2</v>
      </c>
      <c r="AS1408" s="34">
        <v>0</v>
      </c>
      <c r="AT1408" s="34">
        <v>0</v>
      </c>
      <c r="AU1408" s="34">
        <v>0</v>
      </c>
      <c r="AV1408" s="34">
        <v>1.5625E-2</v>
      </c>
      <c r="AW1408" s="10"/>
      <c r="AX1408" s="8"/>
    </row>
    <row r="1409" spans="1:50">
      <c r="A1409" s="7"/>
      <c r="B1409" s="10"/>
      <c r="C1409" s="45" t="s">
        <v>1100</v>
      </c>
      <c r="D1409" s="23" t="s">
        <v>25</v>
      </c>
      <c r="E1409" s="83" t="s">
        <v>1453</v>
      </c>
      <c r="F1409" s="83" t="s">
        <v>1453</v>
      </c>
      <c r="G1409" s="83" t="s">
        <v>1453</v>
      </c>
      <c r="H1409" s="83" t="s">
        <v>1453</v>
      </c>
      <c r="I1409" s="25">
        <v>0.9</v>
      </c>
      <c r="J1409" s="26">
        <v>1</v>
      </c>
      <c r="K1409" s="26">
        <v>0.98412698412698407</v>
      </c>
      <c r="L1409" s="27">
        <v>1</v>
      </c>
      <c r="M1409" s="26">
        <v>0.97979797979797978</v>
      </c>
      <c r="N1409" s="28">
        <v>0.9</v>
      </c>
      <c r="O1409" s="26">
        <v>0.98871461361897472</v>
      </c>
      <c r="P1409" s="26">
        <v>0.98514545079430571</v>
      </c>
      <c r="Q1409" s="26">
        <v>0.95260586319218243</v>
      </c>
      <c r="R1409" s="26">
        <v>0.97472482674276395</v>
      </c>
      <c r="S1409" s="28">
        <v>0.9</v>
      </c>
      <c r="T1409" s="26">
        <v>0.92023718439173685</v>
      </c>
      <c r="U1409" s="26">
        <v>0.9176810398184444</v>
      </c>
      <c r="V1409" s="26">
        <v>0.92736156351791532</v>
      </c>
      <c r="W1409" s="26">
        <v>0.92750773362749095</v>
      </c>
      <c r="X1409" s="28">
        <v>0.92</v>
      </c>
      <c r="Y1409" s="28">
        <v>0.94415173867228663</v>
      </c>
      <c r="Z1409" s="28">
        <v>0.93796992481203012</v>
      </c>
      <c r="AA1409" s="28">
        <v>0.94195688225538976</v>
      </c>
      <c r="AB1409" s="28">
        <v>0.940883634100809</v>
      </c>
      <c r="AC1409" s="28">
        <v>0.92</v>
      </c>
      <c r="AD1409" s="26">
        <v>0.99352667011910922</v>
      </c>
      <c r="AE1409" s="26">
        <v>0.99776670675141732</v>
      </c>
      <c r="AF1409" s="26">
        <v>0.99071027675633827</v>
      </c>
      <c r="AG1409" s="26">
        <v>0.9965535828038482</v>
      </c>
      <c r="AH1409" s="28">
        <v>0.92</v>
      </c>
      <c r="AI1409" s="26">
        <v>0.96455163483327933</v>
      </c>
      <c r="AJ1409" s="26">
        <v>0.96701623815967519</v>
      </c>
      <c r="AK1409" s="26">
        <v>0.96800980125238223</v>
      </c>
      <c r="AL1409" s="26">
        <v>0.97142912787753666</v>
      </c>
      <c r="AM1409" s="25">
        <v>0.99</v>
      </c>
      <c r="AN1409" s="30">
        <v>1</v>
      </c>
      <c r="AO1409" s="30">
        <v>1</v>
      </c>
      <c r="AP1409" s="30">
        <v>1</v>
      </c>
      <c r="AQ1409" s="30">
        <v>1</v>
      </c>
      <c r="AR1409" s="50">
        <v>7.2186152540827803E-2</v>
      </c>
      <c r="AS1409" s="34">
        <v>0</v>
      </c>
      <c r="AT1409" s="34">
        <v>0</v>
      </c>
      <c r="AU1409" s="34">
        <v>2.6315789473684209E-2</v>
      </c>
      <c r="AV1409" s="34">
        <v>4.9618320610687022E-2</v>
      </c>
      <c r="AW1409" s="10"/>
      <c r="AX1409" s="8"/>
    </row>
    <row r="1410" spans="1:50">
      <c r="A1410" s="7"/>
      <c r="B1410" s="10"/>
      <c r="C1410" s="45" t="s">
        <v>1100</v>
      </c>
      <c r="D1410" s="23" t="s">
        <v>25</v>
      </c>
      <c r="E1410" s="83" t="s">
        <v>1454</v>
      </c>
      <c r="F1410" s="83" t="s">
        <v>1454</v>
      </c>
      <c r="G1410" s="83" t="s">
        <v>1454</v>
      </c>
      <c r="H1410" s="83" t="s">
        <v>1454</v>
      </c>
      <c r="I1410" s="25">
        <v>0.9</v>
      </c>
      <c r="J1410" s="26">
        <v>0.96341463414634143</v>
      </c>
      <c r="K1410" s="26">
        <v>0.98809523809523814</v>
      </c>
      <c r="L1410" s="27">
        <v>0.94444444444444442</v>
      </c>
      <c r="M1410" s="26">
        <v>0.84073506891271055</v>
      </c>
      <c r="N1410" s="28">
        <v>0.9</v>
      </c>
      <c r="O1410" s="26">
        <v>0.95807314897413021</v>
      </c>
      <c r="P1410" s="26">
        <v>0.94576271186440675</v>
      </c>
      <c r="Q1410" s="26">
        <v>0.92607003891050588</v>
      </c>
      <c r="R1410" s="26">
        <v>0.92706515156912339</v>
      </c>
      <c r="S1410" s="28">
        <v>0.9</v>
      </c>
      <c r="T1410" s="26">
        <v>0.93904252155813261</v>
      </c>
      <c r="U1410" s="26">
        <v>0.94016212232866614</v>
      </c>
      <c r="V1410" s="26">
        <v>0.91125894314045441</v>
      </c>
      <c r="W1410" s="26">
        <v>0.92264809603533648</v>
      </c>
      <c r="X1410" s="28">
        <v>0.92</v>
      </c>
      <c r="Y1410" s="28">
        <v>0.88296398891966754</v>
      </c>
      <c r="Z1410" s="28">
        <v>0.92845786963434018</v>
      </c>
      <c r="AA1410" s="28">
        <v>0.90186592950932964</v>
      </c>
      <c r="AB1410" s="28">
        <v>0.91678988007228523</v>
      </c>
      <c r="AC1410" s="28">
        <v>0.92</v>
      </c>
      <c r="AD1410" s="26">
        <v>0.99724734565473849</v>
      </c>
      <c r="AE1410" s="26">
        <v>0.99864130434782605</v>
      </c>
      <c r="AF1410" s="26">
        <v>0.99915325994919557</v>
      </c>
      <c r="AG1410" s="26">
        <v>0.98553725799559544</v>
      </c>
      <c r="AH1410" s="28">
        <v>0.92</v>
      </c>
      <c r="AI1410" s="26">
        <v>0.95348837209302328</v>
      </c>
      <c r="AJ1410" s="26">
        <v>0.9675494218575158</v>
      </c>
      <c r="AK1410" s="26">
        <v>0.96505205013809225</v>
      </c>
      <c r="AL1410" s="26">
        <v>0.96416914272332077</v>
      </c>
      <c r="AM1410" s="25">
        <v>0.99</v>
      </c>
      <c r="AN1410" s="30">
        <v>1</v>
      </c>
      <c r="AO1410" s="30">
        <v>1</v>
      </c>
      <c r="AP1410" s="30">
        <v>1</v>
      </c>
      <c r="AQ1410" s="30">
        <v>1</v>
      </c>
      <c r="AR1410" s="50">
        <v>7.2186152540827803E-2</v>
      </c>
      <c r="AS1410" s="34">
        <v>3.2786885245901641E-2</v>
      </c>
      <c r="AT1410" s="34">
        <v>3.3898305084745763E-2</v>
      </c>
      <c r="AU1410" s="34">
        <v>1.8181818181818181E-2</v>
      </c>
      <c r="AV1410" s="34">
        <v>2.5345622119815669E-2</v>
      </c>
      <c r="AW1410" s="10"/>
      <c r="AX1410" s="8"/>
    </row>
    <row r="1411" spans="1:50">
      <c r="A1411" s="7"/>
      <c r="B1411" s="10"/>
      <c r="C1411" s="45" t="s">
        <v>1100</v>
      </c>
      <c r="D1411" s="23" t="s">
        <v>25</v>
      </c>
      <c r="E1411" s="83" t="s">
        <v>1455</v>
      </c>
      <c r="F1411" s="83" t="s">
        <v>1455</v>
      </c>
      <c r="G1411" s="83" t="s">
        <v>1455</v>
      </c>
      <c r="H1411" s="83" t="s">
        <v>1455</v>
      </c>
      <c r="I1411" s="25">
        <v>0.9</v>
      </c>
      <c r="J1411" s="26">
        <v>0.95714285714285718</v>
      </c>
      <c r="K1411" s="26">
        <v>0.97435897435897434</v>
      </c>
      <c r="L1411" s="27">
        <v>0.93975903614457834</v>
      </c>
      <c r="M1411" s="26">
        <v>0.94285714285714284</v>
      </c>
      <c r="N1411" s="28">
        <v>0.9</v>
      </c>
      <c r="O1411" s="26">
        <v>0.95241961675868791</v>
      </c>
      <c r="P1411" s="26">
        <v>0.95339954163483576</v>
      </c>
      <c r="Q1411" s="26">
        <v>0.94423234251431687</v>
      </c>
      <c r="R1411" s="26">
        <v>0.94378888650504189</v>
      </c>
      <c r="S1411" s="28">
        <v>0.9</v>
      </c>
      <c r="T1411" s="26">
        <v>0.9178304644365054</v>
      </c>
      <c r="U1411" s="26">
        <v>0.95614973262032088</v>
      </c>
      <c r="V1411" s="26">
        <v>0.94423234251431687</v>
      </c>
      <c r="W1411" s="26">
        <v>0.93376372608297087</v>
      </c>
      <c r="X1411" s="28">
        <v>0.92</v>
      </c>
      <c r="Y1411" s="28">
        <v>0.89976133651551315</v>
      </c>
      <c r="Z1411" s="28">
        <v>0.90970654627539504</v>
      </c>
      <c r="AA1411" s="28">
        <v>0.93892045454545459</v>
      </c>
      <c r="AB1411" s="28">
        <v>0.91432432432432431</v>
      </c>
      <c r="AC1411" s="28">
        <v>0.92</v>
      </c>
      <c r="AD1411" s="26">
        <v>0.9846538782318599</v>
      </c>
      <c r="AE1411" s="26">
        <v>0.96508031527486782</v>
      </c>
      <c r="AF1411" s="26">
        <v>0.98579704728088213</v>
      </c>
      <c r="AG1411" s="26">
        <v>0.98004210328240948</v>
      </c>
      <c r="AH1411" s="28">
        <v>0.92</v>
      </c>
      <c r="AI1411" s="26">
        <v>0.95037086985839514</v>
      </c>
      <c r="AJ1411" s="26">
        <v>0.96431746031746035</v>
      </c>
      <c r="AK1411" s="26">
        <v>0.97323266986959511</v>
      </c>
      <c r="AL1411" s="26">
        <v>0.96364335866115225</v>
      </c>
      <c r="AM1411" s="25">
        <v>0.99</v>
      </c>
      <c r="AN1411" s="30">
        <v>1</v>
      </c>
      <c r="AO1411" s="30">
        <v>1</v>
      </c>
      <c r="AP1411" s="30">
        <v>1</v>
      </c>
      <c r="AQ1411" s="30">
        <v>1</v>
      </c>
      <c r="AR1411" s="50">
        <v>7.2186152540827803E-2</v>
      </c>
      <c r="AS1411" s="34">
        <v>-3.7037037037037035E-2</v>
      </c>
      <c r="AT1411" s="34">
        <v>0</v>
      </c>
      <c r="AU1411" s="34">
        <v>0</v>
      </c>
      <c r="AV1411" s="34">
        <v>1.4760147601476014E-2</v>
      </c>
      <c r="AW1411" s="10"/>
      <c r="AX1411" s="8"/>
    </row>
    <row r="1412" spans="1:50">
      <c r="A1412" s="7"/>
      <c r="B1412" s="10"/>
      <c r="C1412" s="45" t="s">
        <v>1100</v>
      </c>
      <c r="D1412" s="23" t="s">
        <v>25</v>
      </c>
      <c r="E1412" s="83" t="s">
        <v>1456</v>
      </c>
      <c r="F1412" s="83" t="s">
        <v>1456</v>
      </c>
      <c r="G1412" s="83" t="s">
        <v>1456</v>
      </c>
      <c r="H1412" s="83" t="s">
        <v>1456</v>
      </c>
      <c r="I1412" s="25">
        <v>0.9</v>
      </c>
      <c r="J1412" s="26">
        <v>0.90476190476190477</v>
      </c>
      <c r="K1412" s="26">
        <v>0.95652173913043481</v>
      </c>
      <c r="L1412" s="27">
        <v>0.95833333333333337</v>
      </c>
      <c r="M1412" s="26">
        <v>0.92606284658040661</v>
      </c>
      <c r="N1412" s="28">
        <v>0.9</v>
      </c>
      <c r="O1412" s="26">
        <v>0.96234234234234239</v>
      </c>
      <c r="P1412" s="26">
        <v>0.94587493431424063</v>
      </c>
      <c r="Q1412" s="26">
        <v>0.94339902207734483</v>
      </c>
      <c r="R1412" s="26">
        <v>0.93124085077068797</v>
      </c>
      <c r="S1412" s="28">
        <v>0.9</v>
      </c>
      <c r="T1412" s="26">
        <v>0.91909909909909915</v>
      </c>
      <c r="U1412" s="26">
        <v>0.92205289893151166</v>
      </c>
      <c r="V1412" s="26">
        <v>0.88072307008445694</v>
      </c>
      <c r="W1412" s="26">
        <v>0.90284594850598465</v>
      </c>
      <c r="X1412" s="28">
        <v>0.92</v>
      </c>
      <c r="Y1412" s="28">
        <v>0.92338072669826221</v>
      </c>
      <c r="Z1412" s="28">
        <v>0.90229459659511468</v>
      </c>
      <c r="AA1412" s="28">
        <v>0.93576526566217288</v>
      </c>
      <c r="AB1412" s="28">
        <v>0.92835765057987285</v>
      </c>
      <c r="AC1412" s="28">
        <v>0.92</v>
      </c>
      <c r="AD1412" s="26">
        <v>0.99812602483017099</v>
      </c>
      <c r="AE1412" s="26">
        <v>0.99715541763641069</v>
      </c>
      <c r="AF1412" s="26">
        <v>0.99565106165259654</v>
      </c>
      <c r="AG1412" s="26">
        <v>0.9953079178885631</v>
      </c>
      <c r="AH1412" s="28">
        <v>0.92</v>
      </c>
      <c r="AI1412" s="26">
        <v>0.96141431924882625</v>
      </c>
      <c r="AJ1412" s="26">
        <v>0.95481586402266294</v>
      </c>
      <c r="AK1412" s="26">
        <v>0.97340823970037449</v>
      </c>
      <c r="AL1412" s="26">
        <v>0.96780120745472042</v>
      </c>
      <c r="AM1412" s="25">
        <v>0.99</v>
      </c>
      <c r="AN1412" s="30">
        <v>1</v>
      </c>
      <c r="AO1412" s="30">
        <v>1</v>
      </c>
      <c r="AP1412" s="30">
        <v>1</v>
      </c>
      <c r="AQ1412" s="30">
        <v>1</v>
      </c>
      <c r="AR1412" s="50">
        <v>7.2186152540827803E-2</v>
      </c>
      <c r="AS1412" s="34">
        <v>0</v>
      </c>
      <c r="AT1412" s="34">
        <v>6.8965517241379309E-2</v>
      </c>
      <c r="AU1412" s="34">
        <v>2.3255813953488372E-2</v>
      </c>
      <c r="AV1412" s="34">
        <v>2.9154518950437316E-2</v>
      </c>
      <c r="AW1412" s="10"/>
      <c r="AX1412" s="8"/>
    </row>
    <row r="1413" spans="1:50">
      <c r="A1413" s="7"/>
      <c r="B1413" s="10"/>
      <c r="C1413" s="45" t="s">
        <v>1100</v>
      </c>
      <c r="D1413" s="23" t="s">
        <v>25</v>
      </c>
      <c r="E1413" s="83" t="s">
        <v>1457</v>
      </c>
      <c r="F1413" s="83" t="s">
        <v>1457</v>
      </c>
      <c r="G1413" s="83" t="s">
        <v>1457</v>
      </c>
      <c r="H1413" s="83" t="s">
        <v>1457</v>
      </c>
      <c r="I1413" s="25">
        <v>0.9</v>
      </c>
      <c r="J1413" s="26">
        <v>0.91304347826086951</v>
      </c>
      <c r="K1413" s="26">
        <v>1</v>
      </c>
      <c r="L1413" s="27">
        <v>0.92307692307692313</v>
      </c>
      <c r="M1413" s="26">
        <v>0.95652173913043481</v>
      </c>
      <c r="N1413" s="28">
        <v>0.9</v>
      </c>
      <c r="O1413" s="26">
        <v>0.99140893470790381</v>
      </c>
      <c r="P1413" s="26">
        <v>0.98425196850393704</v>
      </c>
      <c r="Q1413" s="26">
        <v>0.97806390081068195</v>
      </c>
      <c r="R1413" s="26">
        <v>0.98055555555555551</v>
      </c>
      <c r="S1413" s="28">
        <v>0.9</v>
      </c>
      <c r="T1413" s="26">
        <v>0.94329896907216493</v>
      </c>
      <c r="U1413" s="26">
        <v>0.94825646794150731</v>
      </c>
      <c r="V1413" s="26">
        <v>0.9537434430138293</v>
      </c>
      <c r="W1413" s="26">
        <v>0.94472222222222224</v>
      </c>
      <c r="X1413" s="28">
        <v>0.92</v>
      </c>
      <c r="Y1413" s="28">
        <v>0.92352941176470593</v>
      </c>
      <c r="Z1413" s="28">
        <v>0.93871866295264628</v>
      </c>
      <c r="AA1413" s="28">
        <v>0.96264367816091956</v>
      </c>
      <c r="AB1413" s="28">
        <v>0.95161290322580649</v>
      </c>
      <c r="AC1413" s="28">
        <v>0.92</v>
      </c>
      <c r="AD1413" s="26">
        <v>1</v>
      </c>
      <c r="AE1413" s="26">
        <v>0.99881796690307334</v>
      </c>
      <c r="AF1413" s="26">
        <v>0.99972497249724968</v>
      </c>
      <c r="AG1413" s="26">
        <v>0.99944533263728019</v>
      </c>
      <c r="AH1413" s="28">
        <v>0.92</v>
      </c>
      <c r="AI1413" s="26">
        <v>0.96883988494726747</v>
      </c>
      <c r="AJ1413" s="26">
        <v>0.97145531118390271</v>
      </c>
      <c r="AK1413" s="26">
        <v>0.97627811860940694</v>
      </c>
      <c r="AL1413" s="26">
        <v>0.97503546099290783</v>
      </c>
      <c r="AM1413" s="25">
        <v>0.99</v>
      </c>
      <c r="AN1413" s="30">
        <v>1</v>
      </c>
      <c r="AO1413" s="30">
        <v>1</v>
      </c>
      <c r="AP1413" s="30">
        <v>1</v>
      </c>
      <c r="AQ1413" s="30">
        <v>1</v>
      </c>
      <c r="AR1413" s="50">
        <v>7.2186152540827803E-2</v>
      </c>
      <c r="AS1413" s="34">
        <v>0</v>
      </c>
      <c r="AT1413" s="34">
        <v>8.3333333333333329E-2</v>
      </c>
      <c r="AU1413" s="34">
        <v>7.1428571428571425E-2</v>
      </c>
      <c r="AV1413" s="34">
        <v>4.49438202247191E-2</v>
      </c>
      <c r="AW1413" s="10"/>
      <c r="AX1413" s="8"/>
    </row>
    <row r="1414" spans="1:50">
      <c r="A1414" s="7"/>
      <c r="B1414" s="10"/>
      <c r="C1414" s="45" t="s">
        <v>1100</v>
      </c>
      <c r="D1414" s="23" t="s">
        <v>25</v>
      </c>
      <c r="E1414" s="83" t="s">
        <v>1458</v>
      </c>
      <c r="F1414" s="83" t="s">
        <v>1458</v>
      </c>
      <c r="G1414" s="83" t="s">
        <v>1458</v>
      </c>
      <c r="H1414" s="83" t="s">
        <v>1458</v>
      </c>
      <c r="I1414" s="25">
        <v>0.9</v>
      </c>
      <c r="J1414" s="26">
        <v>1</v>
      </c>
      <c r="K1414" s="26">
        <v>1</v>
      </c>
      <c r="L1414" s="27">
        <v>1</v>
      </c>
      <c r="M1414" s="26">
        <v>0.99568965517241381</v>
      </c>
      <c r="N1414" s="28">
        <v>0.9</v>
      </c>
      <c r="O1414" s="26">
        <v>0.97225725094577553</v>
      </c>
      <c r="P1414" s="26">
        <v>0.99154051647373109</v>
      </c>
      <c r="Q1414" s="26">
        <v>0.99081220139654536</v>
      </c>
      <c r="R1414" s="26">
        <v>0.98943369345838772</v>
      </c>
      <c r="S1414" s="28">
        <v>0.9</v>
      </c>
      <c r="T1414" s="26">
        <v>0.92812105926860022</v>
      </c>
      <c r="U1414" s="26">
        <v>0.95681211041852177</v>
      </c>
      <c r="V1414" s="26">
        <v>0.9371554575523704</v>
      </c>
      <c r="W1414" s="26">
        <v>0.94336934583877474</v>
      </c>
      <c r="X1414" s="28">
        <v>0.92</v>
      </c>
      <c r="Y1414" s="28">
        <v>0.97817109144542769</v>
      </c>
      <c r="Z1414" s="28">
        <v>0.97478991596638653</v>
      </c>
      <c r="AA1414" s="28">
        <v>0.96475770925110127</v>
      </c>
      <c r="AB1414" s="28">
        <v>0.97268788849124133</v>
      </c>
      <c r="AC1414" s="28">
        <v>0.92</v>
      </c>
      <c r="AD1414" s="26">
        <v>1</v>
      </c>
      <c r="AE1414" s="26">
        <v>1</v>
      </c>
      <c r="AF1414" s="26">
        <v>1</v>
      </c>
      <c r="AG1414" s="26">
        <v>1</v>
      </c>
      <c r="AH1414" s="28">
        <v>0.92</v>
      </c>
      <c r="AI1414" s="26">
        <v>0.97910807553234236</v>
      </c>
      <c r="AJ1414" s="26">
        <v>0.97612049963262304</v>
      </c>
      <c r="AK1414" s="26">
        <v>0.98015748031496064</v>
      </c>
      <c r="AL1414" s="26">
        <v>0.98163108724105252</v>
      </c>
      <c r="AM1414" s="25">
        <v>0.99</v>
      </c>
      <c r="AN1414" s="30">
        <v>1</v>
      </c>
      <c r="AO1414" s="30">
        <v>1</v>
      </c>
      <c r="AP1414" s="30">
        <v>1</v>
      </c>
      <c r="AQ1414" s="30">
        <v>1</v>
      </c>
      <c r="AR1414" s="50">
        <v>7.2186152540827803E-2</v>
      </c>
      <c r="AS1414" s="34">
        <v>0</v>
      </c>
      <c r="AT1414" s="34">
        <v>0.1111111111111111</v>
      </c>
      <c r="AU1414" s="34">
        <v>7.6923076923076927E-2</v>
      </c>
      <c r="AV1414" s="34">
        <v>3.3707865168539325E-2</v>
      </c>
      <c r="AW1414" s="10"/>
      <c r="AX1414" s="8"/>
    </row>
    <row r="1415" spans="1:50">
      <c r="A1415" s="7"/>
      <c r="B1415" s="10"/>
      <c r="C1415" s="45" t="s">
        <v>1100</v>
      </c>
      <c r="D1415" s="23" t="s">
        <v>25</v>
      </c>
      <c r="E1415" s="83" t="s">
        <v>1459</v>
      </c>
      <c r="F1415" s="83" t="s">
        <v>1459</v>
      </c>
      <c r="G1415" s="83" t="s">
        <v>1459</v>
      </c>
      <c r="H1415" s="83" t="s">
        <v>1459</v>
      </c>
      <c r="I1415" s="25">
        <v>0.9</v>
      </c>
      <c r="J1415" s="26">
        <v>0.97826086956521741</v>
      </c>
      <c r="K1415" s="26">
        <v>0.89130434782608692</v>
      </c>
      <c r="L1415" s="27">
        <v>0.92</v>
      </c>
      <c r="M1415" s="26">
        <v>0.91847826086956519</v>
      </c>
      <c r="N1415" s="28">
        <v>0.9</v>
      </c>
      <c r="O1415" s="26">
        <v>0.96197007481296759</v>
      </c>
      <c r="P1415" s="26">
        <v>0.97036114570361143</v>
      </c>
      <c r="Q1415" s="26">
        <v>0.97701904136572559</v>
      </c>
      <c r="R1415" s="26">
        <v>0.96535788976590431</v>
      </c>
      <c r="S1415" s="28">
        <v>0.9</v>
      </c>
      <c r="T1415" s="26">
        <v>0.95885286783042389</v>
      </c>
      <c r="U1415" s="26">
        <v>0.96513075965130757</v>
      </c>
      <c r="V1415" s="26">
        <v>0.9606040709126723</v>
      </c>
      <c r="W1415" s="26">
        <v>0.94832355123794099</v>
      </c>
      <c r="X1415" s="28">
        <v>0.92</v>
      </c>
      <c r="Y1415" s="28">
        <v>0.95754228512254058</v>
      </c>
      <c r="Z1415" s="28">
        <v>0.90389972144846797</v>
      </c>
      <c r="AA1415" s="28">
        <v>0.9126344086021505</v>
      </c>
      <c r="AB1415" s="28">
        <v>0.92923838452019347</v>
      </c>
      <c r="AC1415" s="28">
        <v>0.92</v>
      </c>
      <c r="AD1415" s="26">
        <v>0.88607024917442212</v>
      </c>
      <c r="AE1415" s="26">
        <v>0.98551118355519329</v>
      </c>
      <c r="AF1415" s="26">
        <v>0.99374649990666419</v>
      </c>
      <c r="AG1415" s="26">
        <v>0.95429622054439822</v>
      </c>
      <c r="AH1415" s="28">
        <v>0.92</v>
      </c>
      <c r="AI1415" s="26">
        <v>0.96225577264653639</v>
      </c>
      <c r="AJ1415" s="26">
        <v>0.96918531025749266</v>
      </c>
      <c r="AK1415" s="26">
        <v>0.97405039488529521</v>
      </c>
      <c r="AL1415" s="26">
        <v>0.96738820479585219</v>
      </c>
      <c r="AM1415" s="25">
        <v>0.99</v>
      </c>
      <c r="AN1415" s="30">
        <v>1</v>
      </c>
      <c r="AO1415" s="30">
        <v>1</v>
      </c>
      <c r="AP1415" s="30">
        <v>1</v>
      </c>
      <c r="AQ1415" s="30">
        <v>1</v>
      </c>
      <c r="AR1415" s="50">
        <v>7.2186152540827803E-2</v>
      </c>
      <c r="AS1415" s="34">
        <v>5.5555555555555552E-2</v>
      </c>
      <c r="AT1415" s="34">
        <v>0.1</v>
      </c>
      <c r="AU1415" s="34">
        <v>6.25E-2</v>
      </c>
      <c r="AV1415" s="34">
        <v>1.7964071856287425E-2</v>
      </c>
      <c r="AW1415" s="10"/>
      <c r="AX1415" s="8"/>
    </row>
    <row r="1416" spans="1:50">
      <c r="A1416" s="7"/>
      <c r="B1416" s="10"/>
      <c r="C1416" s="45" t="s">
        <v>1100</v>
      </c>
      <c r="D1416" s="23" t="s">
        <v>25</v>
      </c>
      <c r="E1416" s="83" t="s">
        <v>1460</v>
      </c>
      <c r="F1416" s="83" t="s">
        <v>1460</v>
      </c>
      <c r="G1416" s="83" t="s">
        <v>1460</v>
      </c>
      <c r="H1416" s="83" t="s">
        <v>1460</v>
      </c>
      <c r="I1416" s="25">
        <v>0.9</v>
      </c>
      <c r="J1416" s="26">
        <v>0</v>
      </c>
      <c r="K1416" s="26">
        <v>0</v>
      </c>
      <c r="L1416" s="27">
        <v>0</v>
      </c>
      <c r="M1416" s="26">
        <v>0</v>
      </c>
      <c r="N1416" s="28">
        <v>0.9</v>
      </c>
      <c r="O1416" s="26">
        <v>0</v>
      </c>
      <c r="P1416" s="26">
        <v>0</v>
      </c>
      <c r="Q1416" s="26">
        <v>0</v>
      </c>
      <c r="R1416" s="26">
        <v>0</v>
      </c>
      <c r="S1416" s="28">
        <v>0.9</v>
      </c>
      <c r="T1416" s="26">
        <v>0</v>
      </c>
      <c r="U1416" s="26">
        <v>0</v>
      </c>
      <c r="V1416" s="26">
        <v>0</v>
      </c>
      <c r="W1416" s="26">
        <v>0</v>
      </c>
      <c r="X1416" s="28">
        <v>0.92</v>
      </c>
      <c r="Y1416" s="28">
        <v>0</v>
      </c>
      <c r="Z1416" s="28">
        <v>0</v>
      </c>
      <c r="AA1416" s="28">
        <v>0</v>
      </c>
      <c r="AB1416" s="28">
        <v>0</v>
      </c>
      <c r="AC1416" s="28">
        <v>0.92</v>
      </c>
      <c r="AD1416" s="26">
        <v>1</v>
      </c>
      <c r="AE1416" s="26">
        <v>0.99919322307382008</v>
      </c>
      <c r="AF1416" s="26">
        <v>0.98998946259220233</v>
      </c>
      <c r="AG1416" s="26">
        <v>0.99858121028930968</v>
      </c>
      <c r="AH1416" s="28">
        <v>0.92</v>
      </c>
      <c r="AI1416" s="26">
        <v>0</v>
      </c>
      <c r="AJ1416" s="26">
        <v>0</v>
      </c>
      <c r="AK1416" s="26">
        <v>0</v>
      </c>
      <c r="AL1416" s="26">
        <v>0</v>
      </c>
      <c r="AM1416" s="25">
        <v>0.99</v>
      </c>
      <c r="AN1416" s="30">
        <v>1</v>
      </c>
      <c r="AO1416" s="30">
        <v>1</v>
      </c>
      <c r="AP1416" s="30">
        <v>1</v>
      </c>
      <c r="AQ1416" s="30">
        <v>1</v>
      </c>
      <c r="AR1416" s="50">
        <v>7.2186152540827803E-2</v>
      </c>
      <c r="AS1416" s="34">
        <v>0</v>
      </c>
      <c r="AT1416" s="34">
        <v>0</v>
      </c>
      <c r="AU1416" s="34">
        <v>0</v>
      </c>
      <c r="AV1416" s="34">
        <v>0</v>
      </c>
      <c r="AW1416" s="10"/>
      <c r="AX1416" s="8"/>
    </row>
    <row r="1417" spans="1:50">
      <c r="A1417" s="7"/>
      <c r="B1417" s="10"/>
      <c r="C1417" s="45" t="s">
        <v>1100</v>
      </c>
      <c r="D1417" s="23" t="s">
        <v>25</v>
      </c>
      <c r="E1417" s="83" t="s">
        <v>1461</v>
      </c>
      <c r="F1417" s="83" t="s">
        <v>1461</v>
      </c>
      <c r="G1417" s="83" t="s">
        <v>1461</v>
      </c>
      <c r="H1417" s="83" t="s">
        <v>1461</v>
      </c>
      <c r="I1417" s="25">
        <v>0.9</v>
      </c>
      <c r="J1417" s="26">
        <v>0.89830508474576276</v>
      </c>
      <c r="K1417" s="26">
        <v>0.92307692307692313</v>
      </c>
      <c r="L1417" s="27">
        <v>0.91549295774647887</v>
      </c>
      <c r="M1417" s="26">
        <v>0.87848605577689243</v>
      </c>
      <c r="N1417" s="28">
        <v>0.9</v>
      </c>
      <c r="O1417" s="26">
        <v>0.98355547862212223</v>
      </c>
      <c r="P1417" s="26">
        <v>0.94316041773668891</v>
      </c>
      <c r="Q1417" s="26">
        <v>0.93331396193520266</v>
      </c>
      <c r="R1417" s="26">
        <v>0.93972342446954504</v>
      </c>
      <c r="S1417" s="28">
        <v>0.9</v>
      </c>
      <c r="T1417" s="26">
        <v>0.91708499221048989</v>
      </c>
      <c r="U1417" s="26">
        <v>0.93066255778120188</v>
      </c>
      <c r="V1417" s="26">
        <v>0.89539445009443552</v>
      </c>
      <c r="W1417" s="26">
        <v>0.89027763116225056</v>
      </c>
      <c r="X1417" s="28">
        <v>0.92</v>
      </c>
      <c r="Y1417" s="28">
        <v>0.9426415094339623</v>
      </c>
      <c r="Z1417" s="28">
        <v>0.93937007874015743</v>
      </c>
      <c r="AA1417" s="28">
        <v>0.96566837107377645</v>
      </c>
      <c r="AB1417" s="28">
        <v>0.93423006376102713</v>
      </c>
      <c r="AC1417" s="28">
        <v>0.92</v>
      </c>
      <c r="AD1417" s="26">
        <v>0.97254242715337813</v>
      </c>
      <c r="AE1417" s="26">
        <v>0.98007516131319572</v>
      </c>
      <c r="AF1417" s="26">
        <v>0.97657177964366171</v>
      </c>
      <c r="AG1417" s="26">
        <v>0.95068868905814852</v>
      </c>
      <c r="AH1417" s="28">
        <v>0.92</v>
      </c>
      <c r="AI1417" s="26">
        <v>0.96733314559279071</v>
      </c>
      <c r="AJ1417" s="26">
        <v>0.97426884139482561</v>
      </c>
      <c r="AK1417" s="26">
        <v>0.9796412990790111</v>
      </c>
      <c r="AL1417" s="26">
        <v>0.96574469170222532</v>
      </c>
      <c r="AM1417" s="25">
        <v>0.99</v>
      </c>
      <c r="AN1417" s="30">
        <v>1</v>
      </c>
      <c r="AO1417" s="30">
        <v>1</v>
      </c>
      <c r="AP1417" s="30">
        <v>1</v>
      </c>
      <c r="AQ1417" s="30">
        <v>1</v>
      </c>
      <c r="AR1417" s="50">
        <v>7.2186152540827803E-2</v>
      </c>
      <c r="AS1417" s="34">
        <v>2.4390243902439025E-2</v>
      </c>
      <c r="AT1417" s="34">
        <v>6.5217391304347824E-2</v>
      </c>
      <c r="AU1417" s="34">
        <v>3.5087719298245612E-2</v>
      </c>
      <c r="AV1417" s="34">
        <v>2.318840579710145E-2</v>
      </c>
      <c r="AW1417" s="10"/>
      <c r="AX1417" s="8"/>
    </row>
    <row r="1418" spans="1:50">
      <c r="A1418" s="7"/>
      <c r="B1418" s="10"/>
      <c r="C1418" s="45" t="s">
        <v>1100</v>
      </c>
      <c r="D1418" s="23" t="s">
        <v>25</v>
      </c>
      <c r="E1418" s="83" t="s">
        <v>1462</v>
      </c>
      <c r="F1418" s="83" t="s">
        <v>1462</v>
      </c>
      <c r="G1418" s="83" t="s">
        <v>1462</v>
      </c>
      <c r="H1418" s="83" t="s">
        <v>1462</v>
      </c>
      <c r="I1418" s="25">
        <v>0.9</v>
      </c>
      <c r="J1418" s="26">
        <v>0.96296296296296291</v>
      </c>
      <c r="K1418" s="26">
        <v>0.97959183673469385</v>
      </c>
      <c r="L1418" s="27">
        <v>1</v>
      </c>
      <c r="M1418" s="26">
        <v>0.97721518987341771</v>
      </c>
      <c r="N1418" s="28">
        <v>0.9</v>
      </c>
      <c r="O1418" s="26">
        <v>0.9903825603761488</v>
      </c>
      <c r="P1418" s="26">
        <v>0.97533401849948609</v>
      </c>
      <c r="Q1418" s="26">
        <v>0.96483596157331886</v>
      </c>
      <c r="R1418" s="26">
        <v>0.96504507345790957</v>
      </c>
      <c r="S1418" s="28">
        <v>0.9</v>
      </c>
      <c r="T1418" s="26">
        <v>0.94464629194272276</v>
      </c>
      <c r="U1418" s="26">
        <v>0.93792394655704003</v>
      </c>
      <c r="V1418" s="26">
        <v>0.94725394235997828</v>
      </c>
      <c r="W1418" s="26">
        <v>0.93747536071907278</v>
      </c>
      <c r="X1418" s="28">
        <v>0.92</v>
      </c>
      <c r="Y1418" s="28">
        <v>0.92436974789915971</v>
      </c>
      <c r="Z1418" s="28">
        <v>0.94270833333333337</v>
      </c>
      <c r="AA1418" s="28">
        <v>0.94367693942614239</v>
      </c>
      <c r="AB1418" s="28">
        <v>0.93794110489170113</v>
      </c>
      <c r="AC1418" s="28">
        <v>0.92</v>
      </c>
      <c r="AD1418" s="26">
        <v>0.83799112280124943</v>
      </c>
      <c r="AE1418" s="26">
        <v>0.92309740640144855</v>
      </c>
      <c r="AF1418" s="26">
        <v>0.98025474164302795</v>
      </c>
      <c r="AG1418" s="26">
        <v>0.95266253754221553</v>
      </c>
      <c r="AH1418" s="28">
        <v>0.92</v>
      </c>
      <c r="AI1418" s="26">
        <v>0.95933948863636365</v>
      </c>
      <c r="AJ1418" s="26">
        <v>0.96875536480686697</v>
      </c>
      <c r="AK1418" s="26">
        <v>0.97306501547987612</v>
      </c>
      <c r="AL1418" s="26">
        <v>0.9662661537796603</v>
      </c>
      <c r="AM1418" s="25">
        <v>0.99</v>
      </c>
      <c r="AN1418" s="30">
        <v>1</v>
      </c>
      <c r="AO1418" s="30">
        <v>1</v>
      </c>
      <c r="AP1418" s="30">
        <v>1</v>
      </c>
      <c r="AQ1418" s="30">
        <v>1</v>
      </c>
      <c r="AR1418" s="50">
        <v>7.2186152540827803E-2</v>
      </c>
      <c r="AS1418" s="34">
        <v>5.7692307692307696E-2</v>
      </c>
      <c r="AT1418" s="34">
        <v>4.7619047619047616E-2</v>
      </c>
      <c r="AU1418" s="34">
        <v>4.1666666666666664E-2</v>
      </c>
      <c r="AV1418" s="34">
        <v>5.5900621118012424E-2</v>
      </c>
      <c r="AW1418" s="10"/>
      <c r="AX1418" s="8"/>
    </row>
    <row r="1419" spans="1:50">
      <c r="A1419" s="7"/>
      <c r="B1419" s="10"/>
      <c r="C1419" s="45" t="s">
        <v>1100</v>
      </c>
      <c r="D1419" s="23" t="s">
        <v>25</v>
      </c>
      <c r="E1419" s="83" t="s">
        <v>1463</v>
      </c>
      <c r="F1419" s="83" t="s">
        <v>1463</v>
      </c>
      <c r="G1419" s="83" t="s">
        <v>1463</v>
      </c>
      <c r="H1419" s="83" t="s">
        <v>1463</v>
      </c>
      <c r="I1419" s="25">
        <v>0.9</v>
      </c>
      <c r="J1419" s="26">
        <v>0.90476190476190477</v>
      </c>
      <c r="K1419" s="26">
        <v>0.9538461538461539</v>
      </c>
      <c r="L1419" s="27">
        <v>0.89393939393939392</v>
      </c>
      <c r="M1419" s="26">
        <v>0.93089430894308944</v>
      </c>
      <c r="N1419" s="28">
        <v>0.9</v>
      </c>
      <c r="O1419" s="26">
        <v>0.9465951955529085</v>
      </c>
      <c r="P1419" s="26">
        <v>0.9690761499806726</v>
      </c>
      <c r="Q1419" s="26">
        <v>0.85839682013911889</v>
      </c>
      <c r="R1419" s="26">
        <v>0.8921921489586333</v>
      </c>
      <c r="S1419" s="28">
        <v>0.9</v>
      </c>
      <c r="T1419" s="26">
        <v>0.90946992257296011</v>
      </c>
      <c r="U1419" s="26">
        <v>0.92075763432547353</v>
      </c>
      <c r="V1419" s="26">
        <v>0.88208015899304404</v>
      </c>
      <c r="W1419" s="26">
        <v>0.88055475573471542</v>
      </c>
      <c r="X1419" s="28">
        <v>0.92</v>
      </c>
      <c r="Y1419" s="28">
        <v>0.90448343079922022</v>
      </c>
      <c r="Z1419" s="28">
        <v>0.92378559463986598</v>
      </c>
      <c r="AA1419" s="28">
        <v>0.93223284100781934</v>
      </c>
      <c r="AB1419" s="28">
        <v>0.91564239941170289</v>
      </c>
      <c r="AC1419" s="28">
        <v>0.92</v>
      </c>
      <c r="AD1419" s="26">
        <v>0.99899404811803172</v>
      </c>
      <c r="AE1419" s="26">
        <v>0.99356063733179234</v>
      </c>
      <c r="AF1419" s="26">
        <v>0.99407560654504423</v>
      </c>
      <c r="AG1419" s="26">
        <v>0.96105285457049039</v>
      </c>
      <c r="AH1419" s="28">
        <v>0.92</v>
      </c>
      <c r="AI1419" s="26">
        <v>0.96371433283852881</v>
      </c>
      <c r="AJ1419" s="26">
        <v>0.96875</v>
      </c>
      <c r="AK1419" s="26">
        <v>0.96981919332406119</v>
      </c>
      <c r="AL1419" s="26">
        <v>0.96286891810066999</v>
      </c>
      <c r="AM1419" s="25">
        <v>0.99</v>
      </c>
      <c r="AN1419" s="30">
        <v>1</v>
      </c>
      <c r="AO1419" s="30">
        <v>1</v>
      </c>
      <c r="AP1419" s="30">
        <v>1</v>
      </c>
      <c r="AQ1419" s="30">
        <v>1</v>
      </c>
      <c r="AR1419" s="50">
        <v>7.2186152540827803E-2</v>
      </c>
      <c r="AS1419" s="34">
        <v>4.3478260869565216E-2</v>
      </c>
      <c r="AT1419" s="34">
        <v>3.8461538461538464E-2</v>
      </c>
      <c r="AU1419" s="34">
        <v>3.7037037037037035E-2</v>
      </c>
      <c r="AV1419" s="34">
        <v>5.8536585365853662E-2</v>
      </c>
      <c r="AW1419" s="10"/>
      <c r="AX1419" s="8"/>
    </row>
    <row r="1420" spans="1:50">
      <c r="A1420" s="7"/>
      <c r="B1420" s="10"/>
      <c r="C1420" s="45" t="s">
        <v>1100</v>
      </c>
      <c r="D1420" s="23" t="s">
        <v>25</v>
      </c>
      <c r="E1420" s="83" t="s">
        <v>1464</v>
      </c>
      <c r="F1420" s="83" t="s">
        <v>1464</v>
      </c>
      <c r="G1420" s="83" t="s">
        <v>1464</v>
      </c>
      <c r="H1420" s="83" t="s">
        <v>1464</v>
      </c>
      <c r="I1420" s="25">
        <v>0.9</v>
      </c>
      <c r="J1420" s="26">
        <v>0.96610169491525422</v>
      </c>
      <c r="K1420" s="26">
        <v>0.94545454545454544</v>
      </c>
      <c r="L1420" s="27">
        <v>0.93333333333333335</v>
      </c>
      <c r="M1420" s="26">
        <v>0.94117647058823528</v>
      </c>
      <c r="N1420" s="28">
        <v>0.9</v>
      </c>
      <c r="O1420" s="26">
        <v>0.97040794757979287</v>
      </c>
      <c r="P1420" s="26">
        <v>0.87897838899803538</v>
      </c>
      <c r="Q1420" s="26">
        <v>0.88100137174211246</v>
      </c>
      <c r="R1420" s="26">
        <v>0.90928904253720122</v>
      </c>
      <c r="S1420" s="28">
        <v>0.9</v>
      </c>
      <c r="T1420" s="26">
        <v>0.93532022828154726</v>
      </c>
      <c r="U1420" s="26">
        <v>0.90412573673870333</v>
      </c>
      <c r="V1420" s="26">
        <v>0.9130658436213992</v>
      </c>
      <c r="W1420" s="26">
        <v>0.92406934215141034</v>
      </c>
      <c r="X1420" s="28">
        <v>0.92</v>
      </c>
      <c r="Y1420" s="28">
        <v>0.89640130861504908</v>
      </c>
      <c r="Z1420" s="28">
        <v>0.9248188405797102</v>
      </c>
      <c r="AA1420" s="28">
        <v>0.88110403397027603</v>
      </c>
      <c r="AB1420" s="28">
        <v>0.91805493021161644</v>
      </c>
      <c r="AC1420" s="28">
        <v>0.92</v>
      </c>
      <c r="AD1420" s="26">
        <v>0.98802114702536303</v>
      </c>
      <c r="AE1420" s="26">
        <v>0.98039723102801324</v>
      </c>
      <c r="AF1420" s="26">
        <v>0.9241567427316878</v>
      </c>
      <c r="AG1420" s="26">
        <v>0.97148167460010426</v>
      </c>
      <c r="AH1420" s="28">
        <v>0.92</v>
      </c>
      <c r="AI1420" s="26">
        <v>0.9583923512747875</v>
      </c>
      <c r="AJ1420" s="26">
        <v>0.95786924939467311</v>
      </c>
      <c r="AK1420" s="26">
        <v>0.96</v>
      </c>
      <c r="AL1420" s="26">
        <v>0.96428790952117527</v>
      </c>
      <c r="AM1420" s="25">
        <v>0.99</v>
      </c>
      <c r="AN1420" s="30">
        <v>1</v>
      </c>
      <c r="AO1420" s="30">
        <v>1</v>
      </c>
      <c r="AP1420" s="30">
        <v>1</v>
      </c>
      <c r="AQ1420" s="30">
        <v>1</v>
      </c>
      <c r="AR1420" s="50">
        <v>7.2186152540827803E-2</v>
      </c>
      <c r="AS1420" s="34">
        <v>8.3333333333333329E-2</v>
      </c>
      <c r="AT1420" s="34">
        <v>2.7777777777777776E-2</v>
      </c>
      <c r="AU1420" s="34">
        <v>3.5714285714285712E-2</v>
      </c>
      <c r="AV1420" s="34">
        <v>3.5353535353535352E-2</v>
      </c>
      <c r="AW1420" s="10"/>
      <c r="AX1420" s="8"/>
    </row>
    <row r="1421" spans="1:50">
      <c r="A1421" s="7"/>
      <c r="B1421" s="10"/>
      <c r="C1421" s="45" t="s">
        <v>1100</v>
      </c>
      <c r="D1421" s="23" t="s">
        <v>25</v>
      </c>
      <c r="E1421" s="83" t="s">
        <v>1465</v>
      </c>
      <c r="F1421" s="83" t="s">
        <v>1465</v>
      </c>
      <c r="G1421" s="83" t="s">
        <v>1465</v>
      </c>
      <c r="H1421" s="83" t="s">
        <v>1465</v>
      </c>
      <c r="I1421" s="25">
        <v>0.9</v>
      </c>
      <c r="J1421" s="26">
        <v>0.94339622641509435</v>
      </c>
      <c r="K1421" s="26">
        <v>0.96153846153846156</v>
      </c>
      <c r="L1421" s="27">
        <v>1</v>
      </c>
      <c r="M1421" s="26">
        <v>0.9511627906976744</v>
      </c>
      <c r="N1421" s="28">
        <v>0.9</v>
      </c>
      <c r="O1421" s="26">
        <v>0.98477157360406087</v>
      </c>
      <c r="P1421" s="26">
        <v>0.98293668612483165</v>
      </c>
      <c r="Q1421" s="26">
        <v>0.97593634775858729</v>
      </c>
      <c r="R1421" s="26">
        <v>0.97745785722366785</v>
      </c>
      <c r="S1421" s="28">
        <v>0.9</v>
      </c>
      <c r="T1421" s="26">
        <v>0.93677895708352565</v>
      </c>
      <c r="U1421" s="26">
        <v>0.93780871127076781</v>
      </c>
      <c r="V1421" s="26">
        <v>0.93692994372210359</v>
      </c>
      <c r="W1421" s="26">
        <v>0.94029301957234979</v>
      </c>
      <c r="X1421" s="28">
        <v>0.92</v>
      </c>
      <c r="Y1421" s="28">
        <v>0.87199124726477029</v>
      </c>
      <c r="Z1421" s="28">
        <v>0.90389016018306634</v>
      </c>
      <c r="AA1421" s="28">
        <v>0.88732394366197187</v>
      </c>
      <c r="AB1421" s="28">
        <v>0.90316788508400669</v>
      </c>
      <c r="AC1421" s="28">
        <v>0.92</v>
      </c>
      <c r="AD1421" s="26">
        <v>0.98810606590638772</v>
      </c>
      <c r="AE1421" s="26">
        <v>0.98958982115846605</v>
      </c>
      <c r="AF1421" s="26">
        <v>0.97500471609130357</v>
      </c>
      <c r="AG1421" s="26">
        <v>0.98090829925791312</v>
      </c>
      <c r="AH1421" s="28">
        <v>0.92</v>
      </c>
      <c r="AI1421" s="26">
        <v>0.94474085365853655</v>
      </c>
      <c r="AJ1421" s="26">
        <v>0.96039789789789787</v>
      </c>
      <c r="AK1421" s="26">
        <v>0.9624753127057275</v>
      </c>
      <c r="AL1421" s="26">
        <v>0.95942626749467053</v>
      </c>
      <c r="AM1421" s="25">
        <v>0.99</v>
      </c>
      <c r="AN1421" s="30">
        <v>1</v>
      </c>
      <c r="AO1421" s="30">
        <v>1</v>
      </c>
      <c r="AP1421" s="30">
        <v>1</v>
      </c>
      <c r="AQ1421" s="30">
        <v>1</v>
      </c>
      <c r="AR1421" s="50">
        <v>7.2186152540827803E-2</v>
      </c>
      <c r="AS1421" s="34">
        <v>5.128205128205128E-2</v>
      </c>
      <c r="AT1421" s="34">
        <v>0</v>
      </c>
      <c r="AU1421" s="34">
        <v>3.0303030303030304E-2</v>
      </c>
      <c r="AV1421" s="34">
        <v>4.2857142857142858E-2</v>
      </c>
      <c r="AW1421" s="10"/>
      <c r="AX1421" s="8"/>
    </row>
    <row r="1422" spans="1:50">
      <c r="A1422" s="7"/>
      <c r="B1422" s="10"/>
      <c r="C1422" s="45" t="s">
        <v>1100</v>
      </c>
      <c r="D1422" s="23" t="s">
        <v>25</v>
      </c>
      <c r="E1422" s="83" t="s">
        <v>1466</v>
      </c>
      <c r="F1422" s="83" t="s">
        <v>1466</v>
      </c>
      <c r="G1422" s="83" t="s">
        <v>1466</v>
      </c>
      <c r="H1422" s="83" t="s">
        <v>1466</v>
      </c>
      <c r="I1422" s="25">
        <v>0.9</v>
      </c>
      <c r="J1422" s="26">
        <v>0</v>
      </c>
      <c r="K1422" s="26">
        <v>0</v>
      </c>
      <c r="L1422" s="27">
        <v>0</v>
      </c>
      <c r="M1422" s="26">
        <v>0</v>
      </c>
      <c r="N1422" s="28">
        <v>0.9</v>
      </c>
      <c r="O1422" s="26">
        <v>0</v>
      </c>
      <c r="P1422" s="26">
        <v>0</v>
      </c>
      <c r="Q1422" s="26">
        <v>0</v>
      </c>
      <c r="R1422" s="26">
        <v>0</v>
      </c>
      <c r="S1422" s="28">
        <v>0.9</v>
      </c>
      <c r="T1422" s="26">
        <v>0</v>
      </c>
      <c r="U1422" s="26">
        <v>0</v>
      </c>
      <c r="V1422" s="26">
        <v>0</v>
      </c>
      <c r="W1422" s="26">
        <v>0</v>
      </c>
      <c r="X1422" s="28">
        <v>0.92</v>
      </c>
      <c r="Y1422" s="28">
        <v>0</v>
      </c>
      <c r="Z1422" s="28">
        <v>0</v>
      </c>
      <c r="AA1422" s="28">
        <v>0</v>
      </c>
      <c r="AB1422" s="28">
        <v>0</v>
      </c>
      <c r="AC1422" s="28">
        <v>0.92</v>
      </c>
      <c r="AD1422" s="26">
        <v>0</v>
      </c>
      <c r="AE1422" s="26">
        <v>0</v>
      </c>
      <c r="AF1422" s="26">
        <v>0</v>
      </c>
      <c r="AG1422" s="26">
        <v>0</v>
      </c>
      <c r="AH1422" s="28">
        <v>0.92</v>
      </c>
      <c r="AI1422" s="26">
        <v>0</v>
      </c>
      <c r="AJ1422" s="26">
        <v>0</v>
      </c>
      <c r="AK1422" s="26">
        <v>0</v>
      </c>
      <c r="AL1422" s="26">
        <v>0</v>
      </c>
      <c r="AM1422" s="25">
        <v>0.99</v>
      </c>
      <c r="AN1422" s="30">
        <v>0</v>
      </c>
      <c r="AO1422" s="30">
        <v>0</v>
      </c>
      <c r="AP1422" s="30">
        <v>0</v>
      </c>
      <c r="AQ1422" s="30">
        <v>0</v>
      </c>
      <c r="AR1422" s="50">
        <v>7.2186152540827803E-2</v>
      </c>
      <c r="AS1422" s="34">
        <v>0</v>
      </c>
      <c r="AT1422" s="34">
        <v>0</v>
      </c>
      <c r="AU1422" s="34">
        <v>0</v>
      </c>
      <c r="AV1422" s="34">
        <v>0</v>
      </c>
      <c r="AW1422" s="10"/>
      <c r="AX1422" s="8"/>
    </row>
    <row r="1423" spans="1:50">
      <c r="A1423" s="7"/>
      <c r="B1423" s="10"/>
      <c r="C1423" s="45" t="s">
        <v>1100</v>
      </c>
      <c r="D1423" s="23" t="s">
        <v>25</v>
      </c>
      <c r="E1423" s="83" t="s">
        <v>1467</v>
      </c>
      <c r="F1423" s="83" t="s">
        <v>1467</v>
      </c>
      <c r="G1423" s="83" t="s">
        <v>1467</v>
      </c>
      <c r="H1423" s="83" t="s">
        <v>1467</v>
      </c>
      <c r="I1423" s="25">
        <v>0.9</v>
      </c>
      <c r="J1423" s="26">
        <v>0</v>
      </c>
      <c r="K1423" s="26">
        <v>0</v>
      </c>
      <c r="L1423" s="27">
        <v>0</v>
      </c>
      <c r="M1423" s="26">
        <v>0</v>
      </c>
      <c r="N1423" s="28">
        <v>0.9</v>
      </c>
      <c r="O1423" s="26">
        <v>0</v>
      </c>
      <c r="P1423" s="26">
        <v>0</v>
      </c>
      <c r="Q1423" s="26">
        <v>0</v>
      </c>
      <c r="R1423" s="26">
        <v>0</v>
      </c>
      <c r="S1423" s="28">
        <v>0.9</v>
      </c>
      <c r="T1423" s="26">
        <v>0</v>
      </c>
      <c r="U1423" s="26">
        <v>0</v>
      </c>
      <c r="V1423" s="26">
        <v>0</v>
      </c>
      <c r="W1423" s="26">
        <v>0</v>
      </c>
      <c r="X1423" s="28">
        <v>0.92</v>
      </c>
      <c r="Y1423" s="28">
        <v>0</v>
      </c>
      <c r="Z1423" s="28">
        <v>0</v>
      </c>
      <c r="AA1423" s="28">
        <v>0</v>
      </c>
      <c r="AB1423" s="28">
        <v>0</v>
      </c>
      <c r="AC1423" s="28">
        <v>0.92</v>
      </c>
      <c r="AD1423" s="26">
        <v>0</v>
      </c>
      <c r="AE1423" s="26">
        <v>0</v>
      </c>
      <c r="AF1423" s="26">
        <v>0</v>
      </c>
      <c r="AG1423" s="26">
        <v>0</v>
      </c>
      <c r="AH1423" s="28">
        <v>0.92</v>
      </c>
      <c r="AI1423" s="26">
        <v>0</v>
      </c>
      <c r="AJ1423" s="26">
        <v>0</v>
      </c>
      <c r="AK1423" s="26">
        <v>0</v>
      </c>
      <c r="AL1423" s="26">
        <v>0</v>
      </c>
      <c r="AM1423" s="25">
        <v>0.99</v>
      </c>
      <c r="AN1423" s="30">
        <v>0</v>
      </c>
      <c r="AO1423" s="30">
        <v>0</v>
      </c>
      <c r="AP1423" s="30">
        <v>0</v>
      </c>
      <c r="AQ1423" s="30">
        <v>0</v>
      </c>
      <c r="AR1423" s="50">
        <v>7.2186152540827803E-2</v>
      </c>
      <c r="AS1423" s="34">
        <v>0</v>
      </c>
      <c r="AT1423" s="34">
        <v>0</v>
      </c>
      <c r="AU1423" s="34">
        <v>0</v>
      </c>
      <c r="AV1423" s="34">
        <v>0</v>
      </c>
      <c r="AW1423" s="10"/>
      <c r="AX1423" s="8"/>
    </row>
    <row r="1424" spans="1:50">
      <c r="A1424" s="7"/>
      <c r="B1424" s="10"/>
      <c r="C1424" s="64"/>
      <c r="D1424" s="65"/>
      <c r="E1424" s="65"/>
      <c r="F1424" s="38"/>
      <c r="G1424" s="38"/>
      <c r="H1424" s="65"/>
      <c r="I1424" s="66"/>
      <c r="J1424" s="87"/>
      <c r="K1424" s="87"/>
      <c r="L1424" s="87"/>
      <c r="M1424" s="87"/>
      <c r="N1424" s="43"/>
      <c r="O1424" s="67"/>
      <c r="P1424" s="67"/>
      <c r="Q1424" s="26"/>
      <c r="R1424" s="67"/>
      <c r="S1424" s="43"/>
      <c r="T1424" s="67"/>
      <c r="U1424" s="67"/>
      <c r="V1424" s="26"/>
      <c r="W1424" s="67"/>
      <c r="X1424" s="43"/>
      <c r="Y1424" s="43"/>
      <c r="Z1424" s="43"/>
      <c r="AA1424" s="28"/>
      <c r="AB1424" s="43"/>
      <c r="AC1424" s="67"/>
      <c r="AD1424" s="67"/>
      <c r="AE1424" s="67"/>
      <c r="AF1424" s="26"/>
      <c r="AG1424" s="67"/>
      <c r="AH1424" s="67"/>
      <c r="AI1424" s="67"/>
      <c r="AJ1424" s="67"/>
      <c r="AK1424" s="26"/>
      <c r="AL1424" s="67"/>
      <c r="AM1424" s="66"/>
      <c r="AN1424" s="66"/>
      <c r="AO1424" s="66"/>
      <c r="AP1424" s="30"/>
      <c r="AQ1424" s="66"/>
      <c r="AR1424" s="67"/>
      <c r="AS1424" s="66"/>
      <c r="AT1424" s="66"/>
      <c r="AU1424" s="34"/>
      <c r="AV1424" s="66"/>
      <c r="AW1424" s="10"/>
      <c r="AX1424" s="8"/>
    </row>
    <row r="1425" spans="1:50">
      <c r="A1425" s="7"/>
      <c r="B1425" s="10"/>
      <c r="C1425" s="45" t="s">
        <v>1468</v>
      </c>
      <c r="D1425" s="23" t="s">
        <v>27</v>
      </c>
      <c r="E1425" s="88" t="s">
        <v>1469</v>
      </c>
      <c r="F1425" s="88" t="s">
        <v>1469</v>
      </c>
      <c r="G1425" s="88" t="s">
        <v>1469</v>
      </c>
      <c r="H1425" s="88" t="s">
        <v>1469</v>
      </c>
      <c r="I1425" s="25">
        <v>0.9</v>
      </c>
      <c r="J1425" s="26">
        <v>0</v>
      </c>
      <c r="K1425" s="26">
        <v>0</v>
      </c>
      <c r="L1425" s="27">
        <v>0</v>
      </c>
      <c r="M1425" s="26">
        <v>0</v>
      </c>
      <c r="N1425" s="28">
        <v>0.9</v>
      </c>
      <c r="O1425" s="26">
        <v>0</v>
      </c>
      <c r="P1425" s="26">
        <v>0</v>
      </c>
      <c r="Q1425" s="26">
        <v>0</v>
      </c>
      <c r="R1425" s="26">
        <v>0</v>
      </c>
      <c r="S1425" s="28">
        <v>0.9</v>
      </c>
      <c r="T1425" s="26">
        <v>0</v>
      </c>
      <c r="U1425" s="26">
        <v>0.66666666666666663</v>
      </c>
      <c r="V1425" s="26">
        <v>1</v>
      </c>
      <c r="W1425" s="26">
        <v>0.83333333333333337</v>
      </c>
      <c r="X1425" s="28">
        <v>0.92</v>
      </c>
      <c r="Y1425" s="28">
        <v>0</v>
      </c>
      <c r="Z1425" s="28">
        <v>0</v>
      </c>
      <c r="AA1425" s="28">
        <v>0</v>
      </c>
      <c r="AB1425" s="28">
        <v>0</v>
      </c>
      <c r="AC1425" s="28">
        <v>0.92</v>
      </c>
      <c r="AD1425" s="26">
        <v>0.98273572377158036</v>
      </c>
      <c r="AE1425" s="26">
        <v>0.99542857142857144</v>
      </c>
      <c r="AF1425" s="26">
        <v>0.99869109947643975</v>
      </c>
      <c r="AG1425" s="26">
        <v>0.99063524270329328</v>
      </c>
      <c r="AH1425" s="28">
        <v>0.92</v>
      </c>
      <c r="AI1425" s="26">
        <v>0</v>
      </c>
      <c r="AJ1425" s="26">
        <v>0.66666666666666663</v>
      </c>
      <c r="AK1425" s="26">
        <v>1</v>
      </c>
      <c r="AL1425" s="26">
        <v>0.875</v>
      </c>
      <c r="AM1425" s="25">
        <v>0.99</v>
      </c>
      <c r="AN1425" s="30">
        <v>1</v>
      </c>
      <c r="AO1425" s="30">
        <v>1</v>
      </c>
      <c r="AP1425" s="30">
        <v>1</v>
      </c>
      <c r="AQ1425" s="30">
        <v>1</v>
      </c>
      <c r="AR1425" s="50">
        <v>0.110069253262963</v>
      </c>
      <c r="AS1425" s="34">
        <v>0</v>
      </c>
      <c r="AT1425" s="34">
        <v>0</v>
      </c>
      <c r="AU1425" s="34">
        <v>0</v>
      </c>
      <c r="AV1425" s="34">
        <v>0</v>
      </c>
      <c r="AW1425" s="10"/>
      <c r="AX1425" s="8"/>
    </row>
    <row r="1426" spans="1:50">
      <c r="A1426" s="7"/>
      <c r="B1426" s="10"/>
      <c r="C1426" s="45" t="s">
        <v>1468</v>
      </c>
      <c r="D1426" s="23" t="s">
        <v>27</v>
      </c>
      <c r="E1426" s="89" t="s">
        <v>1470</v>
      </c>
      <c r="F1426" s="89" t="s">
        <v>1470</v>
      </c>
      <c r="G1426" s="89" t="s">
        <v>1470</v>
      </c>
      <c r="H1426" s="89" t="s">
        <v>1470</v>
      </c>
      <c r="I1426" s="25">
        <v>0.9</v>
      </c>
      <c r="J1426" s="26">
        <v>0</v>
      </c>
      <c r="K1426" s="26">
        <v>0</v>
      </c>
      <c r="L1426" s="27">
        <v>0</v>
      </c>
      <c r="M1426" s="26">
        <v>0</v>
      </c>
      <c r="N1426" s="28">
        <v>0.9</v>
      </c>
      <c r="O1426" s="26">
        <v>0</v>
      </c>
      <c r="P1426" s="26">
        <v>0</v>
      </c>
      <c r="Q1426" s="26">
        <v>0</v>
      </c>
      <c r="R1426" s="26">
        <v>0</v>
      </c>
      <c r="S1426" s="28">
        <v>0.9</v>
      </c>
      <c r="T1426" s="26">
        <v>0</v>
      </c>
      <c r="U1426" s="26">
        <v>0</v>
      </c>
      <c r="V1426" s="26">
        <v>0</v>
      </c>
      <c r="W1426" s="26">
        <v>0</v>
      </c>
      <c r="X1426" s="28">
        <v>0.92</v>
      </c>
      <c r="Y1426" s="28">
        <v>0</v>
      </c>
      <c r="Z1426" s="28">
        <v>0</v>
      </c>
      <c r="AA1426" s="28">
        <v>0</v>
      </c>
      <c r="AB1426" s="28">
        <v>0</v>
      </c>
      <c r="AC1426" s="28">
        <v>0.92</v>
      </c>
      <c r="AD1426" s="26">
        <v>0.94</v>
      </c>
      <c r="AE1426" s="26">
        <v>0.92571428571428571</v>
      </c>
      <c r="AF1426" s="26">
        <v>0.99534883720930234</v>
      </c>
      <c r="AG1426" s="26">
        <v>0.97870597870597875</v>
      </c>
      <c r="AH1426" s="28">
        <v>0.92</v>
      </c>
      <c r="AI1426" s="26">
        <v>0</v>
      </c>
      <c r="AJ1426" s="26">
        <v>0</v>
      </c>
      <c r="AK1426" s="26">
        <v>0</v>
      </c>
      <c r="AL1426" s="26">
        <v>0</v>
      </c>
      <c r="AM1426" s="25">
        <v>0.99</v>
      </c>
      <c r="AN1426" s="30">
        <v>0</v>
      </c>
      <c r="AO1426" s="30">
        <v>0</v>
      </c>
      <c r="AP1426" s="30">
        <v>0</v>
      </c>
      <c r="AQ1426" s="30">
        <v>0</v>
      </c>
      <c r="AR1426" s="50">
        <v>0.110069253262963</v>
      </c>
      <c r="AS1426" s="34">
        <v>0</v>
      </c>
      <c r="AT1426" s="34">
        <v>0</v>
      </c>
      <c r="AU1426" s="34">
        <v>0</v>
      </c>
      <c r="AV1426" s="34">
        <v>0</v>
      </c>
      <c r="AW1426" s="10"/>
      <c r="AX1426" s="8"/>
    </row>
    <row r="1427" spans="1:50">
      <c r="A1427" s="7"/>
      <c r="B1427" s="10"/>
      <c r="C1427" s="45" t="s">
        <v>1468</v>
      </c>
      <c r="D1427" s="23" t="s">
        <v>27</v>
      </c>
      <c r="E1427" s="88" t="s">
        <v>1471</v>
      </c>
      <c r="F1427" s="88" t="s">
        <v>1471</v>
      </c>
      <c r="G1427" s="88" t="s">
        <v>1471</v>
      </c>
      <c r="H1427" s="88" t="s">
        <v>1471</v>
      </c>
      <c r="I1427" s="25">
        <v>0.9</v>
      </c>
      <c r="J1427" s="26">
        <v>0</v>
      </c>
      <c r="K1427" s="26">
        <v>0</v>
      </c>
      <c r="L1427" s="27">
        <v>0</v>
      </c>
      <c r="M1427" s="26">
        <v>0</v>
      </c>
      <c r="N1427" s="28">
        <v>0.9</v>
      </c>
      <c r="O1427" s="26">
        <v>0</v>
      </c>
      <c r="P1427" s="26">
        <v>0</v>
      </c>
      <c r="Q1427" s="26">
        <v>0</v>
      </c>
      <c r="R1427" s="26">
        <v>0</v>
      </c>
      <c r="S1427" s="28">
        <v>0.9</v>
      </c>
      <c r="T1427" s="26">
        <v>0</v>
      </c>
      <c r="U1427" s="26">
        <v>0</v>
      </c>
      <c r="V1427" s="26">
        <v>0</v>
      </c>
      <c r="W1427" s="26">
        <v>0</v>
      </c>
      <c r="X1427" s="28">
        <v>0.92</v>
      </c>
      <c r="Y1427" s="28">
        <v>0</v>
      </c>
      <c r="Z1427" s="28">
        <v>0</v>
      </c>
      <c r="AA1427" s="28">
        <v>0</v>
      </c>
      <c r="AB1427" s="28">
        <v>0</v>
      </c>
      <c r="AC1427" s="28">
        <v>0.92</v>
      </c>
      <c r="AD1427" s="26">
        <v>0.97499999999999998</v>
      </c>
      <c r="AE1427" s="26">
        <v>0.99259259259259258</v>
      </c>
      <c r="AF1427" s="26">
        <v>0.99300699300699302</v>
      </c>
      <c r="AG1427" s="26">
        <v>0.98920510304219822</v>
      </c>
      <c r="AH1427" s="28">
        <v>0.92</v>
      </c>
      <c r="AI1427" s="26">
        <v>0</v>
      </c>
      <c r="AJ1427" s="26">
        <v>0</v>
      </c>
      <c r="AK1427" s="26">
        <v>0</v>
      </c>
      <c r="AL1427" s="26">
        <v>0</v>
      </c>
      <c r="AM1427" s="25">
        <v>0.99</v>
      </c>
      <c r="AN1427" s="30">
        <v>0</v>
      </c>
      <c r="AO1427" s="30">
        <v>1</v>
      </c>
      <c r="AP1427" s="30">
        <v>0</v>
      </c>
      <c r="AQ1427" s="30">
        <v>1</v>
      </c>
      <c r="AR1427" s="50">
        <v>0.110069253262963</v>
      </c>
      <c r="AS1427" s="34">
        <v>0</v>
      </c>
      <c r="AT1427" s="34">
        <v>0</v>
      </c>
      <c r="AU1427" s="34">
        <v>0</v>
      </c>
      <c r="AV1427" s="34">
        <v>0</v>
      </c>
      <c r="AW1427" s="10"/>
      <c r="AX1427" s="8"/>
    </row>
    <row r="1428" spans="1:50">
      <c r="A1428" s="7"/>
      <c r="B1428" s="10"/>
      <c r="C1428" s="45" t="s">
        <v>1468</v>
      </c>
      <c r="D1428" s="23" t="s">
        <v>27</v>
      </c>
      <c r="E1428" s="89" t="s">
        <v>1472</v>
      </c>
      <c r="F1428" s="89" t="s">
        <v>1472</v>
      </c>
      <c r="G1428" s="89" t="s">
        <v>1472</v>
      </c>
      <c r="H1428" s="89" t="s">
        <v>1472</v>
      </c>
      <c r="I1428" s="25">
        <v>0.9</v>
      </c>
      <c r="J1428" s="26">
        <v>0</v>
      </c>
      <c r="K1428" s="26">
        <v>0</v>
      </c>
      <c r="L1428" s="27">
        <v>0</v>
      </c>
      <c r="M1428" s="26">
        <v>0</v>
      </c>
      <c r="N1428" s="28">
        <v>0.9</v>
      </c>
      <c r="O1428" s="26">
        <v>0</v>
      </c>
      <c r="P1428" s="26">
        <v>0</v>
      </c>
      <c r="Q1428" s="26">
        <v>0</v>
      </c>
      <c r="R1428" s="26">
        <v>0</v>
      </c>
      <c r="S1428" s="28">
        <v>0.9</v>
      </c>
      <c r="T1428" s="26">
        <v>1</v>
      </c>
      <c r="U1428" s="26">
        <v>1</v>
      </c>
      <c r="V1428" s="26">
        <v>1</v>
      </c>
      <c r="W1428" s="26">
        <v>1</v>
      </c>
      <c r="X1428" s="28">
        <v>0.92</v>
      </c>
      <c r="Y1428" s="28">
        <v>0</v>
      </c>
      <c r="Z1428" s="28">
        <v>1</v>
      </c>
      <c r="AA1428" s="28">
        <v>0</v>
      </c>
      <c r="AB1428" s="28">
        <v>1</v>
      </c>
      <c r="AC1428" s="28">
        <v>0.92</v>
      </c>
      <c r="AD1428" s="26">
        <v>0.99968592964824121</v>
      </c>
      <c r="AE1428" s="26">
        <v>0.99650537634408598</v>
      </c>
      <c r="AF1428" s="26">
        <v>0.9988439306358381</v>
      </c>
      <c r="AG1428" s="26">
        <v>0.99601954043785057</v>
      </c>
      <c r="AH1428" s="28">
        <v>0.92</v>
      </c>
      <c r="AI1428" s="26">
        <v>1</v>
      </c>
      <c r="AJ1428" s="26">
        <v>1</v>
      </c>
      <c r="AK1428" s="26">
        <v>0.5</v>
      </c>
      <c r="AL1428" s="26">
        <v>0.96</v>
      </c>
      <c r="AM1428" s="25">
        <v>0.99</v>
      </c>
      <c r="AN1428" s="30">
        <v>1</v>
      </c>
      <c r="AO1428" s="30">
        <v>1</v>
      </c>
      <c r="AP1428" s="30">
        <v>1</v>
      </c>
      <c r="AQ1428" s="30">
        <v>1</v>
      </c>
      <c r="AR1428" s="50">
        <v>0.110069253262963</v>
      </c>
      <c r="AS1428" s="34">
        <v>0</v>
      </c>
      <c r="AT1428" s="34">
        <v>0</v>
      </c>
      <c r="AU1428" s="34">
        <v>0</v>
      </c>
      <c r="AV1428" s="34">
        <v>0</v>
      </c>
      <c r="AW1428" s="10"/>
      <c r="AX1428" s="8"/>
    </row>
    <row r="1429" spans="1:50">
      <c r="A1429" s="7"/>
      <c r="B1429" s="10"/>
      <c r="C1429" s="45" t="s">
        <v>1468</v>
      </c>
      <c r="D1429" s="23" t="s">
        <v>27</v>
      </c>
      <c r="E1429" s="89" t="s">
        <v>1473</v>
      </c>
      <c r="F1429" s="89" t="s">
        <v>1473</v>
      </c>
      <c r="G1429" s="89" t="s">
        <v>1473</v>
      </c>
      <c r="H1429" s="89" t="s">
        <v>1473</v>
      </c>
      <c r="I1429" s="25">
        <v>0.9</v>
      </c>
      <c r="J1429" s="26">
        <v>0</v>
      </c>
      <c r="K1429" s="26">
        <v>0</v>
      </c>
      <c r="L1429" s="27">
        <v>0</v>
      </c>
      <c r="M1429" s="26">
        <v>0</v>
      </c>
      <c r="N1429" s="28">
        <v>0.9</v>
      </c>
      <c r="O1429" s="26">
        <v>0</v>
      </c>
      <c r="P1429" s="26">
        <v>0</v>
      </c>
      <c r="Q1429" s="26">
        <v>0</v>
      </c>
      <c r="R1429" s="26">
        <v>0</v>
      </c>
      <c r="S1429" s="28">
        <v>0.9</v>
      </c>
      <c r="T1429" s="26">
        <v>0</v>
      </c>
      <c r="U1429" s="26">
        <v>0</v>
      </c>
      <c r="V1429" s="26">
        <v>0</v>
      </c>
      <c r="W1429" s="26">
        <v>1</v>
      </c>
      <c r="X1429" s="28">
        <v>0.92</v>
      </c>
      <c r="Y1429" s="28">
        <v>0</v>
      </c>
      <c r="Z1429" s="28">
        <v>0</v>
      </c>
      <c r="AA1429" s="28">
        <v>0</v>
      </c>
      <c r="AB1429" s="28">
        <v>0</v>
      </c>
      <c r="AC1429" s="28">
        <v>0.92</v>
      </c>
      <c r="AD1429" s="26">
        <v>0.93413173652694614</v>
      </c>
      <c r="AE1429" s="26">
        <v>0.91341991341991347</v>
      </c>
      <c r="AF1429" s="26">
        <v>0.95981452859350846</v>
      </c>
      <c r="AG1429" s="26">
        <v>0.96727813584531486</v>
      </c>
      <c r="AH1429" s="28">
        <v>0.92</v>
      </c>
      <c r="AI1429" s="26">
        <v>0</v>
      </c>
      <c r="AJ1429" s="26">
        <v>0</v>
      </c>
      <c r="AK1429" s="26">
        <v>0</v>
      </c>
      <c r="AL1429" s="26">
        <v>1</v>
      </c>
      <c r="AM1429" s="25">
        <v>0.99</v>
      </c>
      <c r="AN1429" s="30">
        <v>1</v>
      </c>
      <c r="AO1429" s="30">
        <v>1</v>
      </c>
      <c r="AP1429" s="30">
        <v>1</v>
      </c>
      <c r="AQ1429" s="30">
        <v>1</v>
      </c>
      <c r="AR1429" s="50">
        <v>0.110069253262963</v>
      </c>
      <c r="AS1429" s="34">
        <v>0</v>
      </c>
      <c r="AT1429" s="34">
        <v>0</v>
      </c>
      <c r="AU1429" s="34">
        <v>0</v>
      </c>
      <c r="AV1429" s="34">
        <v>0</v>
      </c>
      <c r="AW1429" s="10"/>
      <c r="AX1429" s="8"/>
    </row>
    <row r="1430" spans="1:50">
      <c r="A1430" s="7"/>
      <c r="B1430" s="10"/>
      <c r="C1430" s="45" t="s">
        <v>1468</v>
      </c>
      <c r="D1430" s="23" t="s">
        <v>27</v>
      </c>
      <c r="E1430" s="89" t="s">
        <v>1474</v>
      </c>
      <c r="F1430" s="89" t="s">
        <v>1474</v>
      </c>
      <c r="G1430" s="89" t="s">
        <v>1474</v>
      </c>
      <c r="H1430" s="89" t="s">
        <v>1474</v>
      </c>
      <c r="I1430" s="25">
        <v>0.9</v>
      </c>
      <c r="J1430" s="26">
        <v>0</v>
      </c>
      <c r="K1430" s="26">
        <v>0</v>
      </c>
      <c r="L1430" s="27">
        <v>0</v>
      </c>
      <c r="M1430" s="26">
        <v>0</v>
      </c>
      <c r="N1430" s="28">
        <v>0.9</v>
      </c>
      <c r="O1430" s="26">
        <v>0</v>
      </c>
      <c r="P1430" s="26">
        <v>0</v>
      </c>
      <c r="Q1430" s="26">
        <v>0</v>
      </c>
      <c r="R1430" s="26">
        <v>0</v>
      </c>
      <c r="S1430" s="28">
        <v>0.9</v>
      </c>
      <c r="T1430" s="26">
        <v>0</v>
      </c>
      <c r="U1430" s="26">
        <v>0</v>
      </c>
      <c r="V1430" s="26">
        <v>0</v>
      </c>
      <c r="W1430" s="26">
        <v>0</v>
      </c>
      <c r="X1430" s="28">
        <v>0.92</v>
      </c>
      <c r="Y1430" s="28">
        <v>0</v>
      </c>
      <c r="Z1430" s="28">
        <v>0</v>
      </c>
      <c r="AA1430" s="28">
        <v>0</v>
      </c>
      <c r="AB1430" s="28">
        <v>0</v>
      </c>
      <c r="AC1430" s="28">
        <v>0.92</v>
      </c>
      <c r="AD1430" s="26">
        <v>0.99700149925037485</v>
      </c>
      <c r="AE1430" s="26">
        <v>0.99209833187006147</v>
      </c>
      <c r="AF1430" s="26">
        <v>0.99559471365638763</v>
      </c>
      <c r="AG1430" s="26">
        <v>0.96590659942994961</v>
      </c>
      <c r="AH1430" s="28">
        <v>0.92</v>
      </c>
      <c r="AI1430" s="26">
        <v>1</v>
      </c>
      <c r="AJ1430" s="26">
        <v>0</v>
      </c>
      <c r="AK1430" s="26">
        <v>0</v>
      </c>
      <c r="AL1430" s="26">
        <v>0.5</v>
      </c>
      <c r="AM1430" s="25">
        <v>0.99</v>
      </c>
      <c r="AN1430" s="30">
        <v>1</v>
      </c>
      <c r="AO1430" s="30">
        <v>1</v>
      </c>
      <c r="AP1430" s="30">
        <v>1</v>
      </c>
      <c r="AQ1430" s="30">
        <v>1</v>
      </c>
      <c r="AR1430" s="50">
        <v>0.110069253262963</v>
      </c>
      <c r="AS1430" s="34">
        <v>0</v>
      </c>
      <c r="AT1430" s="34">
        <v>0</v>
      </c>
      <c r="AU1430" s="34">
        <v>0</v>
      </c>
      <c r="AV1430" s="34">
        <v>0</v>
      </c>
      <c r="AW1430" s="10"/>
      <c r="AX1430" s="8"/>
    </row>
    <row r="1431" spans="1:50">
      <c r="A1431" s="7"/>
      <c r="B1431" s="10"/>
      <c r="C1431" s="45" t="s">
        <v>1468</v>
      </c>
      <c r="D1431" s="23" t="s">
        <v>27</v>
      </c>
      <c r="E1431" s="89" t="s">
        <v>1475</v>
      </c>
      <c r="F1431" s="89" t="s">
        <v>1475</v>
      </c>
      <c r="G1431" s="89" t="s">
        <v>1475</v>
      </c>
      <c r="H1431" s="89" t="s">
        <v>1475</v>
      </c>
      <c r="I1431" s="25">
        <v>0.9</v>
      </c>
      <c r="J1431" s="26">
        <v>0</v>
      </c>
      <c r="K1431" s="26">
        <v>0</v>
      </c>
      <c r="L1431" s="27">
        <v>0</v>
      </c>
      <c r="M1431" s="26">
        <v>0</v>
      </c>
      <c r="N1431" s="28">
        <v>0.9</v>
      </c>
      <c r="O1431" s="26">
        <v>0</v>
      </c>
      <c r="P1431" s="26">
        <v>0</v>
      </c>
      <c r="Q1431" s="26">
        <v>0</v>
      </c>
      <c r="R1431" s="26">
        <v>0</v>
      </c>
      <c r="S1431" s="28">
        <v>0.9</v>
      </c>
      <c r="T1431" s="26">
        <v>0</v>
      </c>
      <c r="U1431" s="26">
        <v>0</v>
      </c>
      <c r="V1431" s="26">
        <v>0</v>
      </c>
      <c r="W1431" s="26">
        <v>1</v>
      </c>
      <c r="X1431" s="28">
        <v>0.92</v>
      </c>
      <c r="Y1431" s="28">
        <v>0</v>
      </c>
      <c r="Z1431" s="28">
        <v>0</v>
      </c>
      <c r="AA1431" s="28">
        <v>0</v>
      </c>
      <c r="AB1431" s="28">
        <v>0</v>
      </c>
      <c r="AC1431" s="28">
        <v>0.92</v>
      </c>
      <c r="AD1431" s="26">
        <v>1</v>
      </c>
      <c r="AE1431" s="26">
        <v>1</v>
      </c>
      <c r="AF1431" s="26">
        <v>1</v>
      </c>
      <c r="AG1431" s="26">
        <v>0.99765868886576481</v>
      </c>
      <c r="AH1431" s="28">
        <v>0.92</v>
      </c>
      <c r="AI1431" s="26">
        <v>0</v>
      </c>
      <c r="AJ1431" s="26">
        <v>0</v>
      </c>
      <c r="AK1431" s="26">
        <v>0</v>
      </c>
      <c r="AL1431" s="26">
        <v>1</v>
      </c>
      <c r="AM1431" s="25">
        <v>0.99</v>
      </c>
      <c r="AN1431" s="30">
        <v>1</v>
      </c>
      <c r="AO1431" s="30">
        <v>1</v>
      </c>
      <c r="AP1431" s="30">
        <v>1</v>
      </c>
      <c r="AQ1431" s="30">
        <v>1</v>
      </c>
      <c r="AR1431" s="50">
        <v>0.110069253262963</v>
      </c>
      <c r="AS1431" s="34">
        <v>0</v>
      </c>
      <c r="AT1431" s="34">
        <v>0</v>
      </c>
      <c r="AU1431" s="34">
        <v>0</v>
      </c>
      <c r="AV1431" s="34">
        <v>0</v>
      </c>
      <c r="AW1431" s="10"/>
      <c r="AX1431" s="8"/>
    </row>
    <row r="1432" spans="1:50">
      <c r="A1432" s="7"/>
      <c r="B1432" s="10"/>
      <c r="C1432" s="45" t="s">
        <v>1468</v>
      </c>
      <c r="D1432" s="23" t="s">
        <v>27</v>
      </c>
      <c r="E1432" s="89" t="s">
        <v>1476</v>
      </c>
      <c r="F1432" s="89" t="s">
        <v>1476</v>
      </c>
      <c r="G1432" s="89" t="s">
        <v>1476</v>
      </c>
      <c r="H1432" s="89" t="s">
        <v>1476</v>
      </c>
      <c r="I1432" s="25">
        <v>0.9</v>
      </c>
      <c r="J1432" s="26">
        <v>0</v>
      </c>
      <c r="K1432" s="26">
        <v>0</v>
      </c>
      <c r="L1432" s="27">
        <v>0</v>
      </c>
      <c r="M1432" s="26">
        <v>0</v>
      </c>
      <c r="N1432" s="28">
        <v>0.9</v>
      </c>
      <c r="O1432" s="26">
        <v>0</v>
      </c>
      <c r="P1432" s="26">
        <v>0</v>
      </c>
      <c r="Q1432" s="26">
        <v>0</v>
      </c>
      <c r="R1432" s="26">
        <v>0</v>
      </c>
      <c r="S1432" s="28">
        <v>0.9</v>
      </c>
      <c r="T1432" s="26">
        <v>0.33333333333333331</v>
      </c>
      <c r="U1432" s="26">
        <v>0.75</v>
      </c>
      <c r="V1432" s="26">
        <v>0</v>
      </c>
      <c r="W1432" s="26">
        <v>0.61904761904761907</v>
      </c>
      <c r="X1432" s="28">
        <v>0.92</v>
      </c>
      <c r="Y1432" s="28">
        <v>0</v>
      </c>
      <c r="Z1432" s="28">
        <v>0</v>
      </c>
      <c r="AA1432" s="28">
        <v>0</v>
      </c>
      <c r="AB1432" s="28">
        <v>0</v>
      </c>
      <c r="AC1432" s="28">
        <v>0.92</v>
      </c>
      <c r="AD1432" s="26">
        <v>0.98630136986301364</v>
      </c>
      <c r="AE1432" s="26">
        <v>0.99782608695652175</v>
      </c>
      <c r="AF1432" s="26">
        <v>0.9934711643090316</v>
      </c>
      <c r="AG1432" s="26">
        <v>0.99489453177482201</v>
      </c>
      <c r="AH1432" s="28">
        <v>0.92</v>
      </c>
      <c r="AI1432" s="26">
        <v>0.66666666666666663</v>
      </c>
      <c r="AJ1432" s="26">
        <v>0.9375</v>
      </c>
      <c r="AK1432" s="26">
        <v>0.5</v>
      </c>
      <c r="AL1432" s="26">
        <v>0.81818181818181823</v>
      </c>
      <c r="AM1432" s="25">
        <v>0.99</v>
      </c>
      <c r="AN1432" s="30">
        <v>0</v>
      </c>
      <c r="AO1432" s="30">
        <v>0</v>
      </c>
      <c r="AP1432" s="30">
        <v>0</v>
      </c>
      <c r="AQ1432" s="30">
        <v>1</v>
      </c>
      <c r="AR1432" s="50">
        <v>0.110069253262963</v>
      </c>
      <c r="AS1432" s="34">
        <v>0</v>
      </c>
      <c r="AT1432" s="34">
        <v>0</v>
      </c>
      <c r="AU1432" s="34">
        <v>0</v>
      </c>
      <c r="AV1432" s="34">
        <v>0</v>
      </c>
      <c r="AW1432" s="10"/>
      <c r="AX1432" s="8"/>
    </row>
    <row r="1433" spans="1:50">
      <c r="A1433" s="7"/>
      <c r="B1433" s="10"/>
      <c r="C1433" s="45" t="s">
        <v>1468</v>
      </c>
      <c r="D1433" s="23" t="s">
        <v>27</v>
      </c>
      <c r="E1433" s="88" t="s">
        <v>1477</v>
      </c>
      <c r="F1433" s="88" t="s">
        <v>1477</v>
      </c>
      <c r="G1433" s="88" t="s">
        <v>1477</v>
      </c>
      <c r="H1433" s="88" t="s">
        <v>1477</v>
      </c>
      <c r="I1433" s="25">
        <v>0.9</v>
      </c>
      <c r="J1433" s="26">
        <v>0</v>
      </c>
      <c r="K1433" s="26">
        <v>0</v>
      </c>
      <c r="L1433" s="27">
        <v>0</v>
      </c>
      <c r="M1433" s="26">
        <v>0</v>
      </c>
      <c r="N1433" s="28">
        <v>0.9</v>
      </c>
      <c r="O1433" s="26">
        <v>0</v>
      </c>
      <c r="P1433" s="26">
        <v>0</v>
      </c>
      <c r="Q1433" s="26">
        <v>0</v>
      </c>
      <c r="R1433" s="26">
        <v>0</v>
      </c>
      <c r="S1433" s="28">
        <v>0.9</v>
      </c>
      <c r="T1433" s="26">
        <v>0</v>
      </c>
      <c r="U1433" s="26">
        <v>0</v>
      </c>
      <c r="V1433" s="26">
        <v>0</v>
      </c>
      <c r="W1433" s="26">
        <v>0</v>
      </c>
      <c r="X1433" s="28">
        <v>0.92</v>
      </c>
      <c r="Y1433" s="28">
        <v>0</v>
      </c>
      <c r="Z1433" s="28">
        <v>0</v>
      </c>
      <c r="AA1433" s="28">
        <v>0</v>
      </c>
      <c r="AB1433" s="28">
        <v>0</v>
      </c>
      <c r="AC1433" s="28">
        <v>0.92</v>
      </c>
      <c r="AD1433" s="26">
        <v>0.92500000000000004</v>
      </c>
      <c r="AE1433" s="26">
        <v>0.93233082706766912</v>
      </c>
      <c r="AF1433" s="26">
        <v>1</v>
      </c>
      <c r="AG1433" s="26">
        <v>0.98022355975924336</v>
      </c>
      <c r="AH1433" s="28">
        <v>0.92</v>
      </c>
      <c r="AI1433" s="26">
        <v>0</v>
      </c>
      <c r="AJ1433" s="26">
        <v>0</v>
      </c>
      <c r="AK1433" s="26">
        <v>0</v>
      </c>
      <c r="AL1433" s="26">
        <v>0</v>
      </c>
      <c r="AM1433" s="25">
        <v>0.99</v>
      </c>
      <c r="AN1433" s="30">
        <v>1</v>
      </c>
      <c r="AO1433" s="30">
        <v>1</v>
      </c>
      <c r="AP1433" s="30">
        <v>0</v>
      </c>
      <c r="AQ1433" s="30">
        <v>1</v>
      </c>
      <c r="AR1433" s="50">
        <v>0.110069253262963</v>
      </c>
      <c r="AS1433" s="34">
        <v>0</v>
      </c>
      <c r="AT1433" s="34">
        <v>0</v>
      </c>
      <c r="AU1433" s="34">
        <v>0</v>
      </c>
      <c r="AV1433" s="34">
        <v>0</v>
      </c>
      <c r="AW1433" s="10"/>
      <c r="AX1433" s="8"/>
    </row>
    <row r="1434" spans="1:50">
      <c r="A1434" s="7"/>
      <c r="B1434" s="10"/>
      <c r="C1434" s="45" t="s">
        <v>1468</v>
      </c>
      <c r="D1434" s="23" t="s">
        <v>27</v>
      </c>
      <c r="E1434" s="89" t="s">
        <v>1478</v>
      </c>
      <c r="F1434" s="89" t="s">
        <v>1478</v>
      </c>
      <c r="G1434" s="89" t="s">
        <v>1478</v>
      </c>
      <c r="H1434" s="89" t="s">
        <v>1478</v>
      </c>
      <c r="I1434" s="25">
        <v>0.9</v>
      </c>
      <c r="J1434" s="26">
        <v>0</v>
      </c>
      <c r="K1434" s="26">
        <v>0</v>
      </c>
      <c r="L1434" s="27">
        <v>0</v>
      </c>
      <c r="M1434" s="26">
        <v>0</v>
      </c>
      <c r="N1434" s="28">
        <v>0.9</v>
      </c>
      <c r="O1434" s="26">
        <v>0</v>
      </c>
      <c r="P1434" s="26">
        <v>0</v>
      </c>
      <c r="Q1434" s="26">
        <v>0</v>
      </c>
      <c r="R1434" s="26">
        <v>0</v>
      </c>
      <c r="S1434" s="28">
        <v>0.9</v>
      </c>
      <c r="T1434" s="26">
        <v>0</v>
      </c>
      <c r="U1434" s="26">
        <v>0</v>
      </c>
      <c r="V1434" s="26">
        <v>0</v>
      </c>
      <c r="W1434" s="26">
        <v>0</v>
      </c>
      <c r="X1434" s="28">
        <v>0.92</v>
      </c>
      <c r="Y1434" s="28">
        <v>0</v>
      </c>
      <c r="Z1434" s="28">
        <v>0</v>
      </c>
      <c r="AA1434" s="28">
        <v>0</v>
      </c>
      <c r="AB1434" s="28">
        <v>0</v>
      </c>
      <c r="AC1434" s="28">
        <v>0.92</v>
      </c>
      <c r="AD1434" s="26">
        <v>0.9821428571428571</v>
      </c>
      <c r="AE1434" s="26">
        <v>0.97674418604651159</v>
      </c>
      <c r="AF1434" s="26">
        <v>0.8833333333333333</v>
      </c>
      <c r="AG1434" s="26">
        <v>0.95953757225433522</v>
      </c>
      <c r="AH1434" s="28">
        <v>0.92</v>
      </c>
      <c r="AI1434" s="26">
        <v>0</v>
      </c>
      <c r="AJ1434" s="26">
        <v>0</v>
      </c>
      <c r="AK1434" s="26">
        <v>0</v>
      </c>
      <c r="AL1434" s="26">
        <v>0</v>
      </c>
      <c r="AM1434" s="25">
        <v>0.99</v>
      </c>
      <c r="AN1434" s="30">
        <v>0</v>
      </c>
      <c r="AO1434" s="30">
        <v>0</v>
      </c>
      <c r="AP1434" s="30">
        <v>0</v>
      </c>
      <c r="AQ1434" s="30">
        <v>0</v>
      </c>
      <c r="AR1434" s="50">
        <v>0.110069253262963</v>
      </c>
      <c r="AS1434" s="34">
        <v>0</v>
      </c>
      <c r="AT1434" s="34">
        <v>0</v>
      </c>
      <c r="AU1434" s="34">
        <v>0</v>
      </c>
      <c r="AV1434" s="34">
        <v>0</v>
      </c>
      <c r="AW1434" s="10"/>
      <c r="AX1434" s="8"/>
    </row>
    <row r="1435" spans="1:50">
      <c r="A1435" s="7"/>
      <c r="B1435" s="10"/>
      <c r="C1435" s="45" t="s">
        <v>1468</v>
      </c>
      <c r="D1435" s="23" t="s">
        <v>27</v>
      </c>
      <c r="E1435" s="88" t="s">
        <v>1479</v>
      </c>
      <c r="F1435" s="88" t="s">
        <v>1479</v>
      </c>
      <c r="G1435" s="88" t="s">
        <v>1479</v>
      </c>
      <c r="H1435" s="88" t="s">
        <v>1479</v>
      </c>
      <c r="I1435" s="25">
        <v>0.9</v>
      </c>
      <c r="J1435" s="26">
        <v>0</v>
      </c>
      <c r="K1435" s="26">
        <v>0</v>
      </c>
      <c r="L1435" s="27">
        <v>0</v>
      </c>
      <c r="M1435" s="26">
        <v>0</v>
      </c>
      <c r="N1435" s="28">
        <v>0.9</v>
      </c>
      <c r="O1435" s="26">
        <v>0</v>
      </c>
      <c r="P1435" s="26">
        <v>0</v>
      </c>
      <c r="Q1435" s="26">
        <v>0</v>
      </c>
      <c r="R1435" s="26">
        <v>0</v>
      </c>
      <c r="S1435" s="28">
        <v>0.9</v>
      </c>
      <c r="T1435" s="26">
        <v>1</v>
      </c>
      <c r="U1435" s="26">
        <v>0.66666666666666663</v>
      </c>
      <c r="V1435" s="26">
        <v>1</v>
      </c>
      <c r="W1435" s="26">
        <v>0.8666666666666667</v>
      </c>
      <c r="X1435" s="28">
        <v>0.92</v>
      </c>
      <c r="Y1435" s="28">
        <v>0</v>
      </c>
      <c r="Z1435" s="28">
        <v>0</v>
      </c>
      <c r="AA1435" s="28">
        <v>0</v>
      </c>
      <c r="AB1435" s="28">
        <v>0</v>
      </c>
      <c r="AC1435" s="28">
        <v>0.92</v>
      </c>
      <c r="AD1435" s="26">
        <v>0.82097902097902098</v>
      </c>
      <c r="AE1435" s="26">
        <v>0.9916521739130435</v>
      </c>
      <c r="AF1435" s="26">
        <v>0.99066815976110489</v>
      </c>
      <c r="AG1435" s="26">
        <v>0.96553461654741513</v>
      </c>
      <c r="AH1435" s="28">
        <v>0.92</v>
      </c>
      <c r="AI1435" s="26">
        <v>0.66666666666666663</v>
      </c>
      <c r="AJ1435" s="26">
        <v>0.66666666666666663</v>
      </c>
      <c r="AK1435" s="26">
        <v>1</v>
      </c>
      <c r="AL1435" s="26">
        <v>0.88461538461538458</v>
      </c>
      <c r="AM1435" s="25">
        <v>0.99</v>
      </c>
      <c r="AN1435" s="30">
        <v>1</v>
      </c>
      <c r="AO1435" s="30">
        <v>1</v>
      </c>
      <c r="AP1435" s="30">
        <v>1</v>
      </c>
      <c r="AQ1435" s="30">
        <v>1</v>
      </c>
      <c r="AR1435" s="50">
        <v>0.110069253262963</v>
      </c>
      <c r="AS1435" s="34">
        <v>0</v>
      </c>
      <c r="AT1435" s="34">
        <v>0</v>
      </c>
      <c r="AU1435" s="34">
        <v>0</v>
      </c>
      <c r="AV1435" s="34">
        <v>0</v>
      </c>
      <c r="AW1435" s="10"/>
      <c r="AX1435" s="8"/>
    </row>
    <row r="1436" spans="1:50">
      <c r="A1436" s="7"/>
      <c r="B1436" s="10"/>
      <c r="C1436" s="45" t="s">
        <v>1468</v>
      </c>
      <c r="D1436" s="23" t="s">
        <v>27</v>
      </c>
      <c r="E1436" s="88" t="s">
        <v>1480</v>
      </c>
      <c r="F1436" s="88" t="s">
        <v>1480</v>
      </c>
      <c r="G1436" s="88" t="s">
        <v>1480</v>
      </c>
      <c r="H1436" s="88" t="s">
        <v>1480</v>
      </c>
      <c r="I1436" s="25">
        <v>0.9</v>
      </c>
      <c r="J1436" s="26">
        <v>0</v>
      </c>
      <c r="K1436" s="26">
        <v>0</v>
      </c>
      <c r="L1436" s="27">
        <v>0</v>
      </c>
      <c r="M1436" s="26">
        <v>0</v>
      </c>
      <c r="N1436" s="28">
        <v>0.9</v>
      </c>
      <c r="O1436" s="26">
        <v>0</v>
      </c>
      <c r="P1436" s="26">
        <v>0</v>
      </c>
      <c r="Q1436" s="26">
        <v>0</v>
      </c>
      <c r="R1436" s="26">
        <v>0</v>
      </c>
      <c r="S1436" s="28">
        <v>0.9</v>
      </c>
      <c r="T1436" s="26">
        <v>0</v>
      </c>
      <c r="U1436" s="26">
        <v>0</v>
      </c>
      <c r="V1436" s="26">
        <v>0</v>
      </c>
      <c r="W1436" s="26">
        <v>0</v>
      </c>
      <c r="X1436" s="28">
        <v>0.92</v>
      </c>
      <c r="Y1436" s="28">
        <v>0</v>
      </c>
      <c r="Z1436" s="28">
        <v>0</v>
      </c>
      <c r="AA1436" s="28">
        <v>0</v>
      </c>
      <c r="AB1436" s="28">
        <v>0</v>
      </c>
      <c r="AC1436" s="28">
        <v>0.92</v>
      </c>
      <c r="AD1436" s="26">
        <v>1</v>
      </c>
      <c r="AE1436" s="26">
        <v>1</v>
      </c>
      <c r="AF1436" s="26">
        <v>1</v>
      </c>
      <c r="AG1436" s="26">
        <v>1</v>
      </c>
      <c r="AH1436" s="28">
        <v>0.92</v>
      </c>
      <c r="AI1436" s="26">
        <v>0</v>
      </c>
      <c r="AJ1436" s="26">
        <v>0</v>
      </c>
      <c r="AK1436" s="26">
        <v>0</v>
      </c>
      <c r="AL1436" s="26">
        <v>0</v>
      </c>
      <c r="AM1436" s="25">
        <v>0.99</v>
      </c>
      <c r="AN1436" s="30">
        <v>0</v>
      </c>
      <c r="AO1436" s="30">
        <v>0</v>
      </c>
      <c r="AP1436" s="30">
        <v>0</v>
      </c>
      <c r="AQ1436" s="30">
        <v>1</v>
      </c>
      <c r="AR1436" s="50">
        <v>0.110069253262963</v>
      </c>
      <c r="AS1436" s="34">
        <v>0</v>
      </c>
      <c r="AT1436" s="34">
        <v>0</v>
      </c>
      <c r="AU1436" s="34">
        <v>0</v>
      </c>
      <c r="AV1436" s="34">
        <v>0</v>
      </c>
      <c r="AW1436" s="10"/>
      <c r="AX1436" s="8"/>
    </row>
    <row r="1437" spans="1:50">
      <c r="A1437" s="7"/>
      <c r="B1437" s="10"/>
      <c r="C1437" s="45" t="s">
        <v>1468</v>
      </c>
      <c r="D1437" s="23" t="s">
        <v>27</v>
      </c>
      <c r="E1437" s="89" t="s">
        <v>1481</v>
      </c>
      <c r="F1437" s="89" t="s">
        <v>1481</v>
      </c>
      <c r="G1437" s="89" t="s">
        <v>1481</v>
      </c>
      <c r="H1437" s="89" t="s">
        <v>1481</v>
      </c>
      <c r="I1437" s="25">
        <v>0.9</v>
      </c>
      <c r="J1437" s="26">
        <v>0</v>
      </c>
      <c r="K1437" s="26">
        <v>0</v>
      </c>
      <c r="L1437" s="27">
        <v>0</v>
      </c>
      <c r="M1437" s="26">
        <v>0</v>
      </c>
      <c r="N1437" s="28">
        <v>0.9</v>
      </c>
      <c r="O1437" s="26">
        <v>0</v>
      </c>
      <c r="P1437" s="26">
        <v>0</v>
      </c>
      <c r="Q1437" s="26">
        <v>0</v>
      </c>
      <c r="R1437" s="26">
        <v>0</v>
      </c>
      <c r="S1437" s="28">
        <v>0.9</v>
      </c>
      <c r="T1437" s="26">
        <v>0</v>
      </c>
      <c r="U1437" s="26">
        <v>0</v>
      </c>
      <c r="V1437" s="26">
        <v>0</v>
      </c>
      <c r="W1437" s="26">
        <v>0</v>
      </c>
      <c r="X1437" s="28">
        <v>0.92</v>
      </c>
      <c r="Y1437" s="28">
        <v>0</v>
      </c>
      <c r="Z1437" s="28">
        <v>0</v>
      </c>
      <c r="AA1437" s="28">
        <v>0</v>
      </c>
      <c r="AB1437" s="28">
        <v>0</v>
      </c>
      <c r="AC1437" s="28">
        <v>0.92</v>
      </c>
      <c r="AD1437" s="26">
        <v>0.99504950495049505</v>
      </c>
      <c r="AE1437" s="26">
        <v>0.99191919191919187</v>
      </c>
      <c r="AF1437" s="26">
        <v>0.9882075471698113</v>
      </c>
      <c r="AG1437" s="26">
        <v>0.98754306917572221</v>
      </c>
      <c r="AH1437" s="28">
        <v>0.92</v>
      </c>
      <c r="AI1437" s="26">
        <v>0</v>
      </c>
      <c r="AJ1437" s="26">
        <v>0</v>
      </c>
      <c r="AK1437" s="26">
        <v>0</v>
      </c>
      <c r="AL1437" s="26">
        <v>0</v>
      </c>
      <c r="AM1437" s="25">
        <v>0.99</v>
      </c>
      <c r="AN1437" s="30">
        <v>0</v>
      </c>
      <c r="AO1437" s="30">
        <v>0</v>
      </c>
      <c r="AP1437" s="30">
        <v>0</v>
      </c>
      <c r="AQ1437" s="30">
        <v>1</v>
      </c>
      <c r="AR1437" s="50">
        <v>0.110069253262963</v>
      </c>
      <c r="AS1437" s="34">
        <v>0</v>
      </c>
      <c r="AT1437" s="34">
        <v>0</v>
      </c>
      <c r="AU1437" s="34">
        <v>0</v>
      </c>
      <c r="AV1437" s="34">
        <v>0</v>
      </c>
      <c r="AW1437" s="10"/>
      <c r="AX1437" s="8"/>
    </row>
    <row r="1438" spans="1:50">
      <c r="A1438" s="7"/>
      <c r="B1438" s="10"/>
      <c r="C1438" s="45" t="s">
        <v>1468</v>
      </c>
      <c r="D1438" s="23" t="s">
        <v>27</v>
      </c>
      <c r="E1438" s="89" t="s">
        <v>1482</v>
      </c>
      <c r="F1438" s="89" t="s">
        <v>1482</v>
      </c>
      <c r="G1438" s="89" t="s">
        <v>1482</v>
      </c>
      <c r="H1438" s="89" t="s">
        <v>1482</v>
      </c>
      <c r="I1438" s="25">
        <v>0.9</v>
      </c>
      <c r="J1438" s="26">
        <v>0</v>
      </c>
      <c r="K1438" s="26">
        <v>0</v>
      </c>
      <c r="L1438" s="27">
        <v>0</v>
      </c>
      <c r="M1438" s="26">
        <v>0</v>
      </c>
      <c r="N1438" s="28">
        <v>0.9</v>
      </c>
      <c r="O1438" s="26">
        <v>0</v>
      </c>
      <c r="P1438" s="26">
        <v>0</v>
      </c>
      <c r="Q1438" s="26">
        <v>0</v>
      </c>
      <c r="R1438" s="26">
        <v>0</v>
      </c>
      <c r="S1438" s="28">
        <v>0.9</v>
      </c>
      <c r="T1438" s="26">
        <v>0</v>
      </c>
      <c r="U1438" s="26">
        <v>1</v>
      </c>
      <c r="V1438" s="26">
        <v>0</v>
      </c>
      <c r="W1438" s="26">
        <v>1</v>
      </c>
      <c r="X1438" s="28">
        <v>0.92</v>
      </c>
      <c r="Y1438" s="28">
        <v>0</v>
      </c>
      <c r="Z1438" s="28">
        <v>0</v>
      </c>
      <c r="AA1438" s="28">
        <v>0</v>
      </c>
      <c r="AB1438" s="28">
        <v>0</v>
      </c>
      <c r="AC1438" s="28">
        <v>0.92</v>
      </c>
      <c r="AD1438" s="26">
        <v>0.96842105263157896</v>
      </c>
      <c r="AE1438" s="26">
        <v>0.97894736842105268</v>
      </c>
      <c r="AF1438" s="26">
        <v>1</v>
      </c>
      <c r="AG1438" s="26">
        <v>0.98767334360554704</v>
      </c>
      <c r="AH1438" s="28">
        <v>0.92</v>
      </c>
      <c r="AI1438" s="26">
        <v>0</v>
      </c>
      <c r="AJ1438" s="26">
        <v>1</v>
      </c>
      <c r="AK1438" s="26">
        <v>0</v>
      </c>
      <c r="AL1438" s="26">
        <v>1</v>
      </c>
      <c r="AM1438" s="25">
        <v>0.99</v>
      </c>
      <c r="AN1438" s="30">
        <v>0</v>
      </c>
      <c r="AO1438" s="30">
        <v>0</v>
      </c>
      <c r="AP1438" s="30">
        <v>0</v>
      </c>
      <c r="AQ1438" s="30">
        <v>0</v>
      </c>
      <c r="AR1438" s="50">
        <v>0.110069253262963</v>
      </c>
      <c r="AS1438" s="34">
        <v>0</v>
      </c>
      <c r="AT1438" s="34">
        <v>0</v>
      </c>
      <c r="AU1438" s="34">
        <v>0</v>
      </c>
      <c r="AV1438" s="34">
        <v>0</v>
      </c>
      <c r="AW1438" s="10"/>
      <c r="AX1438" s="8"/>
    </row>
    <row r="1439" spans="1:50">
      <c r="A1439" s="7"/>
      <c r="B1439" s="10"/>
      <c r="C1439" s="45" t="s">
        <v>1468</v>
      </c>
      <c r="D1439" s="23" t="s">
        <v>27</v>
      </c>
      <c r="E1439" s="89" t="s">
        <v>1483</v>
      </c>
      <c r="F1439" s="89" t="s">
        <v>1483</v>
      </c>
      <c r="G1439" s="89" t="s">
        <v>1483</v>
      </c>
      <c r="H1439" s="89" t="s">
        <v>1483</v>
      </c>
      <c r="I1439" s="25">
        <v>0.9</v>
      </c>
      <c r="J1439" s="26">
        <v>0</v>
      </c>
      <c r="K1439" s="26">
        <v>0</v>
      </c>
      <c r="L1439" s="27">
        <v>0</v>
      </c>
      <c r="M1439" s="26">
        <v>0</v>
      </c>
      <c r="N1439" s="28">
        <v>0.9</v>
      </c>
      <c r="O1439" s="26">
        <v>0</v>
      </c>
      <c r="P1439" s="26">
        <v>0</v>
      </c>
      <c r="Q1439" s="26">
        <v>0</v>
      </c>
      <c r="R1439" s="26">
        <v>0</v>
      </c>
      <c r="S1439" s="28">
        <v>0.9</v>
      </c>
      <c r="T1439" s="26">
        <v>0</v>
      </c>
      <c r="U1439" s="26">
        <v>0</v>
      </c>
      <c r="V1439" s="26">
        <v>0</v>
      </c>
      <c r="W1439" s="26">
        <v>0</v>
      </c>
      <c r="X1439" s="28">
        <v>0.92</v>
      </c>
      <c r="Y1439" s="28">
        <v>0</v>
      </c>
      <c r="Z1439" s="28">
        <v>0</v>
      </c>
      <c r="AA1439" s="28">
        <v>0</v>
      </c>
      <c r="AB1439" s="28">
        <v>0</v>
      </c>
      <c r="AC1439" s="28">
        <v>0.92</v>
      </c>
      <c r="AD1439" s="26">
        <v>0.99547511312217196</v>
      </c>
      <c r="AE1439" s="26">
        <v>1</v>
      </c>
      <c r="AF1439" s="26">
        <v>1</v>
      </c>
      <c r="AG1439" s="26">
        <v>0.9990605918271489</v>
      </c>
      <c r="AH1439" s="28">
        <v>0.92</v>
      </c>
      <c r="AI1439" s="26">
        <v>0</v>
      </c>
      <c r="AJ1439" s="26">
        <v>0</v>
      </c>
      <c r="AK1439" s="26">
        <v>0</v>
      </c>
      <c r="AL1439" s="26">
        <v>0</v>
      </c>
      <c r="AM1439" s="25">
        <v>0.99</v>
      </c>
      <c r="AN1439" s="30">
        <v>0</v>
      </c>
      <c r="AO1439" s="30">
        <v>0</v>
      </c>
      <c r="AP1439" s="30">
        <v>0</v>
      </c>
      <c r="AQ1439" s="30">
        <v>0</v>
      </c>
      <c r="AR1439" s="50">
        <v>0.110069253262963</v>
      </c>
      <c r="AS1439" s="34">
        <v>0</v>
      </c>
      <c r="AT1439" s="34">
        <v>0</v>
      </c>
      <c r="AU1439" s="34">
        <v>0</v>
      </c>
      <c r="AV1439" s="34">
        <v>0</v>
      </c>
      <c r="AW1439" s="10"/>
      <c r="AX1439" s="8"/>
    </row>
    <row r="1440" spans="1:50">
      <c r="A1440" s="7"/>
      <c r="B1440" s="10"/>
      <c r="C1440" s="45" t="s">
        <v>1468</v>
      </c>
      <c r="D1440" s="23" t="s">
        <v>27</v>
      </c>
      <c r="E1440" s="89" t="s">
        <v>1484</v>
      </c>
      <c r="F1440" s="89" t="s">
        <v>1484</v>
      </c>
      <c r="G1440" s="89" t="s">
        <v>1484</v>
      </c>
      <c r="H1440" s="89" t="s">
        <v>1484</v>
      </c>
      <c r="I1440" s="25">
        <v>0.9</v>
      </c>
      <c r="J1440" s="26">
        <v>0</v>
      </c>
      <c r="K1440" s="26">
        <v>0</v>
      </c>
      <c r="L1440" s="27">
        <v>0</v>
      </c>
      <c r="M1440" s="26">
        <v>0</v>
      </c>
      <c r="N1440" s="28">
        <v>0.9</v>
      </c>
      <c r="O1440" s="26">
        <v>0</v>
      </c>
      <c r="P1440" s="26">
        <v>0</v>
      </c>
      <c r="Q1440" s="26">
        <v>0</v>
      </c>
      <c r="R1440" s="26">
        <v>0</v>
      </c>
      <c r="S1440" s="28">
        <v>0.9</v>
      </c>
      <c r="T1440" s="26">
        <v>0</v>
      </c>
      <c r="U1440" s="26">
        <v>0</v>
      </c>
      <c r="V1440" s="26">
        <v>0</v>
      </c>
      <c r="W1440" s="26">
        <v>0</v>
      </c>
      <c r="X1440" s="28">
        <v>0.92</v>
      </c>
      <c r="Y1440" s="28">
        <v>0</v>
      </c>
      <c r="Z1440" s="28">
        <v>0</v>
      </c>
      <c r="AA1440" s="28">
        <v>0</v>
      </c>
      <c r="AB1440" s="28">
        <v>0</v>
      </c>
      <c r="AC1440" s="28">
        <v>0.92</v>
      </c>
      <c r="AD1440" s="26">
        <v>1</v>
      </c>
      <c r="AE1440" s="26">
        <v>1</v>
      </c>
      <c r="AF1440" s="26">
        <v>0.93975903614457834</v>
      </c>
      <c r="AG1440" s="26">
        <v>0.97977821265492493</v>
      </c>
      <c r="AH1440" s="28">
        <v>0.92</v>
      </c>
      <c r="AI1440" s="26">
        <v>0</v>
      </c>
      <c r="AJ1440" s="26">
        <v>0</v>
      </c>
      <c r="AK1440" s="26">
        <v>0</v>
      </c>
      <c r="AL1440" s="26">
        <v>0</v>
      </c>
      <c r="AM1440" s="25">
        <v>0.99</v>
      </c>
      <c r="AN1440" s="30">
        <v>0</v>
      </c>
      <c r="AO1440" s="30">
        <v>0</v>
      </c>
      <c r="AP1440" s="30">
        <v>0</v>
      </c>
      <c r="AQ1440" s="30">
        <v>0</v>
      </c>
      <c r="AR1440" s="50">
        <v>0.110069253262963</v>
      </c>
      <c r="AS1440" s="34">
        <v>0</v>
      </c>
      <c r="AT1440" s="34">
        <v>0</v>
      </c>
      <c r="AU1440" s="34">
        <v>0</v>
      </c>
      <c r="AV1440" s="34">
        <v>0</v>
      </c>
      <c r="AW1440" s="10"/>
      <c r="AX1440" s="8"/>
    </row>
    <row r="1441" spans="1:50">
      <c r="A1441" s="7"/>
      <c r="B1441" s="10"/>
      <c r="C1441" s="45" t="s">
        <v>1468</v>
      </c>
      <c r="D1441" s="23" t="s">
        <v>27</v>
      </c>
      <c r="E1441" s="89" t="s">
        <v>1485</v>
      </c>
      <c r="F1441" s="89" t="s">
        <v>1485</v>
      </c>
      <c r="G1441" s="89" t="s">
        <v>1485</v>
      </c>
      <c r="H1441" s="89" t="s">
        <v>1485</v>
      </c>
      <c r="I1441" s="25">
        <v>0.9</v>
      </c>
      <c r="J1441" s="26">
        <v>0</v>
      </c>
      <c r="K1441" s="26">
        <v>0</v>
      </c>
      <c r="L1441" s="27">
        <v>0</v>
      </c>
      <c r="M1441" s="26">
        <v>0</v>
      </c>
      <c r="N1441" s="28">
        <v>0.9</v>
      </c>
      <c r="O1441" s="26">
        <v>0</v>
      </c>
      <c r="P1441" s="26">
        <v>0</v>
      </c>
      <c r="Q1441" s="26">
        <v>0</v>
      </c>
      <c r="R1441" s="26">
        <v>0</v>
      </c>
      <c r="S1441" s="28">
        <v>0.9</v>
      </c>
      <c r="T1441" s="26">
        <v>1</v>
      </c>
      <c r="U1441" s="26">
        <v>1</v>
      </c>
      <c r="V1441" s="26">
        <v>0</v>
      </c>
      <c r="W1441" s="26">
        <v>1</v>
      </c>
      <c r="X1441" s="28">
        <v>0.92</v>
      </c>
      <c r="Y1441" s="28">
        <v>0</v>
      </c>
      <c r="Z1441" s="28">
        <v>1</v>
      </c>
      <c r="AA1441" s="28">
        <v>0</v>
      </c>
      <c r="AB1441" s="28">
        <v>1</v>
      </c>
      <c r="AC1441" s="28">
        <v>0.92</v>
      </c>
      <c r="AD1441" s="26">
        <v>0.97806354009077157</v>
      </c>
      <c r="AE1441" s="26">
        <v>0.98412698412698407</v>
      </c>
      <c r="AF1441" s="26">
        <v>0.99928825622775797</v>
      </c>
      <c r="AG1441" s="26">
        <v>0.99271386936396366</v>
      </c>
      <c r="AH1441" s="28">
        <v>0.92</v>
      </c>
      <c r="AI1441" s="26">
        <v>1</v>
      </c>
      <c r="AJ1441" s="26">
        <v>1</v>
      </c>
      <c r="AK1441" s="26">
        <v>0</v>
      </c>
      <c r="AL1441" s="26">
        <v>1</v>
      </c>
      <c r="AM1441" s="25">
        <v>0.99</v>
      </c>
      <c r="AN1441" s="30">
        <v>1</v>
      </c>
      <c r="AO1441" s="30">
        <v>0</v>
      </c>
      <c r="AP1441" s="30">
        <v>0</v>
      </c>
      <c r="AQ1441" s="30">
        <v>1</v>
      </c>
      <c r="AR1441" s="50">
        <v>0.110069253262963</v>
      </c>
      <c r="AS1441" s="34">
        <v>0</v>
      </c>
      <c r="AT1441" s="34">
        <v>0</v>
      </c>
      <c r="AU1441" s="34">
        <v>0</v>
      </c>
      <c r="AV1441" s="34">
        <v>0</v>
      </c>
      <c r="AW1441" s="10"/>
      <c r="AX1441" s="8"/>
    </row>
    <row r="1442" spans="1:50">
      <c r="A1442" s="7"/>
      <c r="B1442" s="10"/>
      <c r="C1442" s="45" t="s">
        <v>1468</v>
      </c>
      <c r="D1442" s="23" t="s">
        <v>27</v>
      </c>
      <c r="E1442" s="89" t="s">
        <v>1486</v>
      </c>
      <c r="F1442" s="89" t="s">
        <v>1486</v>
      </c>
      <c r="G1442" s="89" t="s">
        <v>1486</v>
      </c>
      <c r="H1442" s="89" t="s">
        <v>1486</v>
      </c>
      <c r="I1442" s="25">
        <v>0.9</v>
      </c>
      <c r="J1442" s="26">
        <v>0</v>
      </c>
      <c r="K1442" s="26">
        <v>0</v>
      </c>
      <c r="L1442" s="27">
        <v>0</v>
      </c>
      <c r="M1442" s="26">
        <v>0</v>
      </c>
      <c r="N1442" s="28">
        <v>0.9</v>
      </c>
      <c r="O1442" s="26">
        <v>0</v>
      </c>
      <c r="P1442" s="26">
        <v>0</v>
      </c>
      <c r="Q1442" s="26">
        <v>0</v>
      </c>
      <c r="R1442" s="26">
        <v>0</v>
      </c>
      <c r="S1442" s="28">
        <v>0.9</v>
      </c>
      <c r="T1442" s="26">
        <v>0</v>
      </c>
      <c r="U1442" s="26">
        <v>0</v>
      </c>
      <c r="V1442" s="26">
        <v>0</v>
      </c>
      <c r="W1442" s="26">
        <v>0</v>
      </c>
      <c r="X1442" s="28">
        <v>0.92</v>
      </c>
      <c r="Y1442" s="28">
        <v>0</v>
      </c>
      <c r="Z1442" s="28">
        <v>0</v>
      </c>
      <c r="AA1442" s="28">
        <v>0</v>
      </c>
      <c r="AB1442" s="28">
        <v>0</v>
      </c>
      <c r="AC1442" s="28">
        <v>0.92</v>
      </c>
      <c r="AD1442" s="26">
        <v>0.9741657696447793</v>
      </c>
      <c r="AE1442" s="26">
        <v>0.87318489835430779</v>
      </c>
      <c r="AF1442" s="26">
        <v>0.94902548725637181</v>
      </c>
      <c r="AG1442" s="26">
        <v>0.91115769106739763</v>
      </c>
      <c r="AH1442" s="28">
        <v>0.92</v>
      </c>
      <c r="AI1442" s="26">
        <v>0</v>
      </c>
      <c r="AJ1442" s="26">
        <v>0</v>
      </c>
      <c r="AK1442" s="26">
        <v>0</v>
      </c>
      <c r="AL1442" s="26">
        <v>0</v>
      </c>
      <c r="AM1442" s="25">
        <v>0.99</v>
      </c>
      <c r="AN1442" s="30">
        <v>0</v>
      </c>
      <c r="AO1442" s="30">
        <v>0</v>
      </c>
      <c r="AP1442" s="30">
        <v>0</v>
      </c>
      <c r="AQ1442" s="30">
        <v>1</v>
      </c>
      <c r="AR1442" s="50">
        <v>0.110069253262963</v>
      </c>
      <c r="AS1442" s="34">
        <v>0</v>
      </c>
      <c r="AT1442" s="34">
        <v>0</v>
      </c>
      <c r="AU1442" s="34">
        <v>0</v>
      </c>
      <c r="AV1442" s="34">
        <v>0</v>
      </c>
      <c r="AW1442" s="10"/>
      <c r="AX1442" s="8"/>
    </row>
    <row r="1443" spans="1:50">
      <c r="A1443" s="7"/>
      <c r="B1443" s="10"/>
      <c r="C1443" s="45" t="s">
        <v>1468</v>
      </c>
      <c r="D1443" s="23" t="s">
        <v>27</v>
      </c>
      <c r="E1443" s="88" t="s">
        <v>1487</v>
      </c>
      <c r="F1443" s="88" t="s">
        <v>1487</v>
      </c>
      <c r="G1443" s="88" t="s">
        <v>1487</v>
      </c>
      <c r="H1443" s="88" t="s">
        <v>1487</v>
      </c>
      <c r="I1443" s="25">
        <v>0.9</v>
      </c>
      <c r="J1443" s="26">
        <v>0</v>
      </c>
      <c r="K1443" s="26">
        <v>0</v>
      </c>
      <c r="L1443" s="27">
        <v>0</v>
      </c>
      <c r="M1443" s="26">
        <v>0</v>
      </c>
      <c r="N1443" s="28">
        <v>0.9</v>
      </c>
      <c r="O1443" s="26">
        <v>0</v>
      </c>
      <c r="P1443" s="26">
        <v>0</v>
      </c>
      <c r="Q1443" s="26">
        <v>0</v>
      </c>
      <c r="R1443" s="26">
        <v>0</v>
      </c>
      <c r="S1443" s="28">
        <v>0.9</v>
      </c>
      <c r="T1443" s="26">
        <v>0</v>
      </c>
      <c r="U1443" s="26">
        <v>0</v>
      </c>
      <c r="V1443" s="26">
        <v>0</v>
      </c>
      <c r="W1443" s="26">
        <v>0.5</v>
      </c>
      <c r="X1443" s="28">
        <v>0.92</v>
      </c>
      <c r="Y1443" s="28">
        <v>0</v>
      </c>
      <c r="Z1443" s="28">
        <v>0</v>
      </c>
      <c r="AA1443" s="28">
        <v>0</v>
      </c>
      <c r="AB1443" s="28">
        <v>0</v>
      </c>
      <c r="AC1443" s="28">
        <v>0.92</v>
      </c>
      <c r="AD1443" s="26">
        <v>0.95890410958904104</v>
      </c>
      <c r="AE1443" s="26">
        <v>0.95625000000000004</v>
      </c>
      <c r="AF1443" s="26">
        <v>1</v>
      </c>
      <c r="AG1443" s="26">
        <v>0.99055374592833878</v>
      </c>
      <c r="AH1443" s="28">
        <v>0.92</v>
      </c>
      <c r="AI1443" s="26">
        <v>0</v>
      </c>
      <c r="AJ1443" s="26">
        <v>0</v>
      </c>
      <c r="AK1443" s="26">
        <v>0</v>
      </c>
      <c r="AL1443" s="26">
        <v>0.5</v>
      </c>
      <c r="AM1443" s="25">
        <v>0.99</v>
      </c>
      <c r="AN1443" s="30">
        <v>0</v>
      </c>
      <c r="AO1443" s="30">
        <v>0</v>
      </c>
      <c r="AP1443" s="30">
        <v>0</v>
      </c>
      <c r="AQ1443" s="30">
        <v>0</v>
      </c>
      <c r="AR1443" s="50">
        <v>0.110069253262963</v>
      </c>
      <c r="AS1443" s="34">
        <v>0</v>
      </c>
      <c r="AT1443" s="34">
        <v>0</v>
      </c>
      <c r="AU1443" s="34">
        <v>0</v>
      </c>
      <c r="AV1443" s="34">
        <v>0</v>
      </c>
      <c r="AW1443" s="10"/>
      <c r="AX1443" s="8"/>
    </row>
    <row r="1444" spans="1:50">
      <c r="A1444" s="7"/>
      <c r="B1444" s="10"/>
      <c r="C1444" s="45" t="s">
        <v>1468</v>
      </c>
      <c r="D1444" s="23" t="s">
        <v>27</v>
      </c>
      <c r="E1444" s="88" t="s">
        <v>1488</v>
      </c>
      <c r="F1444" s="88" t="s">
        <v>1488</v>
      </c>
      <c r="G1444" s="88" t="s">
        <v>1488</v>
      </c>
      <c r="H1444" s="88" t="s">
        <v>1488</v>
      </c>
      <c r="I1444" s="25">
        <v>0.9</v>
      </c>
      <c r="J1444" s="26">
        <v>0</v>
      </c>
      <c r="K1444" s="26">
        <v>0</v>
      </c>
      <c r="L1444" s="27">
        <v>0</v>
      </c>
      <c r="M1444" s="26">
        <v>0</v>
      </c>
      <c r="N1444" s="28">
        <v>0.9</v>
      </c>
      <c r="O1444" s="26">
        <v>0</v>
      </c>
      <c r="P1444" s="26">
        <v>0</v>
      </c>
      <c r="Q1444" s="26">
        <v>0</v>
      </c>
      <c r="R1444" s="26">
        <v>0</v>
      </c>
      <c r="S1444" s="28">
        <v>0.9</v>
      </c>
      <c r="T1444" s="26">
        <v>0</v>
      </c>
      <c r="U1444" s="26">
        <v>0</v>
      </c>
      <c r="V1444" s="26">
        <v>0</v>
      </c>
      <c r="W1444" s="26">
        <v>0</v>
      </c>
      <c r="X1444" s="28">
        <v>0.92</v>
      </c>
      <c r="Y1444" s="28">
        <v>0</v>
      </c>
      <c r="Z1444" s="28">
        <v>0</v>
      </c>
      <c r="AA1444" s="28">
        <v>0</v>
      </c>
      <c r="AB1444" s="28">
        <v>0</v>
      </c>
      <c r="AC1444" s="28">
        <v>0.92</v>
      </c>
      <c r="AD1444" s="26">
        <v>0.23529411764705882</v>
      </c>
      <c r="AE1444" s="26">
        <v>0.2</v>
      </c>
      <c r="AF1444" s="26">
        <v>0.2857142857142857</v>
      </c>
      <c r="AG1444" s="26">
        <v>0.30851063829787234</v>
      </c>
      <c r="AH1444" s="28">
        <v>0.92</v>
      </c>
      <c r="AI1444" s="26">
        <v>0</v>
      </c>
      <c r="AJ1444" s="26">
        <v>0</v>
      </c>
      <c r="AK1444" s="26">
        <v>0</v>
      </c>
      <c r="AL1444" s="26">
        <v>0</v>
      </c>
      <c r="AM1444" s="25">
        <v>0.99</v>
      </c>
      <c r="AN1444" s="30">
        <v>0</v>
      </c>
      <c r="AO1444" s="30">
        <v>0</v>
      </c>
      <c r="AP1444" s="30">
        <v>0</v>
      </c>
      <c r="AQ1444" s="30">
        <v>0</v>
      </c>
      <c r="AR1444" s="50">
        <v>0.110069253262963</v>
      </c>
      <c r="AS1444" s="34">
        <v>0</v>
      </c>
      <c r="AT1444" s="34">
        <v>0</v>
      </c>
      <c r="AU1444" s="34">
        <v>0</v>
      </c>
      <c r="AV1444" s="34">
        <v>0</v>
      </c>
      <c r="AW1444" s="10"/>
      <c r="AX1444" s="8"/>
    </row>
    <row r="1445" spans="1:50">
      <c r="A1445" s="7"/>
      <c r="B1445" s="10"/>
      <c r="C1445" s="45" t="s">
        <v>1468</v>
      </c>
      <c r="D1445" s="23" t="s">
        <v>27</v>
      </c>
      <c r="E1445" s="88" t="s">
        <v>1489</v>
      </c>
      <c r="F1445" s="88" t="s">
        <v>1489</v>
      </c>
      <c r="G1445" s="88" t="s">
        <v>1489</v>
      </c>
      <c r="H1445" s="88" t="s">
        <v>1489</v>
      </c>
      <c r="I1445" s="25">
        <v>0.9</v>
      </c>
      <c r="J1445" s="26">
        <v>0</v>
      </c>
      <c r="K1445" s="26">
        <v>0</v>
      </c>
      <c r="L1445" s="27">
        <v>0</v>
      </c>
      <c r="M1445" s="26">
        <v>0</v>
      </c>
      <c r="N1445" s="28">
        <v>0.9</v>
      </c>
      <c r="O1445" s="26">
        <v>0</v>
      </c>
      <c r="P1445" s="26">
        <v>0</v>
      </c>
      <c r="Q1445" s="26">
        <v>0</v>
      </c>
      <c r="R1445" s="26">
        <v>0</v>
      </c>
      <c r="S1445" s="28">
        <v>0.9</v>
      </c>
      <c r="T1445" s="26">
        <v>0</v>
      </c>
      <c r="U1445" s="26">
        <v>0</v>
      </c>
      <c r="V1445" s="26">
        <v>0</v>
      </c>
      <c r="W1445" s="26">
        <v>0</v>
      </c>
      <c r="X1445" s="28">
        <v>0.92</v>
      </c>
      <c r="Y1445" s="28">
        <v>0</v>
      </c>
      <c r="Z1445" s="28">
        <v>0</v>
      </c>
      <c r="AA1445" s="28">
        <v>0</v>
      </c>
      <c r="AB1445" s="28">
        <v>0</v>
      </c>
      <c r="AC1445" s="28">
        <v>0.92</v>
      </c>
      <c r="AD1445" s="26">
        <v>0.55555555555555558</v>
      </c>
      <c r="AE1445" s="26">
        <v>0.875</v>
      </c>
      <c r="AF1445" s="26">
        <v>1</v>
      </c>
      <c r="AG1445" s="26">
        <v>0.81159420289855078</v>
      </c>
      <c r="AH1445" s="28">
        <v>0.92</v>
      </c>
      <c r="AI1445" s="26">
        <v>0</v>
      </c>
      <c r="AJ1445" s="26">
        <v>0</v>
      </c>
      <c r="AK1445" s="26">
        <v>0</v>
      </c>
      <c r="AL1445" s="26">
        <v>0</v>
      </c>
      <c r="AM1445" s="25">
        <v>0.99</v>
      </c>
      <c r="AN1445" s="30">
        <v>0</v>
      </c>
      <c r="AO1445" s="30">
        <v>0</v>
      </c>
      <c r="AP1445" s="30">
        <v>0</v>
      </c>
      <c r="AQ1445" s="30">
        <v>0</v>
      </c>
      <c r="AR1445" s="50">
        <v>0.110069253262963</v>
      </c>
      <c r="AS1445" s="34">
        <v>0</v>
      </c>
      <c r="AT1445" s="34">
        <v>0</v>
      </c>
      <c r="AU1445" s="34">
        <v>0</v>
      </c>
      <c r="AV1445" s="34">
        <v>0</v>
      </c>
      <c r="AW1445" s="10"/>
      <c r="AX1445" s="8"/>
    </row>
    <row r="1446" spans="1:50">
      <c r="A1446" s="7"/>
      <c r="B1446" s="10"/>
      <c r="C1446" s="45" t="s">
        <v>1468</v>
      </c>
      <c r="D1446" s="23" t="s">
        <v>27</v>
      </c>
      <c r="E1446" s="89" t="s">
        <v>1490</v>
      </c>
      <c r="F1446" s="89" t="s">
        <v>1490</v>
      </c>
      <c r="G1446" s="89" t="s">
        <v>1490</v>
      </c>
      <c r="H1446" s="89" t="s">
        <v>1490</v>
      </c>
      <c r="I1446" s="25">
        <v>0.9</v>
      </c>
      <c r="J1446" s="26">
        <v>0</v>
      </c>
      <c r="K1446" s="26">
        <v>0</v>
      </c>
      <c r="L1446" s="27">
        <v>0</v>
      </c>
      <c r="M1446" s="26">
        <v>0</v>
      </c>
      <c r="N1446" s="28">
        <v>0.9</v>
      </c>
      <c r="O1446" s="26">
        <v>0</v>
      </c>
      <c r="P1446" s="26">
        <v>0</v>
      </c>
      <c r="Q1446" s="26">
        <v>0</v>
      </c>
      <c r="R1446" s="26">
        <v>0</v>
      </c>
      <c r="S1446" s="28">
        <v>0.9</v>
      </c>
      <c r="T1446" s="26">
        <v>0.33333333333333331</v>
      </c>
      <c r="U1446" s="26">
        <v>1</v>
      </c>
      <c r="V1446" s="26">
        <v>0</v>
      </c>
      <c r="W1446" s="26">
        <v>0.5</v>
      </c>
      <c r="X1446" s="28">
        <v>0.92</v>
      </c>
      <c r="Y1446" s="28">
        <v>0</v>
      </c>
      <c r="Z1446" s="28">
        <v>0</v>
      </c>
      <c r="AA1446" s="28">
        <v>0</v>
      </c>
      <c r="AB1446" s="28">
        <v>0.5</v>
      </c>
      <c r="AC1446" s="28">
        <v>0.92</v>
      </c>
      <c r="AD1446" s="26">
        <v>0.99908626713249127</v>
      </c>
      <c r="AE1446" s="26">
        <v>0.9996867560456083</v>
      </c>
      <c r="AF1446" s="26">
        <v>0.99964333481943823</v>
      </c>
      <c r="AG1446" s="26">
        <v>0.99971938646657055</v>
      </c>
      <c r="AH1446" s="28">
        <v>0.92</v>
      </c>
      <c r="AI1446" s="26">
        <v>0.4</v>
      </c>
      <c r="AJ1446" s="26">
        <v>1</v>
      </c>
      <c r="AK1446" s="26">
        <v>0</v>
      </c>
      <c r="AL1446" s="26">
        <v>0.5</v>
      </c>
      <c r="AM1446" s="25">
        <v>0.99</v>
      </c>
      <c r="AN1446" s="30">
        <v>0</v>
      </c>
      <c r="AO1446" s="30">
        <v>1</v>
      </c>
      <c r="AP1446" s="30">
        <v>0</v>
      </c>
      <c r="AQ1446" s="30">
        <v>1</v>
      </c>
      <c r="AR1446" s="50">
        <v>0.110069253262963</v>
      </c>
      <c r="AS1446" s="34">
        <v>0</v>
      </c>
      <c r="AT1446" s="34">
        <v>0</v>
      </c>
      <c r="AU1446" s="34">
        <v>0</v>
      </c>
      <c r="AV1446" s="34">
        <v>0</v>
      </c>
      <c r="AW1446" s="10"/>
      <c r="AX1446" s="8"/>
    </row>
    <row r="1447" spans="1:50">
      <c r="A1447" s="7"/>
      <c r="B1447" s="10"/>
      <c r="C1447" s="45" t="s">
        <v>1468</v>
      </c>
      <c r="D1447" s="23" t="s">
        <v>27</v>
      </c>
      <c r="E1447" s="89" t="s">
        <v>1491</v>
      </c>
      <c r="F1447" s="89" t="s">
        <v>1491</v>
      </c>
      <c r="G1447" s="89" t="s">
        <v>1491</v>
      </c>
      <c r="H1447" s="89" t="s">
        <v>1491</v>
      </c>
      <c r="I1447" s="25">
        <v>0.9</v>
      </c>
      <c r="J1447" s="26">
        <v>0</v>
      </c>
      <c r="K1447" s="26">
        <v>0</v>
      </c>
      <c r="L1447" s="27">
        <v>0</v>
      </c>
      <c r="M1447" s="26">
        <v>0</v>
      </c>
      <c r="N1447" s="28">
        <v>0.9</v>
      </c>
      <c r="O1447" s="26">
        <v>0</v>
      </c>
      <c r="P1447" s="26">
        <v>0</v>
      </c>
      <c r="Q1447" s="26">
        <v>0</v>
      </c>
      <c r="R1447" s="26">
        <v>0</v>
      </c>
      <c r="S1447" s="28">
        <v>0.9</v>
      </c>
      <c r="T1447" s="26">
        <v>0</v>
      </c>
      <c r="U1447" s="26">
        <v>0</v>
      </c>
      <c r="V1447" s="26">
        <v>0</v>
      </c>
      <c r="W1447" s="26">
        <v>0</v>
      </c>
      <c r="X1447" s="28">
        <v>0.92</v>
      </c>
      <c r="Y1447" s="28">
        <v>0</v>
      </c>
      <c r="Z1447" s="28">
        <v>0</v>
      </c>
      <c r="AA1447" s="28">
        <v>0</v>
      </c>
      <c r="AB1447" s="28">
        <v>0</v>
      </c>
      <c r="AC1447" s="28">
        <v>0.92</v>
      </c>
      <c r="AD1447" s="26">
        <v>0.92361111111111116</v>
      </c>
      <c r="AE1447" s="26">
        <v>0.88111888111888115</v>
      </c>
      <c r="AF1447" s="26">
        <v>0.86301369863013699</v>
      </c>
      <c r="AG1447" s="26">
        <v>0.9</v>
      </c>
      <c r="AH1447" s="28">
        <v>0.92</v>
      </c>
      <c r="AI1447" s="26">
        <v>0</v>
      </c>
      <c r="AJ1447" s="26">
        <v>0</v>
      </c>
      <c r="AK1447" s="26">
        <v>0</v>
      </c>
      <c r="AL1447" s="26">
        <v>0</v>
      </c>
      <c r="AM1447" s="25">
        <v>0.99</v>
      </c>
      <c r="AN1447" s="30">
        <v>1</v>
      </c>
      <c r="AO1447" s="30">
        <v>1</v>
      </c>
      <c r="AP1447" s="30">
        <v>1</v>
      </c>
      <c r="AQ1447" s="30">
        <v>1</v>
      </c>
      <c r="AR1447" s="50">
        <v>0.110069253262963</v>
      </c>
      <c r="AS1447" s="34">
        <v>0</v>
      </c>
      <c r="AT1447" s="34">
        <v>0</v>
      </c>
      <c r="AU1447" s="34">
        <v>0</v>
      </c>
      <c r="AV1447" s="34">
        <v>0</v>
      </c>
      <c r="AW1447" s="10"/>
      <c r="AX1447" s="8"/>
    </row>
    <row r="1448" spans="1:50">
      <c r="A1448" s="7"/>
      <c r="B1448" s="10"/>
      <c r="C1448" s="45" t="s">
        <v>1468</v>
      </c>
      <c r="D1448" s="23" t="s">
        <v>27</v>
      </c>
      <c r="E1448" s="89" t="s">
        <v>1492</v>
      </c>
      <c r="F1448" s="89" t="s">
        <v>1492</v>
      </c>
      <c r="G1448" s="89" t="s">
        <v>1492</v>
      </c>
      <c r="H1448" s="89" t="s">
        <v>1492</v>
      </c>
      <c r="I1448" s="25">
        <v>0.9</v>
      </c>
      <c r="J1448" s="26">
        <v>0</v>
      </c>
      <c r="K1448" s="26">
        <v>0</v>
      </c>
      <c r="L1448" s="27">
        <v>0</v>
      </c>
      <c r="M1448" s="26">
        <v>0</v>
      </c>
      <c r="N1448" s="28">
        <v>0.9</v>
      </c>
      <c r="O1448" s="26">
        <v>0</v>
      </c>
      <c r="P1448" s="26">
        <v>0</v>
      </c>
      <c r="Q1448" s="26">
        <v>0</v>
      </c>
      <c r="R1448" s="26">
        <v>0</v>
      </c>
      <c r="S1448" s="28">
        <v>0.9</v>
      </c>
      <c r="T1448" s="26">
        <v>0</v>
      </c>
      <c r="U1448" s="26">
        <v>0</v>
      </c>
      <c r="V1448" s="26">
        <v>0</v>
      </c>
      <c r="W1448" s="26">
        <v>0</v>
      </c>
      <c r="X1448" s="28">
        <v>0.92</v>
      </c>
      <c r="Y1448" s="28">
        <v>0</v>
      </c>
      <c r="Z1448" s="28">
        <v>0</v>
      </c>
      <c r="AA1448" s="28">
        <v>0</v>
      </c>
      <c r="AB1448" s="28">
        <v>0</v>
      </c>
      <c r="AC1448" s="28">
        <v>0.92</v>
      </c>
      <c r="AD1448" s="26">
        <v>1</v>
      </c>
      <c r="AE1448" s="26">
        <v>0.99688473520249221</v>
      </c>
      <c r="AF1448" s="26">
        <v>0.69255663430420711</v>
      </c>
      <c r="AG1448" s="26">
        <v>0.86182551689359554</v>
      </c>
      <c r="AH1448" s="28">
        <v>0.92</v>
      </c>
      <c r="AI1448" s="26">
        <v>0</v>
      </c>
      <c r="AJ1448" s="26">
        <v>0</v>
      </c>
      <c r="AK1448" s="26">
        <v>0</v>
      </c>
      <c r="AL1448" s="26">
        <v>0</v>
      </c>
      <c r="AM1448" s="25">
        <v>0.99</v>
      </c>
      <c r="AN1448" s="30">
        <v>1</v>
      </c>
      <c r="AO1448" s="30">
        <v>1</v>
      </c>
      <c r="AP1448" s="30">
        <v>1</v>
      </c>
      <c r="AQ1448" s="30">
        <v>1</v>
      </c>
      <c r="AR1448" s="50">
        <v>0.110069253262963</v>
      </c>
      <c r="AS1448" s="34">
        <v>0</v>
      </c>
      <c r="AT1448" s="34">
        <v>0</v>
      </c>
      <c r="AU1448" s="34">
        <v>0</v>
      </c>
      <c r="AV1448" s="34">
        <v>0</v>
      </c>
      <c r="AW1448" s="10"/>
      <c r="AX1448" s="8"/>
    </row>
    <row r="1449" spans="1:50">
      <c r="A1449" s="7"/>
      <c r="B1449" s="10"/>
      <c r="C1449" s="45" t="s">
        <v>1468</v>
      </c>
      <c r="D1449" s="23" t="s">
        <v>27</v>
      </c>
      <c r="E1449" s="88" t="s">
        <v>1493</v>
      </c>
      <c r="F1449" s="88" t="s">
        <v>1493</v>
      </c>
      <c r="G1449" s="88" t="s">
        <v>1493</v>
      </c>
      <c r="H1449" s="88" t="s">
        <v>1493</v>
      </c>
      <c r="I1449" s="25">
        <v>0.9</v>
      </c>
      <c r="J1449" s="26">
        <v>0</v>
      </c>
      <c r="K1449" s="26">
        <v>0</v>
      </c>
      <c r="L1449" s="27">
        <v>0</v>
      </c>
      <c r="M1449" s="26">
        <v>0</v>
      </c>
      <c r="N1449" s="28">
        <v>0.9</v>
      </c>
      <c r="O1449" s="26">
        <v>0</v>
      </c>
      <c r="P1449" s="26">
        <v>0</v>
      </c>
      <c r="Q1449" s="26">
        <v>0</v>
      </c>
      <c r="R1449" s="26">
        <v>0</v>
      </c>
      <c r="S1449" s="28">
        <v>0.9</v>
      </c>
      <c r="T1449" s="26">
        <v>0</v>
      </c>
      <c r="U1449" s="26">
        <v>0</v>
      </c>
      <c r="V1449" s="26">
        <v>0</v>
      </c>
      <c r="W1449" s="26">
        <v>0</v>
      </c>
      <c r="X1449" s="28">
        <v>0.92</v>
      </c>
      <c r="Y1449" s="28">
        <v>0</v>
      </c>
      <c r="Z1449" s="28">
        <v>0</v>
      </c>
      <c r="AA1449" s="28">
        <v>0</v>
      </c>
      <c r="AB1449" s="28">
        <v>0</v>
      </c>
      <c r="AC1449" s="28">
        <v>0.92</v>
      </c>
      <c r="AD1449" s="26">
        <v>0.25</v>
      </c>
      <c r="AE1449" s="26">
        <v>0.62337662337662336</v>
      </c>
      <c r="AF1449" s="26">
        <v>0.43076923076923079</v>
      </c>
      <c r="AG1449" s="26">
        <v>0.46933962264150941</v>
      </c>
      <c r="AH1449" s="28">
        <v>0.92</v>
      </c>
      <c r="AI1449" s="26">
        <v>0</v>
      </c>
      <c r="AJ1449" s="26">
        <v>0</v>
      </c>
      <c r="AK1449" s="26">
        <v>0</v>
      </c>
      <c r="AL1449" s="26">
        <v>0</v>
      </c>
      <c r="AM1449" s="25">
        <v>0.99</v>
      </c>
      <c r="AN1449" s="30">
        <v>0</v>
      </c>
      <c r="AO1449" s="30">
        <v>0</v>
      </c>
      <c r="AP1449" s="30">
        <v>0</v>
      </c>
      <c r="AQ1449" s="30">
        <v>1</v>
      </c>
      <c r="AR1449" s="50">
        <v>0.110069253262963</v>
      </c>
      <c r="AS1449" s="34">
        <v>0</v>
      </c>
      <c r="AT1449" s="34">
        <v>0</v>
      </c>
      <c r="AU1449" s="34">
        <v>0</v>
      </c>
      <c r="AV1449" s="34">
        <v>0</v>
      </c>
      <c r="AW1449" s="10"/>
      <c r="AX1449" s="8"/>
    </row>
    <row r="1450" spans="1:50">
      <c r="A1450" s="7"/>
      <c r="B1450" s="10"/>
      <c r="C1450" s="45" t="s">
        <v>1468</v>
      </c>
      <c r="D1450" s="23" t="s">
        <v>27</v>
      </c>
      <c r="E1450" s="88" t="s">
        <v>1494</v>
      </c>
      <c r="F1450" s="88" t="s">
        <v>1494</v>
      </c>
      <c r="G1450" s="88" t="s">
        <v>1494</v>
      </c>
      <c r="H1450" s="88" t="s">
        <v>1494</v>
      </c>
      <c r="I1450" s="25">
        <v>0.9</v>
      </c>
      <c r="J1450" s="26">
        <v>0</v>
      </c>
      <c r="K1450" s="26">
        <v>0</v>
      </c>
      <c r="L1450" s="27">
        <v>0</v>
      </c>
      <c r="M1450" s="26">
        <v>0</v>
      </c>
      <c r="N1450" s="28">
        <v>0.9</v>
      </c>
      <c r="O1450" s="26">
        <v>0</v>
      </c>
      <c r="P1450" s="26">
        <v>0</v>
      </c>
      <c r="Q1450" s="26">
        <v>0</v>
      </c>
      <c r="R1450" s="26">
        <v>0</v>
      </c>
      <c r="S1450" s="28">
        <v>0.9</v>
      </c>
      <c r="T1450" s="26">
        <v>1</v>
      </c>
      <c r="U1450" s="26">
        <v>0</v>
      </c>
      <c r="V1450" s="26">
        <v>0</v>
      </c>
      <c r="W1450" s="26">
        <v>0.77777777777777779</v>
      </c>
      <c r="X1450" s="28">
        <v>0.92</v>
      </c>
      <c r="Y1450" s="28">
        <v>0</v>
      </c>
      <c r="Z1450" s="28">
        <v>0</v>
      </c>
      <c r="AA1450" s="28">
        <v>0</v>
      </c>
      <c r="AB1450" s="28">
        <v>0</v>
      </c>
      <c r="AC1450" s="28">
        <v>0.92</v>
      </c>
      <c r="AD1450" s="26">
        <v>0.87817258883248728</v>
      </c>
      <c r="AE1450" s="26">
        <v>0.68135593220338986</v>
      </c>
      <c r="AF1450" s="26">
        <v>0.31287425149700598</v>
      </c>
      <c r="AG1450" s="26">
        <v>0.72483567470034793</v>
      </c>
      <c r="AH1450" s="28">
        <v>0.92</v>
      </c>
      <c r="AI1450" s="26">
        <v>1</v>
      </c>
      <c r="AJ1450" s="26">
        <v>0</v>
      </c>
      <c r="AK1450" s="26">
        <v>0</v>
      </c>
      <c r="AL1450" s="26">
        <v>0.7</v>
      </c>
      <c r="AM1450" s="25">
        <v>0.99</v>
      </c>
      <c r="AN1450" s="30">
        <v>1</v>
      </c>
      <c r="AO1450" s="30">
        <v>0</v>
      </c>
      <c r="AP1450" s="30">
        <v>1</v>
      </c>
      <c r="AQ1450" s="30">
        <v>1</v>
      </c>
      <c r="AR1450" s="50">
        <v>0.110069253262963</v>
      </c>
      <c r="AS1450" s="34">
        <v>0</v>
      </c>
      <c r="AT1450" s="34">
        <v>0</v>
      </c>
      <c r="AU1450" s="34">
        <v>0</v>
      </c>
      <c r="AV1450" s="34">
        <v>0</v>
      </c>
      <c r="AW1450" s="10"/>
      <c r="AX1450" s="8"/>
    </row>
    <row r="1451" spans="1:50">
      <c r="A1451" s="7"/>
      <c r="B1451" s="10"/>
      <c r="C1451" s="45" t="s">
        <v>1468</v>
      </c>
      <c r="D1451" s="23" t="s">
        <v>27</v>
      </c>
      <c r="E1451" s="88" t="s">
        <v>1495</v>
      </c>
      <c r="F1451" s="88" t="s">
        <v>1495</v>
      </c>
      <c r="G1451" s="88" t="s">
        <v>1495</v>
      </c>
      <c r="H1451" s="88" t="s">
        <v>1495</v>
      </c>
      <c r="I1451" s="25">
        <v>0.9</v>
      </c>
      <c r="J1451" s="26">
        <v>0</v>
      </c>
      <c r="K1451" s="26">
        <v>0</v>
      </c>
      <c r="L1451" s="27">
        <v>0</v>
      </c>
      <c r="M1451" s="26">
        <v>0</v>
      </c>
      <c r="N1451" s="28">
        <v>0.9</v>
      </c>
      <c r="O1451" s="26">
        <v>0</v>
      </c>
      <c r="P1451" s="26">
        <v>0</v>
      </c>
      <c r="Q1451" s="26">
        <v>0</v>
      </c>
      <c r="R1451" s="26">
        <v>0</v>
      </c>
      <c r="S1451" s="28">
        <v>0.9</v>
      </c>
      <c r="T1451" s="26">
        <v>0</v>
      </c>
      <c r="U1451" s="26">
        <v>0</v>
      </c>
      <c r="V1451" s="26">
        <v>0</v>
      </c>
      <c r="W1451" s="26">
        <v>0</v>
      </c>
      <c r="X1451" s="28">
        <v>0.92</v>
      </c>
      <c r="Y1451" s="28">
        <v>0</v>
      </c>
      <c r="Z1451" s="28">
        <v>0</v>
      </c>
      <c r="AA1451" s="28">
        <v>0</v>
      </c>
      <c r="AB1451" s="28">
        <v>0</v>
      </c>
      <c r="AC1451" s="28">
        <v>0.92</v>
      </c>
      <c r="AD1451" s="26">
        <v>1</v>
      </c>
      <c r="AE1451" s="26">
        <v>0.96666666666666667</v>
      </c>
      <c r="AF1451" s="26">
        <v>1</v>
      </c>
      <c r="AG1451" s="26">
        <v>0.75850340136054417</v>
      </c>
      <c r="AH1451" s="28">
        <v>0.92</v>
      </c>
      <c r="AI1451" s="26">
        <v>0</v>
      </c>
      <c r="AJ1451" s="26">
        <v>0</v>
      </c>
      <c r="AK1451" s="26">
        <v>0</v>
      </c>
      <c r="AL1451" s="26">
        <v>0</v>
      </c>
      <c r="AM1451" s="25">
        <v>0.99</v>
      </c>
      <c r="AN1451" s="30">
        <v>0</v>
      </c>
      <c r="AO1451" s="30">
        <v>0</v>
      </c>
      <c r="AP1451" s="30">
        <v>1</v>
      </c>
      <c r="AQ1451" s="30">
        <v>1</v>
      </c>
      <c r="AR1451" s="50">
        <v>0.110069253262963</v>
      </c>
      <c r="AS1451" s="34">
        <v>0</v>
      </c>
      <c r="AT1451" s="34">
        <v>0</v>
      </c>
      <c r="AU1451" s="34">
        <v>0</v>
      </c>
      <c r="AV1451" s="34">
        <v>0</v>
      </c>
      <c r="AW1451" s="10"/>
      <c r="AX1451" s="8"/>
    </row>
    <row r="1452" spans="1:50">
      <c r="A1452" s="7"/>
      <c r="B1452" s="10"/>
      <c r="C1452" s="45" t="s">
        <v>1468</v>
      </c>
      <c r="D1452" s="23" t="s">
        <v>27</v>
      </c>
      <c r="E1452" s="88" t="s">
        <v>1496</v>
      </c>
      <c r="F1452" s="88" t="s">
        <v>1496</v>
      </c>
      <c r="G1452" s="88" t="s">
        <v>1496</v>
      </c>
      <c r="H1452" s="88" t="s">
        <v>1496</v>
      </c>
      <c r="I1452" s="25">
        <v>0.9</v>
      </c>
      <c r="J1452" s="26">
        <v>0</v>
      </c>
      <c r="K1452" s="26">
        <v>0</v>
      </c>
      <c r="L1452" s="27">
        <v>0</v>
      </c>
      <c r="M1452" s="26">
        <v>0</v>
      </c>
      <c r="N1452" s="28">
        <v>0.9</v>
      </c>
      <c r="O1452" s="26">
        <v>0</v>
      </c>
      <c r="P1452" s="26">
        <v>0</v>
      </c>
      <c r="Q1452" s="26">
        <v>0</v>
      </c>
      <c r="R1452" s="26">
        <v>0</v>
      </c>
      <c r="S1452" s="28">
        <v>0.9</v>
      </c>
      <c r="T1452" s="26">
        <v>0</v>
      </c>
      <c r="U1452" s="26">
        <v>0</v>
      </c>
      <c r="V1452" s="26">
        <v>0</v>
      </c>
      <c r="W1452" s="26">
        <v>0</v>
      </c>
      <c r="X1452" s="28">
        <v>0.92</v>
      </c>
      <c r="Y1452" s="28">
        <v>0</v>
      </c>
      <c r="Z1452" s="28">
        <v>0</v>
      </c>
      <c r="AA1452" s="28">
        <v>0</v>
      </c>
      <c r="AB1452" s="28">
        <v>0</v>
      </c>
      <c r="AC1452" s="28">
        <v>0.92</v>
      </c>
      <c r="AD1452" s="26">
        <v>1</v>
      </c>
      <c r="AE1452" s="26">
        <v>0.94444444444444442</v>
      </c>
      <c r="AF1452" s="26">
        <v>1</v>
      </c>
      <c r="AG1452" s="26">
        <v>0.99003322259136217</v>
      </c>
      <c r="AH1452" s="28">
        <v>0.92</v>
      </c>
      <c r="AI1452" s="26">
        <v>0</v>
      </c>
      <c r="AJ1452" s="26">
        <v>0</v>
      </c>
      <c r="AK1452" s="26">
        <v>0</v>
      </c>
      <c r="AL1452" s="26">
        <v>0</v>
      </c>
      <c r="AM1452" s="25">
        <v>0.99</v>
      </c>
      <c r="AN1452" s="30">
        <v>0</v>
      </c>
      <c r="AO1452" s="30">
        <v>0</v>
      </c>
      <c r="AP1452" s="30">
        <v>0</v>
      </c>
      <c r="AQ1452" s="30">
        <v>1</v>
      </c>
      <c r="AR1452" s="50">
        <v>0.110069253262963</v>
      </c>
      <c r="AS1452" s="34">
        <v>0</v>
      </c>
      <c r="AT1452" s="34">
        <v>0</v>
      </c>
      <c r="AU1452" s="34">
        <v>0</v>
      </c>
      <c r="AV1452" s="34">
        <v>0</v>
      </c>
      <c r="AW1452" s="10"/>
      <c r="AX1452" s="8"/>
    </row>
    <row r="1453" spans="1:50">
      <c r="A1453" s="7"/>
      <c r="B1453" s="10"/>
      <c r="C1453" s="45" t="s">
        <v>1468</v>
      </c>
      <c r="D1453" s="23" t="s">
        <v>27</v>
      </c>
      <c r="E1453" s="88" t="s">
        <v>1497</v>
      </c>
      <c r="F1453" s="88" t="s">
        <v>1497</v>
      </c>
      <c r="G1453" s="88" t="s">
        <v>1497</v>
      </c>
      <c r="H1453" s="88" t="s">
        <v>1497</v>
      </c>
      <c r="I1453" s="25">
        <v>0.9</v>
      </c>
      <c r="J1453" s="26">
        <v>0</v>
      </c>
      <c r="K1453" s="26">
        <v>0</v>
      </c>
      <c r="L1453" s="27">
        <v>0</v>
      </c>
      <c r="M1453" s="26">
        <v>0</v>
      </c>
      <c r="N1453" s="28">
        <v>0.9</v>
      </c>
      <c r="O1453" s="26">
        <v>0</v>
      </c>
      <c r="P1453" s="26">
        <v>0</v>
      </c>
      <c r="Q1453" s="26">
        <v>0</v>
      </c>
      <c r="R1453" s="26">
        <v>0</v>
      </c>
      <c r="S1453" s="28">
        <v>0.9</v>
      </c>
      <c r="T1453" s="26">
        <v>0</v>
      </c>
      <c r="U1453" s="26">
        <v>0</v>
      </c>
      <c r="V1453" s="26">
        <v>0</v>
      </c>
      <c r="W1453" s="26">
        <v>0</v>
      </c>
      <c r="X1453" s="28">
        <v>0.92</v>
      </c>
      <c r="Y1453" s="28">
        <v>0</v>
      </c>
      <c r="Z1453" s="28">
        <v>0</v>
      </c>
      <c r="AA1453" s="28">
        <v>0</v>
      </c>
      <c r="AB1453" s="28">
        <v>0</v>
      </c>
      <c r="AC1453" s="28">
        <v>0.92</v>
      </c>
      <c r="AD1453" s="26">
        <v>1</v>
      </c>
      <c r="AE1453" s="26">
        <v>1</v>
      </c>
      <c r="AF1453" s="26">
        <v>1</v>
      </c>
      <c r="AG1453" s="26">
        <v>0.99775280898876406</v>
      </c>
      <c r="AH1453" s="28">
        <v>0.92</v>
      </c>
      <c r="AI1453" s="26">
        <v>0</v>
      </c>
      <c r="AJ1453" s="26">
        <v>0</v>
      </c>
      <c r="AK1453" s="26">
        <v>0</v>
      </c>
      <c r="AL1453" s="26">
        <v>0</v>
      </c>
      <c r="AM1453" s="25">
        <v>0.99</v>
      </c>
      <c r="AN1453" s="30">
        <v>0</v>
      </c>
      <c r="AO1453" s="30">
        <v>0</v>
      </c>
      <c r="AP1453" s="30">
        <v>0</v>
      </c>
      <c r="AQ1453" s="30">
        <v>0</v>
      </c>
      <c r="AR1453" s="50">
        <v>0.110069253262963</v>
      </c>
      <c r="AS1453" s="34">
        <v>0</v>
      </c>
      <c r="AT1453" s="34">
        <v>0</v>
      </c>
      <c r="AU1453" s="34">
        <v>0</v>
      </c>
      <c r="AV1453" s="34">
        <v>0</v>
      </c>
      <c r="AW1453" s="10"/>
      <c r="AX1453" s="8"/>
    </row>
    <row r="1454" spans="1:50">
      <c r="A1454" s="7"/>
      <c r="B1454" s="10"/>
      <c r="C1454" s="45" t="s">
        <v>1468</v>
      </c>
      <c r="D1454" s="23" t="s">
        <v>27</v>
      </c>
      <c r="E1454" s="88" t="s">
        <v>1498</v>
      </c>
      <c r="F1454" s="88" t="s">
        <v>1498</v>
      </c>
      <c r="G1454" s="88" t="s">
        <v>1498</v>
      </c>
      <c r="H1454" s="88" t="s">
        <v>1498</v>
      </c>
      <c r="I1454" s="25">
        <v>0.9</v>
      </c>
      <c r="J1454" s="26">
        <v>0</v>
      </c>
      <c r="K1454" s="26">
        <v>0</v>
      </c>
      <c r="L1454" s="27">
        <v>0</v>
      </c>
      <c r="M1454" s="26">
        <v>0</v>
      </c>
      <c r="N1454" s="28">
        <v>0.9</v>
      </c>
      <c r="O1454" s="26">
        <v>0</v>
      </c>
      <c r="P1454" s="26">
        <v>0</v>
      </c>
      <c r="Q1454" s="26">
        <v>0</v>
      </c>
      <c r="R1454" s="26">
        <v>0</v>
      </c>
      <c r="S1454" s="28">
        <v>0.9</v>
      </c>
      <c r="T1454" s="26">
        <v>1</v>
      </c>
      <c r="U1454" s="26">
        <v>1</v>
      </c>
      <c r="V1454" s="26">
        <v>1</v>
      </c>
      <c r="W1454" s="26">
        <v>0.98701298701298701</v>
      </c>
      <c r="X1454" s="28">
        <v>0.92</v>
      </c>
      <c r="Y1454" s="28">
        <v>0</v>
      </c>
      <c r="Z1454" s="28">
        <v>0</v>
      </c>
      <c r="AA1454" s="28">
        <v>1</v>
      </c>
      <c r="AB1454" s="28">
        <v>0.10869565217391304</v>
      </c>
      <c r="AC1454" s="28">
        <v>0.92</v>
      </c>
      <c r="AD1454" s="26">
        <v>0.99720953830542869</v>
      </c>
      <c r="AE1454" s="26">
        <v>0.99653279399017625</v>
      </c>
      <c r="AF1454" s="26">
        <v>0.99923710711016178</v>
      </c>
      <c r="AG1454" s="26">
        <v>0.99350580892740425</v>
      </c>
      <c r="AH1454" s="28">
        <v>0.92</v>
      </c>
      <c r="AI1454" s="26">
        <v>0.33870967741935482</v>
      </c>
      <c r="AJ1454" s="26">
        <v>1</v>
      </c>
      <c r="AK1454" s="26">
        <v>1</v>
      </c>
      <c r="AL1454" s="26">
        <v>0.71812080536912748</v>
      </c>
      <c r="AM1454" s="25">
        <v>0.99</v>
      </c>
      <c r="AN1454" s="30">
        <v>1</v>
      </c>
      <c r="AO1454" s="30">
        <v>1</v>
      </c>
      <c r="AP1454" s="30">
        <v>1</v>
      </c>
      <c r="AQ1454" s="30">
        <v>1</v>
      </c>
      <c r="AR1454" s="50">
        <v>0.110069253262963</v>
      </c>
      <c r="AS1454" s="34">
        <v>0</v>
      </c>
      <c r="AT1454" s="34">
        <v>0</v>
      </c>
      <c r="AU1454" s="34">
        <v>0</v>
      </c>
      <c r="AV1454" s="34">
        <v>0</v>
      </c>
      <c r="AW1454" s="10"/>
      <c r="AX1454" s="8"/>
    </row>
    <row r="1455" spans="1:50">
      <c r="A1455" s="7"/>
      <c r="B1455" s="10"/>
      <c r="C1455" s="45" t="s">
        <v>1468</v>
      </c>
      <c r="D1455" s="23" t="s">
        <v>27</v>
      </c>
      <c r="E1455" s="88" t="s">
        <v>1499</v>
      </c>
      <c r="F1455" s="88" t="s">
        <v>1499</v>
      </c>
      <c r="G1455" s="88" t="s">
        <v>1499</v>
      </c>
      <c r="H1455" s="88" t="s">
        <v>1499</v>
      </c>
      <c r="I1455" s="25">
        <v>0.9</v>
      </c>
      <c r="J1455" s="26">
        <v>0</v>
      </c>
      <c r="K1455" s="26">
        <v>0</v>
      </c>
      <c r="L1455" s="27">
        <v>0</v>
      </c>
      <c r="M1455" s="26">
        <v>0</v>
      </c>
      <c r="N1455" s="28">
        <v>0.9</v>
      </c>
      <c r="O1455" s="26">
        <v>0</v>
      </c>
      <c r="P1455" s="26">
        <v>0</v>
      </c>
      <c r="Q1455" s="26">
        <v>0</v>
      </c>
      <c r="R1455" s="26">
        <v>0</v>
      </c>
      <c r="S1455" s="28">
        <v>0.9</v>
      </c>
      <c r="T1455" s="26">
        <v>0</v>
      </c>
      <c r="U1455" s="26">
        <v>0</v>
      </c>
      <c r="V1455" s="26">
        <v>0</v>
      </c>
      <c r="W1455" s="26">
        <v>0</v>
      </c>
      <c r="X1455" s="28">
        <v>0.92</v>
      </c>
      <c r="Y1455" s="28">
        <v>0</v>
      </c>
      <c r="Z1455" s="28">
        <v>0</v>
      </c>
      <c r="AA1455" s="28">
        <v>0</v>
      </c>
      <c r="AB1455" s="28">
        <v>0</v>
      </c>
      <c r="AC1455" s="28">
        <v>0.92</v>
      </c>
      <c r="AD1455" s="26">
        <v>1</v>
      </c>
      <c r="AE1455" s="26">
        <v>1</v>
      </c>
      <c r="AF1455" s="26">
        <v>1</v>
      </c>
      <c r="AG1455" s="26">
        <v>0.9998019801980198</v>
      </c>
      <c r="AH1455" s="28">
        <v>0.92</v>
      </c>
      <c r="AI1455" s="26">
        <v>0</v>
      </c>
      <c r="AJ1455" s="26">
        <v>0</v>
      </c>
      <c r="AK1455" s="26">
        <v>0</v>
      </c>
      <c r="AL1455" s="26">
        <v>0</v>
      </c>
      <c r="AM1455" s="25">
        <v>0.99</v>
      </c>
      <c r="AN1455" s="30">
        <v>0</v>
      </c>
      <c r="AO1455" s="30">
        <v>0</v>
      </c>
      <c r="AP1455" s="30">
        <v>1</v>
      </c>
      <c r="AQ1455" s="30">
        <v>1</v>
      </c>
      <c r="AR1455" s="50">
        <v>0.110069253262963</v>
      </c>
      <c r="AS1455" s="34">
        <v>0</v>
      </c>
      <c r="AT1455" s="34">
        <v>0</v>
      </c>
      <c r="AU1455" s="34">
        <v>0</v>
      </c>
      <c r="AV1455" s="34">
        <v>0</v>
      </c>
      <c r="AW1455" s="10"/>
      <c r="AX1455" s="8"/>
    </row>
    <row r="1456" spans="1:50">
      <c r="A1456" s="7"/>
      <c r="B1456" s="10"/>
      <c r="C1456" s="45" t="s">
        <v>1468</v>
      </c>
      <c r="D1456" s="23" t="s">
        <v>27</v>
      </c>
      <c r="E1456" s="88" t="s">
        <v>1500</v>
      </c>
      <c r="F1456" s="88" t="s">
        <v>1500</v>
      </c>
      <c r="G1456" s="88" t="s">
        <v>1500</v>
      </c>
      <c r="H1456" s="88" t="s">
        <v>1500</v>
      </c>
      <c r="I1456" s="25">
        <v>0.9</v>
      </c>
      <c r="J1456" s="26">
        <v>0</v>
      </c>
      <c r="K1456" s="26">
        <v>0</v>
      </c>
      <c r="L1456" s="27">
        <v>0</v>
      </c>
      <c r="M1456" s="26">
        <v>0</v>
      </c>
      <c r="N1456" s="28">
        <v>0.9</v>
      </c>
      <c r="O1456" s="26">
        <v>0</v>
      </c>
      <c r="P1456" s="26">
        <v>0</v>
      </c>
      <c r="Q1456" s="26">
        <v>0</v>
      </c>
      <c r="R1456" s="26">
        <v>0</v>
      </c>
      <c r="S1456" s="28">
        <v>0.9</v>
      </c>
      <c r="T1456" s="26">
        <v>0</v>
      </c>
      <c r="U1456" s="26">
        <v>0</v>
      </c>
      <c r="V1456" s="26">
        <v>0</v>
      </c>
      <c r="W1456" s="26">
        <v>0</v>
      </c>
      <c r="X1456" s="28">
        <v>0.92</v>
      </c>
      <c r="Y1456" s="28">
        <v>0</v>
      </c>
      <c r="Z1456" s="28">
        <v>0</v>
      </c>
      <c r="AA1456" s="28">
        <v>0</v>
      </c>
      <c r="AB1456" s="28">
        <v>0</v>
      </c>
      <c r="AC1456" s="28">
        <v>0.92</v>
      </c>
      <c r="AD1456" s="26">
        <v>0.99650349650349646</v>
      </c>
      <c r="AE1456" s="26">
        <v>0.99378881987577639</v>
      </c>
      <c r="AF1456" s="26">
        <v>0.92274678111587982</v>
      </c>
      <c r="AG1456" s="26">
        <v>0.76289791437980237</v>
      </c>
      <c r="AH1456" s="28">
        <v>0.92</v>
      </c>
      <c r="AI1456" s="26">
        <v>0</v>
      </c>
      <c r="AJ1456" s="26">
        <v>0</v>
      </c>
      <c r="AK1456" s="26">
        <v>0</v>
      </c>
      <c r="AL1456" s="26">
        <v>0</v>
      </c>
      <c r="AM1456" s="25">
        <v>0.99</v>
      </c>
      <c r="AN1456" s="30">
        <v>0</v>
      </c>
      <c r="AO1456" s="30">
        <v>0</v>
      </c>
      <c r="AP1456" s="30">
        <v>0</v>
      </c>
      <c r="AQ1456" s="30">
        <v>1</v>
      </c>
      <c r="AR1456" s="50">
        <v>0.110069253262963</v>
      </c>
      <c r="AS1456" s="34">
        <v>0</v>
      </c>
      <c r="AT1456" s="34">
        <v>0</v>
      </c>
      <c r="AU1456" s="34">
        <v>0</v>
      </c>
      <c r="AV1456" s="34">
        <v>0</v>
      </c>
      <c r="AW1456" s="10"/>
      <c r="AX1456" s="8"/>
    </row>
    <row r="1457" spans="1:50">
      <c r="A1457" s="7"/>
      <c r="B1457" s="10"/>
      <c r="C1457" s="45" t="s">
        <v>1468</v>
      </c>
      <c r="D1457" s="23" t="s">
        <v>27</v>
      </c>
      <c r="E1457" s="90" t="s">
        <v>1501</v>
      </c>
      <c r="F1457" s="90" t="s">
        <v>1501</v>
      </c>
      <c r="G1457" s="90" t="s">
        <v>1501</v>
      </c>
      <c r="H1457" s="90" t="s">
        <v>1501</v>
      </c>
      <c r="I1457" s="25">
        <v>0.9</v>
      </c>
      <c r="J1457" s="26">
        <v>0</v>
      </c>
      <c r="K1457" s="26">
        <v>0</v>
      </c>
      <c r="L1457" s="27">
        <v>0</v>
      </c>
      <c r="M1457" s="26">
        <v>0</v>
      </c>
      <c r="N1457" s="28">
        <v>0.9</v>
      </c>
      <c r="O1457" s="26">
        <v>0</v>
      </c>
      <c r="P1457" s="26">
        <v>0</v>
      </c>
      <c r="Q1457" s="26">
        <v>0</v>
      </c>
      <c r="R1457" s="26">
        <v>0</v>
      </c>
      <c r="S1457" s="28">
        <v>0.9</v>
      </c>
      <c r="T1457" s="26">
        <v>0</v>
      </c>
      <c r="U1457" s="26">
        <v>0</v>
      </c>
      <c r="V1457" s="26">
        <v>0</v>
      </c>
      <c r="W1457" s="26">
        <v>0</v>
      </c>
      <c r="X1457" s="28">
        <v>0.92</v>
      </c>
      <c r="Y1457" s="28">
        <v>0</v>
      </c>
      <c r="Z1457" s="28">
        <v>0</v>
      </c>
      <c r="AA1457" s="28">
        <v>0</v>
      </c>
      <c r="AB1457" s="28">
        <v>0</v>
      </c>
      <c r="AC1457" s="28">
        <v>0.92</v>
      </c>
      <c r="AD1457" s="26">
        <v>0.88405797101449279</v>
      </c>
      <c r="AE1457" s="26">
        <v>0.93650793650793651</v>
      </c>
      <c r="AF1457" s="26">
        <v>0.94084507042253518</v>
      </c>
      <c r="AG1457" s="26">
        <v>0.82930693069306927</v>
      </c>
      <c r="AH1457" s="28">
        <v>0.92</v>
      </c>
      <c r="AI1457" s="26">
        <v>0</v>
      </c>
      <c r="AJ1457" s="26">
        <v>0</v>
      </c>
      <c r="AK1457" s="26">
        <v>0</v>
      </c>
      <c r="AL1457" s="26">
        <v>0</v>
      </c>
      <c r="AM1457" s="25">
        <v>0.99</v>
      </c>
      <c r="AN1457" s="30">
        <v>1</v>
      </c>
      <c r="AO1457" s="30">
        <v>1</v>
      </c>
      <c r="AP1457" s="30">
        <v>1</v>
      </c>
      <c r="AQ1457" s="30">
        <v>1</v>
      </c>
      <c r="AR1457" s="50">
        <v>0.110069253262963</v>
      </c>
      <c r="AS1457" s="34">
        <v>0</v>
      </c>
      <c r="AT1457" s="34">
        <v>0</v>
      </c>
      <c r="AU1457" s="34">
        <v>0</v>
      </c>
      <c r="AV1457" s="34">
        <v>0</v>
      </c>
      <c r="AW1457" s="10"/>
      <c r="AX1457" s="8"/>
    </row>
    <row r="1458" spans="1:50">
      <c r="A1458" s="7"/>
      <c r="B1458" s="10"/>
      <c r="C1458" s="45" t="s">
        <v>1468</v>
      </c>
      <c r="D1458" s="23" t="s">
        <v>27</v>
      </c>
      <c r="E1458" s="90" t="s">
        <v>1502</v>
      </c>
      <c r="F1458" s="90" t="s">
        <v>1502</v>
      </c>
      <c r="G1458" s="90" t="s">
        <v>1502</v>
      </c>
      <c r="H1458" s="90" t="s">
        <v>1502</v>
      </c>
      <c r="I1458" s="25">
        <v>0.9</v>
      </c>
      <c r="J1458" s="26">
        <v>0</v>
      </c>
      <c r="K1458" s="26">
        <v>0</v>
      </c>
      <c r="L1458" s="27">
        <v>0</v>
      </c>
      <c r="M1458" s="26">
        <v>0</v>
      </c>
      <c r="N1458" s="28">
        <v>0.9</v>
      </c>
      <c r="O1458" s="26">
        <v>0</v>
      </c>
      <c r="P1458" s="26">
        <v>0</v>
      </c>
      <c r="Q1458" s="26">
        <v>0</v>
      </c>
      <c r="R1458" s="26">
        <v>0</v>
      </c>
      <c r="S1458" s="28">
        <v>0.9</v>
      </c>
      <c r="T1458" s="26">
        <v>0</v>
      </c>
      <c r="U1458" s="26">
        <v>0</v>
      </c>
      <c r="V1458" s="26">
        <v>0</v>
      </c>
      <c r="W1458" s="26">
        <v>0</v>
      </c>
      <c r="X1458" s="28">
        <v>0.92</v>
      </c>
      <c r="Y1458" s="28">
        <v>0</v>
      </c>
      <c r="Z1458" s="28">
        <v>0</v>
      </c>
      <c r="AA1458" s="28">
        <v>0</v>
      </c>
      <c r="AB1458" s="28">
        <v>0</v>
      </c>
      <c r="AC1458" s="28">
        <v>0.92</v>
      </c>
      <c r="AD1458" s="26">
        <v>1</v>
      </c>
      <c r="AE1458" s="26">
        <v>1</v>
      </c>
      <c r="AF1458" s="26">
        <v>1</v>
      </c>
      <c r="AG1458" s="26">
        <v>0.99937539038101186</v>
      </c>
      <c r="AH1458" s="28">
        <v>0.92</v>
      </c>
      <c r="AI1458" s="26">
        <v>0</v>
      </c>
      <c r="AJ1458" s="26">
        <v>0</v>
      </c>
      <c r="AK1458" s="26">
        <v>0</v>
      </c>
      <c r="AL1458" s="26">
        <v>0</v>
      </c>
      <c r="AM1458" s="25">
        <v>0.99</v>
      </c>
      <c r="AN1458" s="30">
        <v>1</v>
      </c>
      <c r="AO1458" s="30">
        <v>1</v>
      </c>
      <c r="AP1458" s="30">
        <v>1</v>
      </c>
      <c r="AQ1458" s="30">
        <v>1</v>
      </c>
      <c r="AR1458" s="50">
        <v>0.110069253262963</v>
      </c>
      <c r="AS1458" s="34">
        <v>0</v>
      </c>
      <c r="AT1458" s="34">
        <v>0</v>
      </c>
      <c r="AU1458" s="34">
        <v>0</v>
      </c>
      <c r="AV1458" s="34">
        <v>0</v>
      </c>
      <c r="AW1458" s="10"/>
      <c r="AX1458" s="8"/>
    </row>
    <row r="1459" spans="1:50">
      <c r="A1459" s="7"/>
      <c r="B1459" s="10"/>
      <c r="C1459" s="45" t="s">
        <v>1468</v>
      </c>
      <c r="D1459" s="23" t="s">
        <v>27</v>
      </c>
      <c r="E1459" s="88" t="s">
        <v>1503</v>
      </c>
      <c r="F1459" s="88" t="s">
        <v>1503</v>
      </c>
      <c r="G1459" s="88" t="s">
        <v>1503</v>
      </c>
      <c r="H1459" s="88" t="s">
        <v>1503</v>
      </c>
      <c r="I1459" s="25">
        <v>0.9</v>
      </c>
      <c r="J1459" s="26">
        <v>0</v>
      </c>
      <c r="K1459" s="26">
        <v>0</v>
      </c>
      <c r="L1459" s="27">
        <v>0</v>
      </c>
      <c r="M1459" s="26">
        <v>0</v>
      </c>
      <c r="N1459" s="28">
        <v>0.9</v>
      </c>
      <c r="O1459" s="26">
        <v>0</v>
      </c>
      <c r="P1459" s="26">
        <v>0</v>
      </c>
      <c r="Q1459" s="26">
        <v>0</v>
      </c>
      <c r="R1459" s="26">
        <v>0</v>
      </c>
      <c r="S1459" s="28">
        <v>0.9</v>
      </c>
      <c r="T1459" s="26">
        <v>1</v>
      </c>
      <c r="U1459" s="26">
        <v>1</v>
      </c>
      <c r="V1459" s="26">
        <v>0</v>
      </c>
      <c r="W1459" s="26">
        <v>1</v>
      </c>
      <c r="X1459" s="28">
        <v>0.92</v>
      </c>
      <c r="Y1459" s="28">
        <v>0</v>
      </c>
      <c r="Z1459" s="28">
        <v>0</v>
      </c>
      <c r="AA1459" s="28">
        <v>0</v>
      </c>
      <c r="AB1459" s="28">
        <v>0</v>
      </c>
      <c r="AC1459" s="28">
        <v>0.92</v>
      </c>
      <c r="AD1459" s="26">
        <v>0.97396449704142007</v>
      </c>
      <c r="AE1459" s="26">
        <v>0.98533333333333328</v>
      </c>
      <c r="AF1459" s="26">
        <v>0.99778024417314093</v>
      </c>
      <c r="AG1459" s="26">
        <v>0.9931219594027848</v>
      </c>
      <c r="AH1459" s="28">
        <v>0.92</v>
      </c>
      <c r="AI1459" s="26">
        <v>1</v>
      </c>
      <c r="AJ1459" s="26">
        <v>1</v>
      </c>
      <c r="AK1459" s="26">
        <v>1</v>
      </c>
      <c r="AL1459" s="26">
        <v>1</v>
      </c>
      <c r="AM1459" s="25">
        <v>0.99</v>
      </c>
      <c r="AN1459" s="30">
        <v>1</v>
      </c>
      <c r="AO1459" s="30">
        <v>1</v>
      </c>
      <c r="AP1459" s="30">
        <v>1</v>
      </c>
      <c r="AQ1459" s="30">
        <v>1</v>
      </c>
      <c r="AR1459" s="50">
        <v>0.110069253262963</v>
      </c>
      <c r="AS1459" s="34">
        <v>0</v>
      </c>
      <c r="AT1459" s="34">
        <v>0</v>
      </c>
      <c r="AU1459" s="34">
        <v>0</v>
      </c>
      <c r="AV1459" s="34">
        <v>0</v>
      </c>
      <c r="AW1459" s="10"/>
      <c r="AX1459" s="8"/>
    </row>
    <row r="1460" spans="1:50">
      <c r="A1460" s="7"/>
      <c r="B1460" s="10"/>
      <c r="C1460" s="45" t="s">
        <v>1468</v>
      </c>
      <c r="D1460" s="23" t="s">
        <v>27</v>
      </c>
      <c r="E1460" s="61" t="s">
        <v>1504</v>
      </c>
      <c r="F1460" s="61" t="s">
        <v>1504</v>
      </c>
      <c r="G1460" s="61" t="s">
        <v>1504</v>
      </c>
      <c r="H1460" s="61" t="s">
        <v>1504</v>
      </c>
      <c r="I1460" s="25">
        <v>0.9</v>
      </c>
      <c r="J1460" s="26">
        <v>1</v>
      </c>
      <c r="K1460" s="26">
        <v>1</v>
      </c>
      <c r="L1460" s="27">
        <v>0.9285714285714286</v>
      </c>
      <c r="M1460" s="26">
        <v>0.99122807017543857</v>
      </c>
      <c r="N1460" s="28">
        <v>0.9</v>
      </c>
      <c r="O1460" s="26">
        <v>0.9985304922850845</v>
      </c>
      <c r="P1460" s="26">
        <v>0.9965397923875432</v>
      </c>
      <c r="Q1460" s="26">
        <v>0.99732381801962533</v>
      </c>
      <c r="R1460" s="26">
        <v>0.99292278440899973</v>
      </c>
      <c r="S1460" s="28">
        <v>0.9</v>
      </c>
      <c r="T1460" s="26">
        <v>0.91329904481998525</v>
      </c>
      <c r="U1460" s="26">
        <v>0.92387543252595161</v>
      </c>
      <c r="V1460" s="26">
        <v>0.90633363068688666</v>
      </c>
      <c r="W1460" s="26">
        <v>0.90958064856871235</v>
      </c>
      <c r="X1460" s="28">
        <v>0.92</v>
      </c>
      <c r="Y1460" s="28">
        <v>0</v>
      </c>
      <c r="Z1460" s="28">
        <v>0</v>
      </c>
      <c r="AA1460" s="28">
        <v>0</v>
      </c>
      <c r="AB1460" s="28">
        <v>0</v>
      </c>
      <c r="AC1460" s="28">
        <v>0.92</v>
      </c>
      <c r="AD1460" s="26">
        <v>1</v>
      </c>
      <c r="AE1460" s="26">
        <v>1</v>
      </c>
      <c r="AF1460" s="26">
        <v>1</v>
      </c>
      <c r="AG1460" s="26">
        <v>0.970873786407767</v>
      </c>
      <c r="AH1460" s="28">
        <v>0.92</v>
      </c>
      <c r="AI1460" s="26">
        <v>0.95224099926524619</v>
      </c>
      <c r="AJ1460" s="26">
        <v>0.9965397923875432</v>
      </c>
      <c r="AK1460" s="26">
        <v>0.98572702943800183</v>
      </c>
      <c r="AL1460" s="26">
        <v>0.981937255730432</v>
      </c>
      <c r="AM1460" s="25">
        <v>0.99</v>
      </c>
      <c r="AN1460" s="30">
        <v>1</v>
      </c>
      <c r="AO1460" s="30">
        <v>1</v>
      </c>
      <c r="AP1460" s="30">
        <v>1</v>
      </c>
      <c r="AQ1460" s="30">
        <v>1</v>
      </c>
      <c r="AR1460" s="50">
        <v>0.110069253262963</v>
      </c>
      <c r="AS1460" s="34">
        <v>7.1428571428571425E-2</v>
      </c>
      <c r="AT1460" s="34">
        <v>0.2857142857142857</v>
      </c>
      <c r="AU1460" s="34">
        <v>0.1</v>
      </c>
      <c r="AV1460" s="34">
        <v>0.11</v>
      </c>
      <c r="AW1460" s="10"/>
      <c r="AX1460" s="8"/>
    </row>
    <row r="1461" spans="1:50">
      <c r="A1461" s="7"/>
      <c r="B1461" s="10"/>
      <c r="C1461" s="45" t="s">
        <v>1468</v>
      </c>
      <c r="D1461" s="23" t="s">
        <v>27</v>
      </c>
      <c r="E1461" s="61" t="s">
        <v>1505</v>
      </c>
      <c r="F1461" s="61" t="s">
        <v>1505</v>
      </c>
      <c r="G1461" s="61" t="s">
        <v>1505</v>
      </c>
      <c r="H1461" s="61" t="s">
        <v>1505</v>
      </c>
      <c r="I1461" s="25">
        <v>0.9</v>
      </c>
      <c r="J1461" s="26">
        <v>1</v>
      </c>
      <c r="K1461" s="26">
        <v>1</v>
      </c>
      <c r="L1461" s="27">
        <v>0.9375</v>
      </c>
      <c r="M1461" s="26">
        <v>0.9850746268656716</v>
      </c>
      <c r="N1461" s="28">
        <v>0.9</v>
      </c>
      <c r="O1461" s="26">
        <v>0.99922178988326849</v>
      </c>
      <c r="P1461" s="26">
        <v>0.99841938883034775</v>
      </c>
      <c r="Q1461" s="26">
        <v>0.99929627023223078</v>
      </c>
      <c r="R1461" s="26">
        <v>0.99879951980792314</v>
      </c>
      <c r="S1461" s="28">
        <v>0.9</v>
      </c>
      <c r="T1461" s="26">
        <v>0.96757457846952011</v>
      </c>
      <c r="U1461" s="26">
        <v>0.95890410958904104</v>
      </c>
      <c r="V1461" s="26">
        <v>0.97044334975369462</v>
      </c>
      <c r="W1461" s="26">
        <v>0.96659353396531023</v>
      </c>
      <c r="X1461" s="28">
        <v>0.92</v>
      </c>
      <c r="Y1461" s="28">
        <v>0</v>
      </c>
      <c r="Z1461" s="28">
        <v>0</v>
      </c>
      <c r="AA1461" s="28">
        <v>0</v>
      </c>
      <c r="AB1461" s="28">
        <v>0</v>
      </c>
      <c r="AC1461" s="28">
        <v>0.92</v>
      </c>
      <c r="AD1461" s="26">
        <v>0.95</v>
      </c>
      <c r="AE1461" s="26">
        <v>1</v>
      </c>
      <c r="AF1461" s="26">
        <v>0.375</v>
      </c>
      <c r="AG1461" s="26">
        <v>0.77536231884057971</v>
      </c>
      <c r="AH1461" s="28">
        <v>0.92</v>
      </c>
      <c r="AI1461" s="26">
        <v>0.98391699092088192</v>
      </c>
      <c r="AJ1461" s="26">
        <v>0.987881981032666</v>
      </c>
      <c r="AK1461" s="26">
        <v>0.98838845883180859</v>
      </c>
      <c r="AL1461" s="26">
        <v>0.98836776089746248</v>
      </c>
      <c r="AM1461" s="25">
        <v>0.99</v>
      </c>
      <c r="AN1461" s="30">
        <v>1</v>
      </c>
      <c r="AO1461" s="30">
        <v>1</v>
      </c>
      <c r="AP1461" s="30">
        <v>1</v>
      </c>
      <c r="AQ1461" s="30">
        <v>1</v>
      </c>
      <c r="AR1461" s="50">
        <v>0.110069253262963</v>
      </c>
      <c r="AS1461" s="34">
        <v>0</v>
      </c>
      <c r="AT1461" s="34">
        <v>0</v>
      </c>
      <c r="AU1461" s="34">
        <v>8.3333333333333329E-2</v>
      </c>
      <c r="AV1461" s="34">
        <v>2.8037383177570093E-2</v>
      </c>
      <c r="AW1461" s="10"/>
      <c r="AX1461" s="8"/>
    </row>
    <row r="1462" spans="1:50">
      <c r="A1462" s="7"/>
      <c r="B1462" s="10"/>
      <c r="C1462" s="45" t="s">
        <v>1468</v>
      </c>
      <c r="D1462" s="23" t="s">
        <v>27</v>
      </c>
      <c r="E1462" s="61" t="s">
        <v>1506</v>
      </c>
      <c r="F1462" s="61" t="s">
        <v>1506</v>
      </c>
      <c r="G1462" s="61" t="s">
        <v>1506</v>
      </c>
      <c r="H1462" s="61" t="s">
        <v>1506</v>
      </c>
      <c r="I1462" s="25">
        <v>0.9</v>
      </c>
      <c r="J1462" s="26">
        <v>0</v>
      </c>
      <c r="K1462" s="26">
        <v>0</v>
      </c>
      <c r="L1462" s="27">
        <v>0</v>
      </c>
      <c r="M1462" s="26">
        <v>0</v>
      </c>
      <c r="N1462" s="28">
        <v>0.9</v>
      </c>
      <c r="O1462" s="26">
        <v>0</v>
      </c>
      <c r="P1462" s="26">
        <v>0</v>
      </c>
      <c r="Q1462" s="26">
        <v>0</v>
      </c>
      <c r="R1462" s="26">
        <v>0</v>
      </c>
      <c r="S1462" s="28">
        <v>0.9</v>
      </c>
      <c r="T1462" s="26">
        <v>0</v>
      </c>
      <c r="U1462" s="26">
        <v>0</v>
      </c>
      <c r="V1462" s="26">
        <v>0</v>
      </c>
      <c r="W1462" s="26">
        <v>0</v>
      </c>
      <c r="X1462" s="28">
        <v>0.92</v>
      </c>
      <c r="Y1462" s="28">
        <v>0</v>
      </c>
      <c r="Z1462" s="28">
        <v>0</v>
      </c>
      <c r="AA1462" s="28">
        <v>0</v>
      </c>
      <c r="AB1462" s="28">
        <v>0</v>
      </c>
      <c r="AC1462" s="28">
        <v>0.92</v>
      </c>
      <c r="AD1462" s="26">
        <v>0</v>
      </c>
      <c r="AE1462" s="26">
        <v>0</v>
      </c>
      <c r="AF1462" s="26">
        <v>0</v>
      </c>
      <c r="AG1462" s="26">
        <v>0</v>
      </c>
      <c r="AH1462" s="28">
        <v>0.92</v>
      </c>
      <c r="AI1462" s="26">
        <v>0</v>
      </c>
      <c r="AJ1462" s="26">
        <v>0</v>
      </c>
      <c r="AK1462" s="26">
        <v>0</v>
      </c>
      <c r="AL1462" s="26">
        <v>0</v>
      </c>
      <c r="AM1462" s="25">
        <v>0.99</v>
      </c>
      <c r="AN1462" s="30">
        <v>0</v>
      </c>
      <c r="AO1462" s="30">
        <v>0</v>
      </c>
      <c r="AP1462" s="30">
        <v>0</v>
      </c>
      <c r="AQ1462" s="30">
        <v>0</v>
      </c>
      <c r="AR1462" s="50">
        <v>0.110069253262963</v>
      </c>
      <c r="AS1462" s="34">
        <v>0</v>
      </c>
      <c r="AT1462" s="34">
        <v>0</v>
      </c>
      <c r="AU1462" s="34">
        <v>0</v>
      </c>
      <c r="AV1462" s="34">
        <v>0</v>
      </c>
      <c r="AW1462" s="10"/>
      <c r="AX1462" s="8"/>
    </row>
    <row r="1463" spans="1:50">
      <c r="A1463" s="7"/>
      <c r="B1463" s="10"/>
      <c r="C1463" s="45" t="s">
        <v>1468</v>
      </c>
      <c r="D1463" s="23" t="s">
        <v>27</v>
      </c>
      <c r="E1463" s="61" t="s">
        <v>1507</v>
      </c>
      <c r="F1463" s="61" t="s">
        <v>1507</v>
      </c>
      <c r="G1463" s="61" t="s">
        <v>1507</v>
      </c>
      <c r="H1463" s="61" t="s">
        <v>1507</v>
      </c>
      <c r="I1463" s="25">
        <v>0.9</v>
      </c>
      <c r="J1463" s="26">
        <v>0.7142857142857143</v>
      </c>
      <c r="K1463" s="26">
        <v>0.625</v>
      </c>
      <c r="L1463" s="27">
        <v>0.7142857142857143</v>
      </c>
      <c r="M1463" s="26">
        <v>0.78181818181818186</v>
      </c>
      <c r="N1463" s="28">
        <v>0.9</v>
      </c>
      <c r="O1463" s="26">
        <v>1</v>
      </c>
      <c r="P1463" s="26">
        <v>0.75308641975308643</v>
      </c>
      <c r="Q1463" s="26">
        <v>0.13793103448275862</v>
      </c>
      <c r="R1463" s="26">
        <v>0.66405667412378822</v>
      </c>
      <c r="S1463" s="28">
        <v>0.9</v>
      </c>
      <c r="T1463" s="26">
        <v>0.875</v>
      </c>
      <c r="U1463" s="26">
        <v>0.58377425044091713</v>
      </c>
      <c r="V1463" s="26">
        <v>0.13793103448275862</v>
      </c>
      <c r="W1463" s="26">
        <v>0.51864280387770323</v>
      </c>
      <c r="X1463" s="28">
        <v>0.92</v>
      </c>
      <c r="Y1463" s="28">
        <v>0</v>
      </c>
      <c r="Z1463" s="28">
        <v>0</v>
      </c>
      <c r="AA1463" s="28">
        <v>0</v>
      </c>
      <c r="AB1463" s="28">
        <v>0</v>
      </c>
      <c r="AC1463" s="28">
        <v>0.92</v>
      </c>
      <c r="AD1463" s="26">
        <v>0</v>
      </c>
      <c r="AE1463" s="26">
        <v>0</v>
      </c>
      <c r="AF1463" s="26">
        <v>1</v>
      </c>
      <c r="AG1463" s="26">
        <v>0.8571428571428571</v>
      </c>
      <c r="AH1463" s="28">
        <v>0.92</v>
      </c>
      <c r="AI1463" s="26">
        <v>0.77777777777777779</v>
      </c>
      <c r="AJ1463" s="26">
        <v>0.61749571183533447</v>
      </c>
      <c r="AK1463" s="26">
        <v>0.140625</v>
      </c>
      <c r="AL1463" s="26">
        <v>0.55857510099155339</v>
      </c>
      <c r="AM1463" s="25">
        <v>0.99</v>
      </c>
      <c r="AN1463" s="30">
        <v>0</v>
      </c>
      <c r="AO1463" s="30">
        <v>0</v>
      </c>
      <c r="AP1463" s="30">
        <v>0</v>
      </c>
      <c r="AQ1463" s="30">
        <v>0</v>
      </c>
      <c r="AR1463" s="50">
        <v>0.110069253262963</v>
      </c>
      <c r="AS1463" s="34">
        <v>0</v>
      </c>
      <c r="AT1463" s="34">
        <v>6.6666666666666666E-2</v>
      </c>
      <c r="AU1463" s="34">
        <v>0.375</v>
      </c>
      <c r="AV1463" s="34">
        <v>0.12658227848101267</v>
      </c>
      <c r="AW1463" s="10"/>
      <c r="AX1463" s="8"/>
    </row>
    <row r="1464" spans="1:50">
      <c r="A1464" s="7"/>
      <c r="B1464" s="10"/>
      <c r="C1464" s="45" t="s">
        <v>1468</v>
      </c>
      <c r="D1464" s="23" t="s">
        <v>27</v>
      </c>
      <c r="E1464" s="61" t="s">
        <v>1508</v>
      </c>
      <c r="F1464" s="61" t="s">
        <v>1508</v>
      </c>
      <c r="G1464" s="61" t="s">
        <v>1508</v>
      </c>
      <c r="H1464" s="61" t="s">
        <v>1508</v>
      </c>
      <c r="I1464" s="25">
        <v>0.9</v>
      </c>
      <c r="J1464" s="26">
        <v>1</v>
      </c>
      <c r="K1464" s="26">
        <v>1</v>
      </c>
      <c r="L1464" s="27">
        <v>0.7142857142857143</v>
      </c>
      <c r="M1464" s="26">
        <v>0.94117647058823528</v>
      </c>
      <c r="N1464" s="28">
        <v>0.9</v>
      </c>
      <c r="O1464" s="26">
        <v>0</v>
      </c>
      <c r="P1464" s="26">
        <v>0</v>
      </c>
      <c r="Q1464" s="26">
        <v>0</v>
      </c>
      <c r="R1464" s="26">
        <v>0</v>
      </c>
      <c r="S1464" s="28">
        <v>0.9</v>
      </c>
      <c r="T1464" s="26">
        <v>0</v>
      </c>
      <c r="U1464" s="26">
        <v>0</v>
      </c>
      <c r="V1464" s="26">
        <v>0</v>
      </c>
      <c r="W1464" s="26">
        <v>0</v>
      </c>
      <c r="X1464" s="28">
        <v>0.92</v>
      </c>
      <c r="Y1464" s="28">
        <v>0</v>
      </c>
      <c r="Z1464" s="28">
        <v>0</v>
      </c>
      <c r="AA1464" s="28">
        <v>0</v>
      </c>
      <c r="AB1464" s="28">
        <v>0</v>
      </c>
      <c r="AC1464" s="28">
        <v>0.92</v>
      </c>
      <c r="AD1464" s="26">
        <v>0</v>
      </c>
      <c r="AE1464" s="26">
        <v>0</v>
      </c>
      <c r="AF1464" s="26">
        <v>0</v>
      </c>
      <c r="AG1464" s="26">
        <v>5.8823529411764705E-2</v>
      </c>
      <c r="AH1464" s="28">
        <v>0.92</v>
      </c>
      <c r="AI1464" s="26">
        <v>0.79383886255924174</v>
      </c>
      <c r="AJ1464" s="26">
        <v>0.88064046579330424</v>
      </c>
      <c r="AK1464" s="26">
        <v>0.91188524590163933</v>
      </c>
      <c r="AL1464" s="26">
        <v>0.8936170212765957</v>
      </c>
      <c r="AM1464" s="25">
        <v>0.99</v>
      </c>
      <c r="AN1464" s="30">
        <v>0</v>
      </c>
      <c r="AO1464" s="30">
        <v>0</v>
      </c>
      <c r="AP1464" s="30">
        <v>0</v>
      </c>
      <c r="AQ1464" s="30">
        <v>0</v>
      </c>
      <c r="AR1464" s="50">
        <v>0.110069253262963</v>
      </c>
      <c r="AS1464" s="34">
        <v>0.22222222222222221</v>
      </c>
      <c r="AT1464" s="34">
        <v>0.125</v>
      </c>
      <c r="AU1464" s="34">
        <v>0</v>
      </c>
      <c r="AV1464" s="34">
        <v>8.9743589743589744E-2</v>
      </c>
      <c r="AW1464" s="10"/>
      <c r="AX1464" s="8"/>
    </row>
    <row r="1465" spans="1:50">
      <c r="A1465" s="7"/>
      <c r="B1465" s="10"/>
      <c r="C1465" s="45" t="s">
        <v>1468</v>
      </c>
      <c r="D1465" s="23" t="s">
        <v>27</v>
      </c>
      <c r="E1465" s="61" t="s">
        <v>1509</v>
      </c>
      <c r="F1465" s="61" t="s">
        <v>1509</v>
      </c>
      <c r="G1465" s="61" t="s">
        <v>1509</v>
      </c>
      <c r="H1465" s="61" t="s">
        <v>1509</v>
      </c>
      <c r="I1465" s="25">
        <v>0.9</v>
      </c>
      <c r="J1465" s="26">
        <v>0.48148148148148145</v>
      </c>
      <c r="K1465" s="26">
        <v>0.54545454545454541</v>
      </c>
      <c r="L1465" s="27">
        <v>0.6</v>
      </c>
      <c r="M1465" s="26">
        <v>0.54922279792746109</v>
      </c>
      <c r="N1465" s="28">
        <v>0.9</v>
      </c>
      <c r="O1465" s="26">
        <v>0.90105008077544424</v>
      </c>
      <c r="P1465" s="26">
        <v>0.6586059743954481</v>
      </c>
      <c r="Q1465" s="26">
        <v>0.99254922831293246</v>
      </c>
      <c r="R1465" s="26">
        <v>0.81515925115487475</v>
      </c>
      <c r="S1465" s="28">
        <v>0.9</v>
      </c>
      <c r="T1465" s="26">
        <v>0.52907915993537968</v>
      </c>
      <c r="U1465" s="26">
        <v>0.44428639165481271</v>
      </c>
      <c r="V1465" s="26">
        <v>0.64342735497605108</v>
      </c>
      <c r="W1465" s="26">
        <v>0.53124240213955753</v>
      </c>
      <c r="X1465" s="28">
        <v>0.92</v>
      </c>
      <c r="Y1465" s="28">
        <v>0</v>
      </c>
      <c r="Z1465" s="28">
        <v>0</v>
      </c>
      <c r="AA1465" s="28">
        <v>0</v>
      </c>
      <c r="AB1465" s="28">
        <v>0</v>
      </c>
      <c r="AC1465" s="28">
        <v>0.92</v>
      </c>
      <c r="AD1465" s="26">
        <v>0.94736842105263153</v>
      </c>
      <c r="AE1465" s="26">
        <v>1</v>
      </c>
      <c r="AF1465" s="26">
        <v>1</v>
      </c>
      <c r="AG1465" s="26">
        <v>0.9821428571428571</v>
      </c>
      <c r="AH1465" s="28">
        <v>0.92</v>
      </c>
      <c r="AI1465" s="26">
        <v>0.76857835218093695</v>
      </c>
      <c r="AJ1465" s="26">
        <v>0.7074442863916548</v>
      </c>
      <c r="AK1465" s="26">
        <v>0.83714741883980837</v>
      </c>
      <c r="AL1465" s="26">
        <v>0.80531242402139558</v>
      </c>
      <c r="AM1465" s="25">
        <v>0.99</v>
      </c>
      <c r="AN1465" s="30">
        <v>1</v>
      </c>
      <c r="AO1465" s="30">
        <v>1</v>
      </c>
      <c r="AP1465" s="30">
        <v>1</v>
      </c>
      <c r="AQ1465" s="30">
        <v>1</v>
      </c>
      <c r="AR1465" s="50">
        <v>0.110069253262963</v>
      </c>
      <c r="AS1465" s="34">
        <v>5.128205128205128E-2</v>
      </c>
      <c r="AT1465" s="34">
        <v>4.3478260869565216E-2</v>
      </c>
      <c r="AU1465" s="34">
        <v>0.38095238095238093</v>
      </c>
      <c r="AV1465" s="34">
        <v>0.13440860215053763</v>
      </c>
      <c r="AW1465" s="10"/>
      <c r="AX1465" s="8"/>
    </row>
    <row r="1466" spans="1:50">
      <c r="A1466" s="7"/>
      <c r="B1466" s="10"/>
      <c r="C1466" s="45" t="s">
        <v>1468</v>
      </c>
      <c r="D1466" s="23" t="s">
        <v>27</v>
      </c>
      <c r="E1466" s="61" t="s">
        <v>1510</v>
      </c>
      <c r="F1466" s="61" t="s">
        <v>1510</v>
      </c>
      <c r="G1466" s="61" t="s">
        <v>1510</v>
      </c>
      <c r="H1466" s="61" t="s">
        <v>1510</v>
      </c>
      <c r="I1466" s="25">
        <v>0.9</v>
      </c>
      <c r="J1466" s="26">
        <v>0.9285714285714286</v>
      </c>
      <c r="K1466" s="26">
        <v>0.75</v>
      </c>
      <c r="L1466" s="27">
        <v>0.73333333333333328</v>
      </c>
      <c r="M1466" s="26">
        <v>0.76576576576576572</v>
      </c>
      <c r="N1466" s="28">
        <v>0.9</v>
      </c>
      <c r="O1466" s="26">
        <v>0.99625468164794007</v>
      </c>
      <c r="P1466" s="26">
        <v>1</v>
      </c>
      <c r="Q1466" s="26">
        <v>1</v>
      </c>
      <c r="R1466" s="26">
        <v>0.99928448769318834</v>
      </c>
      <c r="S1466" s="28">
        <v>0.9</v>
      </c>
      <c r="T1466" s="26">
        <v>0.85861423220973787</v>
      </c>
      <c r="U1466" s="26">
        <v>0.92129162462159431</v>
      </c>
      <c r="V1466" s="26">
        <v>0.93450292397660817</v>
      </c>
      <c r="W1466" s="26">
        <v>0.92386949055523759</v>
      </c>
      <c r="X1466" s="28">
        <v>0.92</v>
      </c>
      <c r="Y1466" s="28">
        <v>0</v>
      </c>
      <c r="Z1466" s="28">
        <v>0</v>
      </c>
      <c r="AA1466" s="28">
        <v>0</v>
      </c>
      <c r="AB1466" s="28">
        <v>1</v>
      </c>
      <c r="AC1466" s="28">
        <v>0.92</v>
      </c>
      <c r="AD1466" s="26">
        <v>0</v>
      </c>
      <c r="AE1466" s="26">
        <v>0</v>
      </c>
      <c r="AF1466" s="26">
        <v>0.5</v>
      </c>
      <c r="AG1466" s="26">
        <v>0.3888888888888889</v>
      </c>
      <c r="AH1466" s="28">
        <v>0.92</v>
      </c>
      <c r="AI1466" s="26">
        <v>0.8820224719101124</v>
      </c>
      <c r="AJ1466" s="26">
        <v>0.94858870967741937</v>
      </c>
      <c r="AK1466" s="26">
        <v>0.96736596736596736</v>
      </c>
      <c r="AL1466" s="26">
        <v>0.94277193978983242</v>
      </c>
      <c r="AM1466" s="25">
        <v>0.99</v>
      </c>
      <c r="AN1466" s="30">
        <v>1</v>
      </c>
      <c r="AO1466" s="30">
        <v>1</v>
      </c>
      <c r="AP1466" s="30">
        <v>1</v>
      </c>
      <c r="AQ1466" s="30">
        <v>1</v>
      </c>
      <c r="AR1466" s="50">
        <v>0.110069253262963</v>
      </c>
      <c r="AS1466" s="34">
        <v>0</v>
      </c>
      <c r="AT1466" s="34">
        <v>0.15151515151515152</v>
      </c>
      <c r="AU1466" s="34">
        <v>0</v>
      </c>
      <c r="AV1466" s="34">
        <v>8.0321285140562249E-2</v>
      </c>
      <c r="AW1466" s="10"/>
      <c r="AX1466" s="8"/>
    </row>
    <row r="1467" spans="1:50">
      <c r="A1467" s="7"/>
      <c r="B1467" s="10"/>
      <c r="C1467" s="45" t="s">
        <v>1468</v>
      </c>
      <c r="D1467" s="23" t="s">
        <v>27</v>
      </c>
      <c r="E1467" s="61" t="s">
        <v>1511</v>
      </c>
      <c r="F1467" s="61" t="s">
        <v>1511</v>
      </c>
      <c r="G1467" s="61" t="s">
        <v>1511</v>
      </c>
      <c r="H1467" s="61" t="s">
        <v>1511</v>
      </c>
      <c r="I1467" s="25">
        <v>0.9</v>
      </c>
      <c r="J1467" s="26">
        <v>0.93333333333333335</v>
      </c>
      <c r="K1467" s="26">
        <v>0.94117647058823528</v>
      </c>
      <c r="L1467" s="27">
        <v>1</v>
      </c>
      <c r="M1467" s="26">
        <v>0.96825396825396826</v>
      </c>
      <c r="N1467" s="28">
        <v>0.9</v>
      </c>
      <c r="O1467" s="26">
        <v>0.97943444730077123</v>
      </c>
      <c r="P1467" s="26">
        <v>0.98096144693003329</v>
      </c>
      <c r="Q1467" s="26">
        <v>0.98450413223140498</v>
      </c>
      <c r="R1467" s="26">
        <v>0.97229074165433316</v>
      </c>
      <c r="S1467" s="28">
        <v>0.9</v>
      </c>
      <c r="T1467" s="26">
        <v>0.43016281062553557</v>
      </c>
      <c r="U1467" s="26">
        <v>0.2950975725844836</v>
      </c>
      <c r="V1467" s="26">
        <v>0.41425619834710742</v>
      </c>
      <c r="W1467" s="26">
        <v>0.31072192073672095</v>
      </c>
      <c r="X1467" s="28">
        <v>0.92</v>
      </c>
      <c r="Y1467" s="28">
        <v>0</v>
      </c>
      <c r="Z1467" s="28">
        <v>0</v>
      </c>
      <c r="AA1467" s="28">
        <v>0</v>
      </c>
      <c r="AB1467" s="28">
        <v>0</v>
      </c>
      <c r="AC1467" s="28">
        <v>0.92</v>
      </c>
      <c r="AD1467" s="26">
        <v>0.92307692307692313</v>
      </c>
      <c r="AE1467" s="26">
        <v>0.9</v>
      </c>
      <c r="AF1467" s="26">
        <v>1</v>
      </c>
      <c r="AG1467" s="26">
        <v>0.88764044943820219</v>
      </c>
      <c r="AH1467" s="28">
        <v>0.92</v>
      </c>
      <c r="AI1467" s="26">
        <v>0.88260497000856897</v>
      </c>
      <c r="AJ1467" s="26">
        <v>0.95478343645882913</v>
      </c>
      <c r="AK1467" s="26">
        <v>0.93491735537190079</v>
      </c>
      <c r="AL1467" s="26">
        <v>0.91654333168886692</v>
      </c>
      <c r="AM1467" s="25">
        <v>0.99</v>
      </c>
      <c r="AN1467" s="30">
        <v>1</v>
      </c>
      <c r="AO1467" s="30">
        <v>1</v>
      </c>
      <c r="AP1467" s="30">
        <v>1</v>
      </c>
      <c r="AQ1467" s="30">
        <v>1</v>
      </c>
      <c r="AR1467" s="50">
        <v>0.110069253262963</v>
      </c>
      <c r="AS1467" s="34">
        <v>0.33333333333333331</v>
      </c>
      <c r="AT1467" s="34">
        <v>0</v>
      </c>
      <c r="AU1467" s="34">
        <v>0</v>
      </c>
      <c r="AV1467" s="34">
        <v>0.1</v>
      </c>
      <c r="AW1467" s="10"/>
      <c r="AX1467" s="8"/>
    </row>
    <row r="1468" spans="1:50">
      <c r="A1468" s="7"/>
      <c r="B1468" s="10"/>
      <c r="C1468" s="45" t="s">
        <v>1468</v>
      </c>
      <c r="D1468" s="23" t="s">
        <v>27</v>
      </c>
      <c r="E1468" s="61" t="s">
        <v>1512</v>
      </c>
      <c r="F1468" s="61" t="s">
        <v>1512</v>
      </c>
      <c r="G1468" s="61" t="s">
        <v>1512</v>
      </c>
      <c r="H1468" s="61" t="s">
        <v>1512</v>
      </c>
      <c r="I1468" s="25">
        <v>0.9</v>
      </c>
      <c r="J1468" s="26">
        <v>0.5</v>
      </c>
      <c r="K1468" s="26">
        <v>1</v>
      </c>
      <c r="L1468" s="27">
        <v>0.83333333333333337</v>
      </c>
      <c r="M1468" s="26">
        <v>0.8</v>
      </c>
      <c r="N1468" s="28">
        <v>0.9</v>
      </c>
      <c r="O1468" s="26">
        <v>0</v>
      </c>
      <c r="P1468" s="26">
        <v>0</v>
      </c>
      <c r="Q1468" s="26">
        <v>1</v>
      </c>
      <c r="R1468" s="26">
        <v>1</v>
      </c>
      <c r="S1468" s="28">
        <v>0.9</v>
      </c>
      <c r="T1468" s="26">
        <v>0</v>
      </c>
      <c r="U1468" s="26">
        <v>0</v>
      </c>
      <c r="V1468" s="26">
        <v>0</v>
      </c>
      <c r="W1468" s="26">
        <v>0</v>
      </c>
      <c r="X1468" s="28">
        <v>0.92</v>
      </c>
      <c r="Y1468" s="28">
        <v>0</v>
      </c>
      <c r="Z1468" s="28">
        <v>0</v>
      </c>
      <c r="AA1468" s="28">
        <v>0</v>
      </c>
      <c r="AB1468" s="28">
        <v>0</v>
      </c>
      <c r="AC1468" s="28">
        <v>0.92</v>
      </c>
      <c r="AD1468" s="26">
        <v>0</v>
      </c>
      <c r="AE1468" s="26">
        <v>0</v>
      </c>
      <c r="AF1468" s="26">
        <v>0.5</v>
      </c>
      <c r="AG1468" s="26">
        <v>0.29230769230769232</v>
      </c>
      <c r="AH1468" s="28">
        <v>0.92</v>
      </c>
      <c r="AI1468" s="26">
        <v>0.76604554865424435</v>
      </c>
      <c r="AJ1468" s="26">
        <v>0.97889610389610393</v>
      </c>
      <c r="AK1468" s="26">
        <v>0.97540983606557374</v>
      </c>
      <c r="AL1468" s="26">
        <v>0.90890533299311049</v>
      </c>
      <c r="AM1468" s="25">
        <v>0.99</v>
      </c>
      <c r="AN1468" s="30">
        <v>1</v>
      </c>
      <c r="AO1468" s="30">
        <v>1</v>
      </c>
      <c r="AP1468" s="30">
        <v>1</v>
      </c>
      <c r="AQ1468" s="30">
        <v>1</v>
      </c>
      <c r="AR1468" s="50">
        <v>0.110069253262963</v>
      </c>
      <c r="AS1468" s="34">
        <v>0.16666666666666666</v>
      </c>
      <c r="AT1468" s="34">
        <v>0</v>
      </c>
      <c r="AU1468" s="34">
        <v>0</v>
      </c>
      <c r="AV1468" s="34">
        <v>2.3255813953488372E-2</v>
      </c>
      <c r="AW1468" s="10"/>
      <c r="AX1468" s="8"/>
    </row>
    <row r="1469" spans="1:50">
      <c r="A1469" s="7"/>
      <c r="B1469" s="10"/>
      <c r="C1469" s="45" t="s">
        <v>1468</v>
      </c>
      <c r="D1469" s="23" t="s">
        <v>27</v>
      </c>
      <c r="E1469" s="61" t="s">
        <v>1513</v>
      </c>
      <c r="F1469" s="61" t="s">
        <v>1513</v>
      </c>
      <c r="G1469" s="61" t="s">
        <v>1513</v>
      </c>
      <c r="H1469" s="61" t="s">
        <v>1513</v>
      </c>
      <c r="I1469" s="25">
        <v>0.9</v>
      </c>
      <c r="J1469" s="26">
        <v>0.91666666666666663</v>
      </c>
      <c r="K1469" s="26">
        <v>0.90909090909090906</v>
      </c>
      <c r="L1469" s="27">
        <v>0.91666666666666663</v>
      </c>
      <c r="M1469" s="26">
        <v>0.89247311827956988</v>
      </c>
      <c r="N1469" s="28">
        <v>0.9</v>
      </c>
      <c r="O1469" s="26">
        <v>0</v>
      </c>
      <c r="P1469" s="26">
        <v>0</v>
      </c>
      <c r="Q1469" s="26">
        <v>1</v>
      </c>
      <c r="R1469" s="26">
        <v>1</v>
      </c>
      <c r="S1469" s="28">
        <v>0.9</v>
      </c>
      <c r="T1469" s="26">
        <v>0</v>
      </c>
      <c r="U1469" s="26">
        <v>0</v>
      </c>
      <c r="V1469" s="26">
        <v>0</v>
      </c>
      <c r="W1469" s="26">
        <v>0</v>
      </c>
      <c r="X1469" s="28">
        <v>0.92</v>
      </c>
      <c r="Y1469" s="28">
        <v>0</v>
      </c>
      <c r="Z1469" s="28">
        <v>0</v>
      </c>
      <c r="AA1469" s="28">
        <v>0</v>
      </c>
      <c r="AB1469" s="28">
        <v>0</v>
      </c>
      <c r="AC1469" s="28">
        <v>0.92</v>
      </c>
      <c r="AD1469" s="26">
        <v>0</v>
      </c>
      <c r="AE1469" s="26">
        <v>0</v>
      </c>
      <c r="AF1469" s="26">
        <v>0.2</v>
      </c>
      <c r="AG1469" s="26">
        <v>7.1428571428571425E-2</v>
      </c>
      <c r="AH1469" s="28">
        <v>0.92</v>
      </c>
      <c r="AI1469" s="26">
        <v>0.88876529477196886</v>
      </c>
      <c r="AJ1469" s="26">
        <v>0.94405594405594406</v>
      </c>
      <c r="AK1469" s="26">
        <v>0.93939393939393945</v>
      </c>
      <c r="AL1469" s="26">
        <v>0.94039462866538781</v>
      </c>
      <c r="AM1469" s="25">
        <v>0.99</v>
      </c>
      <c r="AN1469" s="30">
        <v>0</v>
      </c>
      <c r="AO1469" s="30">
        <v>1</v>
      </c>
      <c r="AP1469" s="30">
        <v>0</v>
      </c>
      <c r="AQ1469" s="30">
        <v>1</v>
      </c>
      <c r="AR1469" s="50">
        <v>0.110069253262963</v>
      </c>
      <c r="AS1469" s="34">
        <v>0</v>
      </c>
      <c r="AT1469" s="34">
        <v>0.23076923076923078</v>
      </c>
      <c r="AU1469" s="34">
        <v>6.6666666666666666E-2</v>
      </c>
      <c r="AV1469" s="34">
        <v>9.4017094017094016E-2</v>
      </c>
      <c r="AW1469" s="10"/>
      <c r="AX1469" s="8"/>
    </row>
    <row r="1470" spans="1:50">
      <c r="A1470" s="7"/>
      <c r="B1470" s="10"/>
      <c r="C1470" s="45" t="s">
        <v>1468</v>
      </c>
      <c r="D1470" s="23" t="s">
        <v>27</v>
      </c>
      <c r="E1470" s="61" t="s">
        <v>1514</v>
      </c>
      <c r="F1470" s="61" t="s">
        <v>1514</v>
      </c>
      <c r="G1470" s="61" t="s">
        <v>1514</v>
      </c>
      <c r="H1470" s="61" t="s">
        <v>1514</v>
      </c>
      <c r="I1470" s="25">
        <v>0.9</v>
      </c>
      <c r="J1470" s="26">
        <v>0.33333333333333331</v>
      </c>
      <c r="K1470" s="26">
        <v>0.27272727272727271</v>
      </c>
      <c r="L1470" s="27">
        <v>0.4</v>
      </c>
      <c r="M1470" s="26">
        <v>0.3411764705882353</v>
      </c>
      <c r="N1470" s="28">
        <v>0.9</v>
      </c>
      <c r="O1470" s="26">
        <v>0.98529892192094082</v>
      </c>
      <c r="P1470" s="26">
        <v>0.98261429491307151</v>
      </c>
      <c r="Q1470" s="26">
        <v>0.96936212958312407</v>
      </c>
      <c r="R1470" s="26">
        <v>0.98570459938976152</v>
      </c>
      <c r="S1470" s="28">
        <v>0.9</v>
      </c>
      <c r="T1470" s="26">
        <v>0.68997059784384185</v>
      </c>
      <c r="U1470" s="26">
        <v>0.75595621377978106</v>
      </c>
      <c r="V1470" s="26">
        <v>0.77749874434957311</v>
      </c>
      <c r="W1470" s="26">
        <v>0.75138433721324438</v>
      </c>
      <c r="X1470" s="28">
        <v>0.92</v>
      </c>
      <c r="Y1470" s="28">
        <v>0</v>
      </c>
      <c r="Z1470" s="28">
        <v>0</v>
      </c>
      <c r="AA1470" s="28">
        <v>0</v>
      </c>
      <c r="AB1470" s="28">
        <v>0</v>
      </c>
      <c r="AC1470" s="28">
        <v>0.92</v>
      </c>
      <c r="AD1470" s="26">
        <v>0.8</v>
      </c>
      <c r="AE1470" s="26">
        <v>0.90476190476190477</v>
      </c>
      <c r="AF1470" s="26">
        <v>0.94117647058823528</v>
      </c>
      <c r="AG1470" s="26">
        <v>0.86432160804020097</v>
      </c>
      <c r="AH1470" s="28">
        <v>0.92</v>
      </c>
      <c r="AI1470" s="26">
        <v>0.83992159425024504</v>
      </c>
      <c r="AJ1470" s="26">
        <v>0.88538312942691566</v>
      </c>
      <c r="AK1470" s="26">
        <v>0.89954796584630836</v>
      </c>
      <c r="AL1470" s="26">
        <v>0.88558029155836815</v>
      </c>
      <c r="AM1470" s="25">
        <v>0.99</v>
      </c>
      <c r="AN1470" s="30">
        <v>1</v>
      </c>
      <c r="AO1470" s="30">
        <v>1</v>
      </c>
      <c r="AP1470" s="30">
        <v>1</v>
      </c>
      <c r="AQ1470" s="30">
        <v>1</v>
      </c>
      <c r="AR1470" s="50">
        <v>0.110069253262963</v>
      </c>
      <c r="AS1470" s="34">
        <v>0.05</v>
      </c>
      <c r="AT1470" s="34">
        <v>0</v>
      </c>
      <c r="AU1470" s="34">
        <v>0.1875</v>
      </c>
      <c r="AV1470" s="34">
        <v>7.4866310160427801E-2</v>
      </c>
      <c r="AW1470" s="10"/>
      <c r="AX1470" s="8"/>
    </row>
    <row r="1471" spans="1:50">
      <c r="A1471" s="7"/>
      <c r="B1471" s="10"/>
      <c r="C1471" s="45" t="s">
        <v>1468</v>
      </c>
      <c r="D1471" s="23" t="s">
        <v>27</v>
      </c>
      <c r="E1471" s="61" t="s">
        <v>1515</v>
      </c>
      <c r="F1471" s="61" t="s">
        <v>1515</v>
      </c>
      <c r="G1471" s="61" t="s">
        <v>1515</v>
      </c>
      <c r="H1471" s="61" t="s">
        <v>1515</v>
      </c>
      <c r="I1471" s="25">
        <v>0.9</v>
      </c>
      <c r="J1471" s="26">
        <v>1</v>
      </c>
      <c r="K1471" s="26">
        <v>1</v>
      </c>
      <c r="L1471" s="27">
        <v>1</v>
      </c>
      <c r="M1471" s="26">
        <v>1</v>
      </c>
      <c r="N1471" s="28">
        <v>0.9</v>
      </c>
      <c r="O1471" s="26">
        <v>0.9806517311608961</v>
      </c>
      <c r="P1471" s="26">
        <v>0.97061039939713645</v>
      </c>
      <c r="Q1471" s="26">
        <v>0.97569060773480665</v>
      </c>
      <c r="R1471" s="26">
        <v>0.97426432892443349</v>
      </c>
      <c r="S1471" s="28">
        <v>0.9</v>
      </c>
      <c r="T1471" s="26">
        <v>0.79837067209775969</v>
      </c>
      <c r="U1471" s="26">
        <v>0.76488319517709114</v>
      </c>
      <c r="V1471" s="26">
        <v>0.78784530386740337</v>
      </c>
      <c r="W1471" s="26">
        <v>0.77668409720086129</v>
      </c>
      <c r="X1471" s="28">
        <v>0.92</v>
      </c>
      <c r="Y1471" s="28">
        <v>0.86714399363564043</v>
      </c>
      <c r="Z1471" s="28">
        <v>0.8875739644970414</v>
      </c>
      <c r="AA1471" s="28">
        <v>0.91843288375080279</v>
      </c>
      <c r="AB1471" s="28">
        <v>0.89688546966124827</v>
      </c>
      <c r="AC1471" s="28">
        <v>0.92</v>
      </c>
      <c r="AD1471" s="26">
        <v>1</v>
      </c>
      <c r="AE1471" s="26">
        <v>0.96</v>
      </c>
      <c r="AF1471" s="26">
        <v>1</v>
      </c>
      <c r="AG1471" s="26">
        <v>0.81914893617021278</v>
      </c>
      <c r="AH1471" s="28">
        <v>0.92</v>
      </c>
      <c r="AI1471" s="26">
        <v>0.89504242965609648</v>
      </c>
      <c r="AJ1471" s="26">
        <v>0.91542076035882103</v>
      </c>
      <c r="AK1471" s="26">
        <v>0.93501218521527218</v>
      </c>
      <c r="AL1471" s="26">
        <v>0.92353469571075675</v>
      </c>
      <c r="AM1471" s="25">
        <v>0.99</v>
      </c>
      <c r="AN1471" s="30">
        <v>1</v>
      </c>
      <c r="AO1471" s="30">
        <v>1</v>
      </c>
      <c r="AP1471" s="30">
        <v>1</v>
      </c>
      <c r="AQ1471" s="30">
        <v>1</v>
      </c>
      <c r="AR1471" s="50">
        <v>0.110069253262963</v>
      </c>
      <c r="AS1471" s="34">
        <v>0.1111111111111111</v>
      </c>
      <c r="AT1471" s="34">
        <v>0.30769230769230771</v>
      </c>
      <c r="AU1471" s="34">
        <v>0.1</v>
      </c>
      <c r="AV1471" s="34">
        <v>0.13580246913580246</v>
      </c>
      <c r="AW1471" s="10"/>
      <c r="AX1471" s="8"/>
    </row>
    <row r="1472" spans="1:50">
      <c r="A1472" s="7"/>
      <c r="B1472" s="10"/>
      <c r="C1472" s="45" t="s">
        <v>1468</v>
      </c>
      <c r="D1472" s="23" t="s">
        <v>27</v>
      </c>
      <c r="E1472" s="61" t="s">
        <v>1516</v>
      </c>
      <c r="F1472" s="61" t="s">
        <v>1516</v>
      </c>
      <c r="G1472" s="61" t="s">
        <v>1516</v>
      </c>
      <c r="H1472" s="61" t="s">
        <v>1516</v>
      </c>
      <c r="I1472" s="25">
        <v>0.9</v>
      </c>
      <c r="J1472" s="26">
        <v>0.81818181818181823</v>
      </c>
      <c r="K1472" s="26">
        <v>0.77272727272727271</v>
      </c>
      <c r="L1472" s="27">
        <v>0.86363636363636365</v>
      </c>
      <c r="M1472" s="26">
        <v>0.8192090395480226</v>
      </c>
      <c r="N1472" s="28">
        <v>0.9</v>
      </c>
      <c r="O1472" s="26">
        <v>0.57377049180327866</v>
      </c>
      <c r="P1472" s="26">
        <v>0.71522309711286092</v>
      </c>
      <c r="Q1472" s="26">
        <v>0.42343173431734316</v>
      </c>
      <c r="R1472" s="26">
        <v>0.62154327520360741</v>
      </c>
      <c r="S1472" s="28">
        <v>0.9</v>
      </c>
      <c r="T1472" s="26">
        <v>0.40542244640605296</v>
      </c>
      <c r="U1472" s="26">
        <v>0.48031496062992124</v>
      </c>
      <c r="V1472" s="26">
        <v>0.3662361623616236</v>
      </c>
      <c r="W1472" s="26">
        <v>0.4454056043804353</v>
      </c>
      <c r="X1472" s="28">
        <v>0.92</v>
      </c>
      <c r="Y1472" s="28">
        <v>0</v>
      </c>
      <c r="Z1472" s="28">
        <v>0</v>
      </c>
      <c r="AA1472" s="28">
        <v>0</v>
      </c>
      <c r="AB1472" s="28">
        <v>0</v>
      </c>
      <c r="AC1472" s="28">
        <v>0.92</v>
      </c>
      <c r="AD1472" s="26">
        <v>1</v>
      </c>
      <c r="AE1472" s="26">
        <v>1</v>
      </c>
      <c r="AF1472" s="26">
        <v>1</v>
      </c>
      <c r="AG1472" s="26">
        <v>0.93965517241379315</v>
      </c>
      <c r="AH1472" s="28">
        <v>0.92</v>
      </c>
      <c r="AI1472" s="26">
        <v>0.56494325346784369</v>
      </c>
      <c r="AJ1472" s="26">
        <v>0.6351706036745407</v>
      </c>
      <c r="AK1472" s="26">
        <v>0.58763837638376382</v>
      </c>
      <c r="AL1472" s="26">
        <v>0.63669826078954628</v>
      </c>
      <c r="AM1472" s="25">
        <v>0.99</v>
      </c>
      <c r="AN1472" s="30">
        <v>0</v>
      </c>
      <c r="AO1472" s="30">
        <v>1</v>
      </c>
      <c r="AP1472" s="30">
        <v>1</v>
      </c>
      <c r="AQ1472" s="30">
        <v>1</v>
      </c>
      <c r="AR1472" s="50">
        <v>0.110069253262963</v>
      </c>
      <c r="AS1472" s="34">
        <v>0.18181818181818182</v>
      </c>
      <c r="AT1472" s="34">
        <v>8.8235294117647065E-2</v>
      </c>
      <c r="AU1472" s="34">
        <v>5.7142857142857141E-2</v>
      </c>
      <c r="AV1472" s="34">
        <v>0.1276595744680851</v>
      </c>
      <c r="AW1472" s="10"/>
      <c r="AX1472" s="8"/>
    </row>
    <row r="1473" spans="1:50">
      <c r="A1473" s="7"/>
      <c r="B1473" s="10"/>
      <c r="C1473" s="45" t="s">
        <v>1468</v>
      </c>
      <c r="D1473" s="23" t="s">
        <v>27</v>
      </c>
      <c r="E1473" s="61" t="s">
        <v>1517</v>
      </c>
      <c r="F1473" s="61" t="s">
        <v>1517</v>
      </c>
      <c r="G1473" s="61" t="s">
        <v>1517</v>
      </c>
      <c r="H1473" s="61" t="s">
        <v>1517</v>
      </c>
      <c r="I1473" s="25">
        <v>0.9</v>
      </c>
      <c r="J1473" s="26">
        <v>1</v>
      </c>
      <c r="K1473" s="26">
        <v>0.9375</v>
      </c>
      <c r="L1473" s="27">
        <v>0.73684210526315785</v>
      </c>
      <c r="M1473" s="26">
        <v>0.90151515151515149</v>
      </c>
      <c r="N1473" s="28">
        <v>0.9</v>
      </c>
      <c r="O1473" s="26">
        <v>0.91724137931034477</v>
      </c>
      <c r="P1473" s="26">
        <v>0.59700427960057056</v>
      </c>
      <c r="Q1473" s="26">
        <v>0.50519999999999998</v>
      </c>
      <c r="R1473" s="26">
        <v>0.38840819442677188</v>
      </c>
      <c r="S1473" s="28">
        <v>0.9</v>
      </c>
      <c r="T1473" s="26">
        <v>0.53793103448275859</v>
      </c>
      <c r="U1473" s="26">
        <v>0.34379457917261058</v>
      </c>
      <c r="V1473" s="26">
        <v>0.34399999999999997</v>
      </c>
      <c r="W1473" s="26">
        <v>0.29443949611909914</v>
      </c>
      <c r="X1473" s="28">
        <v>0.92</v>
      </c>
      <c r="Y1473" s="28">
        <v>0</v>
      </c>
      <c r="Z1473" s="28">
        <v>0</v>
      </c>
      <c r="AA1473" s="28">
        <v>0</v>
      </c>
      <c r="AB1473" s="28">
        <v>0</v>
      </c>
      <c r="AC1473" s="28">
        <v>0.92</v>
      </c>
      <c r="AD1473" s="26">
        <v>0</v>
      </c>
      <c r="AE1473" s="26">
        <v>0.5</v>
      </c>
      <c r="AF1473" s="26">
        <v>0.33333333333333331</v>
      </c>
      <c r="AG1473" s="26">
        <v>0.70370370370370372</v>
      </c>
      <c r="AH1473" s="28">
        <v>0.92</v>
      </c>
      <c r="AI1473" s="26">
        <v>0.77241379310344827</v>
      </c>
      <c r="AJ1473" s="26">
        <v>0.37633642195295797</v>
      </c>
      <c r="AK1473" s="26">
        <v>0.40247801758593127</v>
      </c>
      <c r="AL1473" s="26">
        <v>0.35374149659863946</v>
      </c>
      <c r="AM1473" s="25">
        <v>0.99</v>
      </c>
      <c r="AN1473" s="30">
        <v>1</v>
      </c>
      <c r="AO1473" s="30">
        <v>1</v>
      </c>
      <c r="AP1473" s="30">
        <v>1</v>
      </c>
      <c r="AQ1473" s="30">
        <v>1</v>
      </c>
      <c r="AR1473" s="50">
        <v>0.110069253262963</v>
      </c>
      <c r="AS1473" s="34">
        <v>0.95</v>
      </c>
      <c r="AT1473" s="34">
        <v>0.54545454545454541</v>
      </c>
      <c r="AU1473" s="34">
        <v>0.66666666666666663</v>
      </c>
      <c r="AV1473" s="34">
        <v>0.11302681992337164</v>
      </c>
      <c r="AW1473" s="10"/>
      <c r="AX1473" s="8"/>
    </row>
    <row r="1474" spans="1:50">
      <c r="A1474" s="7"/>
      <c r="B1474" s="10"/>
      <c r="C1474" s="45" t="s">
        <v>1468</v>
      </c>
      <c r="D1474" s="23" t="s">
        <v>27</v>
      </c>
      <c r="E1474" s="61" t="s">
        <v>1518</v>
      </c>
      <c r="F1474" s="61" t="s">
        <v>1518</v>
      </c>
      <c r="G1474" s="61" t="s">
        <v>1518</v>
      </c>
      <c r="H1474" s="61" t="s">
        <v>1518</v>
      </c>
      <c r="I1474" s="25">
        <v>0.9</v>
      </c>
      <c r="J1474" s="26">
        <v>1</v>
      </c>
      <c r="K1474" s="26">
        <v>1</v>
      </c>
      <c r="L1474" s="27">
        <v>1</v>
      </c>
      <c r="M1474" s="26">
        <v>0.81132075471698117</v>
      </c>
      <c r="N1474" s="28">
        <v>0.9</v>
      </c>
      <c r="O1474" s="26">
        <v>1</v>
      </c>
      <c r="P1474" s="26">
        <v>0.26666666666666666</v>
      </c>
      <c r="Q1474" s="26">
        <v>0.84770642201834867</v>
      </c>
      <c r="R1474" s="26">
        <v>0.66000815328169593</v>
      </c>
      <c r="S1474" s="28">
        <v>0.9</v>
      </c>
      <c r="T1474" s="26">
        <v>1</v>
      </c>
      <c r="U1474" s="26">
        <v>0.26666666666666666</v>
      </c>
      <c r="V1474" s="26">
        <v>0.46788990825688076</v>
      </c>
      <c r="W1474" s="26">
        <v>0.41540970240521807</v>
      </c>
      <c r="X1474" s="28">
        <v>0.92</v>
      </c>
      <c r="Y1474" s="28">
        <v>0</v>
      </c>
      <c r="Z1474" s="28">
        <v>0</v>
      </c>
      <c r="AA1474" s="28">
        <v>0</v>
      </c>
      <c r="AB1474" s="28">
        <v>0</v>
      </c>
      <c r="AC1474" s="28">
        <v>0.92</v>
      </c>
      <c r="AD1474" s="26">
        <v>0</v>
      </c>
      <c r="AE1474" s="26">
        <v>0</v>
      </c>
      <c r="AF1474" s="26">
        <v>0.66666666666666663</v>
      </c>
      <c r="AG1474" s="26">
        <v>0.7142857142857143</v>
      </c>
      <c r="AH1474" s="28">
        <v>0.92</v>
      </c>
      <c r="AI1474" s="26">
        <v>0.98701298701298701</v>
      </c>
      <c r="AJ1474" s="26">
        <v>0.31967213114754101</v>
      </c>
      <c r="AK1474" s="26">
        <v>0.49541284403669728</v>
      </c>
      <c r="AL1474" s="26">
        <v>0.44973968762515015</v>
      </c>
      <c r="AM1474" s="25">
        <v>0.99</v>
      </c>
      <c r="AN1474" s="30">
        <v>0</v>
      </c>
      <c r="AO1474" s="30">
        <v>0</v>
      </c>
      <c r="AP1474" s="30">
        <v>1</v>
      </c>
      <c r="AQ1474" s="30">
        <v>1</v>
      </c>
      <c r="AR1474" s="50">
        <v>0.110069253262963</v>
      </c>
      <c r="AS1474" s="34">
        <v>0.58823529411764708</v>
      </c>
      <c r="AT1474" s="34">
        <v>2.6315789473684209E-2</v>
      </c>
      <c r="AU1474" s="34">
        <v>0.20370370370370369</v>
      </c>
      <c r="AV1474" s="34">
        <v>0.13239436619718309</v>
      </c>
      <c r="AW1474" s="10"/>
      <c r="AX1474" s="8"/>
    </row>
    <row r="1475" spans="1:50">
      <c r="A1475" s="7"/>
      <c r="B1475" s="10"/>
      <c r="C1475" s="45" t="s">
        <v>1468</v>
      </c>
      <c r="D1475" s="23" t="s">
        <v>27</v>
      </c>
      <c r="E1475" s="61" t="s">
        <v>1519</v>
      </c>
      <c r="F1475" s="61" t="s">
        <v>1519</v>
      </c>
      <c r="G1475" s="61" t="s">
        <v>1519</v>
      </c>
      <c r="H1475" s="61" t="s">
        <v>1519</v>
      </c>
      <c r="I1475" s="25">
        <v>0.9</v>
      </c>
      <c r="J1475" s="26">
        <v>0.8571428571428571</v>
      </c>
      <c r="K1475" s="26">
        <v>0.90476190476190477</v>
      </c>
      <c r="L1475" s="27">
        <v>0.73913043478260865</v>
      </c>
      <c r="M1475" s="26">
        <v>0.82080924855491333</v>
      </c>
      <c r="N1475" s="28">
        <v>0.9</v>
      </c>
      <c r="O1475" s="26">
        <v>0</v>
      </c>
      <c r="P1475" s="26">
        <v>0</v>
      </c>
      <c r="Q1475" s="26">
        <v>0</v>
      </c>
      <c r="R1475" s="26">
        <v>0</v>
      </c>
      <c r="S1475" s="28">
        <v>0.9</v>
      </c>
      <c r="T1475" s="26">
        <v>0</v>
      </c>
      <c r="U1475" s="26">
        <v>0</v>
      </c>
      <c r="V1475" s="26">
        <v>0</v>
      </c>
      <c r="W1475" s="26">
        <v>0.5</v>
      </c>
      <c r="X1475" s="28">
        <v>0.92</v>
      </c>
      <c r="Y1475" s="28">
        <v>0</v>
      </c>
      <c r="Z1475" s="28">
        <v>0</v>
      </c>
      <c r="AA1475" s="28">
        <v>0</v>
      </c>
      <c r="AB1475" s="28">
        <v>0</v>
      </c>
      <c r="AC1475" s="28">
        <v>0.92</v>
      </c>
      <c r="AD1475" s="26">
        <v>0</v>
      </c>
      <c r="AE1475" s="26">
        <v>0.55555555555555558</v>
      </c>
      <c r="AF1475" s="26">
        <v>0</v>
      </c>
      <c r="AG1475" s="26">
        <v>0.21917808219178081</v>
      </c>
      <c r="AH1475" s="28">
        <v>0.92</v>
      </c>
      <c r="AI1475" s="26">
        <v>0.89253112033195026</v>
      </c>
      <c r="AJ1475" s="26">
        <v>0.90037293553542885</v>
      </c>
      <c r="AK1475" s="26">
        <v>0.94268953068592054</v>
      </c>
      <c r="AL1475" s="26">
        <v>0.92753716043054846</v>
      </c>
      <c r="AM1475" s="25">
        <v>0.99</v>
      </c>
      <c r="AN1475" s="30">
        <v>1</v>
      </c>
      <c r="AO1475" s="30">
        <v>1</v>
      </c>
      <c r="AP1475" s="30">
        <v>1</v>
      </c>
      <c r="AQ1475" s="30">
        <v>1</v>
      </c>
      <c r="AR1475" s="50">
        <v>0.110069253262963</v>
      </c>
      <c r="AS1475" s="34">
        <v>7.6923076923076927E-2</v>
      </c>
      <c r="AT1475" s="34">
        <v>0.10344827586206896</v>
      </c>
      <c r="AU1475" s="34">
        <v>0.12</v>
      </c>
      <c r="AV1475" s="34">
        <v>9.417040358744394E-2</v>
      </c>
      <c r="AW1475" s="10"/>
      <c r="AX1475" s="8"/>
    </row>
    <row r="1476" spans="1:50">
      <c r="A1476" s="7"/>
      <c r="B1476" s="10"/>
      <c r="C1476" s="45" t="s">
        <v>1468</v>
      </c>
      <c r="D1476" s="23" t="s">
        <v>27</v>
      </c>
      <c r="E1476" s="61" t="s">
        <v>1520</v>
      </c>
      <c r="F1476" s="61" t="s">
        <v>1520</v>
      </c>
      <c r="G1476" s="61" t="s">
        <v>1520</v>
      </c>
      <c r="H1476" s="61" t="s">
        <v>1520</v>
      </c>
      <c r="I1476" s="25">
        <v>0.9</v>
      </c>
      <c r="J1476" s="26">
        <v>0.90909090909090906</v>
      </c>
      <c r="K1476" s="26">
        <v>0.91666666666666663</v>
      </c>
      <c r="L1476" s="27">
        <v>0.9375</v>
      </c>
      <c r="M1476" s="26">
        <v>0.90756302521008403</v>
      </c>
      <c r="N1476" s="28">
        <v>0.9</v>
      </c>
      <c r="O1476" s="26">
        <v>0.74817221770917952</v>
      </c>
      <c r="P1476" s="26">
        <v>0.45753307725138709</v>
      </c>
      <c r="Q1476" s="26">
        <v>0.61567398119122252</v>
      </c>
      <c r="R1476" s="26">
        <v>0.49010112519584104</v>
      </c>
      <c r="S1476" s="28">
        <v>0.9</v>
      </c>
      <c r="T1476" s="26">
        <v>0.35174654752233958</v>
      </c>
      <c r="U1476" s="26">
        <v>0.38711054204011952</v>
      </c>
      <c r="V1476" s="26">
        <v>0.40376175548589344</v>
      </c>
      <c r="W1476" s="26">
        <v>0.3686796752599345</v>
      </c>
      <c r="X1476" s="28">
        <v>0.92</v>
      </c>
      <c r="Y1476" s="28">
        <v>0</v>
      </c>
      <c r="Z1476" s="28">
        <v>0</v>
      </c>
      <c r="AA1476" s="28">
        <v>0</v>
      </c>
      <c r="AB1476" s="28">
        <v>0</v>
      </c>
      <c r="AC1476" s="28">
        <v>0.92</v>
      </c>
      <c r="AD1476" s="26">
        <v>0</v>
      </c>
      <c r="AE1476" s="26">
        <v>0</v>
      </c>
      <c r="AF1476" s="26">
        <v>0</v>
      </c>
      <c r="AG1476" s="26">
        <v>0.27027027027027029</v>
      </c>
      <c r="AH1476" s="28">
        <v>0.92</v>
      </c>
      <c r="AI1476" s="26">
        <v>0.41186027619821286</v>
      </c>
      <c r="AJ1476" s="26">
        <v>0.43790012804097311</v>
      </c>
      <c r="AK1476" s="26">
        <v>0.4536050156739812</v>
      </c>
      <c r="AL1476" s="26">
        <v>0.45513459621136593</v>
      </c>
      <c r="AM1476" s="25">
        <v>0.99</v>
      </c>
      <c r="AN1476" s="30">
        <v>0</v>
      </c>
      <c r="AO1476" s="30">
        <v>1</v>
      </c>
      <c r="AP1476" s="30">
        <v>0</v>
      </c>
      <c r="AQ1476" s="30">
        <v>1</v>
      </c>
      <c r="AR1476" s="50">
        <v>0.110069253262963</v>
      </c>
      <c r="AS1476" s="34">
        <v>0.33333333333333331</v>
      </c>
      <c r="AT1476" s="34">
        <v>7.407407407407407E-2</v>
      </c>
      <c r="AU1476" s="34">
        <v>0.25806451612903225</v>
      </c>
      <c r="AV1476" s="34">
        <v>0.15438596491228071</v>
      </c>
      <c r="AW1476" s="10"/>
      <c r="AX1476" s="8"/>
    </row>
    <row r="1477" spans="1:50">
      <c r="A1477" s="7"/>
      <c r="B1477" s="10"/>
      <c r="C1477" s="45" t="s">
        <v>1468</v>
      </c>
      <c r="D1477" s="23" t="s">
        <v>27</v>
      </c>
      <c r="E1477" s="61" t="s">
        <v>1521</v>
      </c>
      <c r="F1477" s="61" t="s">
        <v>1521</v>
      </c>
      <c r="G1477" s="61" t="s">
        <v>1521</v>
      </c>
      <c r="H1477" s="61" t="s">
        <v>1521</v>
      </c>
      <c r="I1477" s="25">
        <v>0.9</v>
      </c>
      <c r="J1477" s="26">
        <v>1</v>
      </c>
      <c r="K1477" s="26">
        <v>0.90909090909090906</v>
      </c>
      <c r="L1477" s="27">
        <v>1</v>
      </c>
      <c r="M1477" s="26">
        <v>0.98888888888888893</v>
      </c>
      <c r="N1477" s="28">
        <v>0.9</v>
      </c>
      <c r="O1477" s="26">
        <v>0.73747841105354062</v>
      </c>
      <c r="P1477" s="26">
        <v>0.6546700942587832</v>
      </c>
      <c r="Q1477" s="26">
        <v>0.57924528301886791</v>
      </c>
      <c r="R1477" s="26">
        <v>0.58126301179736295</v>
      </c>
      <c r="S1477" s="28">
        <v>0.9</v>
      </c>
      <c r="T1477" s="26">
        <v>0.54404145077720212</v>
      </c>
      <c r="U1477" s="26">
        <v>0.53898886032562121</v>
      </c>
      <c r="V1477" s="26">
        <v>0.45597484276729561</v>
      </c>
      <c r="W1477" s="26">
        <v>0.47716863289382372</v>
      </c>
      <c r="X1477" s="28">
        <v>0.92</v>
      </c>
      <c r="Y1477" s="28">
        <v>0</v>
      </c>
      <c r="Z1477" s="28">
        <v>0</v>
      </c>
      <c r="AA1477" s="28">
        <v>0</v>
      </c>
      <c r="AB1477" s="28">
        <v>0</v>
      </c>
      <c r="AC1477" s="28">
        <v>0.92</v>
      </c>
      <c r="AD1477" s="26">
        <v>0</v>
      </c>
      <c r="AE1477" s="26">
        <v>0</v>
      </c>
      <c r="AF1477" s="26">
        <v>0.16666666666666666</v>
      </c>
      <c r="AG1477" s="26">
        <v>0.51219512195121952</v>
      </c>
      <c r="AH1477" s="28">
        <v>0.92</v>
      </c>
      <c r="AI1477" s="26">
        <v>0.6424870466321243</v>
      </c>
      <c r="AJ1477" s="26">
        <v>0.56812339331619532</v>
      </c>
      <c r="AK1477" s="26">
        <v>0.53396226415094339</v>
      </c>
      <c r="AL1477" s="26">
        <v>0.55100624566273426</v>
      </c>
      <c r="AM1477" s="25">
        <v>0.99</v>
      </c>
      <c r="AN1477" s="30">
        <v>1</v>
      </c>
      <c r="AO1477" s="30">
        <v>1</v>
      </c>
      <c r="AP1477" s="30">
        <v>1</v>
      </c>
      <c r="AQ1477" s="30">
        <v>1</v>
      </c>
      <c r="AR1477" s="50">
        <v>0.110069253262963</v>
      </c>
      <c r="AS1477" s="34">
        <v>0.2</v>
      </c>
      <c r="AT1477" s="34">
        <v>0.23529411764705882</v>
      </c>
      <c r="AU1477" s="34">
        <v>0.17391304347826086</v>
      </c>
      <c r="AV1477" s="34">
        <v>0.13910761154855644</v>
      </c>
      <c r="AW1477" s="10"/>
      <c r="AX1477" s="8"/>
    </row>
    <row r="1478" spans="1:50">
      <c r="A1478" s="7"/>
      <c r="B1478" s="10"/>
      <c r="C1478" s="45" t="s">
        <v>1468</v>
      </c>
      <c r="D1478" s="23" t="s">
        <v>27</v>
      </c>
      <c r="E1478" s="61" t="s">
        <v>1522</v>
      </c>
      <c r="F1478" s="61" t="s">
        <v>1522</v>
      </c>
      <c r="G1478" s="61" t="s">
        <v>1522</v>
      </c>
      <c r="H1478" s="61" t="s">
        <v>1522</v>
      </c>
      <c r="I1478" s="25">
        <v>0.9</v>
      </c>
      <c r="J1478" s="26">
        <v>1</v>
      </c>
      <c r="K1478" s="26">
        <v>1</v>
      </c>
      <c r="L1478" s="27">
        <v>1</v>
      </c>
      <c r="M1478" s="26">
        <v>0.98</v>
      </c>
      <c r="N1478" s="28">
        <v>0.9</v>
      </c>
      <c r="O1478" s="26">
        <v>1</v>
      </c>
      <c r="P1478" s="26">
        <v>0.99146757679180886</v>
      </c>
      <c r="Q1478" s="26">
        <v>0.98593750000000002</v>
      </c>
      <c r="R1478" s="26">
        <v>0.99491869918699183</v>
      </c>
      <c r="S1478" s="28">
        <v>0.9</v>
      </c>
      <c r="T1478" s="26">
        <v>0.59569179784589887</v>
      </c>
      <c r="U1478" s="26">
        <v>0.98464163822525597</v>
      </c>
      <c r="V1478" s="26">
        <v>0.84296875000000004</v>
      </c>
      <c r="W1478" s="26">
        <v>0.79878048780487809</v>
      </c>
      <c r="X1478" s="28">
        <v>0.92</v>
      </c>
      <c r="Y1478" s="28">
        <v>0</v>
      </c>
      <c r="Z1478" s="28">
        <v>0</v>
      </c>
      <c r="AA1478" s="28">
        <v>0</v>
      </c>
      <c r="AB1478" s="28">
        <v>0</v>
      </c>
      <c r="AC1478" s="28">
        <v>0.92</v>
      </c>
      <c r="AD1478" s="26">
        <v>0</v>
      </c>
      <c r="AE1478" s="26">
        <v>0</v>
      </c>
      <c r="AF1478" s="26">
        <v>0.93333333333333335</v>
      </c>
      <c r="AG1478" s="26">
        <v>0.59036144578313254</v>
      </c>
      <c r="AH1478" s="28">
        <v>0.92</v>
      </c>
      <c r="AI1478" s="26">
        <v>0.64321192052980136</v>
      </c>
      <c r="AJ1478" s="26">
        <v>0.98805460750853247</v>
      </c>
      <c r="AK1478" s="26">
        <v>0.86250000000000004</v>
      </c>
      <c r="AL1478" s="26">
        <v>0.83988967919872259</v>
      </c>
      <c r="AM1478" s="25">
        <v>0.99</v>
      </c>
      <c r="AN1478" s="30">
        <v>1</v>
      </c>
      <c r="AO1478" s="30">
        <v>1</v>
      </c>
      <c r="AP1478" s="30">
        <v>1</v>
      </c>
      <c r="AQ1478" s="30">
        <v>1</v>
      </c>
      <c r="AR1478" s="50">
        <v>0.110069253262963</v>
      </c>
      <c r="AS1478" s="34">
        <v>6.4935064935064929E-2</v>
      </c>
      <c r="AT1478" s="34">
        <v>0.18181818181818182</v>
      </c>
      <c r="AU1478" s="34">
        <v>6.5217391304347824E-2</v>
      </c>
      <c r="AV1478" s="34">
        <v>0.11066398390342053</v>
      </c>
      <c r="AW1478" s="10"/>
      <c r="AX1478" s="8"/>
    </row>
    <row r="1479" spans="1:50">
      <c r="A1479" s="7"/>
      <c r="B1479" s="10"/>
      <c r="C1479" s="45" t="s">
        <v>1468</v>
      </c>
      <c r="D1479" s="23" t="s">
        <v>27</v>
      </c>
      <c r="E1479" s="61" t="s">
        <v>1523</v>
      </c>
      <c r="F1479" s="61" t="s">
        <v>1523</v>
      </c>
      <c r="G1479" s="61" t="s">
        <v>1523</v>
      </c>
      <c r="H1479" s="61" t="s">
        <v>1523</v>
      </c>
      <c r="I1479" s="25">
        <v>0.9</v>
      </c>
      <c r="J1479" s="26">
        <v>0.96551724137931039</v>
      </c>
      <c r="K1479" s="26">
        <v>0.97142857142857142</v>
      </c>
      <c r="L1479" s="27">
        <v>0.9375</v>
      </c>
      <c r="M1479" s="26">
        <v>0.97107438016528924</v>
      </c>
      <c r="N1479" s="28">
        <v>0.9</v>
      </c>
      <c r="O1479" s="26">
        <v>0.99806949806949807</v>
      </c>
      <c r="P1479" s="26">
        <v>0.99705304518664051</v>
      </c>
      <c r="Q1479" s="26">
        <v>0.9983958934873276</v>
      </c>
      <c r="R1479" s="26">
        <v>0.9969629401814547</v>
      </c>
      <c r="S1479" s="28">
        <v>0.9</v>
      </c>
      <c r="T1479" s="26">
        <v>0.95125482625482627</v>
      </c>
      <c r="U1479" s="26">
        <v>0.94253438113948917</v>
      </c>
      <c r="V1479" s="26">
        <v>0.91081167789541229</v>
      </c>
      <c r="W1479" s="26">
        <v>0.92368906658465322</v>
      </c>
      <c r="X1479" s="28">
        <v>0.92</v>
      </c>
      <c r="Y1479" s="28">
        <v>0</v>
      </c>
      <c r="Z1479" s="28">
        <v>0</v>
      </c>
      <c r="AA1479" s="28">
        <v>0</v>
      </c>
      <c r="AB1479" s="28">
        <v>0</v>
      </c>
      <c r="AC1479" s="28">
        <v>0.92</v>
      </c>
      <c r="AD1479" s="26">
        <v>0.92</v>
      </c>
      <c r="AE1479" s="26">
        <v>0.8</v>
      </c>
      <c r="AF1479" s="26">
        <v>0.93548387096774188</v>
      </c>
      <c r="AG1479" s="26">
        <v>0.94524495677233433</v>
      </c>
      <c r="AH1479" s="28">
        <v>0.92</v>
      </c>
      <c r="AI1479" s="26">
        <v>0.98069498069498073</v>
      </c>
      <c r="AJ1479" s="26">
        <v>0.98429062346588114</v>
      </c>
      <c r="AK1479" s="26">
        <v>0.98492139878087903</v>
      </c>
      <c r="AL1479" s="26">
        <v>0.98204743781955173</v>
      </c>
      <c r="AM1479" s="25">
        <v>0.99</v>
      </c>
      <c r="AN1479" s="30">
        <v>1</v>
      </c>
      <c r="AO1479" s="30">
        <v>1</v>
      </c>
      <c r="AP1479" s="30">
        <v>1</v>
      </c>
      <c r="AQ1479" s="30">
        <v>1</v>
      </c>
      <c r="AR1479" s="50">
        <v>0.110069253262963</v>
      </c>
      <c r="AS1479" s="34">
        <v>8.3333333333333329E-2</v>
      </c>
      <c r="AT1479" s="34">
        <v>0</v>
      </c>
      <c r="AU1479" s="34">
        <v>0</v>
      </c>
      <c r="AV1479" s="34">
        <v>8.4745762711864403E-2</v>
      </c>
      <c r="AW1479" s="10"/>
      <c r="AX1479" s="8"/>
    </row>
    <row r="1480" spans="1:50">
      <c r="A1480" s="7"/>
      <c r="B1480" s="10"/>
      <c r="C1480" s="45" t="s">
        <v>1468</v>
      </c>
      <c r="D1480" s="23" t="s">
        <v>27</v>
      </c>
      <c r="E1480" s="61" t="s">
        <v>1524</v>
      </c>
      <c r="F1480" s="61" t="s">
        <v>1524</v>
      </c>
      <c r="G1480" s="61" t="s">
        <v>1524</v>
      </c>
      <c r="H1480" s="61" t="s">
        <v>1524</v>
      </c>
      <c r="I1480" s="25">
        <v>0.9</v>
      </c>
      <c r="J1480" s="26">
        <v>0.4</v>
      </c>
      <c r="K1480" s="26">
        <v>0.23076923076923078</v>
      </c>
      <c r="L1480" s="27">
        <v>0.26315789473684209</v>
      </c>
      <c r="M1480" s="26">
        <v>0.27826086956521739</v>
      </c>
      <c r="N1480" s="28">
        <v>0.9</v>
      </c>
      <c r="O1480" s="26">
        <v>0.74555968608013212</v>
      </c>
      <c r="P1480" s="26">
        <v>0.75260559517279213</v>
      </c>
      <c r="Q1480" s="26">
        <v>0.49440511532313314</v>
      </c>
      <c r="R1480" s="26">
        <v>0.70665661602690477</v>
      </c>
      <c r="S1480" s="28">
        <v>0.9</v>
      </c>
      <c r="T1480" s="26">
        <v>0.62783973564642714</v>
      </c>
      <c r="U1480" s="26">
        <v>0.63905650027427319</v>
      </c>
      <c r="V1480" s="26">
        <v>0.44393697191139531</v>
      </c>
      <c r="W1480" s="26">
        <v>0.64496115041168967</v>
      </c>
      <c r="X1480" s="28">
        <v>0.92</v>
      </c>
      <c r="Y1480" s="28">
        <v>0</v>
      </c>
      <c r="Z1480" s="28">
        <v>0</v>
      </c>
      <c r="AA1480" s="28">
        <v>0</v>
      </c>
      <c r="AB1480" s="28">
        <v>0</v>
      </c>
      <c r="AC1480" s="28">
        <v>0.92</v>
      </c>
      <c r="AD1480" s="26">
        <v>0</v>
      </c>
      <c r="AE1480" s="26">
        <v>0.1111111111111111</v>
      </c>
      <c r="AF1480" s="26">
        <v>0.25</v>
      </c>
      <c r="AG1480" s="26">
        <v>0.13793103448275862</v>
      </c>
      <c r="AH1480" s="28">
        <v>0.92</v>
      </c>
      <c r="AI1480" s="26">
        <v>0.68110561056105612</v>
      </c>
      <c r="AJ1480" s="26">
        <v>0.68156884256719696</v>
      </c>
      <c r="AK1480" s="26">
        <v>0.52843114866407859</v>
      </c>
      <c r="AL1480" s="26">
        <v>0.7025507246376812</v>
      </c>
      <c r="AM1480" s="25">
        <v>0.99</v>
      </c>
      <c r="AN1480" s="30">
        <v>1</v>
      </c>
      <c r="AO1480" s="30">
        <v>1</v>
      </c>
      <c r="AP1480" s="30">
        <v>1</v>
      </c>
      <c r="AQ1480" s="30">
        <v>1</v>
      </c>
      <c r="AR1480" s="50">
        <v>0.110069253262963</v>
      </c>
      <c r="AS1480" s="34">
        <v>0.32692307692307693</v>
      </c>
      <c r="AT1480" s="34">
        <v>0.42857142857142855</v>
      </c>
      <c r="AU1480" s="34">
        <v>0.35135135135135137</v>
      </c>
      <c r="AV1480" s="34">
        <v>0.23486682808716708</v>
      </c>
      <c r="AW1480" s="10"/>
      <c r="AX1480" s="8"/>
    </row>
    <row r="1481" spans="1:50">
      <c r="A1481" s="7"/>
      <c r="B1481" s="10"/>
      <c r="C1481" s="45" t="s">
        <v>1468</v>
      </c>
      <c r="D1481" s="23" t="s">
        <v>27</v>
      </c>
      <c r="E1481" s="61" t="s">
        <v>1525</v>
      </c>
      <c r="F1481" s="61" t="s">
        <v>1525</v>
      </c>
      <c r="G1481" s="61" t="s">
        <v>1525</v>
      </c>
      <c r="H1481" s="61" t="s">
        <v>1525</v>
      </c>
      <c r="I1481" s="25">
        <v>0.9</v>
      </c>
      <c r="J1481" s="26">
        <v>0.36363636363636365</v>
      </c>
      <c r="K1481" s="26">
        <v>0.62068965517241381</v>
      </c>
      <c r="L1481" s="27">
        <v>0.56666666666666665</v>
      </c>
      <c r="M1481" s="26">
        <v>0.49152542372881358</v>
      </c>
      <c r="N1481" s="28">
        <v>0.9</v>
      </c>
      <c r="O1481" s="26">
        <v>0.62916939175931985</v>
      </c>
      <c r="P1481" s="26">
        <v>0.6178247734138973</v>
      </c>
      <c r="Q1481" s="26">
        <v>0.53658536585365857</v>
      </c>
      <c r="R1481" s="26">
        <v>0.59438921812272993</v>
      </c>
      <c r="S1481" s="28">
        <v>0.9</v>
      </c>
      <c r="T1481" s="26">
        <v>0.4460431654676259</v>
      </c>
      <c r="U1481" s="26">
        <v>0.51963746223564955</v>
      </c>
      <c r="V1481" s="26">
        <v>0.43992773261065943</v>
      </c>
      <c r="W1481" s="26">
        <v>0.47328426687057923</v>
      </c>
      <c r="X1481" s="28">
        <v>0.92</v>
      </c>
      <c r="Y1481" s="28">
        <v>0</v>
      </c>
      <c r="Z1481" s="28">
        <v>0</v>
      </c>
      <c r="AA1481" s="28">
        <v>0</v>
      </c>
      <c r="AB1481" s="28">
        <v>0</v>
      </c>
      <c r="AC1481" s="28">
        <v>0.92</v>
      </c>
      <c r="AD1481" s="26">
        <v>1</v>
      </c>
      <c r="AE1481" s="26">
        <v>0.66666666666666663</v>
      </c>
      <c r="AF1481" s="26">
        <v>0.66666666666666663</v>
      </c>
      <c r="AG1481" s="26">
        <v>0.77358490566037741</v>
      </c>
      <c r="AH1481" s="28">
        <v>0.92</v>
      </c>
      <c r="AI1481" s="26">
        <v>0.57684761281883579</v>
      </c>
      <c r="AJ1481" s="26">
        <v>0.65407854984894265</v>
      </c>
      <c r="AK1481" s="26">
        <v>0.60162601626016265</v>
      </c>
      <c r="AL1481" s="26">
        <v>0.62370370370370365</v>
      </c>
      <c r="AM1481" s="25">
        <v>0.99</v>
      </c>
      <c r="AN1481" s="30">
        <v>0</v>
      </c>
      <c r="AO1481" s="30">
        <v>0</v>
      </c>
      <c r="AP1481" s="30">
        <v>1</v>
      </c>
      <c r="AQ1481" s="30">
        <v>1</v>
      </c>
      <c r="AR1481" s="50">
        <v>0.110069253262963</v>
      </c>
      <c r="AS1481" s="34">
        <v>0.18181818181818182</v>
      </c>
      <c r="AT1481" s="34">
        <v>0.11764705882352941</v>
      </c>
      <c r="AU1481" s="34">
        <v>0.15384615384615385</v>
      </c>
      <c r="AV1481" s="34">
        <v>0.14705882352941177</v>
      </c>
      <c r="AW1481" s="10"/>
      <c r="AX1481" s="8"/>
    </row>
    <row r="1482" spans="1:50">
      <c r="A1482" s="7"/>
      <c r="B1482" s="10"/>
      <c r="C1482" s="45" t="s">
        <v>1468</v>
      </c>
      <c r="D1482" s="23" t="s">
        <v>27</v>
      </c>
      <c r="E1482" s="61" t="s">
        <v>1526</v>
      </c>
      <c r="F1482" s="61" t="s">
        <v>1526</v>
      </c>
      <c r="G1482" s="61" t="s">
        <v>1526</v>
      </c>
      <c r="H1482" s="61" t="s">
        <v>1526</v>
      </c>
      <c r="I1482" s="25">
        <v>0.9</v>
      </c>
      <c r="J1482" s="26">
        <v>0.6333333333333333</v>
      </c>
      <c r="K1482" s="26">
        <v>0.70833333333333337</v>
      </c>
      <c r="L1482" s="27">
        <v>0.77272727272727271</v>
      </c>
      <c r="M1482" s="26">
        <v>0.755868544600939</v>
      </c>
      <c r="N1482" s="28">
        <v>0.9</v>
      </c>
      <c r="O1482" s="26">
        <v>0.78327974276527335</v>
      </c>
      <c r="P1482" s="26">
        <v>0.78458498023715417</v>
      </c>
      <c r="Q1482" s="26">
        <v>0.84486166007905139</v>
      </c>
      <c r="R1482" s="26">
        <v>0.81718956718956715</v>
      </c>
      <c r="S1482" s="28">
        <v>0.9</v>
      </c>
      <c r="T1482" s="26">
        <v>0.60385852090032155</v>
      </c>
      <c r="U1482" s="26">
        <v>0.5974967061923584</v>
      </c>
      <c r="V1482" s="26">
        <v>0.66106719367588929</v>
      </c>
      <c r="W1482" s="26">
        <v>0.62776412776412771</v>
      </c>
      <c r="X1482" s="28">
        <v>0.92</v>
      </c>
      <c r="Y1482" s="28">
        <v>0</v>
      </c>
      <c r="Z1482" s="28">
        <v>0</v>
      </c>
      <c r="AA1482" s="28">
        <v>0</v>
      </c>
      <c r="AB1482" s="28">
        <v>0</v>
      </c>
      <c r="AC1482" s="28">
        <v>0.92</v>
      </c>
      <c r="AD1482" s="26">
        <v>0.86956521739130432</v>
      </c>
      <c r="AE1482" s="26">
        <v>0.83333333333333337</v>
      </c>
      <c r="AF1482" s="26">
        <v>0.8</v>
      </c>
      <c r="AG1482" s="26">
        <v>0.86259541984732824</v>
      </c>
      <c r="AH1482" s="28">
        <v>0.92</v>
      </c>
      <c r="AI1482" s="26">
        <v>0.76591639871382633</v>
      </c>
      <c r="AJ1482" s="26">
        <v>0.82949308755760365</v>
      </c>
      <c r="AK1482" s="26">
        <v>0.81422924901185767</v>
      </c>
      <c r="AL1482" s="26">
        <v>0.80363808173871953</v>
      </c>
      <c r="AM1482" s="25">
        <v>0.99</v>
      </c>
      <c r="AN1482" s="30">
        <v>1</v>
      </c>
      <c r="AO1482" s="30">
        <v>1</v>
      </c>
      <c r="AP1482" s="30">
        <v>1</v>
      </c>
      <c r="AQ1482" s="30">
        <v>1</v>
      </c>
      <c r="AR1482" s="50">
        <v>0.110069253262963</v>
      </c>
      <c r="AS1482" s="34">
        <v>0.08</v>
      </c>
      <c r="AT1482" s="34">
        <v>8.6956521739130432E-2</v>
      </c>
      <c r="AU1482" s="34">
        <v>0.19047619047619047</v>
      </c>
      <c r="AV1482" s="34">
        <v>0.08</v>
      </c>
      <c r="AW1482" s="10"/>
      <c r="AX1482" s="8"/>
    </row>
    <row r="1483" spans="1:50">
      <c r="A1483" s="7"/>
      <c r="B1483" s="10"/>
      <c r="C1483" s="45" t="s">
        <v>1468</v>
      </c>
      <c r="D1483" s="23" t="s">
        <v>27</v>
      </c>
      <c r="E1483" s="61" t="s">
        <v>1527</v>
      </c>
      <c r="F1483" s="61" t="s">
        <v>1527</v>
      </c>
      <c r="G1483" s="61" t="s">
        <v>1527</v>
      </c>
      <c r="H1483" s="61" t="s">
        <v>1527</v>
      </c>
      <c r="I1483" s="25">
        <v>0.9</v>
      </c>
      <c r="J1483" s="26">
        <v>0</v>
      </c>
      <c r="K1483" s="26">
        <v>0</v>
      </c>
      <c r="L1483" s="27">
        <v>0</v>
      </c>
      <c r="M1483" s="26">
        <v>0</v>
      </c>
      <c r="N1483" s="28">
        <v>0.9</v>
      </c>
      <c r="O1483" s="26">
        <v>0</v>
      </c>
      <c r="P1483" s="26">
        <v>0</v>
      </c>
      <c r="Q1483" s="26">
        <v>0</v>
      </c>
      <c r="R1483" s="26">
        <v>0</v>
      </c>
      <c r="S1483" s="28">
        <v>0.9</v>
      </c>
      <c r="T1483" s="26">
        <v>0</v>
      </c>
      <c r="U1483" s="26">
        <v>0</v>
      </c>
      <c r="V1483" s="26">
        <v>0</v>
      </c>
      <c r="W1483" s="26">
        <v>0.5</v>
      </c>
      <c r="X1483" s="28">
        <v>0.92</v>
      </c>
      <c r="Y1483" s="28">
        <v>0</v>
      </c>
      <c r="Z1483" s="28">
        <v>0</v>
      </c>
      <c r="AA1483" s="28">
        <v>0</v>
      </c>
      <c r="AB1483" s="28">
        <v>0</v>
      </c>
      <c r="AC1483" s="28">
        <v>0.92</v>
      </c>
      <c r="AD1483" s="26">
        <v>0.4715162138475022</v>
      </c>
      <c r="AE1483" s="26">
        <v>0.89163090128755362</v>
      </c>
      <c r="AF1483" s="26">
        <v>1</v>
      </c>
      <c r="AG1483" s="26">
        <v>0.80237068965517244</v>
      </c>
      <c r="AH1483" s="28">
        <v>0.92</v>
      </c>
      <c r="AI1483" s="26">
        <v>0</v>
      </c>
      <c r="AJ1483" s="26">
        <v>0</v>
      </c>
      <c r="AK1483" s="26">
        <v>0</v>
      </c>
      <c r="AL1483" s="26">
        <v>0.5</v>
      </c>
      <c r="AM1483" s="25">
        <v>0.99</v>
      </c>
      <c r="AN1483" s="30">
        <v>1</v>
      </c>
      <c r="AO1483" s="30">
        <v>1</v>
      </c>
      <c r="AP1483" s="30">
        <v>1</v>
      </c>
      <c r="AQ1483" s="30">
        <v>1</v>
      </c>
      <c r="AR1483" s="50">
        <v>0.110069253262963</v>
      </c>
      <c r="AS1483" s="34">
        <v>0</v>
      </c>
      <c r="AT1483" s="34">
        <v>0</v>
      </c>
      <c r="AU1483" s="34">
        <v>0</v>
      </c>
      <c r="AV1483" s="34">
        <v>0</v>
      </c>
      <c r="AW1483" s="10"/>
      <c r="AX1483" s="8"/>
    </row>
    <row r="1484" spans="1:50">
      <c r="A1484" s="7"/>
      <c r="B1484" s="10"/>
      <c r="C1484" s="45" t="s">
        <v>1468</v>
      </c>
      <c r="D1484" s="23" t="s">
        <v>27</v>
      </c>
      <c r="E1484" s="61" t="s">
        <v>1528</v>
      </c>
      <c r="F1484" s="61" t="s">
        <v>1528</v>
      </c>
      <c r="G1484" s="61" t="s">
        <v>1528</v>
      </c>
      <c r="H1484" s="61" t="s">
        <v>1528</v>
      </c>
      <c r="I1484" s="25">
        <v>0.9</v>
      </c>
      <c r="J1484" s="26">
        <v>1</v>
      </c>
      <c r="K1484" s="26">
        <v>1</v>
      </c>
      <c r="L1484" s="27">
        <v>1</v>
      </c>
      <c r="M1484" s="26">
        <v>0.99468085106382975</v>
      </c>
      <c r="N1484" s="28">
        <v>0.9</v>
      </c>
      <c r="O1484" s="26">
        <v>0.9756838905775076</v>
      </c>
      <c r="P1484" s="26">
        <v>0.96367679762787251</v>
      </c>
      <c r="Q1484" s="26">
        <v>0.97725024727992083</v>
      </c>
      <c r="R1484" s="26">
        <v>0.95490901819636076</v>
      </c>
      <c r="S1484" s="28">
        <v>0.9</v>
      </c>
      <c r="T1484" s="26">
        <v>0.82066869300911849</v>
      </c>
      <c r="U1484" s="26">
        <v>0.78650852483320977</v>
      </c>
      <c r="V1484" s="26">
        <v>0.82591493570722052</v>
      </c>
      <c r="W1484" s="26">
        <v>0.78284343131373724</v>
      </c>
      <c r="X1484" s="28">
        <v>0.92</v>
      </c>
      <c r="Y1484" s="28">
        <v>0.84933774834437081</v>
      </c>
      <c r="Z1484" s="28">
        <v>0.8745136186770428</v>
      </c>
      <c r="AA1484" s="28">
        <v>0.88098318240620954</v>
      </c>
      <c r="AB1484" s="28">
        <v>0.84602076124567471</v>
      </c>
      <c r="AC1484" s="28">
        <v>0.92</v>
      </c>
      <c r="AD1484" s="26">
        <v>1</v>
      </c>
      <c r="AE1484" s="26">
        <v>0.29230769230769232</v>
      </c>
      <c r="AF1484" s="26">
        <v>0.82608695652173914</v>
      </c>
      <c r="AG1484" s="26">
        <v>0.78025477707006374</v>
      </c>
      <c r="AH1484" s="28">
        <v>0.92</v>
      </c>
      <c r="AI1484" s="26">
        <v>0.88979963570127507</v>
      </c>
      <c r="AJ1484" s="26">
        <v>0.91295206055508826</v>
      </c>
      <c r="AK1484" s="26">
        <v>0.90731325772389515</v>
      </c>
      <c r="AL1484" s="26">
        <v>0.88925729442970824</v>
      </c>
      <c r="AM1484" s="25">
        <v>0.99</v>
      </c>
      <c r="AN1484" s="30">
        <v>1</v>
      </c>
      <c r="AO1484" s="30">
        <v>1</v>
      </c>
      <c r="AP1484" s="30">
        <v>1</v>
      </c>
      <c r="AQ1484" s="30">
        <v>1</v>
      </c>
      <c r="AR1484" s="50">
        <v>0.110069253262963</v>
      </c>
      <c r="AS1484" s="34">
        <v>0</v>
      </c>
      <c r="AT1484" s="34">
        <v>0.25</v>
      </c>
      <c r="AU1484" s="34">
        <v>0.21428571428571427</v>
      </c>
      <c r="AV1484" s="34">
        <v>0.12844036697247707</v>
      </c>
      <c r="AW1484" s="10"/>
      <c r="AX1484" s="8"/>
    </row>
    <row r="1485" spans="1:50">
      <c r="A1485" s="7"/>
      <c r="B1485" s="10"/>
      <c r="C1485" s="45" t="s">
        <v>1468</v>
      </c>
      <c r="D1485" s="23" t="s">
        <v>27</v>
      </c>
      <c r="E1485" s="61" t="s">
        <v>1529</v>
      </c>
      <c r="F1485" s="61" t="s">
        <v>1529</v>
      </c>
      <c r="G1485" s="61" t="s">
        <v>1529</v>
      </c>
      <c r="H1485" s="61" t="s">
        <v>1529</v>
      </c>
      <c r="I1485" s="25">
        <v>0.9</v>
      </c>
      <c r="J1485" s="26">
        <v>1</v>
      </c>
      <c r="K1485" s="26">
        <v>0.96153846153846156</v>
      </c>
      <c r="L1485" s="27">
        <v>1</v>
      </c>
      <c r="M1485" s="26">
        <v>0.99476439790575921</v>
      </c>
      <c r="N1485" s="28">
        <v>0.9</v>
      </c>
      <c r="O1485" s="26">
        <v>0.96956977964323188</v>
      </c>
      <c r="P1485" s="26">
        <v>0.97448979591836737</v>
      </c>
      <c r="Q1485" s="26">
        <v>0.98340248962655596</v>
      </c>
      <c r="R1485" s="26">
        <v>0.97590123456790123</v>
      </c>
      <c r="S1485" s="28">
        <v>0.9</v>
      </c>
      <c r="T1485" s="26">
        <v>0.80587618048268628</v>
      </c>
      <c r="U1485" s="26">
        <v>0.80174927113702621</v>
      </c>
      <c r="V1485" s="26">
        <v>0.78112033195020747</v>
      </c>
      <c r="W1485" s="26">
        <v>0.79535802469135808</v>
      </c>
      <c r="X1485" s="28">
        <v>0.92</v>
      </c>
      <c r="Y1485" s="28">
        <v>0.92183908045977014</v>
      </c>
      <c r="Z1485" s="28">
        <v>0.90549054905490545</v>
      </c>
      <c r="AA1485" s="28">
        <v>0.89430894308943087</v>
      </c>
      <c r="AB1485" s="28">
        <v>0.91512695196090121</v>
      </c>
      <c r="AC1485" s="28">
        <v>0.92</v>
      </c>
      <c r="AD1485" s="26">
        <v>1</v>
      </c>
      <c r="AE1485" s="26">
        <v>0.95238095238095233</v>
      </c>
      <c r="AF1485" s="26">
        <v>1</v>
      </c>
      <c r="AG1485" s="26">
        <v>0.86301369863013699</v>
      </c>
      <c r="AH1485" s="28">
        <v>0.92</v>
      </c>
      <c r="AI1485" s="26">
        <v>0.93401240035429589</v>
      </c>
      <c r="AJ1485" s="26">
        <v>0.94484702093397743</v>
      </c>
      <c r="AK1485" s="26">
        <v>0.92160686427457095</v>
      </c>
      <c r="AL1485" s="26">
        <v>0.94269820695614603</v>
      </c>
      <c r="AM1485" s="25">
        <v>0.99</v>
      </c>
      <c r="AN1485" s="30">
        <v>1</v>
      </c>
      <c r="AO1485" s="30">
        <v>1</v>
      </c>
      <c r="AP1485" s="30">
        <v>1</v>
      </c>
      <c r="AQ1485" s="30">
        <v>1</v>
      </c>
      <c r="AR1485" s="50">
        <v>0.110069253262963</v>
      </c>
      <c r="AS1485" s="34">
        <v>0.2</v>
      </c>
      <c r="AT1485" s="34">
        <v>0.125</v>
      </c>
      <c r="AU1485" s="34">
        <v>0</v>
      </c>
      <c r="AV1485" s="34">
        <v>7.2727272727272724E-2</v>
      </c>
      <c r="AW1485" s="10"/>
      <c r="AX1485" s="8"/>
    </row>
    <row r="1486" spans="1:50">
      <c r="A1486" s="7"/>
      <c r="B1486" s="10"/>
      <c r="C1486" s="45" t="s">
        <v>1468</v>
      </c>
      <c r="D1486" s="23" t="s">
        <v>27</v>
      </c>
      <c r="E1486" s="61" t="s">
        <v>1530</v>
      </c>
      <c r="F1486" s="61" t="s">
        <v>1530</v>
      </c>
      <c r="G1486" s="61" t="s">
        <v>1530</v>
      </c>
      <c r="H1486" s="61" t="s">
        <v>1530</v>
      </c>
      <c r="I1486" s="25">
        <v>0.9</v>
      </c>
      <c r="J1486" s="26">
        <v>0</v>
      </c>
      <c r="K1486" s="26">
        <v>0</v>
      </c>
      <c r="L1486" s="27">
        <v>0.5</v>
      </c>
      <c r="M1486" s="26">
        <v>0.27027027027027029</v>
      </c>
      <c r="N1486" s="28">
        <v>0.9</v>
      </c>
      <c r="O1486" s="26">
        <v>1</v>
      </c>
      <c r="P1486" s="26">
        <v>0.90476190476190477</v>
      </c>
      <c r="Q1486" s="26">
        <v>0</v>
      </c>
      <c r="R1486" s="26">
        <v>0.81215469613259672</v>
      </c>
      <c r="S1486" s="28">
        <v>0.9</v>
      </c>
      <c r="T1486" s="26">
        <v>0.47619047619047616</v>
      </c>
      <c r="U1486" s="26">
        <v>0.23809523809523808</v>
      </c>
      <c r="V1486" s="26">
        <v>0</v>
      </c>
      <c r="W1486" s="26">
        <v>0.30939226519337015</v>
      </c>
      <c r="X1486" s="28">
        <v>0.92</v>
      </c>
      <c r="Y1486" s="28">
        <v>0</v>
      </c>
      <c r="Z1486" s="28">
        <v>0</v>
      </c>
      <c r="AA1486" s="28">
        <v>0</v>
      </c>
      <c r="AB1486" s="28">
        <v>0</v>
      </c>
      <c r="AC1486" s="28">
        <v>0.92</v>
      </c>
      <c r="AD1486" s="26">
        <v>0</v>
      </c>
      <c r="AE1486" s="26">
        <v>0</v>
      </c>
      <c r="AF1486" s="26">
        <v>1</v>
      </c>
      <c r="AG1486" s="26">
        <v>0.66666666666666663</v>
      </c>
      <c r="AH1486" s="28">
        <v>0.92</v>
      </c>
      <c r="AI1486" s="26">
        <v>0.52380952380952384</v>
      </c>
      <c r="AJ1486" s="26">
        <v>0.2857142857142857</v>
      </c>
      <c r="AK1486" s="26">
        <v>0</v>
      </c>
      <c r="AL1486" s="26">
        <v>0.34806629834254144</v>
      </c>
      <c r="AM1486" s="25">
        <v>0.99</v>
      </c>
      <c r="AN1486" s="30">
        <v>0</v>
      </c>
      <c r="AO1486" s="30">
        <v>0</v>
      </c>
      <c r="AP1486" s="30">
        <v>0</v>
      </c>
      <c r="AQ1486" s="30">
        <v>0</v>
      </c>
      <c r="AR1486" s="50">
        <v>0.110069253262963</v>
      </c>
      <c r="AS1486" s="34">
        <v>0</v>
      </c>
      <c r="AT1486" s="34">
        <v>7.8651685393258425E-2</v>
      </c>
      <c r="AU1486" s="34">
        <v>4.6511627906976744E-2</v>
      </c>
      <c r="AV1486" s="34">
        <v>3.4693877551020408E-2</v>
      </c>
      <c r="AW1486" s="10"/>
      <c r="AX1486" s="8"/>
    </row>
    <row r="1487" spans="1:50">
      <c r="A1487" s="7"/>
      <c r="B1487" s="10"/>
      <c r="C1487" s="45" t="s">
        <v>1468</v>
      </c>
      <c r="D1487" s="23" t="s">
        <v>27</v>
      </c>
      <c r="E1487" s="61" t="s">
        <v>1531</v>
      </c>
      <c r="F1487" s="61" t="s">
        <v>1531</v>
      </c>
      <c r="G1487" s="61" t="s">
        <v>1531</v>
      </c>
      <c r="H1487" s="61" t="s">
        <v>1531</v>
      </c>
      <c r="I1487" s="25">
        <v>0.9</v>
      </c>
      <c r="J1487" s="26">
        <v>0</v>
      </c>
      <c r="K1487" s="26">
        <v>0</v>
      </c>
      <c r="L1487" s="27">
        <v>0</v>
      </c>
      <c r="M1487" s="26">
        <v>0</v>
      </c>
      <c r="N1487" s="28">
        <v>0.9</v>
      </c>
      <c r="O1487" s="26">
        <v>0</v>
      </c>
      <c r="P1487" s="26">
        <v>0</v>
      </c>
      <c r="Q1487" s="26">
        <v>0</v>
      </c>
      <c r="R1487" s="26">
        <v>0</v>
      </c>
      <c r="S1487" s="28">
        <v>0.9</v>
      </c>
      <c r="T1487" s="26">
        <v>0</v>
      </c>
      <c r="U1487" s="26">
        <v>0</v>
      </c>
      <c r="V1487" s="26">
        <v>0</v>
      </c>
      <c r="W1487" s="26">
        <v>0</v>
      </c>
      <c r="X1487" s="28">
        <v>0.92</v>
      </c>
      <c r="Y1487" s="28">
        <v>0</v>
      </c>
      <c r="Z1487" s="28">
        <v>0</v>
      </c>
      <c r="AA1487" s="28">
        <v>0</v>
      </c>
      <c r="AB1487" s="28">
        <v>0</v>
      </c>
      <c r="AC1487" s="28">
        <v>0.92</v>
      </c>
      <c r="AD1487" s="26">
        <v>0.89610389610389607</v>
      </c>
      <c r="AE1487" s="26">
        <v>0.9850746268656716</v>
      </c>
      <c r="AF1487" s="26">
        <v>1</v>
      </c>
      <c r="AG1487" s="26">
        <v>0.91914893617021276</v>
      </c>
      <c r="AH1487" s="28">
        <v>0.92</v>
      </c>
      <c r="AI1487" s="26">
        <v>0</v>
      </c>
      <c r="AJ1487" s="26">
        <v>0</v>
      </c>
      <c r="AK1487" s="26">
        <v>0</v>
      </c>
      <c r="AL1487" s="26">
        <v>0</v>
      </c>
      <c r="AM1487" s="25">
        <v>0.99</v>
      </c>
      <c r="AN1487" s="30">
        <v>1</v>
      </c>
      <c r="AO1487" s="30">
        <v>1</v>
      </c>
      <c r="AP1487" s="30">
        <v>1</v>
      </c>
      <c r="AQ1487" s="30">
        <v>1</v>
      </c>
      <c r="AR1487" s="50">
        <v>0.110069253262963</v>
      </c>
      <c r="AS1487" s="34">
        <v>0</v>
      </c>
      <c r="AT1487" s="34">
        <v>0</v>
      </c>
      <c r="AU1487" s="34">
        <v>0</v>
      </c>
      <c r="AV1487" s="34">
        <v>0</v>
      </c>
      <c r="AW1487" s="10"/>
      <c r="AX1487" s="8"/>
    </row>
    <row r="1488" spans="1:50">
      <c r="A1488" s="7"/>
      <c r="B1488" s="10"/>
      <c r="C1488" s="45" t="s">
        <v>1468</v>
      </c>
      <c r="D1488" s="23" t="s">
        <v>27</v>
      </c>
      <c r="E1488" s="61" t="s">
        <v>1532</v>
      </c>
      <c r="F1488" s="61" t="s">
        <v>1532</v>
      </c>
      <c r="G1488" s="61" t="s">
        <v>1532</v>
      </c>
      <c r="H1488" s="61" t="s">
        <v>1532</v>
      </c>
      <c r="I1488" s="25">
        <v>0.9</v>
      </c>
      <c r="J1488" s="26">
        <v>0.7</v>
      </c>
      <c r="K1488" s="26">
        <v>0.53846153846153844</v>
      </c>
      <c r="L1488" s="27">
        <v>0.65517241379310343</v>
      </c>
      <c r="M1488" s="26">
        <v>0.69868995633187769</v>
      </c>
      <c r="N1488" s="28">
        <v>0.9</v>
      </c>
      <c r="O1488" s="26">
        <v>0.82582380632145258</v>
      </c>
      <c r="P1488" s="26">
        <v>0.84101382488479259</v>
      </c>
      <c r="Q1488" s="26">
        <v>0.92315369261477043</v>
      </c>
      <c r="R1488" s="26">
        <v>0.86943419753727857</v>
      </c>
      <c r="S1488" s="28">
        <v>0.9</v>
      </c>
      <c r="T1488" s="26">
        <v>0.59784801613987892</v>
      </c>
      <c r="U1488" s="26">
        <v>0.76497695852534564</v>
      </c>
      <c r="V1488" s="26">
        <v>0.80039920159680644</v>
      </c>
      <c r="W1488" s="26">
        <v>0.69906998493271677</v>
      </c>
      <c r="X1488" s="28">
        <v>0.92</v>
      </c>
      <c r="Y1488" s="28">
        <v>0</v>
      </c>
      <c r="Z1488" s="28">
        <v>0</v>
      </c>
      <c r="AA1488" s="28">
        <v>0</v>
      </c>
      <c r="AB1488" s="28">
        <v>1</v>
      </c>
      <c r="AC1488" s="28">
        <v>0.92</v>
      </c>
      <c r="AD1488" s="26">
        <v>1</v>
      </c>
      <c r="AE1488" s="26">
        <v>0.88888888888888884</v>
      </c>
      <c r="AF1488" s="26">
        <v>0.94736842105263153</v>
      </c>
      <c r="AG1488" s="26">
        <v>0.75555555555555554</v>
      </c>
      <c r="AH1488" s="28">
        <v>0.92</v>
      </c>
      <c r="AI1488" s="26">
        <v>0.72696704774714194</v>
      </c>
      <c r="AJ1488" s="26">
        <v>0.90092165898617516</v>
      </c>
      <c r="AK1488" s="26">
        <v>0.91516966067864269</v>
      </c>
      <c r="AL1488" s="26">
        <v>0.85775145469659186</v>
      </c>
      <c r="AM1488" s="25">
        <v>0.99</v>
      </c>
      <c r="AN1488" s="30">
        <v>0</v>
      </c>
      <c r="AO1488" s="30">
        <v>1</v>
      </c>
      <c r="AP1488" s="30">
        <v>1</v>
      </c>
      <c r="AQ1488" s="30">
        <v>1</v>
      </c>
      <c r="AR1488" s="50">
        <v>0.110069253262963</v>
      </c>
      <c r="AS1488" s="34">
        <v>0</v>
      </c>
      <c r="AT1488" s="34">
        <v>0.15789473684210525</v>
      </c>
      <c r="AU1488" s="34">
        <v>0.10810810810810811</v>
      </c>
      <c r="AV1488" s="34">
        <v>8.7804878048780483E-2</v>
      </c>
      <c r="AW1488" s="10"/>
      <c r="AX1488" s="8"/>
    </row>
    <row r="1489" spans="1:50">
      <c r="A1489" s="7"/>
      <c r="B1489" s="10"/>
      <c r="C1489" s="45" t="s">
        <v>1468</v>
      </c>
      <c r="D1489" s="23" t="s">
        <v>27</v>
      </c>
      <c r="E1489" s="61" t="s">
        <v>1533</v>
      </c>
      <c r="F1489" s="61" t="s">
        <v>1533</v>
      </c>
      <c r="G1489" s="61" t="s">
        <v>1533</v>
      </c>
      <c r="H1489" s="61" t="s">
        <v>1533</v>
      </c>
      <c r="I1489" s="25">
        <v>0.9</v>
      </c>
      <c r="J1489" s="26">
        <v>1</v>
      </c>
      <c r="K1489" s="26">
        <v>1</v>
      </c>
      <c r="L1489" s="27">
        <v>1</v>
      </c>
      <c r="M1489" s="26">
        <v>0.99512195121951219</v>
      </c>
      <c r="N1489" s="28">
        <v>0.9</v>
      </c>
      <c r="O1489" s="26">
        <v>0.91389432485322897</v>
      </c>
      <c r="P1489" s="26">
        <v>0.96756756756756757</v>
      </c>
      <c r="Q1489" s="26">
        <v>0.98740310077519378</v>
      </c>
      <c r="R1489" s="26">
        <v>0.96386359232706842</v>
      </c>
      <c r="S1489" s="28">
        <v>0.9</v>
      </c>
      <c r="T1489" s="26">
        <v>0.64872798434442269</v>
      </c>
      <c r="U1489" s="26">
        <v>0.75945945945945947</v>
      </c>
      <c r="V1489" s="26">
        <v>0.74612403100775193</v>
      </c>
      <c r="W1489" s="26">
        <v>0.71362139120325518</v>
      </c>
      <c r="X1489" s="28">
        <v>0.92</v>
      </c>
      <c r="Y1489" s="28">
        <v>0.78403041825095054</v>
      </c>
      <c r="Z1489" s="28">
        <v>0.90179414542020775</v>
      </c>
      <c r="AA1489" s="28">
        <v>0.91174680462568469</v>
      </c>
      <c r="AB1489" s="28">
        <v>0.85758148323098726</v>
      </c>
      <c r="AC1489" s="28">
        <v>0.92</v>
      </c>
      <c r="AD1489" s="26">
        <v>0.95454545454545459</v>
      </c>
      <c r="AE1489" s="26">
        <v>0.52482269503546097</v>
      </c>
      <c r="AF1489" s="26">
        <v>0.14503816793893129</v>
      </c>
      <c r="AG1489" s="26">
        <v>0.33412042502951594</v>
      </c>
      <c r="AH1489" s="28">
        <v>0.92</v>
      </c>
      <c r="AI1489" s="26">
        <v>0.82420872540633017</v>
      </c>
      <c r="AJ1489" s="26">
        <v>0.9326506498621504</v>
      </c>
      <c r="AK1489" s="26">
        <v>0.92186915887850462</v>
      </c>
      <c r="AL1489" s="26">
        <v>0.89383780332056195</v>
      </c>
      <c r="AM1489" s="25">
        <v>0.99</v>
      </c>
      <c r="AN1489" s="30">
        <v>1</v>
      </c>
      <c r="AO1489" s="30">
        <v>1</v>
      </c>
      <c r="AP1489" s="30">
        <v>1</v>
      </c>
      <c r="AQ1489" s="30">
        <v>1</v>
      </c>
      <c r="AR1489" s="50">
        <v>0.110069253262963</v>
      </c>
      <c r="AS1489" s="34">
        <v>0</v>
      </c>
      <c r="AT1489" s="34">
        <v>8.3333333333333329E-2</v>
      </c>
      <c r="AU1489" s="34">
        <v>9.0909090909090912E-2</v>
      </c>
      <c r="AV1489" s="34">
        <v>8.247422680412371E-2</v>
      </c>
      <c r="AW1489" s="10"/>
      <c r="AX1489" s="8"/>
    </row>
    <row r="1490" spans="1:50">
      <c r="A1490" s="7"/>
      <c r="B1490" s="10"/>
      <c r="C1490" s="45" t="s">
        <v>1468</v>
      </c>
      <c r="D1490" s="23" t="s">
        <v>27</v>
      </c>
      <c r="E1490" s="61" t="s">
        <v>1534</v>
      </c>
      <c r="F1490" s="61" t="s">
        <v>1534</v>
      </c>
      <c r="G1490" s="61" t="s">
        <v>1534</v>
      </c>
      <c r="H1490" s="61" t="s">
        <v>1534</v>
      </c>
      <c r="I1490" s="25">
        <v>0.9</v>
      </c>
      <c r="J1490" s="26">
        <v>1</v>
      </c>
      <c r="K1490" s="26">
        <v>1</v>
      </c>
      <c r="L1490" s="27">
        <v>1</v>
      </c>
      <c r="M1490" s="26">
        <v>0.83018867924528306</v>
      </c>
      <c r="N1490" s="28">
        <v>0.9</v>
      </c>
      <c r="O1490" s="26">
        <v>0</v>
      </c>
      <c r="P1490" s="26">
        <v>0</v>
      </c>
      <c r="Q1490" s="26">
        <v>0</v>
      </c>
      <c r="R1490" s="26">
        <v>0.22222222222222221</v>
      </c>
      <c r="S1490" s="28">
        <v>0.9</v>
      </c>
      <c r="T1490" s="26">
        <v>0</v>
      </c>
      <c r="U1490" s="26">
        <v>0</v>
      </c>
      <c r="V1490" s="26">
        <v>0</v>
      </c>
      <c r="W1490" s="26">
        <v>0.1111111111111111</v>
      </c>
      <c r="X1490" s="28">
        <v>0.92</v>
      </c>
      <c r="Y1490" s="28">
        <v>0</v>
      </c>
      <c r="Z1490" s="28">
        <v>0</v>
      </c>
      <c r="AA1490" s="28">
        <v>0</v>
      </c>
      <c r="AB1490" s="28">
        <v>0</v>
      </c>
      <c r="AC1490" s="28">
        <v>0.92</v>
      </c>
      <c r="AD1490" s="26">
        <v>0</v>
      </c>
      <c r="AE1490" s="26">
        <v>0</v>
      </c>
      <c r="AF1490" s="26">
        <v>0</v>
      </c>
      <c r="AG1490" s="26">
        <v>0.7142857142857143</v>
      </c>
      <c r="AH1490" s="28">
        <v>0.92</v>
      </c>
      <c r="AI1490" s="26">
        <v>0.62005856515373348</v>
      </c>
      <c r="AJ1490" s="26">
        <v>0.99518652226233451</v>
      </c>
      <c r="AK1490" s="26">
        <v>0.9027027027027027</v>
      </c>
      <c r="AL1490" s="26">
        <v>0.78617660656495603</v>
      </c>
      <c r="AM1490" s="25">
        <v>0.99</v>
      </c>
      <c r="AN1490" s="30">
        <v>0</v>
      </c>
      <c r="AO1490" s="30">
        <v>0</v>
      </c>
      <c r="AP1490" s="30">
        <v>0</v>
      </c>
      <c r="AQ1490" s="30">
        <v>0</v>
      </c>
      <c r="AR1490" s="50">
        <v>0.110069253262963</v>
      </c>
      <c r="AS1490" s="34">
        <v>2.6666666666666665</v>
      </c>
      <c r="AT1490" s="34">
        <v>0.11475409836065574</v>
      </c>
      <c r="AU1490" s="34">
        <v>7.4074074074074077E-3</v>
      </c>
      <c r="AV1490" s="34">
        <v>9.6021947873799723E-2</v>
      </c>
      <c r="AW1490" s="10"/>
      <c r="AX1490" s="8"/>
    </row>
    <row r="1491" spans="1:50">
      <c r="A1491" s="7"/>
      <c r="B1491" s="10"/>
      <c r="C1491" s="45" t="s">
        <v>1468</v>
      </c>
      <c r="D1491" s="23" t="s">
        <v>27</v>
      </c>
      <c r="E1491" s="61" t="s">
        <v>1535</v>
      </c>
      <c r="F1491" s="61" t="s">
        <v>1535</v>
      </c>
      <c r="G1491" s="61" t="s">
        <v>1535</v>
      </c>
      <c r="H1491" s="61" t="s">
        <v>1535</v>
      </c>
      <c r="I1491" s="25">
        <v>0.9</v>
      </c>
      <c r="J1491" s="26">
        <v>0.9</v>
      </c>
      <c r="K1491" s="26">
        <v>0.9375</v>
      </c>
      <c r="L1491" s="27">
        <v>1</v>
      </c>
      <c r="M1491" s="26">
        <v>0.91366906474820142</v>
      </c>
      <c r="N1491" s="28">
        <v>0.9</v>
      </c>
      <c r="O1491" s="26">
        <v>0</v>
      </c>
      <c r="P1491" s="26">
        <v>0</v>
      </c>
      <c r="Q1491" s="26">
        <v>0</v>
      </c>
      <c r="R1491" s="26">
        <v>0</v>
      </c>
      <c r="S1491" s="28">
        <v>0.9</v>
      </c>
      <c r="T1491" s="26">
        <v>0</v>
      </c>
      <c r="U1491" s="26">
        <v>0</v>
      </c>
      <c r="V1491" s="26">
        <v>0</v>
      </c>
      <c r="W1491" s="26">
        <v>0</v>
      </c>
      <c r="X1491" s="28">
        <v>0.92</v>
      </c>
      <c r="Y1491" s="28">
        <v>0</v>
      </c>
      <c r="Z1491" s="28">
        <v>0</v>
      </c>
      <c r="AA1491" s="28">
        <v>0</v>
      </c>
      <c r="AB1491" s="28">
        <v>0</v>
      </c>
      <c r="AC1491" s="28">
        <v>0.92</v>
      </c>
      <c r="AD1491" s="26">
        <v>0.7142857142857143</v>
      </c>
      <c r="AE1491" s="26">
        <v>0.625</v>
      </c>
      <c r="AF1491" s="26">
        <v>0.2857142857142857</v>
      </c>
      <c r="AG1491" s="26">
        <v>0.72222222222222221</v>
      </c>
      <c r="AH1491" s="28">
        <v>0.92</v>
      </c>
      <c r="AI1491" s="26">
        <v>0.9597000937207123</v>
      </c>
      <c r="AJ1491" s="26">
        <v>0.70711297071129708</v>
      </c>
      <c r="AK1491" s="26">
        <v>0.75593952483801297</v>
      </c>
      <c r="AL1491" s="26">
        <v>0.88052434456928841</v>
      </c>
      <c r="AM1491" s="25">
        <v>0.99</v>
      </c>
      <c r="AN1491" s="30">
        <v>1</v>
      </c>
      <c r="AO1491" s="30">
        <v>1</v>
      </c>
      <c r="AP1491" s="30">
        <v>1</v>
      </c>
      <c r="AQ1491" s="30">
        <v>1</v>
      </c>
      <c r="AR1491" s="50">
        <v>0.110069253262963</v>
      </c>
      <c r="AS1491" s="34">
        <v>2.5974025974025976E-2</v>
      </c>
      <c r="AT1491" s="34">
        <v>0</v>
      </c>
      <c r="AU1491" s="34">
        <v>5.0505050505050504E-2</v>
      </c>
      <c r="AV1491" s="34">
        <v>0.11337868480725624</v>
      </c>
      <c r="AW1491" s="10"/>
      <c r="AX1491" s="8"/>
    </row>
    <row r="1492" spans="1:50">
      <c r="A1492" s="7"/>
      <c r="B1492" s="10"/>
      <c r="C1492" s="45" t="s">
        <v>1468</v>
      </c>
      <c r="D1492" s="23" t="s">
        <v>27</v>
      </c>
      <c r="E1492" s="61" t="s">
        <v>1536</v>
      </c>
      <c r="F1492" s="61" t="s">
        <v>1536</v>
      </c>
      <c r="G1492" s="61" t="s">
        <v>1536</v>
      </c>
      <c r="H1492" s="61" t="s">
        <v>1536</v>
      </c>
      <c r="I1492" s="25">
        <v>0.9</v>
      </c>
      <c r="J1492" s="26">
        <v>0.75</v>
      </c>
      <c r="K1492" s="26">
        <v>0.91666666666666663</v>
      </c>
      <c r="L1492" s="27">
        <v>1</v>
      </c>
      <c r="M1492" s="26">
        <v>0.87755102040816324</v>
      </c>
      <c r="N1492" s="28">
        <v>0.9</v>
      </c>
      <c r="O1492" s="26">
        <v>0.73550724637681164</v>
      </c>
      <c r="P1492" s="26">
        <v>0.49846153846153846</v>
      </c>
      <c r="Q1492" s="26">
        <v>0.45318725099601592</v>
      </c>
      <c r="R1492" s="26">
        <v>0.38980263157894735</v>
      </c>
      <c r="S1492" s="28">
        <v>0.9</v>
      </c>
      <c r="T1492" s="26">
        <v>0.57246376811594202</v>
      </c>
      <c r="U1492" s="26">
        <v>0.3323076923076923</v>
      </c>
      <c r="V1492" s="26">
        <v>0.34262948207171312</v>
      </c>
      <c r="W1492" s="26">
        <v>0.32236842105263158</v>
      </c>
      <c r="X1492" s="28">
        <v>0.92</v>
      </c>
      <c r="Y1492" s="28">
        <v>0</v>
      </c>
      <c r="Z1492" s="28">
        <v>0</v>
      </c>
      <c r="AA1492" s="28">
        <v>0</v>
      </c>
      <c r="AB1492" s="28">
        <v>0</v>
      </c>
      <c r="AC1492" s="28">
        <v>0.92</v>
      </c>
      <c r="AD1492" s="26">
        <v>0</v>
      </c>
      <c r="AE1492" s="26">
        <v>0</v>
      </c>
      <c r="AF1492" s="26">
        <v>0</v>
      </c>
      <c r="AG1492" s="26">
        <v>0.3235294117647059</v>
      </c>
      <c r="AH1492" s="28">
        <v>0.92</v>
      </c>
      <c r="AI1492" s="26">
        <v>0.69202898550724634</v>
      </c>
      <c r="AJ1492" s="26">
        <v>0.53846153846153844</v>
      </c>
      <c r="AK1492" s="26">
        <v>0.42480079681274902</v>
      </c>
      <c r="AL1492" s="26">
        <v>0.451171875</v>
      </c>
      <c r="AM1492" s="25">
        <v>0.99</v>
      </c>
      <c r="AN1492" s="30">
        <v>1</v>
      </c>
      <c r="AO1492" s="30">
        <v>1</v>
      </c>
      <c r="AP1492" s="30">
        <v>1</v>
      </c>
      <c r="AQ1492" s="30">
        <v>1</v>
      </c>
      <c r="AR1492" s="50">
        <v>0.110069253262963</v>
      </c>
      <c r="AS1492" s="34">
        <v>0.1</v>
      </c>
      <c r="AT1492" s="34">
        <v>0.16129032258064516</v>
      </c>
      <c r="AU1492" s="34">
        <v>0.60563380281690138</v>
      </c>
      <c r="AV1492" s="34">
        <v>0.13506139154160982</v>
      </c>
      <c r="AW1492" s="10"/>
      <c r="AX1492" s="8"/>
    </row>
    <row r="1493" spans="1:50">
      <c r="A1493" s="7"/>
      <c r="B1493" s="10"/>
      <c r="C1493" s="45" t="s">
        <v>1468</v>
      </c>
      <c r="D1493" s="23" t="s">
        <v>27</v>
      </c>
      <c r="E1493" s="61" t="s">
        <v>1537</v>
      </c>
      <c r="F1493" s="61" t="s">
        <v>1537</v>
      </c>
      <c r="G1493" s="61" t="s">
        <v>1537</v>
      </c>
      <c r="H1493" s="61" t="s">
        <v>1537</v>
      </c>
      <c r="I1493" s="25">
        <v>0.9</v>
      </c>
      <c r="J1493" s="26">
        <v>0</v>
      </c>
      <c r="K1493" s="26">
        <v>0</v>
      </c>
      <c r="L1493" s="27">
        <v>0</v>
      </c>
      <c r="M1493" s="26">
        <v>0</v>
      </c>
      <c r="N1493" s="28">
        <v>0.9</v>
      </c>
      <c r="O1493" s="26">
        <v>0</v>
      </c>
      <c r="P1493" s="26">
        <v>0</v>
      </c>
      <c r="Q1493" s="26">
        <v>0</v>
      </c>
      <c r="R1493" s="26">
        <v>0</v>
      </c>
      <c r="S1493" s="28">
        <v>0.9</v>
      </c>
      <c r="T1493" s="26">
        <v>0</v>
      </c>
      <c r="U1493" s="26">
        <v>0</v>
      </c>
      <c r="V1493" s="26">
        <v>0</v>
      </c>
      <c r="W1493" s="26">
        <v>0</v>
      </c>
      <c r="X1493" s="28">
        <v>0.92</v>
      </c>
      <c r="Y1493" s="28">
        <v>0</v>
      </c>
      <c r="Z1493" s="28">
        <v>0</v>
      </c>
      <c r="AA1493" s="28">
        <v>0</v>
      </c>
      <c r="AB1493" s="28">
        <v>0</v>
      </c>
      <c r="AC1493" s="28">
        <v>0.92</v>
      </c>
      <c r="AD1493" s="26">
        <v>0.90662139219015281</v>
      </c>
      <c r="AE1493" s="26">
        <v>0.9769094138543517</v>
      </c>
      <c r="AF1493" s="26">
        <v>0.99019607843137258</v>
      </c>
      <c r="AG1493" s="26">
        <v>0.83499005964214712</v>
      </c>
      <c r="AH1493" s="28">
        <v>0.92</v>
      </c>
      <c r="AI1493" s="26">
        <v>1</v>
      </c>
      <c r="AJ1493" s="26">
        <v>0</v>
      </c>
      <c r="AK1493" s="26">
        <v>1</v>
      </c>
      <c r="AL1493" s="26">
        <v>1</v>
      </c>
      <c r="AM1493" s="25">
        <v>0.99</v>
      </c>
      <c r="AN1493" s="30">
        <v>1</v>
      </c>
      <c r="AO1493" s="30">
        <v>1</v>
      </c>
      <c r="AP1493" s="30">
        <v>1</v>
      </c>
      <c r="AQ1493" s="30">
        <v>1</v>
      </c>
      <c r="AR1493" s="50">
        <v>0.110069253262963</v>
      </c>
      <c r="AS1493" s="34">
        <v>0</v>
      </c>
      <c r="AT1493" s="34">
        <v>0</v>
      </c>
      <c r="AU1493" s="34">
        <v>0</v>
      </c>
      <c r="AV1493" s="34">
        <v>0</v>
      </c>
      <c r="AW1493" s="10"/>
      <c r="AX1493" s="8"/>
    </row>
    <row r="1494" spans="1:50">
      <c r="A1494" s="7"/>
      <c r="B1494" s="10"/>
      <c r="C1494" s="45" t="s">
        <v>1468</v>
      </c>
      <c r="D1494" s="23" t="s">
        <v>27</v>
      </c>
      <c r="E1494" s="61" t="s">
        <v>1538</v>
      </c>
      <c r="F1494" s="61" t="s">
        <v>1538</v>
      </c>
      <c r="G1494" s="61" t="s">
        <v>1538</v>
      </c>
      <c r="H1494" s="61" t="s">
        <v>1538</v>
      </c>
      <c r="I1494" s="25">
        <v>0.9</v>
      </c>
      <c r="J1494" s="26">
        <v>0.53333333333333333</v>
      </c>
      <c r="K1494" s="26">
        <v>0.58333333333333337</v>
      </c>
      <c r="L1494" s="27">
        <v>0.69230769230769229</v>
      </c>
      <c r="M1494" s="26">
        <v>0.4349775784753363</v>
      </c>
      <c r="N1494" s="28">
        <v>0.9</v>
      </c>
      <c r="O1494" s="26">
        <v>0.97148676171079429</v>
      </c>
      <c r="P1494" s="26">
        <v>0.95279593318809008</v>
      </c>
      <c r="Q1494" s="26">
        <v>0.95652173913043481</v>
      </c>
      <c r="R1494" s="26">
        <v>0.85400873537828204</v>
      </c>
      <c r="S1494" s="28">
        <v>0.9</v>
      </c>
      <c r="T1494" s="26">
        <v>0.42498302783435166</v>
      </c>
      <c r="U1494" s="26">
        <v>0.55991285403050106</v>
      </c>
      <c r="V1494" s="26">
        <v>0.56935817805383027</v>
      </c>
      <c r="W1494" s="26">
        <v>0.48486369797680606</v>
      </c>
      <c r="X1494" s="28">
        <v>0.92</v>
      </c>
      <c r="Y1494" s="28">
        <v>0</v>
      </c>
      <c r="Z1494" s="28">
        <v>0</v>
      </c>
      <c r="AA1494" s="28">
        <v>0</v>
      </c>
      <c r="AB1494" s="28">
        <v>0</v>
      </c>
      <c r="AC1494" s="28">
        <v>0.92</v>
      </c>
      <c r="AD1494" s="26">
        <v>1</v>
      </c>
      <c r="AE1494" s="26">
        <v>0.91666666666666663</v>
      </c>
      <c r="AF1494" s="26">
        <v>0</v>
      </c>
      <c r="AG1494" s="26">
        <v>0.94444444444444442</v>
      </c>
      <c r="AH1494" s="28">
        <v>0.92</v>
      </c>
      <c r="AI1494" s="26">
        <v>0.60828241683638828</v>
      </c>
      <c r="AJ1494" s="26">
        <v>0.76034858387799564</v>
      </c>
      <c r="AK1494" s="26">
        <v>0.76086956521739135</v>
      </c>
      <c r="AL1494" s="26">
        <v>0.71665244239168635</v>
      </c>
      <c r="AM1494" s="25">
        <v>0.99</v>
      </c>
      <c r="AN1494" s="30">
        <v>1</v>
      </c>
      <c r="AO1494" s="30">
        <v>0</v>
      </c>
      <c r="AP1494" s="30">
        <v>1</v>
      </c>
      <c r="AQ1494" s="30">
        <v>1</v>
      </c>
      <c r="AR1494" s="50">
        <v>0.110069253262963</v>
      </c>
      <c r="AS1494" s="34">
        <v>0.21428571428571427</v>
      </c>
      <c r="AT1494" s="34">
        <v>0.125</v>
      </c>
      <c r="AU1494" s="34">
        <v>9.8039215686274508E-2</v>
      </c>
      <c r="AV1494" s="34">
        <v>0.13355048859934854</v>
      </c>
      <c r="AW1494" s="10"/>
      <c r="AX1494" s="8"/>
    </row>
    <row r="1495" spans="1:50">
      <c r="A1495" s="7"/>
      <c r="B1495" s="10"/>
      <c r="C1495" s="45" t="s">
        <v>1468</v>
      </c>
      <c r="D1495" s="23" t="s">
        <v>27</v>
      </c>
      <c r="E1495" s="61" t="s">
        <v>1539</v>
      </c>
      <c r="F1495" s="61" t="s">
        <v>1539</v>
      </c>
      <c r="G1495" s="61" t="s">
        <v>1539</v>
      </c>
      <c r="H1495" s="61" t="s">
        <v>1539</v>
      </c>
      <c r="I1495" s="25">
        <v>0.9</v>
      </c>
      <c r="J1495" s="26">
        <v>0.84615384615384615</v>
      </c>
      <c r="K1495" s="26">
        <v>0.80769230769230771</v>
      </c>
      <c r="L1495" s="27">
        <v>0.93103448275862066</v>
      </c>
      <c r="M1495" s="26">
        <v>0.85648148148148151</v>
      </c>
      <c r="N1495" s="28">
        <v>0.9</v>
      </c>
      <c r="O1495" s="26">
        <v>0</v>
      </c>
      <c r="P1495" s="26">
        <v>0</v>
      </c>
      <c r="Q1495" s="26">
        <v>1</v>
      </c>
      <c r="R1495" s="26">
        <v>0.2857142857142857</v>
      </c>
      <c r="S1495" s="28">
        <v>0.9</v>
      </c>
      <c r="T1495" s="26">
        <v>0</v>
      </c>
      <c r="U1495" s="26">
        <v>0</v>
      </c>
      <c r="V1495" s="26">
        <v>0</v>
      </c>
      <c r="W1495" s="26">
        <v>0.14285714285714285</v>
      </c>
      <c r="X1495" s="28">
        <v>0.92</v>
      </c>
      <c r="Y1495" s="28">
        <v>0</v>
      </c>
      <c r="Z1495" s="28">
        <v>0</v>
      </c>
      <c r="AA1495" s="28">
        <v>0</v>
      </c>
      <c r="AB1495" s="28">
        <v>0</v>
      </c>
      <c r="AC1495" s="28">
        <v>0.92</v>
      </c>
      <c r="AD1495" s="26">
        <v>0</v>
      </c>
      <c r="AE1495" s="26">
        <v>0</v>
      </c>
      <c r="AF1495" s="26">
        <v>0</v>
      </c>
      <c r="AG1495" s="26">
        <v>0</v>
      </c>
      <c r="AH1495" s="28">
        <v>0.92</v>
      </c>
      <c r="AI1495" s="26">
        <v>0.70838709677419354</v>
      </c>
      <c r="AJ1495" s="26">
        <v>0.74491554636332302</v>
      </c>
      <c r="AK1495" s="26">
        <v>0.72178387650085762</v>
      </c>
      <c r="AL1495" s="26">
        <v>0.75513672176734126</v>
      </c>
      <c r="AM1495" s="25">
        <v>0.99</v>
      </c>
      <c r="AN1495" s="30">
        <v>0</v>
      </c>
      <c r="AO1495" s="30">
        <v>0</v>
      </c>
      <c r="AP1495" s="30">
        <v>0</v>
      </c>
      <c r="AQ1495" s="30">
        <v>0</v>
      </c>
      <c r="AR1495" s="50">
        <v>0.110069253262963</v>
      </c>
      <c r="AS1495" s="34">
        <v>0.15</v>
      </c>
      <c r="AT1495" s="34">
        <v>0.10909090909090909</v>
      </c>
      <c r="AU1495" s="34">
        <v>0.14583333333333334</v>
      </c>
      <c r="AV1495" s="34">
        <v>0.21798365122615804</v>
      </c>
      <c r="AW1495" s="10"/>
      <c r="AX1495" s="8"/>
    </row>
    <row r="1496" spans="1:50">
      <c r="A1496" s="7"/>
      <c r="B1496" s="10"/>
      <c r="C1496" s="45" t="s">
        <v>1468</v>
      </c>
      <c r="D1496" s="23" t="s">
        <v>27</v>
      </c>
      <c r="E1496" s="61" t="s">
        <v>1540</v>
      </c>
      <c r="F1496" s="61" t="s">
        <v>1540</v>
      </c>
      <c r="G1496" s="61" t="s">
        <v>1540</v>
      </c>
      <c r="H1496" s="61" t="s">
        <v>1540</v>
      </c>
      <c r="I1496" s="25">
        <v>0.9</v>
      </c>
      <c r="J1496" s="26">
        <v>0.88888888888888884</v>
      </c>
      <c r="K1496" s="26">
        <v>0.93333333333333335</v>
      </c>
      <c r="L1496" s="27">
        <v>0.88888888888888884</v>
      </c>
      <c r="M1496" s="26">
        <v>0.93617021276595747</v>
      </c>
      <c r="N1496" s="28">
        <v>0.9</v>
      </c>
      <c r="O1496" s="26">
        <v>0.99723404255319148</v>
      </c>
      <c r="P1496" s="26">
        <v>0</v>
      </c>
      <c r="Q1496" s="26">
        <v>0.81818181818181823</v>
      </c>
      <c r="R1496" s="26">
        <v>0.99590473111326649</v>
      </c>
      <c r="S1496" s="28">
        <v>0.9</v>
      </c>
      <c r="T1496" s="26">
        <v>0.60148936170212763</v>
      </c>
      <c r="U1496" s="26">
        <v>0</v>
      </c>
      <c r="V1496" s="26">
        <v>0.54545454545454541</v>
      </c>
      <c r="W1496" s="26">
        <v>0.72518590365341096</v>
      </c>
      <c r="X1496" s="28">
        <v>0.92</v>
      </c>
      <c r="Y1496" s="28">
        <v>0</v>
      </c>
      <c r="Z1496" s="28">
        <v>0</v>
      </c>
      <c r="AA1496" s="28">
        <v>0</v>
      </c>
      <c r="AB1496" s="28">
        <v>0</v>
      </c>
      <c r="AC1496" s="28">
        <v>0.92</v>
      </c>
      <c r="AD1496" s="26">
        <v>0</v>
      </c>
      <c r="AE1496" s="26">
        <v>0</v>
      </c>
      <c r="AF1496" s="26">
        <v>1</v>
      </c>
      <c r="AG1496" s="26">
        <v>1</v>
      </c>
      <c r="AH1496" s="28">
        <v>0.92</v>
      </c>
      <c r="AI1496" s="26">
        <v>0.62688789619229957</v>
      </c>
      <c r="AJ1496" s="26">
        <v>0</v>
      </c>
      <c r="AK1496" s="26">
        <v>0.61363636363636365</v>
      </c>
      <c r="AL1496" s="26">
        <v>0.75288161154799094</v>
      </c>
      <c r="AM1496" s="25">
        <v>0.99</v>
      </c>
      <c r="AN1496" s="30">
        <v>0</v>
      </c>
      <c r="AO1496" s="30">
        <v>0</v>
      </c>
      <c r="AP1496" s="30">
        <v>0</v>
      </c>
      <c r="AQ1496" s="30">
        <v>0</v>
      </c>
      <c r="AR1496" s="50">
        <v>0.110069253262963</v>
      </c>
      <c r="AS1496" s="34">
        <v>0.23529411764705882</v>
      </c>
      <c r="AT1496" s="34">
        <v>0.21052631578947367</v>
      </c>
      <c r="AU1496" s="34">
        <v>0.53846153846153844</v>
      </c>
      <c r="AV1496" s="34">
        <v>0.11971830985915492</v>
      </c>
      <c r="AW1496" s="10"/>
      <c r="AX1496" s="8"/>
    </row>
    <row r="1497" spans="1:50">
      <c r="A1497" s="7"/>
      <c r="B1497" s="10"/>
      <c r="C1497" s="45" t="s">
        <v>1468</v>
      </c>
      <c r="D1497" s="23" t="s">
        <v>27</v>
      </c>
      <c r="E1497" s="61" t="s">
        <v>1541</v>
      </c>
      <c r="F1497" s="61" t="s">
        <v>1541</v>
      </c>
      <c r="G1497" s="61" t="s">
        <v>1541</v>
      </c>
      <c r="H1497" s="61" t="s">
        <v>1541</v>
      </c>
      <c r="I1497" s="25">
        <v>0.9</v>
      </c>
      <c r="J1497" s="26">
        <v>0.56000000000000005</v>
      </c>
      <c r="K1497" s="26">
        <v>0.68181818181818177</v>
      </c>
      <c r="L1497" s="27">
        <v>0.625</v>
      </c>
      <c r="M1497" s="26">
        <v>0.60576923076923073</v>
      </c>
      <c r="N1497" s="28">
        <v>0.9</v>
      </c>
      <c r="O1497" s="26">
        <v>0.70600134861766695</v>
      </c>
      <c r="P1497" s="26">
        <v>0.74287699791521888</v>
      </c>
      <c r="Q1497" s="26">
        <v>0.71060171919770776</v>
      </c>
      <c r="R1497" s="26">
        <v>0.79438143596070798</v>
      </c>
      <c r="S1497" s="28">
        <v>0.9</v>
      </c>
      <c r="T1497" s="26">
        <v>0.52663519892110588</v>
      </c>
      <c r="U1497" s="26">
        <v>0.59485753995830437</v>
      </c>
      <c r="V1497" s="26">
        <v>0.59312320916905448</v>
      </c>
      <c r="W1497" s="26">
        <v>0.57538081905756178</v>
      </c>
      <c r="X1497" s="28">
        <v>0.92</v>
      </c>
      <c r="Y1497" s="28">
        <v>0</v>
      </c>
      <c r="Z1497" s="28">
        <v>0</v>
      </c>
      <c r="AA1497" s="28">
        <v>0</v>
      </c>
      <c r="AB1497" s="28">
        <v>0</v>
      </c>
      <c r="AC1497" s="28">
        <v>0.92</v>
      </c>
      <c r="AD1497" s="26">
        <v>0.9375</v>
      </c>
      <c r="AE1497" s="26">
        <v>1</v>
      </c>
      <c r="AF1497" s="26">
        <v>1</v>
      </c>
      <c r="AG1497" s="26">
        <v>0.9269406392694064</v>
      </c>
      <c r="AH1497" s="28">
        <v>0.92</v>
      </c>
      <c r="AI1497" s="26">
        <v>0.72892784895482132</v>
      </c>
      <c r="AJ1497" s="26">
        <v>0.77831827658095898</v>
      </c>
      <c r="AK1497" s="26">
        <v>0.77077363896848139</v>
      </c>
      <c r="AL1497" s="26">
        <v>0.77962321453993266</v>
      </c>
      <c r="AM1497" s="25">
        <v>0.99</v>
      </c>
      <c r="AN1497" s="30">
        <v>0</v>
      </c>
      <c r="AO1497" s="30">
        <v>1</v>
      </c>
      <c r="AP1497" s="30">
        <v>1</v>
      </c>
      <c r="AQ1497" s="30">
        <v>1</v>
      </c>
      <c r="AR1497" s="50">
        <v>0.110069253262963</v>
      </c>
      <c r="AS1497" s="34">
        <v>4.1666666666666664E-2</v>
      </c>
      <c r="AT1497" s="34">
        <v>3.0303030303030304E-2</v>
      </c>
      <c r="AU1497" s="34">
        <v>8.1081081081081086E-2</v>
      </c>
      <c r="AV1497" s="34">
        <v>8.4821428571428575E-2</v>
      </c>
      <c r="AW1497" s="10"/>
      <c r="AX1497" s="8"/>
    </row>
    <row r="1498" spans="1:50">
      <c r="A1498" s="7"/>
      <c r="B1498" s="10"/>
      <c r="C1498" s="45" t="s">
        <v>1468</v>
      </c>
      <c r="D1498" s="23" t="s">
        <v>27</v>
      </c>
      <c r="E1498" s="61" t="s">
        <v>1542</v>
      </c>
      <c r="F1498" s="61" t="s">
        <v>1542</v>
      </c>
      <c r="G1498" s="61" t="s">
        <v>1542</v>
      </c>
      <c r="H1498" s="61" t="s">
        <v>1542</v>
      </c>
      <c r="I1498" s="25">
        <v>0.9</v>
      </c>
      <c r="J1498" s="26">
        <v>1</v>
      </c>
      <c r="K1498" s="26">
        <v>0.83333333333333337</v>
      </c>
      <c r="L1498" s="27">
        <v>0.9285714285714286</v>
      </c>
      <c r="M1498" s="26">
        <v>0.72727272727272729</v>
      </c>
      <c r="N1498" s="28">
        <v>0.9</v>
      </c>
      <c r="O1498" s="26">
        <v>0</v>
      </c>
      <c r="P1498" s="26">
        <v>0</v>
      </c>
      <c r="Q1498" s="26">
        <v>0</v>
      </c>
      <c r="R1498" s="26">
        <v>0</v>
      </c>
      <c r="S1498" s="28">
        <v>0.9</v>
      </c>
      <c r="T1498" s="26">
        <v>0</v>
      </c>
      <c r="U1498" s="26">
        <v>0</v>
      </c>
      <c r="V1498" s="26">
        <v>0</v>
      </c>
      <c r="W1498" s="26">
        <v>0</v>
      </c>
      <c r="X1498" s="28">
        <v>0.92</v>
      </c>
      <c r="Y1498" s="28">
        <v>0</v>
      </c>
      <c r="Z1498" s="28">
        <v>0</v>
      </c>
      <c r="AA1498" s="28">
        <v>0</v>
      </c>
      <c r="AB1498" s="28">
        <v>0</v>
      </c>
      <c r="AC1498" s="28">
        <v>0.92</v>
      </c>
      <c r="AD1498" s="26">
        <v>0</v>
      </c>
      <c r="AE1498" s="26">
        <v>0</v>
      </c>
      <c r="AF1498" s="26">
        <v>0.2857142857142857</v>
      </c>
      <c r="AG1498" s="26">
        <v>0.68</v>
      </c>
      <c r="AH1498" s="28">
        <v>0.92</v>
      </c>
      <c r="AI1498" s="26">
        <v>0.80645161290322576</v>
      </c>
      <c r="AJ1498" s="26">
        <v>0.61854304635761592</v>
      </c>
      <c r="AK1498" s="26">
        <v>0.44618395303326808</v>
      </c>
      <c r="AL1498" s="26">
        <v>0.44042580479671667</v>
      </c>
      <c r="AM1498" s="25">
        <v>0.99</v>
      </c>
      <c r="AN1498" s="30">
        <v>0</v>
      </c>
      <c r="AO1498" s="30">
        <v>0</v>
      </c>
      <c r="AP1498" s="30">
        <v>0</v>
      </c>
      <c r="AQ1498" s="30">
        <v>0</v>
      </c>
      <c r="AR1498" s="50">
        <v>0.110069253262963</v>
      </c>
      <c r="AS1498" s="34">
        <v>0.25</v>
      </c>
      <c r="AT1498" s="34">
        <v>0.21428571428571427</v>
      </c>
      <c r="AU1498" s="34">
        <v>5.6603773584905662E-2</v>
      </c>
      <c r="AV1498" s="34">
        <v>7.8393881453154873E-2</v>
      </c>
      <c r="AW1498" s="10"/>
      <c r="AX1498" s="8"/>
    </row>
    <row r="1499" spans="1:50">
      <c r="A1499" s="7"/>
      <c r="B1499" s="10"/>
      <c r="C1499" s="45" t="s">
        <v>1468</v>
      </c>
      <c r="D1499" s="23" t="s">
        <v>27</v>
      </c>
      <c r="E1499" s="61" t="s">
        <v>1543</v>
      </c>
      <c r="F1499" s="61" t="s">
        <v>1543</v>
      </c>
      <c r="G1499" s="61" t="s">
        <v>1543</v>
      </c>
      <c r="H1499" s="61" t="s">
        <v>1543</v>
      </c>
      <c r="I1499" s="25">
        <v>0.9</v>
      </c>
      <c r="J1499" s="26">
        <v>1</v>
      </c>
      <c r="K1499" s="26">
        <v>1</v>
      </c>
      <c r="L1499" s="27">
        <v>1</v>
      </c>
      <c r="M1499" s="26">
        <v>1</v>
      </c>
      <c r="N1499" s="28">
        <v>0.9</v>
      </c>
      <c r="O1499" s="26">
        <v>0.6</v>
      </c>
      <c r="P1499" s="26">
        <v>0</v>
      </c>
      <c r="Q1499" s="26">
        <v>0</v>
      </c>
      <c r="R1499" s="26">
        <v>0.63636363636363635</v>
      </c>
      <c r="S1499" s="28">
        <v>0.9</v>
      </c>
      <c r="T1499" s="26">
        <v>0</v>
      </c>
      <c r="U1499" s="26">
        <v>0</v>
      </c>
      <c r="V1499" s="26">
        <v>0</v>
      </c>
      <c r="W1499" s="26">
        <v>9.0909090909090912E-2</v>
      </c>
      <c r="X1499" s="28">
        <v>0.92</v>
      </c>
      <c r="Y1499" s="28">
        <v>0</v>
      </c>
      <c r="Z1499" s="28">
        <v>0</v>
      </c>
      <c r="AA1499" s="28">
        <v>0</v>
      </c>
      <c r="AB1499" s="28">
        <v>1</v>
      </c>
      <c r="AC1499" s="28">
        <v>0.92</v>
      </c>
      <c r="AD1499" s="26">
        <v>0</v>
      </c>
      <c r="AE1499" s="26">
        <v>0</v>
      </c>
      <c r="AF1499" s="26">
        <v>1</v>
      </c>
      <c r="AG1499" s="26">
        <v>0.93548387096774188</v>
      </c>
      <c r="AH1499" s="28">
        <v>0.92</v>
      </c>
      <c r="AI1499" s="26">
        <v>0.69639065817409762</v>
      </c>
      <c r="AJ1499" s="26">
        <v>0.76258992805755399</v>
      </c>
      <c r="AK1499" s="26">
        <v>0.7678571428571429</v>
      </c>
      <c r="AL1499" s="26">
        <v>0.77358490566037741</v>
      </c>
      <c r="AM1499" s="25">
        <v>0.99</v>
      </c>
      <c r="AN1499" s="30">
        <v>1</v>
      </c>
      <c r="AO1499" s="30">
        <v>1</v>
      </c>
      <c r="AP1499" s="30">
        <v>1</v>
      </c>
      <c r="AQ1499" s="30">
        <v>1</v>
      </c>
      <c r="AR1499" s="50">
        <v>0.110069253262963</v>
      </c>
      <c r="AS1499" s="34">
        <v>0.2</v>
      </c>
      <c r="AT1499" s="34">
        <v>0.15151515151515152</v>
      </c>
      <c r="AU1499" s="34">
        <v>1.7543859649122806E-2</v>
      </c>
      <c r="AV1499" s="34">
        <v>0.11165048543689321</v>
      </c>
      <c r="AW1499" s="10"/>
      <c r="AX1499" s="8"/>
    </row>
    <row r="1500" spans="1:50">
      <c r="A1500" s="7"/>
      <c r="B1500" s="10"/>
      <c r="C1500" s="45" t="s">
        <v>1468</v>
      </c>
      <c r="D1500" s="23" t="s">
        <v>27</v>
      </c>
      <c r="E1500" s="61" t="s">
        <v>1544</v>
      </c>
      <c r="F1500" s="61" t="s">
        <v>1544</v>
      </c>
      <c r="G1500" s="61" t="s">
        <v>1544</v>
      </c>
      <c r="H1500" s="61" t="s">
        <v>1544</v>
      </c>
      <c r="I1500" s="25">
        <v>0.9</v>
      </c>
      <c r="J1500" s="26">
        <v>0.72727272727272729</v>
      </c>
      <c r="K1500" s="26">
        <v>0.73333333333333328</v>
      </c>
      <c r="L1500" s="27">
        <v>0.61538461538461542</v>
      </c>
      <c r="M1500" s="26">
        <v>0.73493975903614461</v>
      </c>
      <c r="N1500" s="28">
        <v>0.9</v>
      </c>
      <c r="O1500" s="26">
        <v>0.38202247191011235</v>
      </c>
      <c r="P1500" s="26">
        <v>0.98196948682385576</v>
      </c>
      <c r="Q1500" s="26">
        <v>0.9882352941176471</v>
      </c>
      <c r="R1500" s="26">
        <v>0.76979742173112342</v>
      </c>
      <c r="S1500" s="28">
        <v>0.9</v>
      </c>
      <c r="T1500" s="26">
        <v>0.3595505617977528</v>
      </c>
      <c r="U1500" s="26">
        <v>0.5977808599167822</v>
      </c>
      <c r="V1500" s="26">
        <v>0.37647058823529411</v>
      </c>
      <c r="W1500" s="26">
        <v>0.53437691835481893</v>
      </c>
      <c r="X1500" s="28">
        <v>0.92</v>
      </c>
      <c r="Y1500" s="28">
        <v>0</v>
      </c>
      <c r="Z1500" s="28">
        <v>0</v>
      </c>
      <c r="AA1500" s="28">
        <v>0</v>
      </c>
      <c r="AB1500" s="28">
        <v>0</v>
      </c>
      <c r="AC1500" s="28">
        <v>0.92</v>
      </c>
      <c r="AD1500" s="26">
        <v>0</v>
      </c>
      <c r="AE1500" s="26">
        <v>0</v>
      </c>
      <c r="AF1500" s="26">
        <v>1</v>
      </c>
      <c r="AG1500" s="26">
        <v>1</v>
      </c>
      <c r="AH1500" s="28">
        <v>0.92</v>
      </c>
      <c r="AI1500" s="26">
        <v>0.39325842696629215</v>
      </c>
      <c r="AJ1500" s="26">
        <v>0.7420249653259362</v>
      </c>
      <c r="AK1500" s="26">
        <v>0.49411764705882355</v>
      </c>
      <c r="AL1500" s="26">
        <v>0.63669837373427429</v>
      </c>
      <c r="AM1500" s="25">
        <v>0.99</v>
      </c>
      <c r="AN1500" s="30">
        <v>0</v>
      </c>
      <c r="AO1500" s="30">
        <v>0</v>
      </c>
      <c r="AP1500" s="30">
        <v>0</v>
      </c>
      <c r="AQ1500" s="30">
        <v>0</v>
      </c>
      <c r="AR1500" s="50">
        <v>0.110069253262963</v>
      </c>
      <c r="AS1500" s="34">
        <v>0.28409090909090912</v>
      </c>
      <c r="AT1500" s="34">
        <v>0</v>
      </c>
      <c r="AU1500" s="34">
        <v>1.6666666666666666E-2</v>
      </c>
      <c r="AV1500" s="34">
        <v>0.2332155477031802</v>
      </c>
      <c r="AW1500" s="10"/>
      <c r="AX1500" s="8"/>
    </row>
    <row r="1501" spans="1:50">
      <c r="A1501" s="7"/>
      <c r="B1501" s="10"/>
      <c r="C1501" s="45" t="s">
        <v>1468</v>
      </c>
      <c r="D1501" s="23" t="s">
        <v>27</v>
      </c>
      <c r="E1501" s="61" t="s">
        <v>1545</v>
      </c>
      <c r="F1501" s="61" t="s">
        <v>1545</v>
      </c>
      <c r="G1501" s="61" t="s">
        <v>1545</v>
      </c>
      <c r="H1501" s="61" t="s">
        <v>1545</v>
      </c>
      <c r="I1501" s="25">
        <v>0.9</v>
      </c>
      <c r="J1501" s="26">
        <v>1</v>
      </c>
      <c r="K1501" s="26">
        <v>1</v>
      </c>
      <c r="L1501" s="27">
        <v>1</v>
      </c>
      <c r="M1501" s="26">
        <v>0.98039215686274506</v>
      </c>
      <c r="N1501" s="28">
        <v>0.9</v>
      </c>
      <c r="O1501" s="26">
        <v>0.98969072164948457</v>
      </c>
      <c r="P1501" s="26">
        <v>0.99176470588235299</v>
      </c>
      <c r="Q1501" s="26">
        <v>0.97969543147208127</v>
      </c>
      <c r="R1501" s="26">
        <v>0.99106054449410808</v>
      </c>
      <c r="S1501" s="28">
        <v>0.9</v>
      </c>
      <c r="T1501" s="26">
        <v>0.34278350515463918</v>
      </c>
      <c r="U1501" s="26">
        <v>0.39058823529411762</v>
      </c>
      <c r="V1501" s="26">
        <v>0.28426395939086296</v>
      </c>
      <c r="W1501" s="26">
        <v>0.36773669240146284</v>
      </c>
      <c r="X1501" s="28">
        <v>0.92</v>
      </c>
      <c r="Y1501" s="28">
        <v>0</v>
      </c>
      <c r="Z1501" s="28">
        <v>0</v>
      </c>
      <c r="AA1501" s="28">
        <v>0</v>
      </c>
      <c r="AB1501" s="28">
        <v>0</v>
      </c>
      <c r="AC1501" s="28">
        <v>0.92</v>
      </c>
      <c r="AD1501" s="26">
        <v>0</v>
      </c>
      <c r="AE1501" s="26">
        <v>0</v>
      </c>
      <c r="AF1501" s="26">
        <v>0</v>
      </c>
      <c r="AG1501" s="26">
        <v>0.90909090909090906</v>
      </c>
      <c r="AH1501" s="28">
        <v>0.92</v>
      </c>
      <c r="AI1501" s="26">
        <v>0.34278350515463918</v>
      </c>
      <c r="AJ1501" s="26">
        <v>0.43058823529411766</v>
      </c>
      <c r="AK1501" s="26">
        <v>0.43434343434343436</v>
      </c>
      <c r="AL1501" s="26">
        <v>0.40811359026369171</v>
      </c>
      <c r="AM1501" s="25">
        <v>0.99</v>
      </c>
      <c r="AN1501" s="30">
        <v>1</v>
      </c>
      <c r="AO1501" s="30">
        <v>0</v>
      </c>
      <c r="AP1501" s="30">
        <v>0</v>
      </c>
      <c r="AQ1501" s="30">
        <v>1</v>
      </c>
      <c r="AR1501" s="50">
        <v>0.110069253262963</v>
      </c>
      <c r="AS1501" s="34">
        <v>0.13690476190476192</v>
      </c>
      <c r="AT1501" s="34">
        <v>1.8018018018018018E-2</v>
      </c>
      <c r="AU1501" s="34">
        <v>8.1481481481481488E-2</v>
      </c>
      <c r="AV1501" s="34">
        <v>5.8431952662721894E-2</v>
      </c>
      <c r="AW1501" s="10"/>
      <c r="AX1501" s="8"/>
    </row>
    <row r="1502" spans="1:50">
      <c r="A1502" s="7"/>
      <c r="B1502" s="10"/>
      <c r="C1502" s="45" t="s">
        <v>1468</v>
      </c>
      <c r="D1502" s="23" t="s">
        <v>27</v>
      </c>
      <c r="E1502" s="61" t="s">
        <v>1546</v>
      </c>
      <c r="F1502" s="61" t="s">
        <v>1546</v>
      </c>
      <c r="G1502" s="61" t="s">
        <v>1546</v>
      </c>
      <c r="H1502" s="61" t="s">
        <v>1546</v>
      </c>
      <c r="I1502" s="25">
        <v>0.9</v>
      </c>
      <c r="J1502" s="26">
        <v>0.6</v>
      </c>
      <c r="K1502" s="26">
        <v>0.77777777777777779</v>
      </c>
      <c r="L1502" s="27">
        <v>0.77777777777777779</v>
      </c>
      <c r="M1502" s="26">
        <v>0.81355932203389836</v>
      </c>
      <c r="N1502" s="28">
        <v>0.9</v>
      </c>
      <c r="O1502" s="26">
        <v>0</v>
      </c>
      <c r="P1502" s="26">
        <v>0</v>
      </c>
      <c r="Q1502" s="26">
        <v>0</v>
      </c>
      <c r="R1502" s="26">
        <v>0</v>
      </c>
      <c r="S1502" s="28">
        <v>0.9</v>
      </c>
      <c r="T1502" s="26">
        <v>0</v>
      </c>
      <c r="U1502" s="26">
        <v>0</v>
      </c>
      <c r="V1502" s="26">
        <v>0</v>
      </c>
      <c r="W1502" s="26">
        <v>0</v>
      </c>
      <c r="X1502" s="28">
        <v>0.92</v>
      </c>
      <c r="Y1502" s="28">
        <v>0</v>
      </c>
      <c r="Z1502" s="28">
        <v>0</v>
      </c>
      <c r="AA1502" s="28">
        <v>0</v>
      </c>
      <c r="AB1502" s="28">
        <v>1</v>
      </c>
      <c r="AC1502" s="28">
        <v>0.92</v>
      </c>
      <c r="AD1502" s="26">
        <v>0</v>
      </c>
      <c r="AE1502" s="26">
        <v>0</v>
      </c>
      <c r="AF1502" s="26">
        <v>0.9</v>
      </c>
      <c r="AG1502" s="26">
        <v>0.75862068965517238</v>
      </c>
      <c r="AH1502" s="28">
        <v>0.92</v>
      </c>
      <c r="AI1502" s="26">
        <v>0.70422535211267601</v>
      </c>
      <c r="AJ1502" s="26">
        <v>0.73097534833869238</v>
      </c>
      <c r="AK1502" s="26">
        <v>0.92655367231638419</v>
      </c>
      <c r="AL1502" s="26">
        <v>0.65619073421836904</v>
      </c>
      <c r="AM1502" s="25">
        <v>0.99</v>
      </c>
      <c r="AN1502" s="30">
        <v>0</v>
      </c>
      <c r="AO1502" s="30">
        <v>0</v>
      </c>
      <c r="AP1502" s="30">
        <v>0</v>
      </c>
      <c r="AQ1502" s="30">
        <v>0</v>
      </c>
      <c r="AR1502" s="50">
        <v>0.110069253262963</v>
      </c>
      <c r="AS1502" s="34">
        <v>7.407407407407407E-2</v>
      </c>
      <c r="AT1502" s="34">
        <v>9.375E-2</v>
      </c>
      <c r="AU1502" s="34">
        <v>0.3188405797101449</v>
      </c>
      <c r="AV1502" s="34">
        <v>0.1039426523297491</v>
      </c>
      <c r="AW1502" s="10"/>
      <c r="AX1502" s="8"/>
    </row>
    <row r="1503" spans="1:50">
      <c r="A1503" s="7"/>
      <c r="B1503" s="10"/>
      <c r="C1503" s="45" t="s">
        <v>1468</v>
      </c>
      <c r="D1503" s="23" t="s">
        <v>27</v>
      </c>
      <c r="E1503" s="61" t="s">
        <v>1547</v>
      </c>
      <c r="F1503" s="61" t="s">
        <v>1547</v>
      </c>
      <c r="G1503" s="61" t="s">
        <v>1547</v>
      </c>
      <c r="H1503" s="61" t="s">
        <v>1547</v>
      </c>
      <c r="I1503" s="25">
        <v>0.9</v>
      </c>
      <c r="J1503" s="26">
        <v>0.84615384615384615</v>
      </c>
      <c r="K1503" s="26">
        <v>0.90909090909090906</v>
      </c>
      <c r="L1503" s="27">
        <v>0.875</v>
      </c>
      <c r="M1503" s="26">
        <v>0.86206896551724133</v>
      </c>
      <c r="N1503" s="28">
        <v>0.9</v>
      </c>
      <c r="O1503" s="26">
        <v>0</v>
      </c>
      <c r="P1503" s="26">
        <v>0</v>
      </c>
      <c r="Q1503" s="26">
        <v>0</v>
      </c>
      <c r="R1503" s="26">
        <v>0</v>
      </c>
      <c r="S1503" s="28">
        <v>0.9</v>
      </c>
      <c r="T1503" s="26">
        <v>0</v>
      </c>
      <c r="U1503" s="26">
        <v>0</v>
      </c>
      <c r="V1503" s="26">
        <v>0</v>
      </c>
      <c r="W1503" s="26">
        <v>0</v>
      </c>
      <c r="X1503" s="28">
        <v>0.92</v>
      </c>
      <c r="Y1503" s="28">
        <v>0</v>
      </c>
      <c r="Z1503" s="28">
        <v>0</v>
      </c>
      <c r="AA1503" s="28">
        <v>0</v>
      </c>
      <c r="AB1503" s="28">
        <v>0</v>
      </c>
      <c r="AC1503" s="28">
        <v>0.92</v>
      </c>
      <c r="AD1503" s="26">
        <v>0.90909090909090906</v>
      </c>
      <c r="AE1503" s="26">
        <v>0</v>
      </c>
      <c r="AF1503" s="26">
        <v>0.25</v>
      </c>
      <c r="AG1503" s="26">
        <v>0.5</v>
      </c>
      <c r="AH1503" s="28">
        <v>0.92</v>
      </c>
      <c r="AI1503" s="26">
        <v>0.40476190476190477</v>
      </c>
      <c r="AJ1503" s="26">
        <v>0.9042236763831053</v>
      </c>
      <c r="AK1503" s="26">
        <v>0.72964376590330793</v>
      </c>
      <c r="AL1503" s="26">
        <v>0.80490559948362106</v>
      </c>
      <c r="AM1503" s="25">
        <v>0.99</v>
      </c>
      <c r="AN1503" s="30">
        <v>0</v>
      </c>
      <c r="AO1503" s="30">
        <v>1</v>
      </c>
      <c r="AP1503" s="30">
        <v>1</v>
      </c>
      <c r="AQ1503" s="30">
        <v>1</v>
      </c>
      <c r="AR1503" s="50">
        <v>0.110069253262963</v>
      </c>
      <c r="AS1503" s="34">
        <v>2.5000000000000001E-2</v>
      </c>
      <c r="AT1503" s="34">
        <v>7.0588235294117646E-2</v>
      </c>
      <c r="AU1503" s="34">
        <v>0.15789473684210525</v>
      </c>
      <c r="AV1503" s="34">
        <v>0.11295681063122924</v>
      </c>
      <c r="AW1503" s="10"/>
      <c r="AX1503" s="8"/>
    </row>
    <row r="1504" spans="1:50">
      <c r="A1504" s="7"/>
      <c r="B1504" s="10"/>
      <c r="C1504" s="45" t="s">
        <v>1468</v>
      </c>
      <c r="D1504" s="23" t="s">
        <v>27</v>
      </c>
      <c r="E1504" s="61" t="s">
        <v>1548</v>
      </c>
      <c r="F1504" s="61" t="s">
        <v>1548</v>
      </c>
      <c r="G1504" s="61" t="s">
        <v>1548</v>
      </c>
      <c r="H1504" s="61" t="s">
        <v>1548</v>
      </c>
      <c r="I1504" s="25">
        <v>0.9</v>
      </c>
      <c r="J1504" s="26">
        <v>1</v>
      </c>
      <c r="K1504" s="26">
        <v>0</v>
      </c>
      <c r="L1504" s="27">
        <v>0</v>
      </c>
      <c r="M1504" s="26">
        <v>0.96666666666666667</v>
      </c>
      <c r="N1504" s="28">
        <v>0.9</v>
      </c>
      <c r="O1504" s="26">
        <v>0.68918918918918914</v>
      </c>
      <c r="P1504" s="26">
        <v>0.98484848484848486</v>
      </c>
      <c r="Q1504" s="26">
        <v>1</v>
      </c>
      <c r="R1504" s="26">
        <v>0.86704789135096494</v>
      </c>
      <c r="S1504" s="28">
        <v>0.9</v>
      </c>
      <c r="T1504" s="26">
        <v>0.68918918918918914</v>
      </c>
      <c r="U1504" s="26">
        <v>0.98484848484848486</v>
      </c>
      <c r="V1504" s="26">
        <v>0.97637795275590555</v>
      </c>
      <c r="W1504" s="26">
        <v>0.78413152251608287</v>
      </c>
      <c r="X1504" s="28">
        <v>0.92</v>
      </c>
      <c r="Y1504" s="28">
        <v>0</v>
      </c>
      <c r="Z1504" s="28">
        <v>0</v>
      </c>
      <c r="AA1504" s="28">
        <v>0</v>
      </c>
      <c r="AB1504" s="28">
        <v>0</v>
      </c>
      <c r="AC1504" s="28">
        <v>0.92</v>
      </c>
      <c r="AD1504" s="26">
        <v>0</v>
      </c>
      <c r="AE1504" s="26">
        <v>0</v>
      </c>
      <c r="AF1504" s="26">
        <v>1</v>
      </c>
      <c r="AG1504" s="26">
        <v>0.93548387096774188</v>
      </c>
      <c r="AH1504" s="28">
        <v>0.92</v>
      </c>
      <c r="AI1504" s="26">
        <v>0.7432432432432432</v>
      </c>
      <c r="AJ1504" s="26">
        <v>0.98484848484848486</v>
      </c>
      <c r="AK1504" s="26">
        <v>0.98425196850393704</v>
      </c>
      <c r="AL1504" s="26">
        <v>0.80557541100786278</v>
      </c>
      <c r="AM1504" s="25">
        <v>0.99</v>
      </c>
      <c r="AN1504" s="30">
        <v>1</v>
      </c>
      <c r="AO1504" s="30">
        <v>1</v>
      </c>
      <c r="AP1504" s="30">
        <v>0</v>
      </c>
      <c r="AQ1504" s="30">
        <v>1</v>
      </c>
      <c r="AR1504" s="50">
        <v>0.110069253262963</v>
      </c>
      <c r="AS1504" s="34">
        <v>0</v>
      </c>
      <c r="AT1504" s="34">
        <v>0</v>
      </c>
      <c r="AU1504" s="34">
        <v>0</v>
      </c>
      <c r="AV1504" s="34">
        <v>2.7027027027027029E-2</v>
      </c>
      <c r="AW1504" s="10"/>
      <c r="AX1504" s="8"/>
    </row>
    <row r="1505" spans="1:50">
      <c r="A1505" s="7"/>
      <c r="B1505" s="10"/>
      <c r="C1505" s="45" t="s">
        <v>1468</v>
      </c>
      <c r="D1505" s="23" t="s">
        <v>27</v>
      </c>
      <c r="E1505" s="61" t="s">
        <v>1549</v>
      </c>
      <c r="F1505" s="61" t="s">
        <v>1549</v>
      </c>
      <c r="G1505" s="61" t="s">
        <v>1549</v>
      </c>
      <c r="H1505" s="61" t="s">
        <v>1549</v>
      </c>
      <c r="I1505" s="25">
        <v>0.9</v>
      </c>
      <c r="J1505" s="26">
        <v>0.46666666666666667</v>
      </c>
      <c r="K1505" s="26">
        <v>0.375</v>
      </c>
      <c r="L1505" s="27">
        <v>0.5714285714285714</v>
      </c>
      <c r="M1505" s="26">
        <v>0.54471544715447151</v>
      </c>
      <c r="N1505" s="28">
        <v>0.9</v>
      </c>
      <c r="O1505" s="26">
        <v>0</v>
      </c>
      <c r="P1505" s="26">
        <v>0.5</v>
      </c>
      <c r="Q1505" s="26">
        <v>0</v>
      </c>
      <c r="R1505" s="26">
        <v>0.5</v>
      </c>
      <c r="S1505" s="28">
        <v>0.9</v>
      </c>
      <c r="T1505" s="26">
        <v>0</v>
      </c>
      <c r="U1505" s="26">
        <v>0</v>
      </c>
      <c r="V1505" s="26">
        <v>0</v>
      </c>
      <c r="W1505" s="26">
        <v>0.20833333333333334</v>
      </c>
      <c r="X1505" s="28">
        <v>0.92</v>
      </c>
      <c r="Y1505" s="28">
        <v>0</v>
      </c>
      <c r="Z1505" s="28">
        <v>0</v>
      </c>
      <c r="AA1505" s="28">
        <v>0</v>
      </c>
      <c r="AB1505" s="28">
        <v>0</v>
      </c>
      <c r="AC1505" s="28">
        <v>0.92</v>
      </c>
      <c r="AD1505" s="26">
        <v>7.6923076923076927E-2</v>
      </c>
      <c r="AE1505" s="26">
        <v>0</v>
      </c>
      <c r="AF1505" s="26">
        <v>0</v>
      </c>
      <c r="AG1505" s="26">
        <v>0.11235955056179775</v>
      </c>
      <c r="AH1505" s="28">
        <v>0.92</v>
      </c>
      <c r="AI1505" s="26">
        <v>0.63132530120481922</v>
      </c>
      <c r="AJ1505" s="26">
        <v>0.74443591711435153</v>
      </c>
      <c r="AK1505" s="26">
        <v>0.63498349834983503</v>
      </c>
      <c r="AL1505" s="26">
        <v>0.71616132993293657</v>
      </c>
      <c r="AM1505" s="25">
        <v>0.99</v>
      </c>
      <c r="AN1505" s="30">
        <v>1</v>
      </c>
      <c r="AO1505" s="30">
        <v>0</v>
      </c>
      <c r="AP1505" s="30">
        <v>0</v>
      </c>
      <c r="AQ1505" s="30">
        <v>1</v>
      </c>
      <c r="AR1505" s="50">
        <v>0.110069253262963</v>
      </c>
      <c r="AS1505" s="34">
        <v>4.7619047619047616E-2</v>
      </c>
      <c r="AT1505" s="34">
        <v>8.3333333333333329E-2</v>
      </c>
      <c r="AU1505" s="34">
        <v>0.21428571428571427</v>
      </c>
      <c r="AV1505" s="34">
        <v>0.11818181818181818</v>
      </c>
      <c r="AW1505" s="10"/>
      <c r="AX1505" s="8"/>
    </row>
    <row r="1506" spans="1:50">
      <c r="A1506" s="7"/>
      <c r="B1506" s="10"/>
      <c r="C1506" s="45" t="s">
        <v>1468</v>
      </c>
      <c r="D1506" s="23" t="s">
        <v>27</v>
      </c>
      <c r="E1506" s="61" t="s">
        <v>1550</v>
      </c>
      <c r="F1506" s="61" t="s">
        <v>1550</v>
      </c>
      <c r="G1506" s="61" t="s">
        <v>1550</v>
      </c>
      <c r="H1506" s="61" t="s">
        <v>1550</v>
      </c>
      <c r="I1506" s="25">
        <v>0.9</v>
      </c>
      <c r="J1506" s="26">
        <v>1</v>
      </c>
      <c r="K1506" s="26">
        <v>0.9375</v>
      </c>
      <c r="L1506" s="27">
        <v>0.94444444444444442</v>
      </c>
      <c r="M1506" s="26">
        <v>0.967741935483871</v>
      </c>
      <c r="N1506" s="28">
        <v>0.9</v>
      </c>
      <c r="O1506" s="26">
        <v>0.99895068205666315</v>
      </c>
      <c r="P1506" s="26">
        <v>1</v>
      </c>
      <c r="Q1506" s="26">
        <v>0.82517482517482521</v>
      </c>
      <c r="R1506" s="26">
        <v>0.60040000000000004</v>
      </c>
      <c r="S1506" s="28">
        <v>0.9</v>
      </c>
      <c r="T1506" s="26">
        <v>0.80587618048268628</v>
      </c>
      <c r="U1506" s="26">
        <v>0.92441860465116277</v>
      </c>
      <c r="V1506" s="26">
        <v>0.82284382284382285</v>
      </c>
      <c r="W1506" s="26">
        <v>0.50973333333333337</v>
      </c>
      <c r="X1506" s="28">
        <v>0.92</v>
      </c>
      <c r="Y1506" s="28">
        <v>0</v>
      </c>
      <c r="Z1506" s="28">
        <v>0</v>
      </c>
      <c r="AA1506" s="28">
        <v>0</v>
      </c>
      <c r="AB1506" s="28">
        <v>0</v>
      </c>
      <c r="AC1506" s="28">
        <v>0.92</v>
      </c>
      <c r="AD1506" s="26">
        <v>0</v>
      </c>
      <c r="AE1506" s="26">
        <v>1</v>
      </c>
      <c r="AF1506" s="26">
        <v>1</v>
      </c>
      <c r="AG1506" s="26">
        <v>0.88888888888888884</v>
      </c>
      <c r="AH1506" s="28">
        <v>0.92</v>
      </c>
      <c r="AI1506" s="26">
        <v>0.86988457502623295</v>
      </c>
      <c r="AJ1506" s="26">
        <v>0.93023255813953487</v>
      </c>
      <c r="AK1506" s="26">
        <v>0.87179487179487181</v>
      </c>
      <c r="AL1506" s="26">
        <v>0.56638343069569841</v>
      </c>
      <c r="AM1506" s="25">
        <v>0.99</v>
      </c>
      <c r="AN1506" s="30">
        <v>1</v>
      </c>
      <c r="AO1506" s="30">
        <v>0</v>
      </c>
      <c r="AP1506" s="30">
        <v>0</v>
      </c>
      <c r="AQ1506" s="30">
        <v>1</v>
      </c>
      <c r="AR1506" s="50">
        <v>0.110069253262963</v>
      </c>
      <c r="AS1506" s="34">
        <v>0.20689655172413793</v>
      </c>
      <c r="AT1506" s="34">
        <v>4.5454545454545456E-2</v>
      </c>
      <c r="AU1506" s="34">
        <v>2.9850746268656716E-2</v>
      </c>
      <c r="AV1506" s="34">
        <v>0.12293144208037825</v>
      </c>
      <c r="AW1506" s="10"/>
      <c r="AX1506" s="8"/>
    </row>
    <row r="1507" spans="1:50">
      <c r="A1507" s="7"/>
      <c r="B1507" s="10"/>
      <c r="C1507" s="45" t="s">
        <v>1468</v>
      </c>
      <c r="D1507" s="23" t="s">
        <v>27</v>
      </c>
      <c r="E1507" s="61" t="s">
        <v>1551</v>
      </c>
      <c r="F1507" s="61" t="s">
        <v>1551</v>
      </c>
      <c r="G1507" s="61" t="s">
        <v>1551</v>
      </c>
      <c r="H1507" s="61" t="s">
        <v>1551</v>
      </c>
      <c r="I1507" s="25">
        <v>0.9</v>
      </c>
      <c r="J1507" s="26">
        <v>0.75</v>
      </c>
      <c r="K1507" s="26">
        <v>0.63636363636363635</v>
      </c>
      <c r="L1507" s="27">
        <v>0.66666666666666663</v>
      </c>
      <c r="M1507" s="26">
        <v>0.67647058823529416</v>
      </c>
      <c r="N1507" s="28">
        <v>0.9</v>
      </c>
      <c r="O1507" s="26">
        <v>0</v>
      </c>
      <c r="P1507" s="26">
        <v>0</v>
      </c>
      <c r="Q1507" s="26">
        <v>0</v>
      </c>
      <c r="R1507" s="26">
        <v>0</v>
      </c>
      <c r="S1507" s="28">
        <v>0.9</v>
      </c>
      <c r="T1507" s="26">
        <v>0</v>
      </c>
      <c r="U1507" s="26">
        <v>0</v>
      </c>
      <c r="V1507" s="26">
        <v>0</v>
      </c>
      <c r="W1507" s="26">
        <v>0</v>
      </c>
      <c r="X1507" s="28">
        <v>0.92</v>
      </c>
      <c r="Y1507" s="28">
        <v>0</v>
      </c>
      <c r="Z1507" s="28">
        <v>0</v>
      </c>
      <c r="AA1507" s="28">
        <v>0</v>
      </c>
      <c r="AB1507" s="28">
        <v>0</v>
      </c>
      <c r="AC1507" s="28">
        <v>0.92</v>
      </c>
      <c r="AD1507" s="26">
        <v>0.33333333333333331</v>
      </c>
      <c r="AE1507" s="26">
        <v>0.125</v>
      </c>
      <c r="AF1507" s="26">
        <v>0</v>
      </c>
      <c r="AG1507" s="26">
        <v>0.17647058823529413</v>
      </c>
      <c r="AH1507" s="28">
        <v>0.92</v>
      </c>
      <c r="AI1507" s="26">
        <v>0.34285714285714286</v>
      </c>
      <c r="AJ1507" s="26">
        <v>0.28354978354978355</v>
      </c>
      <c r="AK1507" s="26">
        <v>0.32950191570881227</v>
      </c>
      <c r="AL1507" s="26">
        <v>0.31871921182266011</v>
      </c>
      <c r="AM1507" s="25">
        <v>0.99</v>
      </c>
      <c r="AN1507" s="30">
        <v>1</v>
      </c>
      <c r="AO1507" s="30">
        <v>1</v>
      </c>
      <c r="AP1507" s="30">
        <v>1</v>
      </c>
      <c r="AQ1507" s="30">
        <v>1</v>
      </c>
      <c r="AR1507" s="50">
        <v>0.110069253262963</v>
      </c>
      <c r="AS1507" s="34">
        <v>0.14285714285714285</v>
      </c>
      <c r="AT1507" s="34">
        <v>1.1363636363636364E-2</v>
      </c>
      <c r="AU1507" s="34">
        <v>0</v>
      </c>
      <c r="AV1507" s="34">
        <v>4.1726618705035974E-2</v>
      </c>
      <c r="AW1507" s="10"/>
      <c r="AX1507" s="8"/>
    </row>
    <row r="1508" spans="1:50">
      <c r="A1508" s="7"/>
      <c r="B1508" s="10"/>
      <c r="C1508" s="45" t="s">
        <v>1468</v>
      </c>
      <c r="D1508" s="23" t="s">
        <v>27</v>
      </c>
      <c r="E1508" s="61" t="s">
        <v>1552</v>
      </c>
      <c r="F1508" s="61" t="s">
        <v>1552</v>
      </c>
      <c r="G1508" s="61" t="s">
        <v>1552</v>
      </c>
      <c r="H1508" s="61" t="s">
        <v>1552</v>
      </c>
      <c r="I1508" s="25">
        <v>0.9</v>
      </c>
      <c r="J1508" s="26">
        <v>0.95833333333333337</v>
      </c>
      <c r="K1508" s="26">
        <v>1</v>
      </c>
      <c r="L1508" s="27">
        <v>1</v>
      </c>
      <c r="M1508" s="26">
        <v>0.99534883720930234</v>
      </c>
      <c r="N1508" s="28">
        <v>0.9</v>
      </c>
      <c r="O1508" s="26">
        <v>0.97444444444444445</v>
      </c>
      <c r="P1508" s="26">
        <v>0.97655172413793101</v>
      </c>
      <c r="Q1508" s="26">
        <v>0.98824911868390131</v>
      </c>
      <c r="R1508" s="26">
        <v>0.9672774869109948</v>
      </c>
      <c r="S1508" s="28">
        <v>0.9</v>
      </c>
      <c r="T1508" s="26">
        <v>0.68333333333333335</v>
      </c>
      <c r="U1508" s="26">
        <v>0.74758620689655175</v>
      </c>
      <c r="V1508" s="26">
        <v>0.74618096357226793</v>
      </c>
      <c r="W1508" s="26">
        <v>0.68697140555779301</v>
      </c>
      <c r="X1508" s="28">
        <v>0.92</v>
      </c>
      <c r="Y1508" s="28">
        <v>0.82417582417582413</v>
      </c>
      <c r="Z1508" s="28">
        <v>0.81868131868131866</v>
      </c>
      <c r="AA1508" s="28">
        <v>0.8994413407821229</v>
      </c>
      <c r="AB1508" s="28">
        <v>0.80784269913976092</v>
      </c>
      <c r="AC1508" s="28">
        <v>0.92</v>
      </c>
      <c r="AD1508" s="26">
        <v>0.87179487179487181</v>
      </c>
      <c r="AE1508" s="26">
        <v>0.96363636363636362</v>
      </c>
      <c r="AF1508" s="26">
        <v>0.83720930232558144</v>
      </c>
      <c r="AG1508" s="26">
        <v>0.92328042328042326</v>
      </c>
      <c r="AH1508" s="28">
        <v>0.92</v>
      </c>
      <c r="AI1508" s="26">
        <v>0.84679911699779253</v>
      </c>
      <c r="AJ1508" s="26">
        <v>0.88591660110149484</v>
      </c>
      <c r="AK1508" s="26">
        <v>0.91717417783191235</v>
      </c>
      <c r="AL1508" s="26">
        <v>0.86180971038280296</v>
      </c>
      <c r="AM1508" s="25">
        <v>0.99</v>
      </c>
      <c r="AN1508" s="30">
        <v>1</v>
      </c>
      <c r="AO1508" s="30">
        <v>1</v>
      </c>
      <c r="AP1508" s="30">
        <v>1</v>
      </c>
      <c r="AQ1508" s="30">
        <v>1</v>
      </c>
      <c r="AR1508" s="50">
        <v>0.110069253262963</v>
      </c>
      <c r="AS1508" s="34">
        <v>0</v>
      </c>
      <c r="AT1508" s="34">
        <v>0</v>
      </c>
      <c r="AU1508" s="34">
        <v>0</v>
      </c>
      <c r="AV1508" s="34">
        <v>9.3333333333333338E-2</v>
      </c>
      <c r="AW1508" s="10"/>
      <c r="AX1508" s="8"/>
    </row>
    <row r="1509" spans="1:50">
      <c r="A1509" s="7"/>
      <c r="B1509" s="10"/>
      <c r="C1509" s="45" t="s">
        <v>1468</v>
      </c>
      <c r="D1509" s="23" t="s">
        <v>27</v>
      </c>
      <c r="E1509" s="61" t="s">
        <v>1553</v>
      </c>
      <c r="F1509" s="61" t="s">
        <v>1553</v>
      </c>
      <c r="G1509" s="61" t="s">
        <v>1553</v>
      </c>
      <c r="H1509" s="61" t="s">
        <v>1553</v>
      </c>
      <c r="I1509" s="25">
        <v>0.9</v>
      </c>
      <c r="J1509" s="26">
        <v>1</v>
      </c>
      <c r="K1509" s="26">
        <v>1</v>
      </c>
      <c r="L1509" s="27">
        <v>1</v>
      </c>
      <c r="M1509" s="26">
        <v>0.98584905660377353</v>
      </c>
      <c r="N1509" s="28">
        <v>0.9</v>
      </c>
      <c r="O1509" s="26">
        <v>0.97489928726371244</v>
      </c>
      <c r="P1509" s="26">
        <v>0.96416317194052614</v>
      </c>
      <c r="Q1509" s="26">
        <v>0.9796909492273731</v>
      </c>
      <c r="R1509" s="26">
        <v>0.95082456215110578</v>
      </c>
      <c r="S1509" s="28">
        <v>0.9</v>
      </c>
      <c r="T1509" s="26">
        <v>0.83018283235202972</v>
      </c>
      <c r="U1509" s="26">
        <v>0.7708730461303851</v>
      </c>
      <c r="V1509" s="26">
        <v>0.74128035320088304</v>
      </c>
      <c r="W1509" s="26">
        <v>0.82818425874632462</v>
      </c>
      <c r="X1509" s="28">
        <v>0.92</v>
      </c>
      <c r="Y1509" s="28">
        <v>0</v>
      </c>
      <c r="Z1509" s="28">
        <v>0</v>
      </c>
      <c r="AA1509" s="28">
        <v>0</v>
      </c>
      <c r="AB1509" s="28">
        <v>0</v>
      </c>
      <c r="AC1509" s="28">
        <v>0.92</v>
      </c>
      <c r="AD1509" s="26">
        <v>1</v>
      </c>
      <c r="AE1509" s="26">
        <v>1</v>
      </c>
      <c r="AF1509" s="26">
        <v>1</v>
      </c>
      <c r="AG1509" s="26">
        <v>0.99049881235154391</v>
      </c>
      <c r="AH1509" s="28">
        <v>0.92</v>
      </c>
      <c r="AI1509" s="26">
        <v>0.94762937713046169</v>
      </c>
      <c r="AJ1509" s="26">
        <v>0.94471978650400301</v>
      </c>
      <c r="AK1509" s="26">
        <v>0.88432671081677705</v>
      </c>
      <c r="AL1509" s="26">
        <v>0.93028508117782416</v>
      </c>
      <c r="AM1509" s="25">
        <v>0.99</v>
      </c>
      <c r="AN1509" s="30">
        <v>1</v>
      </c>
      <c r="AO1509" s="30">
        <v>1</v>
      </c>
      <c r="AP1509" s="30">
        <v>1</v>
      </c>
      <c r="AQ1509" s="30">
        <v>1</v>
      </c>
      <c r="AR1509" s="50">
        <v>0.110069253262963</v>
      </c>
      <c r="AS1509" s="34">
        <v>0</v>
      </c>
      <c r="AT1509" s="34">
        <v>0</v>
      </c>
      <c r="AU1509" s="34">
        <v>0.27272727272727271</v>
      </c>
      <c r="AV1509" s="34">
        <v>6.25E-2</v>
      </c>
      <c r="AW1509" s="10"/>
      <c r="AX1509" s="8"/>
    </row>
    <row r="1510" spans="1:50">
      <c r="A1510" s="7"/>
      <c r="B1510" s="10"/>
      <c r="C1510" s="45" t="s">
        <v>1468</v>
      </c>
      <c r="D1510" s="23" t="s">
        <v>27</v>
      </c>
      <c r="E1510" s="61" t="s">
        <v>1554</v>
      </c>
      <c r="F1510" s="61" t="s">
        <v>1554</v>
      </c>
      <c r="G1510" s="61" t="s">
        <v>1554</v>
      </c>
      <c r="H1510" s="61" t="s">
        <v>1554</v>
      </c>
      <c r="I1510" s="25">
        <v>0.9</v>
      </c>
      <c r="J1510" s="26">
        <v>0.90909090909090906</v>
      </c>
      <c r="K1510" s="26">
        <v>0.96296296296296291</v>
      </c>
      <c r="L1510" s="27">
        <v>1</v>
      </c>
      <c r="M1510" s="26">
        <v>0.9856459330143541</v>
      </c>
      <c r="N1510" s="28">
        <v>0.9</v>
      </c>
      <c r="O1510" s="26">
        <v>0.97131552917903063</v>
      </c>
      <c r="P1510" s="26">
        <v>0.97383309759547387</v>
      </c>
      <c r="Q1510" s="26">
        <v>0.96594427244582048</v>
      </c>
      <c r="R1510" s="26">
        <v>0.96366223908918403</v>
      </c>
      <c r="S1510" s="28">
        <v>0.9</v>
      </c>
      <c r="T1510" s="26">
        <v>0.68842729970326411</v>
      </c>
      <c r="U1510" s="26">
        <v>0.69165487977369167</v>
      </c>
      <c r="V1510" s="26">
        <v>0.71001031991744068</v>
      </c>
      <c r="W1510" s="26">
        <v>0.676280834914611</v>
      </c>
      <c r="X1510" s="28">
        <v>0.92</v>
      </c>
      <c r="Y1510" s="28">
        <v>0.82307092751363986</v>
      </c>
      <c r="Z1510" s="28">
        <v>0.91557223264540333</v>
      </c>
      <c r="AA1510" s="28">
        <v>0.84653774173424834</v>
      </c>
      <c r="AB1510" s="28">
        <v>0.84263182674199621</v>
      </c>
      <c r="AC1510" s="28">
        <v>0.92</v>
      </c>
      <c r="AD1510" s="26">
        <v>1</v>
      </c>
      <c r="AE1510" s="26">
        <v>1</v>
      </c>
      <c r="AF1510" s="26">
        <v>1</v>
      </c>
      <c r="AG1510" s="26">
        <v>0.99738903394255873</v>
      </c>
      <c r="AH1510" s="28">
        <v>0.92</v>
      </c>
      <c r="AI1510" s="26">
        <v>0.86878814298169138</v>
      </c>
      <c r="AJ1510" s="26">
        <v>0.93996776792908943</v>
      </c>
      <c r="AK1510" s="26">
        <v>0.87636080870917576</v>
      </c>
      <c r="AL1510" s="26">
        <v>0.89221556886227549</v>
      </c>
      <c r="AM1510" s="25">
        <v>0.99</v>
      </c>
      <c r="AN1510" s="30">
        <v>1</v>
      </c>
      <c r="AO1510" s="30">
        <v>1</v>
      </c>
      <c r="AP1510" s="30">
        <v>1</v>
      </c>
      <c r="AQ1510" s="30">
        <v>1</v>
      </c>
      <c r="AR1510" s="50">
        <v>0.110069253262963</v>
      </c>
      <c r="AS1510" s="34">
        <v>0</v>
      </c>
      <c r="AT1510" s="34">
        <v>0</v>
      </c>
      <c r="AU1510" s="34">
        <v>0</v>
      </c>
      <c r="AV1510" s="34">
        <v>5.4545454545454543E-2</v>
      </c>
      <c r="AW1510" s="10"/>
      <c r="AX1510" s="8"/>
    </row>
    <row r="1511" spans="1:50">
      <c r="A1511" s="7"/>
      <c r="B1511" s="10"/>
      <c r="C1511" s="45" t="s">
        <v>1468</v>
      </c>
      <c r="D1511" s="23" t="s">
        <v>27</v>
      </c>
      <c r="E1511" s="61" t="s">
        <v>1555</v>
      </c>
      <c r="F1511" s="61" t="s">
        <v>1555</v>
      </c>
      <c r="G1511" s="61" t="s">
        <v>1555</v>
      </c>
      <c r="H1511" s="61" t="s">
        <v>1555</v>
      </c>
      <c r="I1511" s="25">
        <v>0.9</v>
      </c>
      <c r="J1511" s="26">
        <v>1</v>
      </c>
      <c r="K1511" s="26">
        <v>0.94736842105263153</v>
      </c>
      <c r="L1511" s="27">
        <v>1</v>
      </c>
      <c r="M1511" s="26">
        <v>0.97058823529411764</v>
      </c>
      <c r="N1511" s="28">
        <v>0.9</v>
      </c>
      <c r="O1511" s="26">
        <v>0.88912489379779103</v>
      </c>
      <c r="P1511" s="26">
        <v>0.96453247351450944</v>
      </c>
      <c r="Q1511" s="26">
        <v>0.96746987951807228</v>
      </c>
      <c r="R1511" s="26">
        <v>0.92782664414283222</v>
      </c>
      <c r="S1511" s="28">
        <v>0.9</v>
      </c>
      <c r="T1511" s="26">
        <v>0.81265930331350889</v>
      </c>
      <c r="U1511" s="26">
        <v>0.852141870105942</v>
      </c>
      <c r="V1511" s="26">
        <v>0.8969879518072289</v>
      </c>
      <c r="W1511" s="26">
        <v>0.86718704491174925</v>
      </c>
      <c r="X1511" s="28">
        <v>0.92</v>
      </c>
      <c r="Y1511" s="28">
        <v>0</v>
      </c>
      <c r="Z1511" s="28">
        <v>0</v>
      </c>
      <c r="AA1511" s="28">
        <v>0</v>
      </c>
      <c r="AB1511" s="28">
        <v>0</v>
      </c>
      <c r="AC1511" s="28">
        <v>0.92</v>
      </c>
      <c r="AD1511" s="26">
        <v>0.88135593220338981</v>
      </c>
      <c r="AE1511" s="26">
        <v>0.78378378378378377</v>
      </c>
      <c r="AF1511" s="26">
        <v>0.86419753086419748</v>
      </c>
      <c r="AG1511" s="26">
        <v>0.8666666666666667</v>
      </c>
      <c r="AH1511" s="28">
        <v>0.92</v>
      </c>
      <c r="AI1511" s="26">
        <v>0.91971112999150384</v>
      </c>
      <c r="AJ1511" s="26">
        <v>0.90188853063104557</v>
      </c>
      <c r="AK1511" s="26">
        <v>0.94156626506024099</v>
      </c>
      <c r="AL1511" s="26">
        <v>0.93912739558455172</v>
      </c>
      <c r="AM1511" s="25">
        <v>0.99</v>
      </c>
      <c r="AN1511" s="30">
        <v>0</v>
      </c>
      <c r="AO1511" s="30">
        <v>1</v>
      </c>
      <c r="AP1511" s="30">
        <v>1</v>
      </c>
      <c r="AQ1511" s="30">
        <v>1</v>
      </c>
      <c r="AR1511" s="50">
        <v>0.110069253262963</v>
      </c>
      <c r="AS1511" s="34">
        <v>0</v>
      </c>
      <c r="AT1511" s="34">
        <v>0.2</v>
      </c>
      <c r="AU1511" s="34">
        <v>0.1111111111111111</v>
      </c>
      <c r="AV1511" s="34">
        <v>7.6923076923076927E-2</v>
      </c>
      <c r="AW1511" s="10"/>
      <c r="AX1511" s="8"/>
    </row>
    <row r="1512" spans="1:50">
      <c r="A1512" s="7"/>
      <c r="B1512" s="10"/>
      <c r="C1512" s="45" t="s">
        <v>1468</v>
      </c>
      <c r="D1512" s="23" t="s">
        <v>27</v>
      </c>
      <c r="E1512" s="61" t="s">
        <v>1556</v>
      </c>
      <c r="F1512" s="61" t="s">
        <v>1556</v>
      </c>
      <c r="G1512" s="61" t="s">
        <v>1556</v>
      </c>
      <c r="H1512" s="61" t="s">
        <v>1556</v>
      </c>
      <c r="I1512" s="25">
        <v>0.9</v>
      </c>
      <c r="J1512" s="26">
        <v>1</v>
      </c>
      <c r="K1512" s="26">
        <v>0.94444444444444442</v>
      </c>
      <c r="L1512" s="27">
        <v>1</v>
      </c>
      <c r="M1512" s="26">
        <v>0.99224806201550386</v>
      </c>
      <c r="N1512" s="28">
        <v>0.9</v>
      </c>
      <c r="O1512" s="26">
        <v>0.98680490103675778</v>
      </c>
      <c r="P1512" s="26">
        <v>0.970873786407767</v>
      </c>
      <c r="Q1512" s="26">
        <v>0.9988597491448119</v>
      </c>
      <c r="R1512" s="26">
        <v>0.96545401910643636</v>
      </c>
      <c r="S1512" s="28">
        <v>0.9</v>
      </c>
      <c r="T1512" s="26">
        <v>0.77379830348727618</v>
      </c>
      <c r="U1512" s="26">
        <v>0.70084951456310685</v>
      </c>
      <c r="V1512" s="26">
        <v>0.88939566704675033</v>
      </c>
      <c r="W1512" s="26">
        <v>0.66457589501109715</v>
      </c>
      <c r="X1512" s="28">
        <v>0.92</v>
      </c>
      <c r="Y1512" s="28">
        <v>0</v>
      </c>
      <c r="Z1512" s="28">
        <v>0</v>
      </c>
      <c r="AA1512" s="28">
        <v>0</v>
      </c>
      <c r="AB1512" s="28">
        <v>0</v>
      </c>
      <c r="AC1512" s="28">
        <v>0.92</v>
      </c>
      <c r="AD1512" s="26">
        <v>1</v>
      </c>
      <c r="AE1512" s="26">
        <v>1</v>
      </c>
      <c r="AF1512" s="26">
        <v>1</v>
      </c>
      <c r="AG1512" s="26">
        <v>1</v>
      </c>
      <c r="AH1512" s="28">
        <v>0.92</v>
      </c>
      <c r="AI1512" s="26">
        <v>0.88124410933081998</v>
      </c>
      <c r="AJ1512" s="26">
        <v>0.95449029126213591</v>
      </c>
      <c r="AK1512" s="26">
        <v>0.97719498289623719</v>
      </c>
      <c r="AL1512" s="26">
        <v>0.90601177265270672</v>
      </c>
      <c r="AM1512" s="25">
        <v>0.99</v>
      </c>
      <c r="AN1512" s="30">
        <v>1</v>
      </c>
      <c r="AO1512" s="30">
        <v>1</v>
      </c>
      <c r="AP1512" s="30">
        <v>1</v>
      </c>
      <c r="AQ1512" s="30">
        <v>1</v>
      </c>
      <c r="AR1512" s="50">
        <v>0.110069253262963</v>
      </c>
      <c r="AS1512" s="34">
        <v>0.1</v>
      </c>
      <c r="AT1512" s="34">
        <v>0</v>
      </c>
      <c r="AU1512" s="34">
        <v>5.5555555555555552E-2</v>
      </c>
      <c r="AV1512" s="34">
        <v>6.7961165048543687E-2</v>
      </c>
      <c r="AW1512" s="10"/>
      <c r="AX1512" s="8"/>
    </row>
    <row r="1513" spans="1:50">
      <c r="A1513" s="7"/>
      <c r="B1513" s="10"/>
      <c r="C1513" s="45" t="s">
        <v>1468</v>
      </c>
      <c r="D1513" s="23" t="s">
        <v>27</v>
      </c>
      <c r="E1513" s="61" t="s">
        <v>1557</v>
      </c>
      <c r="F1513" s="61" t="s">
        <v>1557</v>
      </c>
      <c r="G1513" s="61" t="s">
        <v>1557</v>
      </c>
      <c r="H1513" s="61" t="s">
        <v>1557</v>
      </c>
      <c r="I1513" s="25">
        <v>0.9</v>
      </c>
      <c r="J1513" s="26">
        <v>0.95833333333333337</v>
      </c>
      <c r="K1513" s="26">
        <v>0.96</v>
      </c>
      <c r="L1513" s="27">
        <v>1</v>
      </c>
      <c r="M1513" s="26">
        <v>0.97409326424870468</v>
      </c>
      <c r="N1513" s="28">
        <v>0.9</v>
      </c>
      <c r="O1513" s="26">
        <v>0.99135446685878958</v>
      </c>
      <c r="P1513" s="26">
        <v>0.9780157835400225</v>
      </c>
      <c r="Q1513" s="26">
        <v>0.96086508753861999</v>
      </c>
      <c r="R1513" s="26">
        <v>0.97239740425920851</v>
      </c>
      <c r="S1513" s="28">
        <v>0.9</v>
      </c>
      <c r="T1513" s="26">
        <v>0.84053794428434203</v>
      </c>
      <c r="U1513" s="26">
        <v>0.64543404735062004</v>
      </c>
      <c r="V1513" s="26">
        <v>0.80741503604531406</v>
      </c>
      <c r="W1513" s="26">
        <v>0.7221460561191847</v>
      </c>
      <c r="X1513" s="28">
        <v>0.92</v>
      </c>
      <c r="Y1513" s="28">
        <v>0</v>
      </c>
      <c r="Z1513" s="28">
        <v>0</v>
      </c>
      <c r="AA1513" s="28">
        <v>0</v>
      </c>
      <c r="AB1513" s="28">
        <v>0</v>
      </c>
      <c r="AC1513" s="28">
        <v>0.92</v>
      </c>
      <c r="AD1513" s="26">
        <v>1</v>
      </c>
      <c r="AE1513" s="26">
        <v>1</v>
      </c>
      <c r="AF1513" s="26">
        <v>1</v>
      </c>
      <c r="AG1513" s="26">
        <v>0.97674418604651159</v>
      </c>
      <c r="AH1513" s="28">
        <v>0.92</v>
      </c>
      <c r="AI1513" s="26">
        <v>0.93083573487031701</v>
      </c>
      <c r="AJ1513" s="26">
        <v>0.95377677564825258</v>
      </c>
      <c r="AK1513" s="26">
        <v>0.9464469618949537</v>
      </c>
      <c r="AL1513" s="26">
        <v>0.95484873411936755</v>
      </c>
      <c r="AM1513" s="25">
        <v>0.99</v>
      </c>
      <c r="AN1513" s="30">
        <v>1</v>
      </c>
      <c r="AO1513" s="30">
        <v>1</v>
      </c>
      <c r="AP1513" s="30">
        <v>1</v>
      </c>
      <c r="AQ1513" s="30">
        <v>1</v>
      </c>
      <c r="AR1513" s="50">
        <v>0.110069253262963</v>
      </c>
      <c r="AS1513" s="34">
        <v>0</v>
      </c>
      <c r="AT1513" s="34">
        <v>0</v>
      </c>
      <c r="AU1513" s="34">
        <v>7.1428571428571425E-2</v>
      </c>
      <c r="AV1513" s="34">
        <v>0.10344827586206896</v>
      </c>
      <c r="AW1513" s="10"/>
      <c r="AX1513" s="8"/>
    </row>
    <row r="1514" spans="1:50">
      <c r="A1514" s="7"/>
      <c r="B1514" s="10"/>
      <c r="C1514" s="45" t="s">
        <v>1468</v>
      </c>
      <c r="D1514" s="23" t="s">
        <v>27</v>
      </c>
      <c r="E1514" s="61" t="s">
        <v>1558</v>
      </c>
      <c r="F1514" s="61" t="s">
        <v>1558</v>
      </c>
      <c r="G1514" s="61" t="s">
        <v>1558</v>
      </c>
      <c r="H1514" s="61" t="s">
        <v>1558</v>
      </c>
      <c r="I1514" s="25">
        <v>0.9</v>
      </c>
      <c r="J1514" s="26">
        <v>0.91428571428571426</v>
      </c>
      <c r="K1514" s="26">
        <v>0.92105263157894735</v>
      </c>
      <c r="L1514" s="27">
        <v>0.95454545454545459</v>
      </c>
      <c r="M1514" s="26">
        <v>0.92948717948717952</v>
      </c>
      <c r="N1514" s="28">
        <v>0.9</v>
      </c>
      <c r="O1514" s="26">
        <v>0.71446488294314381</v>
      </c>
      <c r="P1514" s="26">
        <v>0.7094699489909071</v>
      </c>
      <c r="Q1514" s="26">
        <v>0.68956367924528306</v>
      </c>
      <c r="R1514" s="26">
        <v>0.72517808219178082</v>
      </c>
      <c r="S1514" s="28">
        <v>0.9</v>
      </c>
      <c r="T1514" s="26">
        <v>0.72387123745819393</v>
      </c>
      <c r="U1514" s="26">
        <v>0.76491461521401638</v>
      </c>
      <c r="V1514" s="26">
        <v>0.77063679245283023</v>
      </c>
      <c r="W1514" s="26">
        <v>0.76734246575342469</v>
      </c>
      <c r="X1514" s="28">
        <v>0.92</v>
      </c>
      <c r="Y1514" s="28">
        <v>0</v>
      </c>
      <c r="Z1514" s="28">
        <v>0</v>
      </c>
      <c r="AA1514" s="28">
        <v>0</v>
      </c>
      <c r="AB1514" s="28">
        <v>0</v>
      </c>
      <c r="AC1514" s="28">
        <v>0.92</v>
      </c>
      <c r="AD1514" s="26">
        <v>0.76511627906976742</v>
      </c>
      <c r="AE1514" s="26">
        <v>0.72077922077922074</v>
      </c>
      <c r="AF1514" s="26">
        <v>0.86029411764705888</v>
      </c>
      <c r="AG1514" s="26">
        <v>0.81014451686030042</v>
      </c>
      <c r="AH1514" s="28">
        <v>0.92</v>
      </c>
      <c r="AI1514" s="26">
        <v>0.86141304347826086</v>
      </c>
      <c r="AJ1514" s="26">
        <v>0.91062319804834779</v>
      </c>
      <c r="AK1514" s="26">
        <v>0.94369103773584906</v>
      </c>
      <c r="AL1514" s="26">
        <v>0.91564383561643836</v>
      </c>
      <c r="AM1514" s="25">
        <v>0.99</v>
      </c>
      <c r="AN1514" s="30">
        <v>1</v>
      </c>
      <c r="AO1514" s="30">
        <v>1</v>
      </c>
      <c r="AP1514" s="30">
        <v>1</v>
      </c>
      <c r="AQ1514" s="30">
        <v>1</v>
      </c>
      <c r="AR1514" s="50">
        <v>0.110069253262963</v>
      </c>
      <c r="AS1514" s="34">
        <v>0</v>
      </c>
      <c r="AT1514" s="34">
        <v>0.10344827586206896</v>
      </c>
      <c r="AU1514" s="34">
        <v>3.0303030303030304E-2</v>
      </c>
      <c r="AV1514" s="34">
        <v>6.0728744939271252E-2</v>
      </c>
      <c r="AW1514" s="10"/>
      <c r="AX1514" s="8"/>
    </row>
    <row r="1515" spans="1:50">
      <c r="A1515" s="7"/>
      <c r="B1515" s="10"/>
      <c r="C1515" s="45" t="s">
        <v>1468</v>
      </c>
      <c r="D1515" s="23" t="s">
        <v>27</v>
      </c>
      <c r="E1515" s="61" t="s">
        <v>1559</v>
      </c>
      <c r="F1515" s="61" t="s">
        <v>1559</v>
      </c>
      <c r="G1515" s="61" t="s">
        <v>1559</v>
      </c>
      <c r="H1515" s="61" t="s">
        <v>1559</v>
      </c>
      <c r="I1515" s="25">
        <v>0.9</v>
      </c>
      <c r="J1515" s="26">
        <v>1</v>
      </c>
      <c r="K1515" s="26">
        <v>1</v>
      </c>
      <c r="L1515" s="27">
        <v>1</v>
      </c>
      <c r="M1515" s="26">
        <v>0.98324022346368711</v>
      </c>
      <c r="N1515" s="28">
        <v>0.9</v>
      </c>
      <c r="O1515" s="26">
        <v>0</v>
      </c>
      <c r="P1515" s="26">
        <v>0</v>
      </c>
      <c r="Q1515" s="26">
        <v>0</v>
      </c>
      <c r="R1515" s="26">
        <v>0.5</v>
      </c>
      <c r="S1515" s="28">
        <v>0.9</v>
      </c>
      <c r="T1515" s="26">
        <v>0</v>
      </c>
      <c r="U1515" s="26">
        <v>0</v>
      </c>
      <c r="V1515" s="26">
        <v>0</v>
      </c>
      <c r="W1515" s="26">
        <v>0.5</v>
      </c>
      <c r="X1515" s="28">
        <v>0.92</v>
      </c>
      <c r="Y1515" s="28">
        <v>0</v>
      </c>
      <c r="Z1515" s="28">
        <v>0</v>
      </c>
      <c r="AA1515" s="28">
        <v>0</v>
      </c>
      <c r="AB1515" s="28">
        <v>0</v>
      </c>
      <c r="AC1515" s="28">
        <v>0.92</v>
      </c>
      <c r="AD1515" s="26">
        <v>0</v>
      </c>
      <c r="AE1515" s="26">
        <v>0</v>
      </c>
      <c r="AF1515" s="26">
        <v>0</v>
      </c>
      <c r="AG1515" s="26">
        <v>0.52941176470588236</v>
      </c>
      <c r="AH1515" s="28">
        <v>0.92</v>
      </c>
      <c r="AI1515" s="26">
        <v>0.58385416666666667</v>
      </c>
      <c r="AJ1515" s="26">
        <v>0.80659203980099503</v>
      </c>
      <c r="AK1515" s="26">
        <v>0.902970297029703</v>
      </c>
      <c r="AL1515" s="26">
        <v>0.8024527907462895</v>
      </c>
      <c r="AM1515" s="25">
        <v>0.99</v>
      </c>
      <c r="AN1515" s="30">
        <v>0</v>
      </c>
      <c r="AO1515" s="30">
        <v>0</v>
      </c>
      <c r="AP1515" s="30">
        <v>0</v>
      </c>
      <c r="AQ1515" s="30">
        <v>1</v>
      </c>
      <c r="AR1515" s="50">
        <v>0.110069253262963</v>
      </c>
      <c r="AS1515" s="34">
        <v>0</v>
      </c>
      <c r="AT1515" s="34">
        <v>0</v>
      </c>
      <c r="AU1515" s="34">
        <v>0</v>
      </c>
      <c r="AV1515" s="34">
        <v>3.4883720930232558E-2</v>
      </c>
      <c r="AW1515" s="10"/>
      <c r="AX1515" s="8"/>
    </row>
    <row r="1516" spans="1:50">
      <c r="A1516" s="7"/>
      <c r="B1516" s="10"/>
      <c r="C1516" s="45" t="s">
        <v>1468</v>
      </c>
      <c r="D1516" s="23" t="s">
        <v>27</v>
      </c>
      <c r="E1516" s="61" t="s">
        <v>1560</v>
      </c>
      <c r="F1516" s="61" t="s">
        <v>1560</v>
      </c>
      <c r="G1516" s="61" t="s">
        <v>1560</v>
      </c>
      <c r="H1516" s="61" t="s">
        <v>1560</v>
      </c>
      <c r="I1516" s="25">
        <v>0.9</v>
      </c>
      <c r="J1516" s="26">
        <v>1</v>
      </c>
      <c r="K1516" s="26">
        <v>0.95</v>
      </c>
      <c r="L1516" s="27">
        <v>1</v>
      </c>
      <c r="M1516" s="26">
        <v>0.97202797202797198</v>
      </c>
      <c r="N1516" s="28">
        <v>0.9</v>
      </c>
      <c r="O1516" s="26">
        <v>0.98971861471861466</v>
      </c>
      <c r="P1516" s="26">
        <v>0.9562624254473161</v>
      </c>
      <c r="Q1516" s="26">
        <v>0.99909665763324296</v>
      </c>
      <c r="R1516" s="26">
        <v>0.97185998627316406</v>
      </c>
      <c r="S1516" s="28">
        <v>0.9</v>
      </c>
      <c r="T1516" s="26">
        <v>0.94426406926406925</v>
      </c>
      <c r="U1516" s="26">
        <v>0.96288933068257121</v>
      </c>
      <c r="V1516" s="26">
        <v>0.97018970189701892</v>
      </c>
      <c r="W1516" s="26">
        <v>0.94333867154731943</v>
      </c>
      <c r="X1516" s="28">
        <v>0.92</v>
      </c>
      <c r="Y1516" s="28">
        <v>0</v>
      </c>
      <c r="Z1516" s="28">
        <v>0</v>
      </c>
      <c r="AA1516" s="28">
        <v>0</v>
      </c>
      <c r="AB1516" s="28">
        <v>0</v>
      </c>
      <c r="AC1516" s="28">
        <v>0.92</v>
      </c>
      <c r="AD1516" s="26">
        <v>1</v>
      </c>
      <c r="AE1516" s="26">
        <v>1</v>
      </c>
      <c r="AF1516" s="26">
        <v>1</v>
      </c>
      <c r="AG1516" s="26">
        <v>0.98489425981873113</v>
      </c>
      <c r="AH1516" s="28">
        <v>0.92</v>
      </c>
      <c r="AI1516" s="26">
        <v>0.97186147186147187</v>
      </c>
      <c r="AJ1516" s="26">
        <v>0.98542080848243874</v>
      </c>
      <c r="AK1516" s="26">
        <v>0.99186991869918695</v>
      </c>
      <c r="AL1516" s="26">
        <v>0.98207885304659504</v>
      </c>
      <c r="AM1516" s="25">
        <v>0.99</v>
      </c>
      <c r="AN1516" s="30">
        <v>1</v>
      </c>
      <c r="AO1516" s="30">
        <v>1</v>
      </c>
      <c r="AP1516" s="30">
        <v>1</v>
      </c>
      <c r="AQ1516" s="30">
        <v>1</v>
      </c>
      <c r="AR1516" s="50">
        <v>0.110069253262963</v>
      </c>
      <c r="AS1516" s="34">
        <v>0.13333333333333333</v>
      </c>
      <c r="AT1516" s="34">
        <v>0</v>
      </c>
      <c r="AU1516" s="34">
        <v>0</v>
      </c>
      <c r="AV1516" s="34">
        <v>7.8651685393258425E-2</v>
      </c>
      <c r="AW1516" s="10"/>
      <c r="AX1516" s="8"/>
    </row>
    <row r="1517" spans="1:50">
      <c r="A1517" s="7"/>
      <c r="B1517" s="10"/>
      <c r="C1517" s="45" t="s">
        <v>1468</v>
      </c>
      <c r="D1517" s="23" t="s">
        <v>27</v>
      </c>
      <c r="E1517" s="61" t="s">
        <v>1561</v>
      </c>
      <c r="F1517" s="61" t="s">
        <v>1561</v>
      </c>
      <c r="G1517" s="61" t="s">
        <v>1561</v>
      </c>
      <c r="H1517" s="61" t="s">
        <v>1561</v>
      </c>
      <c r="I1517" s="25">
        <v>0.9</v>
      </c>
      <c r="J1517" s="26">
        <v>1</v>
      </c>
      <c r="K1517" s="26">
        <v>0.875</v>
      </c>
      <c r="L1517" s="27">
        <v>1</v>
      </c>
      <c r="M1517" s="26">
        <v>0.9838709677419355</v>
      </c>
      <c r="N1517" s="28">
        <v>0.9</v>
      </c>
      <c r="O1517" s="26">
        <v>0.99564507348938491</v>
      </c>
      <c r="P1517" s="26">
        <v>0.95723014256619143</v>
      </c>
      <c r="Q1517" s="26">
        <v>0.9946236559139785</v>
      </c>
      <c r="R1517" s="26">
        <v>0.97040918548200661</v>
      </c>
      <c r="S1517" s="28">
        <v>0.9</v>
      </c>
      <c r="T1517" s="26">
        <v>0.85084376701143172</v>
      </c>
      <c r="U1517" s="26">
        <v>0.83638832315003397</v>
      </c>
      <c r="V1517" s="26">
        <v>0.82949308755760365</v>
      </c>
      <c r="W1517" s="26">
        <v>0.85435770979425141</v>
      </c>
      <c r="X1517" s="28">
        <v>0.92</v>
      </c>
      <c r="Y1517" s="28">
        <v>0</v>
      </c>
      <c r="Z1517" s="28">
        <v>0</v>
      </c>
      <c r="AA1517" s="28">
        <v>0</v>
      </c>
      <c r="AB1517" s="28">
        <v>0</v>
      </c>
      <c r="AC1517" s="28">
        <v>0.92</v>
      </c>
      <c r="AD1517" s="26">
        <v>1</v>
      </c>
      <c r="AE1517" s="26">
        <v>1</v>
      </c>
      <c r="AF1517" s="26">
        <v>1</v>
      </c>
      <c r="AG1517" s="26">
        <v>0.97746781115879833</v>
      </c>
      <c r="AH1517" s="28">
        <v>0.92</v>
      </c>
      <c r="AI1517" s="26">
        <v>0.93648208469055372</v>
      </c>
      <c r="AJ1517" s="26">
        <v>0.92464358452138495</v>
      </c>
      <c r="AK1517" s="26">
        <v>0.91634689178818107</v>
      </c>
      <c r="AL1517" s="26">
        <v>0.93191620455945778</v>
      </c>
      <c r="AM1517" s="25">
        <v>0.99</v>
      </c>
      <c r="AN1517" s="30">
        <v>1</v>
      </c>
      <c r="AO1517" s="30">
        <v>1</v>
      </c>
      <c r="AP1517" s="30">
        <v>1</v>
      </c>
      <c r="AQ1517" s="30">
        <v>1</v>
      </c>
      <c r="AR1517" s="50">
        <v>0.110069253262963</v>
      </c>
      <c r="AS1517" s="34">
        <v>0.125</v>
      </c>
      <c r="AT1517" s="34">
        <v>0</v>
      </c>
      <c r="AU1517" s="34">
        <v>0</v>
      </c>
      <c r="AV1517" s="34">
        <v>5.8139534883720929E-2</v>
      </c>
      <c r="AW1517" s="10"/>
      <c r="AX1517" s="8"/>
    </row>
    <row r="1518" spans="1:50">
      <c r="A1518" s="7"/>
      <c r="B1518" s="10"/>
      <c r="C1518" s="45" t="s">
        <v>1468</v>
      </c>
      <c r="D1518" s="23" t="s">
        <v>27</v>
      </c>
      <c r="E1518" s="61" t="s">
        <v>1562</v>
      </c>
      <c r="F1518" s="61" t="s">
        <v>1562</v>
      </c>
      <c r="G1518" s="61" t="s">
        <v>1562</v>
      </c>
      <c r="H1518" s="61" t="s">
        <v>1562</v>
      </c>
      <c r="I1518" s="25">
        <v>0.9</v>
      </c>
      <c r="J1518" s="26">
        <v>1</v>
      </c>
      <c r="K1518" s="26">
        <v>1</v>
      </c>
      <c r="L1518" s="27">
        <v>1</v>
      </c>
      <c r="M1518" s="26">
        <v>1</v>
      </c>
      <c r="N1518" s="28">
        <v>0.9</v>
      </c>
      <c r="O1518" s="26">
        <v>0.998046875</v>
      </c>
      <c r="P1518" s="26">
        <v>0.99429115128449097</v>
      </c>
      <c r="Q1518" s="26">
        <v>0.99818099135970895</v>
      </c>
      <c r="R1518" s="26">
        <v>0.9868374244041267</v>
      </c>
      <c r="S1518" s="28">
        <v>0.9</v>
      </c>
      <c r="T1518" s="26">
        <v>0.97304687499999998</v>
      </c>
      <c r="U1518" s="26">
        <v>0.9747859181731684</v>
      </c>
      <c r="V1518" s="26">
        <v>0.97544338335607095</v>
      </c>
      <c r="W1518" s="26">
        <v>0.9800274432078061</v>
      </c>
      <c r="X1518" s="28">
        <v>0.92</v>
      </c>
      <c r="Y1518" s="28">
        <v>0</v>
      </c>
      <c r="Z1518" s="28">
        <v>0</v>
      </c>
      <c r="AA1518" s="28">
        <v>0</v>
      </c>
      <c r="AB1518" s="28">
        <v>0</v>
      </c>
      <c r="AC1518" s="28">
        <v>0.92</v>
      </c>
      <c r="AD1518" s="26">
        <v>0.875</v>
      </c>
      <c r="AE1518" s="26">
        <v>1</v>
      </c>
      <c r="AF1518" s="26">
        <v>0.875</v>
      </c>
      <c r="AG1518" s="26">
        <v>0.95454545454545459</v>
      </c>
      <c r="AH1518" s="28">
        <v>0.92</v>
      </c>
      <c r="AI1518" s="26">
        <v>0.98906249999999996</v>
      </c>
      <c r="AJ1518" s="26">
        <v>0.99000951474785914</v>
      </c>
      <c r="AK1518" s="26">
        <v>0.990450204638472</v>
      </c>
      <c r="AL1518" s="26">
        <v>0.99217360369975094</v>
      </c>
      <c r="AM1518" s="25">
        <v>0.99</v>
      </c>
      <c r="AN1518" s="30">
        <v>1</v>
      </c>
      <c r="AO1518" s="30">
        <v>1</v>
      </c>
      <c r="AP1518" s="30">
        <v>1</v>
      </c>
      <c r="AQ1518" s="30">
        <v>1</v>
      </c>
      <c r="AR1518" s="50">
        <v>0.110069253262963</v>
      </c>
      <c r="AS1518" s="34">
        <v>0</v>
      </c>
      <c r="AT1518" s="34">
        <v>0</v>
      </c>
      <c r="AU1518" s="34">
        <v>0</v>
      </c>
      <c r="AV1518" s="34">
        <v>3.937007874015748E-2</v>
      </c>
      <c r="AW1518" s="10"/>
      <c r="AX1518" s="8"/>
    </row>
    <row r="1519" spans="1:50">
      <c r="A1519" s="7"/>
      <c r="B1519" s="10"/>
      <c r="C1519" s="45" t="s">
        <v>1468</v>
      </c>
      <c r="D1519" s="23" t="s">
        <v>27</v>
      </c>
      <c r="E1519" s="61" t="s">
        <v>1563</v>
      </c>
      <c r="F1519" s="61" t="s">
        <v>1563</v>
      </c>
      <c r="G1519" s="61" t="s">
        <v>1563</v>
      </c>
      <c r="H1519" s="61" t="s">
        <v>1563</v>
      </c>
      <c r="I1519" s="25">
        <v>0.9</v>
      </c>
      <c r="J1519" s="26">
        <v>1</v>
      </c>
      <c r="K1519" s="26">
        <v>0.97826086956521741</v>
      </c>
      <c r="L1519" s="27">
        <v>0.97777777777777775</v>
      </c>
      <c r="M1519" s="26">
        <v>0.98921832884097038</v>
      </c>
      <c r="N1519" s="28">
        <v>0.9</v>
      </c>
      <c r="O1519" s="26">
        <v>0.95395395395395399</v>
      </c>
      <c r="P1519" s="26">
        <v>0.96297153436704463</v>
      </c>
      <c r="Q1519" s="26">
        <v>0.95154185022026427</v>
      </c>
      <c r="R1519" s="26">
        <v>0.95558821128255367</v>
      </c>
      <c r="S1519" s="28">
        <v>0.9</v>
      </c>
      <c r="T1519" s="26">
        <v>0.90330330330330333</v>
      </c>
      <c r="U1519" s="26">
        <v>0.9074288359176117</v>
      </c>
      <c r="V1519" s="26">
        <v>0.94419970631424377</v>
      </c>
      <c r="W1519" s="26">
        <v>0.93800854491523122</v>
      </c>
      <c r="X1519" s="28">
        <v>0.92</v>
      </c>
      <c r="Y1519" s="28">
        <v>0</v>
      </c>
      <c r="Z1519" s="28">
        <v>0</v>
      </c>
      <c r="AA1519" s="28">
        <v>0</v>
      </c>
      <c r="AB1519" s="28">
        <v>0</v>
      </c>
      <c r="AC1519" s="28">
        <v>0.92</v>
      </c>
      <c r="AD1519" s="26">
        <v>0.65853658536585369</v>
      </c>
      <c r="AE1519" s="26">
        <v>0.98936170212765961</v>
      </c>
      <c r="AF1519" s="26">
        <v>0.71511627906976749</v>
      </c>
      <c r="AG1519" s="26">
        <v>0.88993923024983124</v>
      </c>
      <c r="AH1519" s="28">
        <v>0.92</v>
      </c>
      <c r="AI1519" s="26">
        <v>0.96956956956956952</v>
      </c>
      <c r="AJ1519" s="26">
        <v>0.97130293913445964</v>
      </c>
      <c r="AK1519" s="26">
        <v>0.97474302496328924</v>
      </c>
      <c r="AL1519" s="26">
        <v>0.9812501700819114</v>
      </c>
      <c r="AM1519" s="25">
        <v>0.99</v>
      </c>
      <c r="AN1519" s="30">
        <v>1</v>
      </c>
      <c r="AO1519" s="30">
        <v>1</v>
      </c>
      <c r="AP1519" s="30">
        <v>1</v>
      </c>
      <c r="AQ1519" s="30">
        <v>1</v>
      </c>
      <c r="AR1519" s="50">
        <v>0.110069253262963</v>
      </c>
      <c r="AS1519" s="34">
        <v>0.11538461538461539</v>
      </c>
      <c r="AT1519" s="34">
        <v>4.1666666666666664E-2</v>
      </c>
      <c r="AU1519" s="34">
        <v>4.5454545454545456E-2</v>
      </c>
      <c r="AV1519" s="34">
        <v>7.1038251366120214E-2</v>
      </c>
      <c r="AW1519" s="10"/>
      <c r="AX1519" s="8"/>
    </row>
    <row r="1520" spans="1:50">
      <c r="A1520" s="7"/>
      <c r="B1520" s="10"/>
      <c r="C1520" s="45" t="s">
        <v>1468</v>
      </c>
      <c r="D1520" s="23" t="s">
        <v>27</v>
      </c>
      <c r="E1520" s="61" t="s">
        <v>1564</v>
      </c>
      <c r="F1520" s="61" t="s">
        <v>1564</v>
      </c>
      <c r="G1520" s="61" t="s">
        <v>1564</v>
      </c>
      <c r="H1520" s="61" t="s">
        <v>1564</v>
      </c>
      <c r="I1520" s="25">
        <v>0.9</v>
      </c>
      <c r="J1520" s="26">
        <v>1</v>
      </c>
      <c r="K1520" s="26">
        <v>1</v>
      </c>
      <c r="L1520" s="27">
        <v>1</v>
      </c>
      <c r="M1520" s="26">
        <v>0.99152542372881358</v>
      </c>
      <c r="N1520" s="28">
        <v>0.9</v>
      </c>
      <c r="O1520" s="26">
        <v>0.95121951219512191</v>
      </c>
      <c r="P1520" s="26">
        <v>0.99721706864564008</v>
      </c>
      <c r="Q1520" s="26">
        <v>0.98804279421019514</v>
      </c>
      <c r="R1520" s="26">
        <v>0.96345160565910626</v>
      </c>
      <c r="S1520" s="28">
        <v>0.9</v>
      </c>
      <c r="T1520" s="26">
        <v>0.91003598560575771</v>
      </c>
      <c r="U1520" s="26">
        <v>0.95361781076066787</v>
      </c>
      <c r="V1520" s="26">
        <v>0.90937696664568912</v>
      </c>
      <c r="W1520" s="26">
        <v>0.9372333258477431</v>
      </c>
      <c r="X1520" s="28">
        <v>0.92</v>
      </c>
      <c r="Y1520" s="28">
        <v>0</v>
      </c>
      <c r="Z1520" s="28">
        <v>0</v>
      </c>
      <c r="AA1520" s="28">
        <v>0</v>
      </c>
      <c r="AB1520" s="28">
        <v>0</v>
      </c>
      <c r="AC1520" s="28">
        <v>0.92</v>
      </c>
      <c r="AD1520" s="26">
        <v>1</v>
      </c>
      <c r="AE1520" s="26">
        <v>1</v>
      </c>
      <c r="AF1520" s="26">
        <v>0.97014925373134331</v>
      </c>
      <c r="AG1520" s="26">
        <v>0.8951048951048951</v>
      </c>
      <c r="AH1520" s="28">
        <v>0.92</v>
      </c>
      <c r="AI1520" s="26">
        <v>0.96121551379448222</v>
      </c>
      <c r="AJ1520" s="26">
        <v>0.97495361781076062</v>
      </c>
      <c r="AK1520" s="26">
        <v>0.98552548772813087</v>
      </c>
      <c r="AL1520" s="26">
        <v>0.97726251964967437</v>
      </c>
      <c r="AM1520" s="25">
        <v>0.99</v>
      </c>
      <c r="AN1520" s="30">
        <v>1</v>
      </c>
      <c r="AO1520" s="30">
        <v>1</v>
      </c>
      <c r="AP1520" s="30">
        <v>1</v>
      </c>
      <c r="AQ1520" s="30">
        <v>1</v>
      </c>
      <c r="AR1520" s="50">
        <v>0.110069253262963</v>
      </c>
      <c r="AS1520" s="34">
        <v>0.15384615384615385</v>
      </c>
      <c r="AT1520" s="34">
        <v>0.11764705882352941</v>
      </c>
      <c r="AU1520" s="34">
        <v>0</v>
      </c>
      <c r="AV1520" s="34">
        <v>7.8947368421052627E-2</v>
      </c>
      <c r="AW1520" s="10"/>
      <c r="AX1520" s="8"/>
    </row>
    <row r="1521" spans="1:50">
      <c r="A1521" s="7"/>
      <c r="B1521" s="10"/>
      <c r="C1521" s="45" t="s">
        <v>1468</v>
      </c>
      <c r="D1521" s="23" t="s">
        <v>27</v>
      </c>
      <c r="E1521" s="61" t="s">
        <v>1565</v>
      </c>
      <c r="F1521" s="61" t="s">
        <v>1565</v>
      </c>
      <c r="G1521" s="61" t="s">
        <v>1565</v>
      </c>
      <c r="H1521" s="61" t="s">
        <v>1565</v>
      </c>
      <c r="I1521" s="25">
        <v>0.9</v>
      </c>
      <c r="J1521" s="26">
        <v>1</v>
      </c>
      <c r="K1521" s="26">
        <v>0.95238095238095233</v>
      </c>
      <c r="L1521" s="27">
        <v>0.9</v>
      </c>
      <c r="M1521" s="26">
        <v>0.95857988165680474</v>
      </c>
      <c r="N1521" s="28">
        <v>0.9</v>
      </c>
      <c r="O1521" s="26">
        <v>0.89973262032085566</v>
      </c>
      <c r="P1521" s="26">
        <v>0.95114179500796603</v>
      </c>
      <c r="Q1521" s="26">
        <v>0.83333333333333337</v>
      </c>
      <c r="R1521" s="26">
        <v>0.91041705629324854</v>
      </c>
      <c r="S1521" s="28">
        <v>0.9</v>
      </c>
      <c r="T1521" s="26">
        <v>0.68137254901960786</v>
      </c>
      <c r="U1521" s="26">
        <v>0.75464684014869887</v>
      </c>
      <c r="V1521" s="26">
        <v>0.75101214574898789</v>
      </c>
      <c r="W1521" s="26">
        <v>0.71086590611557887</v>
      </c>
      <c r="X1521" s="28">
        <v>0.92</v>
      </c>
      <c r="Y1521" s="28">
        <v>0</v>
      </c>
      <c r="Z1521" s="28">
        <v>0</v>
      </c>
      <c r="AA1521" s="28">
        <v>0</v>
      </c>
      <c r="AB1521" s="28">
        <v>0</v>
      </c>
      <c r="AC1521" s="28">
        <v>0.92</v>
      </c>
      <c r="AD1521" s="26">
        <v>1</v>
      </c>
      <c r="AE1521" s="26">
        <v>0.93333333333333335</v>
      </c>
      <c r="AF1521" s="26">
        <v>1</v>
      </c>
      <c r="AG1521" s="26">
        <v>0.98076923076923073</v>
      </c>
      <c r="AH1521" s="28">
        <v>0.92</v>
      </c>
      <c r="AI1521" s="26">
        <v>0.96524064171122992</v>
      </c>
      <c r="AJ1521" s="26">
        <v>0.96016994158258095</v>
      </c>
      <c r="AK1521" s="26">
        <v>0.95951417004048578</v>
      </c>
      <c r="AL1521" s="26">
        <v>0.9599152172557821</v>
      </c>
      <c r="AM1521" s="25">
        <v>0.99</v>
      </c>
      <c r="AN1521" s="30">
        <v>0</v>
      </c>
      <c r="AO1521" s="30">
        <v>0</v>
      </c>
      <c r="AP1521" s="30">
        <v>1</v>
      </c>
      <c r="AQ1521" s="30">
        <v>1</v>
      </c>
      <c r="AR1521" s="50">
        <v>0.110069253262963</v>
      </c>
      <c r="AS1521" s="34">
        <v>0.125</v>
      </c>
      <c r="AT1521" s="34">
        <v>0.13793103448275862</v>
      </c>
      <c r="AU1521" s="34">
        <v>3.7037037037037035E-2</v>
      </c>
      <c r="AV1521" s="34">
        <v>0.08</v>
      </c>
      <c r="AW1521" s="10"/>
      <c r="AX1521" s="8"/>
    </row>
    <row r="1522" spans="1:50">
      <c r="A1522" s="7"/>
      <c r="B1522" s="10"/>
      <c r="C1522" s="45" t="s">
        <v>1468</v>
      </c>
      <c r="D1522" s="23" t="s">
        <v>27</v>
      </c>
      <c r="E1522" s="61" t="s">
        <v>1566</v>
      </c>
      <c r="F1522" s="61" t="s">
        <v>1566</v>
      </c>
      <c r="G1522" s="61" t="s">
        <v>1566</v>
      </c>
      <c r="H1522" s="61" t="s">
        <v>1566</v>
      </c>
      <c r="I1522" s="25">
        <v>0.9</v>
      </c>
      <c r="J1522" s="26">
        <v>1</v>
      </c>
      <c r="K1522" s="26">
        <v>1</v>
      </c>
      <c r="L1522" s="27">
        <v>1</v>
      </c>
      <c r="M1522" s="26">
        <v>0.99363057324840764</v>
      </c>
      <c r="N1522" s="28">
        <v>0.9</v>
      </c>
      <c r="O1522" s="26">
        <v>0.96826222684703434</v>
      </c>
      <c r="P1522" s="26">
        <v>0.99269183922046289</v>
      </c>
      <c r="Q1522" s="26">
        <v>0.99076923076923074</v>
      </c>
      <c r="R1522" s="26">
        <v>0.97023129640205596</v>
      </c>
      <c r="S1522" s="28">
        <v>0.9</v>
      </c>
      <c r="T1522" s="26">
        <v>0.79916753381893857</v>
      </c>
      <c r="U1522" s="26">
        <v>0.92021924482338613</v>
      </c>
      <c r="V1522" s="26">
        <v>0.93615384615384611</v>
      </c>
      <c r="W1522" s="26">
        <v>0.87964020559680178</v>
      </c>
      <c r="X1522" s="28">
        <v>0.92</v>
      </c>
      <c r="Y1522" s="28">
        <v>0</v>
      </c>
      <c r="Z1522" s="28">
        <v>0</v>
      </c>
      <c r="AA1522" s="28">
        <v>0</v>
      </c>
      <c r="AB1522" s="28">
        <v>0</v>
      </c>
      <c r="AC1522" s="28">
        <v>0.92</v>
      </c>
      <c r="AD1522" s="26">
        <v>0.82608695652173914</v>
      </c>
      <c r="AE1522" s="26">
        <v>0.75609756097560976</v>
      </c>
      <c r="AF1522" s="26">
        <v>0.95348837209302328</v>
      </c>
      <c r="AG1522" s="26">
        <v>0.84210526315789469</v>
      </c>
      <c r="AH1522" s="28">
        <v>0.92</v>
      </c>
      <c r="AI1522" s="26">
        <v>0.96734059097978231</v>
      </c>
      <c r="AJ1522" s="26">
        <v>0.99026763990267641</v>
      </c>
      <c r="AK1522" s="26">
        <v>0.98616448885472718</v>
      </c>
      <c r="AL1522" s="26">
        <v>0.98530460836067912</v>
      </c>
      <c r="AM1522" s="25">
        <v>0.99</v>
      </c>
      <c r="AN1522" s="30">
        <v>1</v>
      </c>
      <c r="AO1522" s="30">
        <v>1</v>
      </c>
      <c r="AP1522" s="30">
        <v>1</v>
      </c>
      <c r="AQ1522" s="30">
        <v>1</v>
      </c>
      <c r="AR1522" s="50">
        <v>0.110069253262963</v>
      </c>
      <c r="AS1522" s="34">
        <v>5.8823529411764705E-2</v>
      </c>
      <c r="AT1522" s="34">
        <v>0</v>
      </c>
      <c r="AU1522" s="34">
        <v>0</v>
      </c>
      <c r="AV1522" s="34">
        <v>4.3859649122807015E-2</v>
      </c>
      <c r="AW1522" s="10"/>
      <c r="AX1522" s="8"/>
    </row>
    <row r="1523" spans="1:50">
      <c r="A1523" s="7"/>
      <c r="B1523" s="10"/>
      <c r="C1523" s="45" t="s">
        <v>1468</v>
      </c>
      <c r="D1523" s="23" t="s">
        <v>27</v>
      </c>
      <c r="E1523" s="61" t="s">
        <v>1567</v>
      </c>
      <c r="F1523" s="61" t="s">
        <v>1567</v>
      </c>
      <c r="G1523" s="61" t="s">
        <v>1567</v>
      </c>
      <c r="H1523" s="61" t="s">
        <v>1567</v>
      </c>
      <c r="I1523" s="25">
        <v>0.9</v>
      </c>
      <c r="J1523" s="26">
        <v>0</v>
      </c>
      <c r="K1523" s="26">
        <v>0</v>
      </c>
      <c r="L1523" s="27">
        <v>0</v>
      </c>
      <c r="M1523" s="26">
        <v>0</v>
      </c>
      <c r="N1523" s="28">
        <v>0.9</v>
      </c>
      <c r="O1523" s="26">
        <v>0</v>
      </c>
      <c r="P1523" s="26">
        <v>0</v>
      </c>
      <c r="Q1523" s="26">
        <v>0</v>
      </c>
      <c r="R1523" s="26">
        <v>0</v>
      </c>
      <c r="S1523" s="28">
        <v>0.9</v>
      </c>
      <c r="T1523" s="26">
        <v>0</v>
      </c>
      <c r="U1523" s="26">
        <v>0</v>
      </c>
      <c r="V1523" s="26">
        <v>0</v>
      </c>
      <c r="W1523" s="26">
        <v>0</v>
      </c>
      <c r="X1523" s="28">
        <v>0.92</v>
      </c>
      <c r="Y1523" s="28">
        <v>0</v>
      </c>
      <c r="Z1523" s="28">
        <v>0</v>
      </c>
      <c r="AA1523" s="28">
        <v>0</v>
      </c>
      <c r="AB1523" s="28">
        <v>0</v>
      </c>
      <c r="AC1523" s="28">
        <v>0.92</v>
      </c>
      <c r="AD1523" s="26">
        <v>1</v>
      </c>
      <c r="AE1523" s="26">
        <v>1</v>
      </c>
      <c r="AF1523" s="26">
        <v>1</v>
      </c>
      <c r="AG1523" s="26">
        <v>0.99529964747356048</v>
      </c>
      <c r="AH1523" s="28">
        <v>0.92</v>
      </c>
      <c r="AI1523" s="26">
        <v>0</v>
      </c>
      <c r="AJ1523" s="26">
        <v>0</v>
      </c>
      <c r="AK1523" s="26">
        <v>0</v>
      </c>
      <c r="AL1523" s="26">
        <v>0</v>
      </c>
      <c r="AM1523" s="25">
        <v>0.99</v>
      </c>
      <c r="AN1523" s="30">
        <v>0</v>
      </c>
      <c r="AO1523" s="30">
        <v>0</v>
      </c>
      <c r="AP1523" s="30">
        <v>0</v>
      </c>
      <c r="AQ1523" s="30">
        <v>1</v>
      </c>
      <c r="AR1523" s="50">
        <v>0.110069253262963</v>
      </c>
      <c r="AS1523" s="34">
        <v>0</v>
      </c>
      <c r="AT1523" s="34">
        <v>0</v>
      </c>
      <c r="AU1523" s="34">
        <v>0</v>
      </c>
      <c r="AV1523" s="34">
        <v>0</v>
      </c>
      <c r="AW1523" s="10"/>
      <c r="AX1523" s="8"/>
    </row>
    <row r="1524" spans="1:50">
      <c r="A1524" s="7"/>
      <c r="B1524" s="10"/>
      <c r="C1524" s="45" t="s">
        <v>1468</v>
      </c>
      <c r="D1524" s="23" t="s">
        <v>27</v>
      </c>
      <c r="E1524" s="61" t="s">
        <v>1568</v>
      </c>
      <c r="F1524" s="61" t="s">
        <v>1568</v>
      </c>
      <c r="G1524" s="61" t="s">
        <v>1568</v>
      </c>
      <c r="H1524" s="61" t="s">
        <v>1568</v>
      </c>
      <c r="I1524" s="25">
        <v>0.9</v>
      </c>
      <c r="J1524" s="26">
        <v>0.95744680851063835</v>
      </c>
      <c r="K1524" s="26">
        <v>1</v>
      </c>
      <c r="L1524" s="27">
        <v>1</v>
      </c>
      <c r="M1524" s="26">
        <v>0.994413407821229</v>
      </c>
      <c r="N1524" s="28">
        <v>0.9</v>
      </c>
      <c r="O1524" s="26">
        <v>0.99409979770735002</v>
      </c>
      <c r="P1524" s="26">
        <v>0.99838904550946439</v>
      </c>
      <c r="Q1524" s="26">
        <v>0.99757634512845372</v>
      </c>
      <c r="R1524" s="26">
        <v>0.99142145341731691</v>
      </c>
      <c r="S1524" s="28">
        <v>0.9</v>
      </c>
      <c r="T1524" s="26">
        <v>0.92717464598786248</v>
      </c>
      <c r="U1524" s="26">
        <v>0.93717277486910999</v>
      </c>
      <c r="V1524" s="26">
        <v>0.95225399903053809</v>
      </c>
      <c r="W1524" s="26">
        <v>0.94098430008461031</v>
      </c>
      <c r="X1524" s="28">
        <v>0.92</v>
      </c>
      <c r="Y1524" s="28">
        <v>0</v>
      </c>
      <c r="Z1524" s="28">
        <v>0</v>
      </c>
      <c r="AA1524" s="28">
        <v>0</v>
      </c>
      <c r="AB1524" s="28">
        <v>0</v>
      </c>
      <c r="AC1524" s="28">
        <v>0.92</v>
      </c>
      <c r="AD1524" s="26">
        <v>0.95154185022026427</v>
      </c>
      <c r="AE1524" s="26">
        <v>0.98039215686274506</v>
      </c>
      <c r="AF1524" s="26">
        <v>1</v>
      </c>
      <c r="AG1524" s="26">
        <v>0.9869565217391304</v>
      </c>
      <c r="AH1524" s="28">
        <v>0.92</v>
      </c>
      <c r="AI1524" s="26">
        <v>0.96797033041132841</v>
      </c>
      <c r="AJ1524" s="26">
        <v>0.97765250654318503</v>
      </c>
      <c r="AK1524" s="26">
        <v>0.98836645661657785</v>
      </c>
      <c r="AL1524" s="26">
        <v>0.97990599294947123</v>
      </c>
      <c r="AM1524" s="25">
        <v>0.99</v>
      </c>
      <c r="AN1524" s="30">
        <v>1</v>
      </c>
      <c r="AO1524" s="30">
        <v>1</v>
      </c>
      <c r="AP1524" s="30">
        <v>1</v>
      </c>
      <c r="AQ1524" s="30">
        <v>1</v>
      </c>
      <c r="AR1524" s="50">
        <v>0.110069253262963</v>
      </c>
      <c r="AS1524" s="34">
        <v>0.1</v>
      </c>
      <c r="AT1524" s="34">
        <v>9.3023255813953487E-2</v>
      </c>
      <c r="AU1524" s="34">
        <v>0.19444444444444445</v>
      </c>
      <c r="AV1524" s="34">
        <v>9.6952908587257622E-2</v>
      </c>
      <c r="AW1524" s="10"/>
      <c r="AX1524" s="8"/>
    </row>
    <row r="1525" spans="1:50">
      <c r="A1525" s="7"/>
      <c r="B1525" s="10"/>
      <c r="C1525" s="45" t="s">
        <v>1468</v>
      </c>
      <c r="D1525" s="23" t="s">
        <v>27</v>
      </c>
      <c r="E1525" s="61" t="s">
        <v>1569</v>
      </c>
      <c r="F1525" s="61" t="s">
        <v>1569</v>
      </c>
      <c r="G1525" s="61" t="s">
        <v>1569</v>
      </c>
      <c r="H1525" s="61" t="s">
        <v>1569</v>
      </c>
      <c r="I1525" s="25">
        <v>0.9</v>
      </c>
      <c r="J1525" s="26">
        <v>0.94444444444444442</v>
      </c>
      <c r="K1525" s="26">
        <v>0.79166666666666663</v>
      </c>
      <c r="L1525" s="27">
        <v>0.96296296296296291</v>
      </c>
      <c r="M1525" s="26">
        <v>0.93103448275862066</v>
      </c>
      <c r="N1525" s="28">
        <v>0.9</v>
      </c>
      <c r="O1525" s="26">
        <v>0.86857591212240093</v>
      </c>
      <c r="P1525" s="26">
        <v>0.94992980814225547</v>
      </c>
      <c r="Q1525" s="26">
        <v>0.89206534422403738</v>
      </c>
      <c r="R1525" s="26">
        <v>0.84593055710617393</v>
      </c>
      <c r="S1525" s="28">
        <v>0.9</v>
      </c>
      <c r="T1525" s="26">
        <v>0.7826598666143586</v>
      </c>
      <c r="U1525" s="26">
        <v>0.86757136172204019</v>
      </c>
      <c r="V1525" s="26">
        <v>0.76487747957993002</v>
      </c>
      <c r="W1525" s="26">
        <v>0.760522496371553</v>
      </c>
      <c r="X1525" s="28">
        <v>0.92</v>
      </c>
      <c r="Y1525" s="28">
        <v>0</v>
      </c>
      <c r="Z1525" s="28">
        <v>0</v>
      </c>
      <c r="AA1525" s="28">
        <v>0</v>
      </c>
      <c r="AB1525" s="28">
        <v>0</v>
      </c>
      <c r="AC1525" s="28">
        <v>0.92</v>
      </c>
      <c r="AD1525" s="26">
        <v>0.99481865284974091</v>
      </c>
      <c r="AE1525" s="26">
        <v>1</v>
      </c>
      <c r="AF1525" s="26">
        <v>1</v>
      </c>
      <c r="AG1525" s="26">
        <v>0.99286733238231095</v>
      </c>
      <c r="AH1525" s="28">
        <v>0.92</v>
      </c>
      <c r="AI1525" s="26">
        <v>0.87171439780306004</v>
      </c>
      <c r="AJ1525" s="26">
        <v>0.91810949929808139</v>
      </c>
      <c r="AK1525" s="26">
        <v>0.92415402567094518</v>
      </c>
      <c r="AL1525" s="26">
        <v>0.86440772580104941</v>
      </c>
      <c r="AM1525" s="25">
        <v>0.99</v>
      </c>
      <c r="AN1525" s="30">
        <v>1</v>
      </c>
      <c r="AO1525" s="30">
        <v>1</v>
      </c>
      <c r="AP1525" s="30">
        <v>1</v>
      </c>
      <c r="AQ1525" s="30">
        <v>1</v>
      </c>
      <c r="AR1525" s="50">
        <v>0.110069253262963</v>
      </c>
      <c r="AS1525" s="34">
        <v>6.6666666666666666E-2</v>
      </c>
      <c r="AT1525" s="34">
        <v>8.3333333333333329E-2</v>
      </c>
      <c r="AU1525" s="34">
        <v>0.16666666666666666</v>
      </c>
      <c r="AV1525" s="34">
        <v>6.25E-2</v>
      </c>
      <c r="AW1525" s="10"/>
      <c r="AX1525" s="8"/>
    </row>
    <row r="1526" spans="1:50">
      <c r="A1526" s="7"/>
      <c r="B1526" s="10"/>
      <c r="C1526" s="45" t="s">
        <v>1468</v>
      </c>
      <c r="D1526" s="23" t="s">
        <v>27</v>
      </c>
      <c r="E1526" s="61" t="s">
        <v>1570</v>
      </c>
      <c r="F1526" s="61" t="s">
        <v>1570</v>
      </c>
      <c r="G1526" s="61" t="s">
        <v>1570</v>
      </c>
      <c r="H1526" s="61" t="s">
        <v>1570</v>
      </c>
      <c r="I1526" s="25">
        <v>0.9</v>
      </c>
      <c r="J1526" s="26">
        <v>1</v>
      </c>
      <c r="K1526" s="26">
        <v>0.97499999999999998</v>
      </c>
      <c r="L1526" s="27">
        <v>0.97297297297297303</v>
      </c>
      <c r="M1526" s="26">
        <v>0.98726114649681529</v>
      </c>
      <c r="N1526" s="28">
        <v>0.9</v>
      </c>
      <c r="O1526" s="26">
        <v>0.99026708918062467</v>
      </c>
      <c r="P1526" s="26">
        <v>0.9885057471264368</v>
      </c>
      <c r="Q1526" s="26">
        <v>0.96418816388467377</v>
      </c>
      <c r="R1526" s="26">
        <v>0.97457179271969907</v>
      </c>
      <c r="S1526" s="28">
        <v>0.9</v>
      </c>
      <c r="T1526" s="26">
        <v>0.95744680851063835</v>
      </c>
      <c r="U1526" s="26">
        <v>0.95258620689655171</v>
      </c>
      <c r="V1526" s="26">
        <v>0.94446130500758729</v>
      </c>
      <c r="W1526" s="26">
        <v>0.95010724610649999</v>
      </c>
      <c r="X1526" s="28">
        <v>0.92</v>
      </c>
      <c r="Y1526" s="28">
        <v>0</v>
      </c>
      <c r="Z1526" s="28">
        <v>0</v>
      </c>
      <c r="AA1526" s="28">
        <v>0</v>
      </c>
      <c r="AB1526" s="28">
        <v>0</v>
      </c>
      <c r="AC1526" s="28">
        <v>0.92</v>
      </c>
      <c r="AD1526" s="26">
        <v>0.98089171974522293</v>
      </c>
      <c r="AE1526" s="26">
        <v>1</v>
      </c>
      <c r="AF1526" s="26">
        <v>0.99019607843137258</v>
      </c>
      <c r="AG1526" s="26">
        <v>0.96656716417910449</v>
      </c>
      <c r="AH1526" s="28">
        <v>0.92</v>
      </c>
      <c r="AI1526" s="26">
        <v>0.98325412989364114</v>
      </c>
      <c r="AJ1526" s="26">
        <v>0.98419540229885061</v>
      </c>
      <c r="AK1526" s="26">
        <v>0.98725341426403646</v>
      </c>
      <c r="AL1526" s="26">
        <v>0.98551535496705212</v>
      </c>
      <c r="AM1526" s="25">
        <v>0.99</v>
      </c>
      <c r="AN1526" s="30">
        <v>1</v>
      </c>
      <c r="AO1526" s="30">
        <v>1</v>
      </c>
      <c r="AP1526" s="30">
        <v>1</v>
      </c>
      <c r="AQ1526" s="30">
        <v>1</v>
      </c>
      <c r="AR1526" s="50">
        <v>0.110069253262963</v>
      </c>
      <c r="AS1526" s="34">
        <v>0</v>
      </c>
      <c r="AT1526" s="34">
        <v>0</v>
      </c>
      <c r="AU1526" s="34">
        <v>5.8823529411764705E-2</v>
      </c>
      <c r="AV1526" s="34">
        <v>5.7803468208092484E-2</v>
      </c>
      <c r="AW1526" s="10"/>
      <c r="AX1526" s="8"/>
    </row>
    <row r="1527" spans="1:50">
      <c r="A1527" s="7"/>
      <c r="B1527" s="10"/>
      <c r="C1527" s="45" t="s">
        <v>1468</v>
      </c>
      <c r="D1527" s="23" t="s">
        <v>27</v>
      </c>
      <c r="E1527" s="61" t="s">
        <v>1571</v>
      </c>
      <c r="F1527" s="61" t="s">
        <v>1571</v>
      </c>
      <c r="G1527" s="61" t="s">
        <v>1571</v>
      </c>
      <c r="H1527" s="61" t="s">
        <v>1571</v>
      </c>
      <c r="I1527" s="25">
        <v>0.9</v>
      </c>
      <c r="J1527" s="26">
        <v>0.97142857142857142</v>
      </c>
      <c r="K1527" s="26">
        <v>0.90243902439024393</v>
      </c>
      <c r="L1527" s="27">
        <v>1</v>
      </c>
      <c r="M1527" s="26">
        <v>0.95744680851063835</v>
      </c>
      <c r="N1527" s="28">
        <v>0.9</v>
      </c>
      <c r="O1527" s="26">
        <v>0.94855532064834391</v>
      </c>
      <c r="P1527" s="26">
        <v>0.94540585084466422</v>
      </c>
      <c r="Q1527" s="26">
        <v>0.93987096774193546</v>
      </c>
      <c r="R1527" s="26">
        <v>0.93692749951276555</v>
      </c>
      <c r="S1527" s="28">
        <v>0.9</v>
      </c>
      <c r="T1527" s="26">
        <v>0.87579281183932345</v>
      </c>
      <c r="U1527" s="26">
        <v>0.89699217140502674</v>
      </c>
      <c r="V1527" s="26">
        <v>0.8949677419354839</v>
      </c>
      <c r="W1527" s="26">
        <v>0.88389202884427986</v>
      </c>
      <c r="X1527" s="28">
        <v>0.92</v>
      </c>
      <c r="Y1527" s="28">
        <v>0</v>
      </c>
      <c r="Z1527" s="28">
        <v>0</v>
      </c>
      <c r="AA1527" s="28">
        <v>0</v>
      </c>
      <c r="AB1527" s="28">
        <v>0</v>
      </c>
      <c r="AC1527" s="28">
        <v>0.92</v>
      </c>
      <c r="AD1527" s="26">
        <v>0.97701149425287359</v>
      </c>
      <c r="AE1527" s="26">
        <v>1</v>
      </c>
      <c r="AF1527" s="26">
        <v>1</v>
      </c>
      <c r="AG1527" s="26">
        <v>0.98738298738298735</v>
      </c>
      <c r="AH1527" s="28">
        <v>0.92</v>
      </c>
      <c r="AI1527" s="26">
        <v>0.93357998590556734</v>
      </c>
      <c r="AJ1527" s="26">
        <v>0.95674562306900102</v>
      </c>
      <c r="AK1527" s="26">
        <v>0.96180645161290323</v>
      </c>
      <c r="AL1527" s="26">
        <v>0.96104655411824891</v>
      </c>
      <c r="AM1527" s="25">
        <v>0.99</v>
      </c>
      <c r="AN1527" s="30">
        <v>1</v>
      </c>
      <c r="AO1527" s="30">
        <v>1</v>
      </c>
      <c r="AP1527" s="30">
        <v>1</v>
      </c>
      <c r="AQ1527" s="30">
        <v>1</v>
      </c>
      <c r="AR1527" s="50">
        <v>0.110069253262963</v>
      </c>
      <c r="AS1527" s="34">
        <v>0.10810810810810811</v>
      </c>
      <c r="AT1527" s="34">
        <v>6.0606060606060608E-2</v>
      </c>
      <c r="AU1527" s="34">
        <v>5.8823529411764705E-2</v>
      </c>
      <c r="AV1527" s="34">
        <v>8.0769230769230774E-2</v>
      </c>
      <c r="AW1527" s="10"/>
      <c r="AX1527" s="8"/>
    </row>
    <row r="1528" spans="1:50">
      <c r="A1528" s="7"/>
      <c r="B1528" s="10"/>
      <c r="C1528" s="45" t="s">
        <v>1468</v>
      </c>
      <c r="D1528" s="23" t="s">
        <v>27</v>
      </c>
      <c r="E1528" s="61" t="s">
        <v>1572</v>
      </c>
      <c r="F1528" s="61" t="s">
        <v>1572</v>
      </c>
      <c r="G1528" s="61" t="s">
        <v>1572</v>
      </c>
      <c r="H1528" s="61" t="s">
        <v>1572</v>
      </c>
      <c r="I1528" s="25">
        <v>0.9</v>
      </c>
      <c r="J1528" s="26">
        <v>0.94736842105263153</v>
      </c>
      <c r="K1528" s="26">
        <v>0.95</v>
      </c>
      <c r="L1528" s="27">
        <v>0.94736842105263153</v>
      </c>
      <c r="M1528" s="26">
        <v>0.95364238410596025</v>
      </c>
      <c r="N1528" s="28">
        <v>0.9</v>
      </c>
      <c r="O1528" s="26">
        <v>0.99372925119881961</v>
      </c>
      <c r="P1528" s="26">
        <v>0.99908088235294112</v>
      </c>
      <c r="Q1528" s="26">
        <v>0.99396499698249852</v>
      </c>
      <c r="R1528" s="26">
        <v>0.98659354052407067</v>
      </c>
      <c r="S1528" s="28">
        <v>0.9</v>
      </c>
      <c r="T1528" s="26">
        <v>0.93323496864625599</v>
      </c>
      <c r="U1528" s="26">
        <v>0.94761029411764708</v>
      </c>
      <c r="V1528" s="26">
        <v>0.94387447193723595</v>
      </c>
      <c r="W1528" s="26">
        <v>0.92532269680350121</v>
      </c>
      <c r="X1528" s="28">
        <v>0.92</v>
      </c>
      <c r="Y1528" s="28">
        <v>0</v>
      </c>
      <c r="Z1528" s="28">
        <v>0</v>
      </c>
      <c r="AA1528" s="28">
        <v>0</v>
      </c>
      <c r="AB1528" s="28">
        <v>0</v>
      </c>
      <c r="AC1528" s="28">
        <v>0.92</v>
      </c>
      <c r="AD1528" s="26">
        <v>0.97872340425531912</v>
      </c>
      <c r="AE1528" s="26">
        <v>0.9907407407407407</v>
      </c>
      <c r="AF1528" s="26">
        <v>1</v>
      </c>
      <c r="AG1528" s="26">
        <v>0.99625935162094759</v>
      </c>
      <c r="AH1528" s="28">
        <v>0.92</v>
      </c>
      <c r="AI1528" s="26">
        <v>0.96827738841755806</v>
      </c>
      <c r="AJ1528" s="26">
        <v>0.984375</v>
      </c>
      <c r="AK1528" s="26">
        <v>0.97887748943874475</v>
      </c>
      <c r="AL1528" s="26">
        <v>0.97689878677081599</v>
      </c>
      <c r="AM1528" s="25">
        <v>0.99</v>
      </c>
      <c r="AN1528" s="30">
        <v>1</v>
      </c>
      <c r="AO1528" s="30">
        <v>1</v>
      </c>
      <c r="AP1528" s="30">
        <v>1</v>
      </c>
      <c r="AQ1528" s="30">
        <v>1</v>
      </c>
      <c r="AR1528" s="50">
        <v>0.110069253262963</v>
      </c>
      <c r="AS1528" s="34">
        <v>0.16666666666666666</v>
      </c>
      <c r="AT1528" s="34">
        <v>4.1666666666666664E-2</v>
      </c>
      <c r="AU1528" s="34">
        <v>0.33333333333333331</v>
      </c>
      <c r="AV1528" s="34">
        <v>0.1554054054054054</v>
      </c>
      <c r="AW1528" s="10"/>
      <c r="AX1528" s="8"/>
    </row>
    <row r="1529" spans="1:50">
      <c r="A1529" s="7"/>
      <c r="B1529" s="10"/>
      <c r="C1529" s="45" t="s">
        <v>1468</v>
      </c>
      <c r="D1529" s="23" t="s">
        <v>27</v>
      </c>
      <c r="E1529" s="61" t="s">
        <v>1573</v>
      </c>
      <c r="F1529" s="61" t="s">
        <v>1573</v>
      </c>
      <c r="G1529" s="61" t="s">
        <v>1573</v>
      </c>
      <c r="H1529" s="61" t="s">
        <v>1573</v>
      </c>
      <c r="I1529" s="25">
        <v>0.9</v>
      </c>
      <c r="J1529" s="26">
        <v>0.9</v>
      </c>
      <c r="K1529" s="26">
        <v>0.91304347826086951</v>
      </c>
      <c r="L1529" s="27">
        <v>0.90909090909090906</v>
      </c>
      <c r="M1529" s="26">
        <v>0.9044943820224719</v>
      </c>
      <c r="N1529" s="28">
        <v>0.9</v>
      </c>
      <c r="O1529" s="26">
        <v>0.96160635481023826</v>
      </c>
      <c r="P1529" s="26">
        <v>0.92563702548101923</v>
      </c>
      <c r="Q1529" s="26">
        <v>0.97103918228279384</v>
      </c>
      <c r="R1529" s="26">
        <v>0.93351511283866107</v>
      </c>
      <c r="S1529" s="28">
        <v>0.9</v>
      </c>
      <c r="T1529" s="26">
        <v>0.92762577228596643</v>
      </c>
      <c r="U1529" s="26">
        <v>0.90743629745189802</v>
      </c>
      <c r="V1529" s="26">
        <v>0.94491766042021574</v>
      </c>
      <c r="W1529" s="26">
        <v>0.92730753611417305</v>
      </c>
      <c r="X1529" s="28">
        <v>0.92</v>
      </c>
      <c r="Y1529" s="28">
        <v>0</v>
      </c>
      <c r="Z1529" s="28">
        <v>0</v>
      </c>
      <c r="AA1529" s="28">
        <v>0</v>
      </c>
      <c r="AB1529" s="28">
        <v>0</v>
      </c>
      <c r="AC1529" s="28">
        <v>0.92</v>
      </c>
      <c r="AD1529" s="26">
        <v>1</v>
      </c>
      <c r="AE1529" s="26">
        <v>0.99705014749262533</v>
      </c>
      <c r="AF1529" s="26">
        <v>0.99696969696969695</v>
      </c>
      <c r="AG1529" s="26">
        <v>0.98341131433432583</v>
      </c>
      <c r="AH1529" s="28">
        <v>0.92</v>
      </c>
      <c r="AI1529" s="26">
        <v>0.95366284201235663</v>
      </c>
      <c r="AJ1529" s="26">
        <v>0.95371814872594907</v>
      </c>
      <c r="AK1529" s="26">
        <v>0.97331061896649629</v>
      </c>
      <c r="AL1529" s="26">
        <v>0.96530718802575854</v>
      </c>
      <c r="AM1529" s="25">
        <v>0.99</v>
      </c>
      <c r="AN1529" s="30">
        <v>1</v>
      </c>
      <c r="AO1529" s="30">
        <v>1</v>
      </c>
      <c r="AP1529" s="30">
        <v>1</v>
      </c>
      <c r="AQ1529" s="30">
        <v>1</v>
      </c>
      <c r="AR1529" s="50">
        <v>0.110069253262963</v>
      </c>
      <c r="AS1529" s="34">
        <v>0.125</v>
      </c>
      <c r="AT1529" s="34">
        <v>0.2</v>
      </c>
      <c r="AU1529" s="34">
        <v>0.23076923076923078</v>
      </c>
      <c r="AV1529" s="34">
        <v>0.14569536423841059</v>
      </c>
      <c r="AW1529" s="10"/>
      <c r="AX1529" s="8"/>
    </row>
    <row r="1530" spans="1:50">
      <c r="A1530" s="7"/>
      <c r="B1530" s="10"/>
      <c r="C1530" s="45" t="s">
        <v>1468</v>
      </c>
      <c r="D1530" s="23" t="s">
        <v>27</v>
      </c>
      <c r="E1530" s="61" t="s">
        <v>1574</v>
      </c>
      <c r="F1530" s="61" t="s">
        <v>1574</v>
      </c>
      <c r="G1530" s="61" t="s">
        <v>1574</v>
      </c>
      <c r="H1530" s="61" t="s">
        <v>1574</v>
      </c>
      <c r="I1530" s="25">
        <v>0.9</v>
      </c>
      <c r="J1530" s="26">
        <v>1</v>
      </c>
      <c r="K1530" s="26">
        <v>0.96153846153846156</v>
      </c>
      <c r="L1530" s="27">
        <v>0.875</v>
      </c>
      <c r="M1530" s="26">
        <v>0.9538461538461539</v>
      </c>
      <c r="N1530" s="28">
        <v>0.9</v>
      </c>
      <c r="O1530" s="26">
        <v>0.98588788710309683</v>
      </c>
      <c r="P1530" s="26">
        <v>0.99262174126906055</v>
      </c>
      <c r="Q1530" s="26">
        <v>0.98797250859106533</v>
      </c>
      <c r="R1530" s="26">
        <v>0.97881428327353492</v>
      </c>
      <c r="S1530" s="28">
        <v>0.9</v>
      </c>
      <c r="T1530" s="26">
        <v>0.92081536652293217</v>
      </c>
      <c r="U1530" s="26">
        <v>0.91588785046728971</v>
      </c>
      <c r="V1530" s="26">
        <v>0.92840778923253153</v>
      </c>
      <c r="W1530" s="26">
        <v>0.92089526738424743</v>
      </c>
      <c r="X1530" s="28">
        <v>0.92</v>
      </c>
      <c r="Y1530" s="28">
        <v>0</v>
      </c>
      <c r="Z1530" s="28">
        <v>0</v>
      </c>
      <c r="AA1530" s="28">
        <v>0</v>
      </c>
      <c r="AB1530" s="28">
        <v>0</v>
      </c>
      <c r="AC1530" s="28">
        <v>0.92</v>
      </c>
      <c r="AD1530" s="26">
        <v>0.38461538461538464</v>
      </c>
      <c r="AE1530" s="26">
        <v>0.7567567567567568</v>
      </c>
      <c r="AF1530" s="26">
        <v>0.68965517241379315</v>
      </c>
      <c r="AG1530" s="26">
        <v>0.75265017667844525</v>
      </c>
      <c r="AH1530" s="28">
        <v>0.92</v>
      </c>
      <c r="AI1530" s="26">
        <v>0.9713837710701686</v>
      </c>
      <c r="AJ1530" s="26">
        <v>0.97343826856861781</v>
      </c>
      <c r="AK1530" s="26">
        <v>0.9702176403207331</v>
      </c>
      <c r="AL1530" s="26">
        <v>0.97283444387493589</v>
      </c>
      <c r="AM1530" s="25">
        <v>0.99</v>
      </c>
      <c r="AN1530" s="30">
        <v>1</v>
      </c>
      <c r="AO1530" s="30">
        <v>1</v>
      </c>
      <c r="AP1530" s="30">
        <v>1</v>
      </c>
      <c r="AQ1530" s="30">
        <v>1</v>
      </c>
      <c r="AR1530" s="50">
        <v>0.110069253262963</v>
      </c>
      <c r="AS1530" s="34">
        <v>9.0909090909090912E-2</v>
      </c>
      <c r="AT1530" s="34">
        <v>6.25E-2</v>
      </c>
      <c r="AU1530" s="34">
        <v>7.1428571428571425E-2</v>
      </c>
      <c r="AV1530" s="34">
        <v>8.4905660377358486E-2</v>
      </c>
      <c r="AW1530" s="10"/>
      <c r="AX1530" s="8"/>
    </row>
    <row r="1531" spans="1:50">
      <c r="A1531" s="7"/>
      <c r="B1531" s="10"/>
      <c r="C1531" s="45" t="s">
        <v>1468</v>
      </c>
      <c r="D1531" s="23" t="s">
        <v>27</v>
      </c>
      <c r="E1531" s="61" t="s">
        <v>1575</v>
      </c>
      <c r="F1531" s="61" t="s">
        <v>1575</v>
      </c>
      <c r="G1531" s="61" t="s">
        <v>1575</v>
      </c>
      <c r="H1531" s="61" t="s">
        <v>1575</v>
      </c>
      <c r="I1531" s="25">
        <v>0.9</v>
      </c>
      <c r="J1531" s="26">
        <v>0.96875</v>
      </c>
      <c r="K1531" s="26">
        <v>1</v>
      </c>
      <c r="L1531" s="27">
        <v>1</v>
      </c>
      <c r="M1531" s="26">
        <v>0.98859315589353614</v>
      </c>
      <c r="N1531" s="28">
        <v>0.9</v>
      </c>
      <c r="O1531" s="26">
        <v>0.98668233450842147</v>
      </c>
      <c r="P1531" s="26">
        <v>0.97820163487738421</v>
      </c>
      <c r="Q1531" s="26">
        <v>0.97365532381997799</v>
      </c>
      <c r="R1531" s="26">
        <v>0.96380973019828797</v>
      </c>
      <c r="S1531" s="28">
        <v>0.9</v>
      </c>
      <c r="T1531" s="26">
        <v>0.93458676067371715</v>
      </c>
      <c r="U1531" s="26">
        <v>0.90871934604904636</v>
      </c>
      <c r="V1531" s="26">
        <v>0.88583973655323822</v>
      </c>
      <c r="W1531" s="26">
        <v>0.91992631921118218</v>
      </c>
      <c r="X1531" s="28">
        <v>0.92</v>
      </c>
      <c r="Y1531" s="28">
        <v>0</v>
      </c>
      <c r="Z1531" s="28">
        <v>0</v>
      </c>
      <c r="AA1531" s="28">
        <v>0</v>
      </c>
      <c r="AB1531" s="28">
        <v>0</v>
      </c>
      <c r="AC1531" s="28">
        <v>0.92</v>
      </c>
      <c r="AD1531" s="26">
        <v>0.88599348534201949</v>
      </c>
      <c r="AE1531" s="26">
        <v>0.86346863468634683</v>
      </c>
      <c r="AF1531" s="26">
        <v>0.97377049180327868</v>
      </c>
      <c r="AG1531" s="26">
        <v>0.94793926247288507</v>
      </c>
      <c r="AH1531" s="28">
        <v>0.92</v>
      </c>
      <c r="AI1531" s="26">
        <v>0.95926361143752448</v>
      </c>
      <c r="AJ1531" s="26">
        <v>0.97002724795640327</v>
      </c>
      <c r="AK1531" s="26">
        <v>0.94456641053787049</v>
      </c>
      <c r="AL1531" s="26">
        <v>0.95779607758153651</v>
      </c>
      <c r="AM1531" s="25">
        <v>0.99</v>
      </c>
      <c r="AN1531" s="30">
        <v>1</v>
      </c>
      <c r="AO1531" s="30">
        <v>0</v>
      </c>
      <c r="AP1531" s="30">
        <v>1</v>
      </c>
      <c r="AQ1531" s="30">
        <v>1</v>
      </c>
      <c r="AR1531" s="50">
        <v>0.110069253262963</v>
      </c>
      <c r="AS1531" s="34">
        <v>6.6666666666666666E-2</v>
      </c>
      <c r="AT1531" s="34">
        <v>3.8461538461538464E-2</v>
      </c>
      <c r="AU1531" s="34">
        <v>0</v>
      </c>
      <c r="AV1531" s="34">
        <v>6.25E-2</v>
      </c>
      <c r="AW1531" s="10"/>
      <c r="AX1531" s="8"/>
    </row>
    <row r="1532" spans="1:50">
      <c r="A1532" s="7"/>
      <c r="B1532" s="10"/>
      <c r="C1532" s="45" t="s">
        <v>1468</v>
      </c>
      <c r="D1532" s="23" t="s">
        <v>27</v>
      </c>
      <c r="E1532" s="61" t="s">
        <v>1576</v>
      </c>
      <c r="F1532" s="61" t="s">
        <v>1576</v>
      </c>
      <c r="G1532" s="61" t="s">
        <v>1576</v>
      </c>
      <c r="H1532" s="61" t="s">
        <v>1576</v>
      </c>
      <c r="I1532" s="25">
        <v>0.9</v>
      </c>
      <c r="J1532" s="26">
        <v>0</v>
      </c>
      <c r="K1532" s="26">
        <v>0</v>
      </c>
      <c r="L1532" s="27">
        <v>0</v>
      </c>
      <c r="M1532" s="26">
        <v>0</v>
      </c>
      <c r="N1532" s="28">
        <v>0.9</v>
      </c>
      <c r="O1532" s="26">
        <v>0</v>
      </c>
      <c r="P1532" s="26">
        <v>0</v>
      </c>
      <c r="Q1532" s="26">
        <v>0</v>
      </c>
      <c r="R1532" s="26">
        <v>0</v>
      </c>
      <c r="S1532" s="28">
        <v>0.9</v>
      </c>
      <c r="T1532" s="26">
        <v>0</v>
      </c>
      <c r="U1532" s="26">
        <v>0</v>
      </c>
      <c r="V1532" s="26">
        <v>0</v>
      </c>
      <c r="W1532" s="26">
        <v>0</v>
      </c>
      <c r="X1532" s="28">
        <v>0.92</v>
      </c>
      <c r="Y1532" s="28">
        <v>0</v>
      </c>
      <c r="Z1532" s="28">
        <v>0</v>
      </c>
      <c r="AA1532" s="28">
        <v>0</v>
      </c>
      <c r="AB1532" s="28">
        <v>0</v>
      </c>
      <c r="AC1532" s="28">
        <v>0.92</v>
      </c>
      <c r="AD1532" s="26">
        <v>0.9916666666666667</v>
      </c>
      <c r="AE1532" s="26">
        <v>0.99358974358974361</v>
      </c>
      <c r="AF1532" s="26">
        <v>0.99386503067484666</v>
      </c>
      <c r="AG1532" s="26">
        <v>0.98456260720411659</v>
      </c>
      <c r="AH1532" s="28">
        <v>0.92</v>
      </c>
      <c r="AI1532" s="26">
        <v>0</v>
      </c>
      <c r="AJ1532" s="26">
        <v>0</v>
      </c>
      <c r="AK1532" s="26">
        <v>0</v>
      </c>
      <c r="AL1532" s="26">
        <v>0</v>
      </c>
      <c r="AM1532" s="25">
        <v>0.99</v>
      </c>
      <c r="AN1532" s="30">
        <v>0</v>
      </c>
      <c r="AO1532" s="30">
        <v>0</v>
      </c>
      <c r="AP1532" s="30">
        <v>0</v>
      </c>
      <c r="AQ1532" s="30">
        <v>1</v>
      </c>
      <c r="AR1532" s="50">
        <v>0.110069253262963</v>
      </c>
      <c r="AS1532" s="34">
        <v>0</v>
      </c>
      <c r="AT1532" s="34">
        <v>0</v>
      </c>
      <c r="AU1532" s="34">
        <v>0</v>
      </c>
      <c r="AV1532" s="34">
        <v>0</v>
      </c>
      <c r="AW1532" s="10"/>
      <c r="AX1532" s="8"/>
    </row>
    <row r="1533" spans="1:50">
      <c r="A1533" s="7"/>
      <c r="B1533" s="10"/>
      <c r="C1533" s="45" t="s">
        <v>1468</v>
      </c>
      <c r="D1533" s="23" t="s">
        <v>27</v>
      </c>
      <c r="E1533" s="61" t="s">
        <v>1577</v>
      </c>
      <c r="F1533" s="61" t="s">
        <v>1577</v>
      </c>
      <c r="G1533" s="61" t="s">
        <v>1577</v>
      </c>
      <c r="H1533" s="61" t="s">
        <v>1577</v>
      </c>
      <c r="I1533" s="25">
        <v>0.9</v>
      </c>
      <c r="J1533" s="26">
        <v>0.91935483870967738</v>
      </c>
      <c r="K1533" s="26">
        <v>0.96875</v>
      </c>
      <c r="L1533" s="27">
        <v>0.95588235294117652</v>
      </c>
      <c r="M1533" s="26">
        <v>0.9571150097465887</v>
      </c>
      <c r="N1533" s="28">
        <v>0.9</v>
      </c>
      <c r="O1533" s="26">
        <v>0.97134670487106012</v>
      </c>
      <c r="P1533" s="26">
        <v>0.982234559333796</v>
      </c>
      <c r="Q1533" s="26">
        <v>0.97884267631103072</v>
      </c>
      <c r="R1533" s="26">
        <v>0.96630152880152875</v>
      </c>
      <c r="S1533" s="28">
        <v>0.9</v>
      </c>
      <c r="T1533" s="26">
        <v>0.9063992359121299</v>
      </c>
      <c r="U1533" s="26">
        <v>0.91616932685634977</v>
      </c>
      <c r="V1533" s="26">
        <v>0.91971066907775767</v>
      </c>
      <c r="W1533" s="26">
        <v>0.90958572208572208</v>
      </c>
      <c r="X1533" s="28">
        <v>0.92</v>
      </c>
      <c r="Y1533" s="28">
        <v>0</v>
      </c>
      <c r="Z1533" s="28">
        <v>0</v>
      </c>
      <c r="AA1533" s="28">
        <v>0</v>
      </c>
      <c r="AB1533" s="28">
        <v>0</v>
      </c>
      <c r="AC1533" s="28">
        <v>0.92</v>
      </c>
      <c r="AD1533" s="26">
        <v>1</v>
      </c>
      <c r="AE1533" s="26">
        <v>0.99047619047619051</v>
      </c>
      <c r="AF1533" s="26">
        <v>0.98951048951048948</v>
      </c>
      <c r="AG1533" s="26">
        <v>0.9873693379790941</v>
      </c>
      <c r="AH1533" s="28">
        <v>0.92</v>
      </c>
      <c r="AI1533" s="26">
        <v>0.95774143488122243</v>
      </c>
      <c r="AJ1533" s="26">
        <v>0.96627342123525328</v>
      </c>
      <c r="AK1533" s="26">
        <v>0.96510576749231602</v>
      </c>
      <c r="AL1533" s="26">
        <v>0.96860603992492744</v>
      </c>
      <c r="AM1533" s="25">
        <v>0.99</v>
      </c>
      <c r="AN1533" s="30">
        <v>1</v>
      </c>
      <c r="AO1533" s="30">
        <v>1</v>
      </c>
      <c r="AP1533" s="30">
        <v>1</v>
      </c>
      <c r="AQ1533" s="30">
        <v>1</v>
      </c>
      <c r="AR1533" s="50">
        <v>0.110069253262963</v>
      </c>
      <c r="AS1533" s="34">
        <v>4.8387096774193547E-2</v>
      </c>
      <c r="AT1533" s="34">
        <v>3.5087719298245612E-2</v>
      </c>
      <c r="AU1533" s="34">
        <v>7.575757575757576E-2</v>
      </c>
      <c r="AV1533" s="34">
        <v>6.8441064638783272E-2</v>
      </c>
      <c r="AW1533" s="10"/>
      <c r="AX1533" s="8"/>
    </row>
    <row r="1534" spans="1:50">
      <c r="A1534" s="7"/>
      <c r="B1534" s="10"/>
      <c r="C1534" s="45" t="s">
        <v>1468</v>
      </c>
      <c r="D1534" s="23" t="s">
        <v>27</v>
      </c>
      <c r="E1534" s="61" t="s">
        <v>1578</v>
      </c>
      <c r="F1534" s="61" t="s">
        <v>1578</v>
      </c>
      <c r="G1534" s="61" t="s">
        <v>1578</v>
      </c>
      <c r="H1534" s="61" t="s">
        <v>1578</v>
      </c>
      <c r="I1534" s="25">
        <v>0.9</v>
      </c>
      <c r="J1534" s="26">
        <v>1</v>
      </c>
      <c r="K1534" s="26">
        <v>1</v>
      </c>
      <c r="L1534" s="27">
        <v>0.94117647058823528</v>
      </c>
      <c r="M1534" s="26">
        <v>0.97599999999999998</v>
      </c>
      <c r="N1534" s="28">
        <v>0.9</v>
      </c>
      <c r="O1534" s="26">
        <v>0.99485294117647061</v>
      </c>
      <c r="P1534" s="26">
        <v>0.9944598337950139</v>
      </c>
      <c r="Q1534" s="26">
        <v>0.99764150943396224</v>
      </c>
      <c r="R1534" s="26">
        <v>0.99415024630541871</v>
      </c>
      <c r="S1534" s="28">
        <v>0.9</v>
      </c>
      <c r="T1534" s="26">
        <v>0.93455882352941178</v>
      </c>
      <c r="U1534" s="26">
        <v>0.94829178208679599</v>
      </c>
      <c r="V1534" s="26">
        <v>0.96816037735849059</v>
      </c>
      <c r="W1534" s="26">
        <v>0.94314449917898191</v>
      </c>
      <c r="X1534" s="28">
        <v>0.92</v>
      </c>
      <c r="Y1534" s="28">
        <v>0</v>
      </c>
      <c r="Z1534" s="28">
        <v>0</v>
      </c>
      <c r="AA1534" s="28">
        <v>0</v>
      </c>
      <c r="AB1534" s="28">
        <v>0</v>
      </c>
      <c r="AC1534" s="28">
        <v>0.92</v>
      </c>
      <c r="AD1534" s="26">
        <v>1</v>
      </c>
      <c r="AE1534" s="26">
        <v>1</v>
      </c>
      <c r="AF1534" s="26">
        <v>1</v>
      </c>
      <c r="AG1534" s="26">
        <v>1</v>
      </c>
      <c r="AH1534" s="28">
        <v>0.92</v>
      </c>
      <c r="AI1534" s="26">
        <v>0.96985294117647058</v>
      </c>
      <c r="AJ1534" s="26">
        <v>0.9833795013850416</v>
      </c>
      <c r="AK1534" s="26">
        <v>0.99528301886792447</v>
      </c>
      <c r="AL1534" s="26">
        <v>0.98429802955665024</v>
      </c>
      <c r="AM1534" s="25">
        <v>0.99</v>
      </c>
      <c r="AN1534" s="30">
        <v>1</v>
      </c>
      <c r="AO1534" s="30">
        <v>1</v>
      </c>
      <c r="AP1534" s="30">
        <v>1</v>
      </c>
      <c r="AQ1534" s="30">
        <v>1</v>
      </c>
      <c r="AR1534" s="50">
        <v>0.110069253262963</v>
      </c>
      <c r="AS1534" s="34">
        <v>0</v>
      </c>
      <c r="AT1534" s="34">
        <v>0</v>
      </c>
      <c r="AU1534" s="34">
        <v>0.10714285714285714</v>
      </c>
      <c r="AV1534" s="34">
        <v>2.7149321266968326E-2</v>
      </c>
      <c r="AW1534" s="10"/>
      <c r="AX1534" s="8"/>
    </row>
    <row r="1535" spans="1:50">
      <c r="A1535" s="7"/>
      <c r="B1535" s="10"/>
      <c r="C1535" s="45" t="s">
        <v>1468</v>
      </c>
      <c r="D1535" s="23" t="s">
        <v>27</v>
      </c>
      <c r="E1535" s="61" t="s">
        <v>1579</v>
      </c>
      <c r="F1535" s="61" t="s">
        <v>1579</v>
      </c>
      <c r="G1535" s="61" t="s">
        <v>1579</v>
      </c>
      <c r="H1535" s="61" t="s">
        <v>1579</v>
      </c>
      <c r="I1535" s="25">
        <v>0.9</v>
      </c>
      <c r="J1535" s="26">
        <v>0.9</v>
      </c>
      <c r="K1535" s="26">
        <v>1</v>
      </c>
      <c r="L1535" s="27">
        <v>0.9</v>
      </c>
      <c r="M1535" s="26">
        <v>0.93670886075949367</v>
      </c>
      <c r="N1535" s="28">
        <v>0.9</v>
      </c>
      <c r="O1535" s="26">
        <v>0.99949799196787148</v>
      </c>
      <c r="P1535" s="26">
        <v>0.99608610567514677</v>
      </c>
      <c r="Q1535" s="26">
        <v>0.99908925318761388</v>
      </c>
      <c r="R1535" s="26">
        <v>0.96979073365361124</v>
      </c>
      <c r="S1535" s="28">
        <v>0.9</v>
      </c>
      <c r="T1535" s="26">
        <v>0.77961847389558236</v>
      </c>
      <c r="U1535" s="26">
        <v>0.75472928897586433</v>
      </c>
      <c r="V1535" s="26">
        <v>0.81056466302367947</v>
      </c>
      <c r="W1535" s="26">
        <v>0.78421952609722334</v>
      </c>
      <c r="X1535" s="28">
        <v>0.92</v>
      </c>
      <c r="Y1535" s="28">
        <v>0</v>
      </c>
      <c r="Z1535" s="28">
        <v>0</v>
      </c>
      <c r="AA1535" s="28">
        <v>0</v>
      </c>
      <c r="AB1535" s="28">
        <v>0</v>
      </c>
      <c r="AC1535" s="28">
        <v>0.92</v>
      </c>
      <c r="AD1535" s="26">
        <v>1</v>
      </c>
      <c r="AE1535" s="26">
        <v>0.98666666666666669</v>
      </c>
      <c r="AF1535" s="26">
        <v>1</v>
      </c>
      <c r="AG1535" s="26">
        <v>0.9971830985915493</v>
      </c>
      <c r="AH1535" s="28">
        <v>0.92</v>
      </c>
      <c r="AI1535" s="26">
        <v>0.87349397590361444</v>
      </c>
      <c r="AJ1535" s="26">
        <v>0.87410306588388775</v>
      </c>
      <c r="AK1535" s="26">
        <v>0.90619307832422591</v>
      </c>
      <c r="AL1535" s="26">
        <v>0.8948782672420813</v>
      </c>
      <c r="AM1535" s="25">
        <v>0.99</v>
      </c>
      <c r="AN1535" s="30">
        <v>1</v>
      </c>
      <c r="AO1535" s="30">
        <v>1</v>
      </c>
      <c r="AP1535" s="30">
        <v>1</v>
      </c>
      <c r="AQ1535" s="30">
        <v>1</v>
      </c>
      <c r="AR1535" s="50">
        <v>0.110069253262963</v>
      </c>
      <c r="AS1535" s="34">
        <v>0</v>
      </c>
      <c r="AT1535" s="34">
        <v>6.25E-2</v>
      </c>
      <c r="AU1535" s="34">
        <v>0</v>
      </c>
      <c r="AV1535" s="34">
        <v>6.6964285714285712E-2</v>
      </c>
      <c r="AW1535" s="10"/>
      <c r="AX1535" s="8"/>
    </row>
    <row r="1536" spans="1:50">
      <c r="A1536" s="7"/>
      <c r="B1536" s="10"/>
      <c r="C1536" s="45" t="s">
        <v>1468</v>
      </c>
      <c r="D1536" s="23" t="s">
        <v>27</v>
      </c>
      <c r="E1536" s="61" t="s">
        <v>1580</v>
      </c>
      <c r="F1536" s="61" t="s">
        <v>1580</v>
      </c>
      <c r="G1536" s="61" t="s">
        <v>1580</v>
      </c>
      <c r="H1536" s="61" t="s">
        <v>1580</v>
      </c>
      <c r="I1536" s="25">
        <v>0.9</v>
      </c>
      <c r="J1536" s="26">
        <v>1</v>
      </c>
      <c r="K1536" s="26">
        <v>1</v>
      </c>
      <c r="L1536" s="27">
        <v>1</v>
      </c>
      <c r="M1536" s="26">
        <v>0.99624060150375937</v>
      </c>
      <c r="N1536" s="28">
        <v>0.9</v>
      </c>
      <c r="O1536" s="26">
        <v>0.98528329654157465</v>
      </c>
      <c r="P1536" s="26">
        <v>0.97283531409168078</v>
      </c>
      <c r="Q1536" s="26">
        <v>0.95405405405405408</v>
      </c>
      <c r="R1536" s="26">
        <v>0.97002265423318057</v>
      </c>
      <c r="S1536" s="28">
        <v>0.9</v>
      </c>
      <c r="T1536" s="26">
        <v>0.94628403237674763</v>
      </c>
      <c r="U1536" s="26">
        <v>0.94949066213921907</v>
      </c>
      <c r="V1536" s="26">
        <v>0.95783783783783782</v>
      </c>
      <c r="W1536" s="26">
        <v>0.93762183235867447</v>
      </c>
      <c r="X1536" s="28">
        <v>0.92</v>
      </c>
      <c r="Y1536" s="28">
        <v>0</v>
      </c>
      <c r="Z1536" s="28">
        <v>0</v>
      </c>
      <c r="AA1536" s="28">
        <v>0</v>
      </c>
      <c r="AB1536" s="28">
        <v>0</v>
      </c>
      <c r="AC1536" s="28">
        <v>0.92</v>
      </c>
      <c r="AD1536" s="26">
        <v>1</v>
      </c>
      <c r="AE1536" s="26">
        <v>0.97345132743362828</v>
      </c>
      <c r="AF1536" s="26">
        <v>1</v>
      </c>
      <c r="AG1536" s="26">
        <v>0.99426111908177905</v>
      </c>
      <c r="AH1536" s="28">
        <v>0.92</v>
      </c>
      <c r="AI1536" s="26">
        <v>0.97424576894775572</v>
      </c>
      <c r="AJ1536" s="26">
        <v>0.97962648556876064</v>
      </c>
      <c r="AK1536" s="26">
        <v>0.98216216216216212</v>
      </c>
      <c r="AL1536" s="26">
        <v>0.97623939729202891</v>
      </c>
      <c r="AM1536" s="25">
        <v>0.99</v>
      </c>
      <c r="AN1536" s="30">
        <v>1</v>
      </c>
      <c r="AO1536" s="30">
        <v>1</v>
      </c>
      <c r="AP1536" s="30">
        <v>0</v>
      </c>
      <c r="AQ1536" s="30">
        <v>1</v>
      </c>
      <c r="AR1536" s="50">
        <v>0.110069253262963</v>
      </c>
      <c r="AS1536" s="34">
        <v>0.10526315789473684</v>
      </c>
      <c r="AT1536" s="34">
        <v>0</v>
      </c>
      <c r="AU1536" s="34">
        <v>7.1428571428571425E-2</v>
      </c>
      <c r="AV1536" s="34">
        <v>6.4676616915422883E-2</v>
      </c>
      <c r="AW1536" s="10"/>
      <c r="AX1536" s="8"/>
    </row>
    <row r="1537" spans="1:50">
      <c r="A1537" s="7"/>
      <c r="B1537" s="10"/>
      <c r="C1537" s="45" t="s">
        <v>1468</v>
      </c>
      <c r="D1537" s="23" t="s">
        <v>27</v>
      </c>
      <c r="E1537" s="61" t="s">
        <v>1581</v>
      </c>
      <c r="F1537" s="61" t="s">
        <v>1581</v>
      </c>
      <c r="G1537" s="61" t="s">
        <v>1581</v>
      </c>
      <c r="H1537" s="61" t="s">
        <v>1581</v>
      </c>
      <c r="I1537" s="25">
        <v>0.9</v>
      </c>
      <c r="J1537" s="26">
        <v>0.94871794871794868</v>
      </c>
      <c r="K1537" s="26">
        <v>1</v>
      </c>
      <c r="L1537" s="27">
        <v>0.97368421052631582</v>
      </c>
      <c r="M1537" s="26">
        <v>0.95973154362416102</v>
      </c>
      <c r="N1537" s="28">
        <v>0.9</v>
      </c>
      <c r="O1537" s="26">
        <v>0.98444588464031113</v>
      </c>
      <c r="P1537" s="26">
        <v>0.99494949494949492</v>
      </c>
      <c r="Q1537" s="26">
        <v>0.98741172858458703</v>
      </c>
      <c r="R1537" s="26">
        <v>0.98656464634293284</v>
      </c>
      <c r="S1537" s="28">
        <v>0.9</v>
      </c>
      <c r="T1537" s="26">
        <v>0.92050118816158999</v>
      </c>
      <c r="U1537" s="26">
        <v>0.96012759170653905</v>
      </c>
      <c r="V1537" s="26">
        <v>0.95947190666257287</v>
      </c>
      <c r="W1537" s="26">
        <v>0.94749367393661887</v>
      </c>
      <c r="X1537" s="28">
        <v>0.92</v>
      </c>
      <c r="Y1537" s="28">
        <v>0</v>
      </c>
      <c r="Z1537" s="28">
        <v>0</v>
      </c>
      <c r="AA1537" s="28">
        <v>0</v>
      </c>
      <c r="AB1537" s="28">
        <v>0</v>
      </c>
      <c r="AC1537" s="28">
        <v>0.92</v>
      </c>
      <c r="AD1537" s="26">
        <v>0.98393574297188757</v>
      </c>
      <c r="AE1537" s="26">
        <v>0.89502762430939231</v>
      </c>
      <c r="AF1537" s="26">
        <v>0.98642533936651589</v>
      </c>
      <c r="AG1537" s="26">
        <v>0.96914700544464605</v>
      </c>
      <c r="AH1537" s="28">
        <v>0.92</v>
      </c>
      <c r="AI1537" s="26">
        <v>0.97537796976241897</v>
      </c>
      <c r="AJ1537" s="26">
        <v>0.98538011695906436</v>
      </c>
      <c r="AK1537" s="26">
        <v>0.98526251151366284</v>
      </c>
      <c r="AL1537" s="26">
        <v>0.98605337670944038</v>
      </c>
      <c r="AM1537" s="25">
        <v>0.99</v>
      </c>
      <c r="AN1537" s="30">
        <v>1</v>
      </c>
      <c r="AO1537" s="30">
        <v>1</v>
      </c>
      <c r="AP1537" s="30">
        <v>1</v>
      </c>
      <c r="AQ1537" s="30">
        <v>1</v>
      </c>
      <c r="AR1537" s="50">
        <v>0.110069253262963</v>
      </c>
      <c r="AS1537" s="34">
        <v>6.8181818181818177E-2</v>
      </c>
      <c r="AT1537" s="34">
        <v>0</v>
      </c>
      <c r="AU1537" s="34">
        <v>3.2258064516129031E-2</v>
      </c>
      <c r="AV1537" s="34">
        <v>7.903780068728522E-2</v>
      </c>
      <c r="AW1537" s="10"/>
      <c r="AX1537" s="8"/>
    </row>
    <row r="1538" spans="1:50">
      <c r="A1538" s="7"/>
      <c r="B1538" s="10"/>
      <c r="C1538" s="45" t="s">
        <v>1468</v>
      </c>
      <c r="D1538" s="23" t="s">
        <v>27</v>
      </c>
      <c r="E1538" s="61" t="s">
        <v>1582</v>
      </c>
      <c r="F1538" s="61" t="s">
        <v>1582</v>
      </c>
      <c r="G1538" s="61" t="s">
        <v>1582</v>
      </c>
      <c r="H1538" s="61" t="s">
        <v>1582</v>
      </c>
      <c r="I1538" s="25">
        <v>0.9</v>
      </c>
      <c r="J1538" s="26">
        <v>0.96875</v>
      </c>
      <c r="K1538" s="26">
        <v>0.91666666666666663</v>
      </c>
      <c r="L1538" s="27">
        <v>0.91666666666666663</v>
      </c>
      <c r="M1538" s="26">
        <v>0.93286219081272082</v>
      </c>
      <c r="N1538" s="28">
        <v>0.9</v>
      </c>
      <c r="O1538" s="26">
        <v>0.95978009259259256</v>
      </c>
      <c r="P1538" s="26">
        <v>0.89668157213461996</v>
      </c>
      <c r="Q1538" s="26">
        <v>0.95084920226453939</v>
      </c>
      <c r="R1538" s="26">
        <v>0.91987879642026638</v>
      </c>
      <c r="S1538" s="28">
        <v>0.9</v>
      </c>
      <c r="T1538" s="26">
        <v>0.25289351851851855</v>
      </c>
      <c r="U1538" s="26">
        <v>0.23276064956460343</v>
      </c>
      <c r="V1538" s="26">
        <v>0.24678332475553269</v>
      </c>
      <c r="W1538" s="26">
        <v>0.34292861672891267</v>
      </c>
      <c r="X1538" s="28">
        <v>0.92</v>
      </c>
      <c r="Y1538" s="28">
        <v>0</v>
      </c>
      <c r="Z1538" s="28">
        <v>0</v>
      </c>
      <c r="AA1538" s="28">
        <v>0</v>
      </c>
      <c r="AB1538" s="28">
        <v>0</v>
      </c>
      <c r="AC1538" s="28">
        <v>0.92</v>
      </c>
      <c r="AD1538" s="26">
        <v>0.89166666666666672</v>
      </c>
      <c r="AE1538" s="26">
        <v>1</v>
      </c>
      <c r="AF1538" s="26">
        <v>0.99029126213592233</v>
      </c>
      <c r="AG1538" s="26">
        <v>0.96719457013574661</v>
      </c>
      <c r="AH1538" s="28">
        <v>0.92</v>
      </c>
      <c r="AI1538" s="26">
        <v>0.80266203703703709</v>
      </c>
      <c r="AJ1538" s="26">
        <v>0.86514473993880914</v>
      </c>
      <c r="AK1538" s="26">
        <v>0.90298507462686572</v>
      </c>
      <c r="AL1538" s="26">
        <v>0.86107392009019801</v>
      </c>
      <c r="AM1538" s="25">
        <v>0.99</v>
      </c>
      <c r="AN1538" s="30">
        <v>1</v>
      </c>
      <c r="AO1538" s="30">
        <v>1</v>
      </c>
      <c r="AP1538" s="30">
        <v>1</v>
      </c>
      <c r="AQ1538" s="30">
        <v>1</v>
      </c>
      <c r="AR1538" s="50">
        <v>0.110069253262963</v>
      </c>
      <c r="AS1538" s="34">
        <v>7.8947368421052627E-2</v>
      </c>
      <c r="AT1538" s="34">
        <v>0.13157894736842105</v>
      </c>
      <c r="AU1538" s="34">
        <v>0.1</v>
      </c>
      <c r="AV1538" s="34">
        <v>0.11267605633802817</v>
      </c>
      <c r="AW1538" s="10"/>
      <c r="AX1538" s="8"/>
    </row>
    <row r="1539" spans="1:50">
      <c r="A1539" s="7"/>
      <c r="B1539" s="10"/>
      <c r="C1539" s="45" t="s">
        <v>1468</v>
      </c>
      <c r="D1539" s="23" t="s">
        <v>27</v>
      </c>
      <c r="E1539" s="61" t="s">
        <v>1583</v>
      </c>
      <c r="F1539" s="61" t="s">
        <v>1583</v>
      </c>
      <c r="G1539" s="61" t="s">
        <v>1583</v>
      </c>
      <c r="H1539" s="61" t="s">
        <v>1583</v>
      </c>
      <c r="I1539" s="25">
        <v>0.9</v>
      </c>
      <c r="J1539" s="26">
        <v>1</v>
      </c>
      <c r="K1539" s="26">
        <v>0.95454545454545459</v>
      </c>
      <c r="L1539" s="27">
        <v>0.95454545454545459</v>
      </c>
      <c r="M1539" s="26">
        <v>0.98181818181818181</v>
      </c>
      <c r="N1539" s="28">
        <v>0.9</v>
      </c>
      <c r="O1539" s="26">
        <v>0.9668874172185431</v>
      </c>
      <c r="P1539" s="26">
        <v>0.9536516853932584</v>
      </c>
      <c r="Q1539" s="26">
        <v>0.9757248819959542</v>
      </c>
      <c r="R1539" s="26">
        <v>0.94160583941605835</v>
      </c>
      <c r="S1539" s="28">
        <v>0.9</v>
      </c>
      <c r="T1539" s="26">
        <v>0.77152317880794707</v>
      </c>
      <c r="U1539" s="26">
        <v>0.6404494382022472</v>
      </c>
      <c r="V1539" s="26">
        <v>0.72151045178691842</v>
      </c>
      <c r="W1539" s="26">
        <v>0.7093779752459537</v>
      </c>
      <c r="X1539" s="28">
        <v>0.92</v>
      </c>
      <c r="Y1539" s="28">
        <v>0</v>
      </c>
      <c r="Z1539" s="28">
        <v>0</v>
      </c>
      <c r="AA1539" s="28">
        <v>0</v>
      </c>
      <c r="AB1539" s="28">
        <v>0</v>
      </c>
      <c r="AC1539" s="28">
        <v>0.92</v>
      </c>
      <c r="AD1539" s="26">
        <v>1</v>
      </c>
      <c r="AE1539" s="26">
        <v>1</v>
      </c>
      <c r="AF1539" s="26">
        <v>1</v>
      </c>
      <c r="AG1539" s="26">
        <v>0.99561403508771928</v>
      </c>
      <c r="AH1539" s="28">
        <v>0.92</v>
      </c>
      <c r="AI1539" s="26">
        <v>0.94105960264900668</v>
      </c>
      <c r="AJ1539" s="26">
        <v>0.94475655430711614</v>
      </c>
      <c r="AK1539" s="26">
        <v>0.93594066082265681</v>
      </c>
      <c r="AL1539" s="26">
        <v>0.93367185020628374</v>
      </c>
      <c r="AM1539" s="25">
        <v>0.99</v>
      </c>
      <c r="AN1539" s="30">
        <v>1</v>
      </c>
      <c r="AO1539" s="30">
        <v>1</v>
      </c>
      <c r="AP1539" s="30">
        <v>1</v>
      </c>
      <c r="AQ1539" s="30">
        <v>1</v>
      </c>
      <c r="AR1539" s="50">
        <v>0.110069253262963</v>
      </c>
      <c r="AS1539" s="34">
        <v>0</v>
      </c>
      <c r="AT1539" s="34">
        <v>0</v>
      </c>
      <c r="AU1539" s="34">
        <v>0</v>
      </c>
      <c r="AV1539" s="34">
        <v>7.7777777777777779E-2</v>
      </c>
      <c r="AW1539" s="10"/>
      <c r="AX1539" s="8"/>
    </row>
    <row r="1540" spans="1:50">
      <c r="A1540" s="7"/>
      <c r="B1540" s="10"/>
      <c r="C1540" s="45" t="s">
        <v>1468</v>
      </c>
      <c r="D1540" s="23" t="s">
        <v>27</v>
      </c>
      <c r="E1540" s="61" t="s">
        <v>1584</v>
      </c>
      <c r="F1540" s="61" t="s">
        <v>1584</v>
      </c>
      <c r="G1540" s="61" t="s">
        <v>1584</v>
      </c>
      <c r="H1540" s="61" t="s">
        <v>1584</v>
      </c>
      <c r="I1540" s="25">
        <v>0.9</v>
      </c>
      <c r="J1540" s="26">
        <v>0.8529411764705882</v>
      </c>
      <c r="K1540" s="26">
        <v>0.82352941176470584</v>
      </c>
      <c r="L1540" s="27">
        <v>0.82051282051282048</v>
      </c>
      <c r="M1540" s="26">
        <v>0.8220640569395018</v>
      </c>
      <c r="N1540" s="28">
        <v>0.9</v>
      </c>
      <c r="O1540" s="26">
        <v>0.85147962032384139</v>
      </c>
      <c r="P1540" s="26">
        <v>0.84707446808510634</v>
      </c>
      <c r="Q1540" s="26">
        <v>0.79784688995215314</v>
      </c>
      <c r="R1540" s="26">
        <v>0.83874680665899326</v>
      </c>
      <c r="S1540" s="28">
        <v>0.9</v>
      </c>
      <c r="T1540" s="26">
        <v>0.73683230969663127</v>
      </c>
      <c r="U1540" s="26">
        <v>0.77287234042553188</v>
      </c>
      <c r="V1540" s="26">
        <v>0.70783492822966509</v>
      </c>
      <c r="W1540" s="26">
        <v>0.74422391286039136</v>
      </c>
      <c r="X1540" s="28">
        <v>0.92</v>
      </c>
      <c r="Y1540" s="28">
        <v>0</v>
      </c>
      <c r="Z1540" s="28">
        <v>0.66666666666666663</v>
      </c>
      <c r="AA1540" s="28">
        <v>0.5</v>
      </c>
      <c r="AB1540" s="28">
        <v>0.2</v>
      </c>
      <c r="AC1540" s="28">
        <v>0.92</v>
      </c>
      <c r="AD1540" s="26">
        <v>0.7</v>
      </c>
      <c r="AE1540" s="26">
        <v>0.625</v>
      </c>
      <c r="AF1540" s="26">
        <v>0.69333333333333336</v>
      </c>
      <c r="AG1540" s="26">
        <v>0.71257485029940115</v>
      </c>
      <c r="AH1540" s="28">
        <v>0.92</v>
      </c>
      <c r="AI1540" s="26">
        <v>0.8745579750604876</v>
      </c>
      <c r="AJ1540" s="26">
        <v>0.8331118788200903</v>
      </c>
      <c r="AK1540" s="26">
        <v>0.8315412186379928</v>
      </c>
      <c r="AL1540" s="26">
        <v>0.85400886494978401</v>
      </c>
      <c r="AM1540" s="25">
        <v>0.99</v>
      </c>
      <c r="AN1540" s="30">
        <v>0</v>
      </c>
      <c r="AO1540" s="30">
        <v>1</v>
      </c>
      <c r="AP1540" s="30">
        <v>1</v>
      </c>
      <c r="AQ1540" s="30">
        <v>1</v>
      </c>
      <c r="AR1540" s="50">
        <v>0.110069253262963</v>
      </c>
      <c r="AS1540" s="34">
        <v>0</v>
      </c>
      <c r="AT1540" s="34">
        <v>0</v>
      </c>
      <c r="AU1540" s="34">
        <v>0.2</v>
      </c>
      <c r="AV1540" s="34">
        <v>0.12234042553191489</v>
      </c>
      <c r="AW1540" s="10"/>
      <c r="AX1540" s="8"/>
    </row>
    <row r="1541" spans="1:50">
      <c r="A1541" s="7"/>
      <c r="B1541" s="10"/>
      <c r="C1541" s="45" t="s">
        <v>1468</v>
      </c>
      <c r="D1541" s="23" t="s">
        <v>27</v>
      </c>
      <c r="E1541" s="61" t="s">
        <v>1585</v>
      </c>
      <c r="F1541" s="61" t="s">
        <v>1585</v>
      </c>
      <c r="G1541" s="61" t="s">
        <v>1585</v>
      </c>
      <c r="H1541" s="61" t="s">
        <v>1585</v>
      </c>
      <c r="I1541" s="25">
        <v>0.9</v>
      </c>
      <c r="J1541" s="26">
        <v>0</v>
      </c>
      <c r="K1541" s="26">
        <v>0</v>
      </c>
      <c r="L1541" s="27">
        <v>0</v>
      </c>
      <c r="M1541" s="26">
        <v>0</v>
      </c>
      <c r="N1541" s="28">
        <v>0.9</v>
      </c>
      <c r="O1541" s="26">
        <v>0</v>
      </c>
      <c r="P1541" s="26">
        <v>0</v>
      </c>
      <c r="Q1541" s="26">
        <v>0</v>
      </c>
      <c r="R1541" s="26">
        <v>0</v>
      </c>
      <c r="S1541" s="28">
        <v>0.9</v>
      </c>
      <c r="T1541" s="26">
        <v>0</v>
      </c>
      <c r="U1541" s="26">
        <v>0</v>
      </c>
      <c r="V1541" s="26">
        <v>0</v>
      </c>
      <c r="W1541" s="26">
        <v>0.25</v>
      </c>
      <c r="X1541" s="28">
        <v>0.92</v>
      </c>
      <c r="Y1541" s="28">
        <v>0</v>
      </c>
      <c r="Z1541" s="28">
        <v>0</v>
      </c>
      <c r="AA1541" s="28">
        <v>0</v>
      </c>
      <c r="AB1541" s="28">
        <v>0</v>
      </c>
      <c r="AC1541" s="28">
        <v>0.92</v>
      </c>
      <c r="AD1541" s="26">
        <v>0.99024918743228607</v>
      </c>
      <c r="AE1541" s="26">
        <v>0.73374613003095979</v>
      </c>
      <c r="AF1541" s="26">
        <v>0.99360000000000004</v>
      </c>
      <c r="AG1541" s="26">
        <v>0.95788637266587207</v>
      </c>
      <c r="AH1541" s="28">
        <v>0.92</v>
      </c>
      <c r="AI1541" s="26">
        <v>0</v>
      </c>
      <c r="AJ1541" s="26">
        <v>0</v>
      </c>
      <c r="AK1541" s="26">
        <v>0.5</v>
      </c>
      <c r="AL1541" s="26">
        <v>0.46153846153846156</v>
      </c>
      <c r="AM1541" s="25">
        <v>0.99</v>
      </c>
      <c r="AN1541" s="30">
        <v>1</v>
      </c>
      <c r="AO1541" s="30">
        <v>1</v>
      </c>
      <c r="AP1541" s="30">
        <v>1</v>
      </c>
      <c r="AQ1541" s="30">
        <v>1</v>
      </c>
      <c r="AR1541" s="50">
        <v>0.110069253262963</v>
      </c>
      <c r="AS1541" s="34">
        <v>0</v>
      </c>
      <c r="AT1541" s="34">
        <v>0</v>
      </c>
      <c r="AU1541" s="34">
        <v>0</v>
      </c>
      <c r="AV1541" s="34">
        <v>0</v>
      </c>
      <c r="AW1541" s="10"/>
      <c r="AX1541" s="8"/>
    </row>
    <row r="1542" spans="1:50">
      <c r="A1542" s="7"/>
      <c r="B1542" s="10"/>
      <c r="C1542" s="45" t="s">
        <v>1468</v>
      </c>
      <c r="D1542" s="23" t="s">
        <v>27</v>
      </c>
      <c r="E1542" s="61" t="s">
        <v>1586</v>
      </c>
      <c r="F1542" s="61" t="s">
        <v>1586</v>
      </c>
      <c r="G1542" s="61" t="s">
        <v>1586</v>
      </c>
      <c r="H1542" s="61" t="s">
        <v>1586</v>
      </c>
      <c r="I1542" s="25">
        <v>0.9</v>
      </c>
      <c r="J1542" s="26">
        <v>0</v>
      </c>
      <c r="K1542" s="26">
        <v>0</v>
      </c>
      <c r="L1542" s="27">
        <v>0</v>
      </c>
      <c r="M1542" s="26">
        <v>0</v>
      </c>
      <c r="N1542" s="28">
        <v>0.9</v>
      </c>
      <c r="O1542" s="26">
        <v>0</v>
      </c>
      <c r="P1542" s="26">
        <v>0</v>
      </c>
      <c r="Q1542" s="26">
        <v>0</v>
      </c>
      <c r="R1542" s="26">
        <v>0</v>
      </c>
      <c r="S1542" s="28">
        <v>0.9</v>
      </c>
      <c r="T1542" s="26">
        <v>0</v>
      </c>
      <c r="U1542" s="26">
        <v>0</v>
      </c>
      <c r="V1542" s="26">
        <v>0</v>
      </c>
      <c r="W1542" s="26">
        <v>1</v>
      </c>
      <c r="X1542" s="28">
        <v>0.92</v>
      </c>
      <c r="Y1542" s="28">
        <v>0</v>
      </c>
      <c r="Z1542" s="28">
        <v>0</v>
      </c>
      <c r="AA1542" s="28">
        <v>0</v>
      </c>
      <c r="AB1542" s="28">
        <v>0</v>
      </c>
      <c r="AC1542" s="28">
        <v>0.92</v>
      </c>
      <c r="AD1542" s="26">
        <v>0.98888888888888893</v>
      </c>
      <c r="AE1542" s="26">
        <v>0.99049128367670369</v>
      </c>
      <c r="AF1542" s="26">
        <v>0.98148148148148151</v>
      </c>
      <c r="AG1542" s="26">
        <v>0.98372426998563911</v>
      </c>
      <c r="AH1542" s="28">
        <v>0.92</v>
      </c>
      <c r="AI1542" s="26">
        <v>0</v>
      </c>
      <c r="AJ1542" s="26">
        <v>0</v>
      </c>
      <c r="AK1542" s="26">
        <v>0</v>
      </c>
      <c r="AL1542" s="26">
        <v>1</v>
      </c>
      <c r="AM1542" s="25">
        <v>0.99</v>
      </c>
      <c r="AN1542" s="30">
        <v>1</v>
      </c>
      <c r="AO1542" s="30">
        <v>1</v>
      </c>
      <c r="AP1542" s="30">
        <v>1</v>
      </c>
      <c r="AQ1542" s="30">
        <v>1</v>
      </c>
      <c r="AR1542" s="50">
        <v>0.110069253262963</v>
      </c>
      <c r="AS1542" s="34">
        <v>0</v>
      </c>
      <c r="AT1542" s="34">
        <v>0</v>
      </c>
      <c r="AU1542" s="34">
        <v>0</v>
      </c>
      <c r="AV1542" s="34">
        <v>0</v>
      </c>
      <c r="AW1542" s="10"/>
      <c r="AX1542" s="8"/>
    </row>
    <row r="1543" spans="1:50">
      <c r="A1543" s="7"/>
      <c r="B1543" s="10"/>
      <c r="C1543" s="45" t="s">
        <v>1468</v>
      </c>
      <c r="D1543" s="23" t="s">
        <v>27</v>
      </c>
      <c r="E1543" s="61" t="s">
        <v>1587</v>
      </c>
      <c r="F1543" s="61" t="s">
        <v>1587</v>
      </c>
      <c r="G1543" s="61" t="s">
        <v>1587</v>
      </c>
      <c r="H1543" s="61" t="s">
        <v>1587</v>
      </c>
      <c r="I1543" s="25">
        <v>0.9</v>
      </c>
      <c r="J1543" s="26">
        <v>0</v>
      </c>
      <c r="K1543" s="26">
        <v>0</v>
      </c>
      <c r="L1543" s="27">
        <v>0</v>
      </c>
      <c r="M1543" s="26">
        <v>0</v>
      </c>
      <c r="N1543" s="28">
        <v>0.9</v>
      </c>
      <c r="O1543" s="26">
        <v>0</v>
      </c>
      <c r="P1543" s="26">
        <v>0</v>
      </c>
      <c r="Q1543" s="26">
        <v>0</v>
      </c>
      <c r="R1543" s="26">
        <v>0</v>
      </c>
      <c r="S1543" s="28">
        <v>0.9</v>
      </c>
      <c r="T1543" s="26">
        <v>0</v>
      </c>
      <c r="U1543" s="26">
        <v>0</v>
      </c>
      <c r="V1543" s="26">
        <v>0</v>
      </c>
      <c r="W1543" s="26">
        <v>0</v>
      </c>
      <c r="X1543" s="28">
        <v>0.92</v>
      </c>
      <c r="Y1543" s="28">
        <v>0</v>
      </c>
      <c r="Z1543" s="28">
        <v>0</v>
      </c>
      <c r="AA1543" s="28">
        <v>0</v>
      </c>
      <c r="AB1543" s="28">
        <v>0</v>
      </c>
      <c r="AC1543" s="28">
        <v>0.92</v>
      </c>
      <c r="AD1543" s="26">
        <v>1</v>
      </c>
      <c r="AE1543" s="26">
        <v>0.97757847533632292</v>
      </c>
      <c r="AF1543" s="26">
        <v>0.99285714285714288</v>
      </c>
      <c r="AG1543" s="26">
        <v>0.97431648715824359</v>
      </c>
      <c r="AH1543" s="28">
        <v>0.92</v>
      </c>
      <c r="AI1543" s="26">
        <v>0</v>
      </c>
      <c r="AJ1543" s="26">
        <v>0</v>
      </c>
      <c r="AK1543" s="26">
        <v>0</v>
      </c>
      <c r="AL1543" s="26">
        <v>0</v>
      </c>
      <c r="AM1543" s="25">
        <v>0.99</v>
      </c>
      <c r="AN1543" s="30">
        <v>1</v>
      </c>
      <c r="AO1543" s="30">
        <v>1</v>
      </c>
      <c r="AP1543" s="30">
        <v>1</v>
      </c>
      <c r="AQ1543" s="30">
        <v>1</v>
      </c>
      <c r="AR1543" s="50">
        <v>0.110069253262963</v>
      </c>
      <c r="AS1543" s="34">
        <v>0</v>
      </c>
      <c r="AT1543" s="34">
        <v>0</v>
      </c>
      <c r="AU1543" s="34">
        <v>0</v>
      </c>
      <c r="AV1543" s="34">
        <v>0</v>
      </c>
      <c r="AW1543" s="10"/>
      <c r="AX1543" s="8"/>
    </row>
    <row r="1544" spans="1:50">
      <c r="A1544" s="7"/>
      <c r="B1544" s="10"/>
      <c r="C1544" s="45" t="s">
        <v>1468</v>
      </c>
      <c r="D1544" s="23" t="s">
        <v>27</v>
      </c>
      <c r="E1544" s="61" t="s">
        <v>1588</v>
      </c>
      <c r="F1544" s="61" t="s">
        <v>1588</v>
      </c>
      <c r="G1544" s="61" t="s">
        <v>1588</v>
      </c>
      <c r="H1544" s="61" t="s">
        <v>1588</v>
      </c>
      <c r="I1544" s="25">
        <v>0.9</v>
      </c>
      <c r="J1544" s="26">
        <v>0.93548387096774188</v>
      </c>
      <c r="K1544" s="26">
        <v>0.87096774193548387</v>
      </c>
      <c r="L1544" s="27">
        <v>0.90625</v>
      </c>
      <c r="M1544" s="26">
        <v>0.9263565891472868</v>
      </c>
      <c r="N1544" s="28">
        <v>0.9</v>
      </c>
      <c r="O1544" s="26">
        <v>0.97752808988764039</v>
      </c>
      <c r="P1544" s="26">
        <v>0.9588881102546134</v>
      </c>
      <c r="Q1544" s="26">
        <v>0.95429616087751368</v>
      </c>
      <c r="R1544" s="26">
        <v>0.95066803699897229</v>
      </c>
      <c r="S1544" s="28">
        <v>0.9</v>
      </c>
      <c r="T1544" s="26">
        <v>0.84511668107173721</v>
      </c>
      <c r="U1544" s="26">
        <v>0.8766643307638402</v>
      </c>
      <c r="V1544" s="26">
        <v>0.85975450509271345</v>
      </c>
      <c r="W1544" s="26">
        <v>0.86773657996679576</v>
      </c>
      <c r="X1544" s="28">
        <v>0.92</v>
      </c>
      <c r="Y1544" s="28">
        <v>0</v>
      </c>
      <c r="Z1544" s="28">
        <v>0</v>
      </c>
      <c r="AA1544" s="28">
        <v>0</v>
      </c>
      <c r="AB1544" s="28">
        <v>1</v>
      </c>
      <c r="AC1544" s="28">
        <v>0.92</v>
      </c>
      <c r="AD1544" s="26">
        <v>1</v>
      </c>
      <c r="AE1544" s="26">
        <v>0.6333333333333333</v>
      </c>
      <c r="AF1544" s="26">
        <v>1</v>
      </c>
      <c r="AG1544" s="26">
        <v>0.85384615384615381</v>
      </c>
      <c r="AH1544" s="28">
        <v>0.92</v>
      </c>
      <c r="AI1544" s="26">
        <v>0.89904926534140017</v>
      </c>
      <c r="AJ1544" s="26">
        <v>0.92104648446624615</v>
      </c>
      <c r="AK1544" s="26">
        <v>0.9226952206842518</v>
      </c>
      <c r="AL1544" s="26">
        <v>0.92210598434741364</v>
      </c>
      <c r="AM1544" s="25">
        <v>0.99</v>
      </c>
      <c r="AN1544" s="30">
        <v>0</v>
      </c>
      <c r="AO1544" s="30">
        <v>1</v>
      </c>
      <c r="AP1544" s="30">
        <v>0</v>
      </c>
      <c r="AQ1544" s="30">
        <v>1</v>
      </c>
      <c r="AR1544" s="50">
        <v>0.110069253262963</v>
      </c>
      <c r="AS1544" s="34">
        <v>6.8181818181818177E-2</v>
      </c>
      <c r="AT1544" s="34">
        <v>0.1111111111111111</v>
      </c>
      <c r="AU1544" s="34">
        <v>7.8947368421052627E-2</v>
      </c>
      <c r="AV1544" s="34">
        <v>6.3897763578274758E-2</v>
      </c>
      <c r="AW1544" s="10"/>
      <c r="AX1544" s="8"/>
    </row>
    <row r="1545" spans="1:50">
      <c r="A1545" s="7"/>
      <c r="B1545" s="10"/>
      <c r="C1545" s="45" t="s">
        <v>1468</v>
      </c>
      <c r="D1545" s="23" t="s">
        <v>27</v>
      </c>
      <c r="E1545" s="61" t="s">
        <v>1589</v>
      </c>
      <c r="F1545" s="61" t="s">
        <v>1589</v>
      </c>
      <c r="G1545" s="61" t="s">
        <v>1589</v>
      </c>
      <c r="H1545" s="61" t="s">
        <v>1589</v>
      </c>
      <c r="I1545" s="25">
        <v>0.9</v>
      </c>
      <c r="J1545" s="26">
        <v>0.83333333333333337</v>
      </c>
      <c r="K1545" s="26">
        <v>0.90322580645161288</v>
      </c>
      <c r="L1545" s="27">
        <v>0.93548387096774188</v>
      </c>
      <c r="M1545" s="26">
        <v>0.89075630252100846</v>
      </c>
      <c r="N1545" s="28">
        <v>0.9</v>
      </c>
      <c r="O1545" s="26">
        <v>0.94327808471454877</v>
      </c>
      <c r="P1545" s="26">
        <v>0.87677725118483407</v>
      </c>
      <c r="Q1545" s="26">
        <v>0.86663568773234201</v>
      </c>
      <c r="R1545" s="26">
        <v>0.9010108416697219</v>
      </c>
      <c r="S1545" s="28">
        <v>0.9</v>
      </c>
      <c r="T1545" s="26">
        <v>0.92633517495395945</v>
      </c>
      <c r="U1545" s="26">
        <v>0.88191153238546605</v>
      </c>
      <c r="V1545" s="26">
        <v>0.8731412639405205</v>
      </c>
      <c r="W1545" s="26">
        <v>0.89587807049704082</v>
      </c>
      <c r="X1545" s="28">
        <v>0.92</v>
      </c>
      <c r="Y1545" s="28">
        <v>0.92714212416623909</v>
      </c>
      <c r="Z1545" s="28">
        <v>0.9543973941368078</v>
      </c>
      <c r="AA1545" s="28">
        <v>0.94978723404255316</v>
      </c>
      <c r="AB1545" s="28">
        <v>0.9178948882018837</v>
      </c>
      <c r="AC1545" s="28">
        <v>0.92</v>
      </c>
      <c r="AD1545" s="26">
        <v>0.9555555555555556</v>
      </c>
      <c r="AE1545" s="26">
        <v>0.9375</v>
      </c>
      <c r="AF1545" s="26">
        <v>0.92500000000000004</v>
      </c>
      <c r="AG1545" s="26">
        <v>0.92208774583963693</v>
      </c>
      <c r="AH1545" s="28">
        <v>0.92</v>
      </c>
      <c r="AI1545" s="26">
        <v>0.94361063464837047</v>
      </c>
      <c r="AJ1545" s="26">
        <v>0.9621956428876548</v>
      </c>
      <c r="AK1545" s="26">
        <v>0.96844951923076927</v>
      </c>
      <c r="AL1545" s="26">
        <v>0.95015906680805939</v>
      </c>
      <c r="AM1545" s="25">
        <v>0.99</v>
      </c>
      <c r="AN1545" s="30">
        <v>1</v>
      </c>
      <c r="AO1545" s="30">
        <v>1</v>
      </c>
      <c r="AP1545" s="30">
        <v>1</v>
      </c>
      <c r="AQ1545" s="30">
        <v>1</v>
      </c>
      <c r="AR1545" s="50">
        <v>0.110069253262963</v>
      </c>
      <c r="AS1545" s="34">
        <v>5.2631578947368418E-2</v>
      </c>
      <c r="AT1545" s="34">
        <v>8.6956521739130432E-2</v>
      </c>
      <c r="AU1545" s="34">
        <v>0</v>
      </c>
      <c r="AV1545" s="34">
        <v>9.202453987730061E-2</v>
      </c>
      <c r="AW1545" s="10"/>
      <c r="AX1545" s="8"/>
    </row>
    <row r="1546" spans="1:50">
      <c r="A1546" s="7"/>
      <c r="B1546" s="10"/>
      <c r="C1546" s="45" t="s">
        <v>1468</v>
      </c>
      <c r="D1546" s="23" t="s">
        <v>27</v>
      </c>
      <c r="E1546" s="61" t="s">
        <v>1590</v>
      </c>
      <c r="F1546" s="61" t="s">
        <v>1590</v>
      </c>
      <c r="G1546" s="61" t="s">
        <v>1590</v>
      </c>
      <c r="H1546" s="61" t="s">
        <v>1590</v>
      </c>
      <c r="I1546" s="25">
        <v>0.9</v>
      </c>
      <c r="J1546" s="26">
        <v>1</v>
      </c>
      <c r="K1546" s="26">
        <v>1</v>
      </c>
      <c r="L1546" s="27">
        <v>1</v>
      </c>
      <c r="M1546" s="26">
        <v>1</v>
      </c>
      <c r="N1546" s="28">
        <v>0.9</v>
      </c>
      <c r="O1546" s="26">
        <v>0.99650145772594756</v>
      </c>
      <c r="P1546" s="26">
        <v>0.99447949526813884</v>
      </c>
      <c r="Q1546" s="26">
        <v>0.99684144030322175</v>
      </c>
      <c r="R1546" s="26">
        <v>0.98567856330984316</v>
      </c>
      <c r="S1546" s="28">
        <v>0.9</v>
      </c>
      <c r="T1546" s="26">
        <v>0.97725947521865886</v>
      </c>
      <c r="U1546" s="26">
        <v>0.95189274447949523</v>
      </c>
      <c r="V1546" s="26">
        <v>0.96146557169930513</v>
      </c>
      <c r="W1546" s="26">
        <v>0.96514359324088805</v>
      </c>
      <c r="X1546" s="28">
        <v>0.92</v>
      </c>
      <c r="Y1546" s="28">
        <v>0</v>
      </c>
      <c r="Z1546" s="28">
        <v>0</v>
      </c>
      <c r="AA1546" s="28">
        <v>0</v>
      </c>
      <c r="AB1546" s="28">
        <v>0</v>
      </c>
      <c r="AC1546" s="28">
        <v>0.92</v>
      </c>
      <c r="AD1546" s="26">
        <v>0.99047619047619051</v>
      </c>
      <c r="AE1546" s="26">
        <v>0.98863636363636365</v>
      </c>
      <c r="AF1546" s="26">
        <v>1</v>
      </c>
      <c r="AG1546" s="26">
        <v>0.99185336048879835</v>
      </c>
      <c r="AH1546" s="28">
        <v>0.92</v>
      </c>
      <c r="AI1546" s="26">
        <v>0.99183673469387756</v>
      </c>
      <c r="AJ1546" s="26">
        <v>0.98895899053627756</v>
      </c>
      <c r="AK1546" s="26">
        <v>0.983575489576753</v>
      </c>
      <c r="AL1546" s="26">
        <v>0.98537546412063348</v>
      </c>
      <c r="AM1546" s="25">
        <v>0.99</v>
      </c>
      <c r="AN1546" s="30">
        <v>1</v>
      </c>
      <c r="AO1546" s="30">
        <v>1</v>
      </c>
      <c r="AP1546" s="30">
        <v>1</v>
      </c>
      <c r="AQ1546" s="30">
        <v>1</v>
      </c>
      <c r="AR1546" s="50">
        <v>0.110069253262963</v>
      </c>
      <c r="AS1546" s="34">
        <v>0.1</v>
      </c>
      <c r="AT1546" s="34">
        <v>0.2</v>
      </c>
      <c r="AU1546" s="34">
        <v>0.125</v>
      </c>
      <c r="AV1546" s="34">
        <v>8.4507042253521125E-2</v>
      </c>
      <c r="AW1546" s="10"/>
      <c r="AX1546" s="8"/>
    </row>
    <row r="1547" spans="1:50">
      <c r="A1547" s="7"/>
      <c r="B1547" s="10"/>
      <c r="C1547" s="45" t="s">
        <v>1468</v>
      </c>
      <c r="D1547" s="23" t="s">
        <v>27</v>
      </c>
      <c r="E1547" s="61" t="s">
        <v>1591</v>
      </c>
      <c r="F1547" s="61" t="s">
        <v>1591</v>
      </c>
      <c r="G1547" s="61" t="s">
        <v>1591</v>
      </c>
      <c r="H1547" s="61" t="s">
        <v>1591</v>
      </c>
      <c r="I1547" s="25">
        <v>0.9</v>
      </c>
      <c r="J1547" s="26">
        <v>0.92</v>
      </c>
      <c r="K1547" s="26">
        <v>1</v>
      </c>
      <c r="L1547" s="27">
        <v>1</v>
      </c>
      <c r="M1547" s="26">
        <v>0.92346938775510201</v>
      </c>
      <c r="N1547" s="28">
        <v>0.9</v>
      </c>
      <c r="O1547" s="26">
        <v>0.99652898299201664</v>
      </c>
      <c r="P1547" s="26">
        <v>0.99730276466621715</v>
      </c>
      <c r="Q1547" s="26">
        <v>0.97863884749130647</v>
      </c>
      <c r="R1547" s="26">
        <v>0.99416562818624676</v>
      </c>
      <c r="S1547" s="28">
        <v>0.9</v>
      </c>
      <c r="T1547" s="26">
        <v>0.84102742103436312</v>
      </c>
      <c r="U1547" s="26">
        <v>0.85502360080917061</v>
      </c>
      <c r="V1547" s="26">
        <v>0.87083954297069055</v>
      </c>
      <c r="W1547" s="26">
        <v>0.85459385974849889</v>
      </c>
      <c r="X1547" s="28">
        <v>0.92</v>
      </c>
      <c r="Y1547" s="28">
        <v>0</v>
      </c>
      <c r="Z1547" s="28">
        <v>0</v>
      </c>
      <c r="AA1547" s="28">
        <v>0</v>
      </c>
      <c r="AB1547" s="28">
        <v>0</v>
      </c>
      <c r="AC1547" s="28">
        <v>0.92</v>
      </c>
      <c r="AD1547" s="26">
        <v>0.94736842105263153</v>
      </c>
      <c r="AE1547" s="26">
        <v>1</v>
      </c>
      <c r="AF1547" s="26">
        <v>0.94444444444444442</v>
      </c>
      <c r="AG1547" s="26">
        <v>0.95049504950495045</v>
      </c>
      <c r="AH1547" s="28">
        <v>0.92</v>
      </c>
      <c r="AI1547" s="26">
        <v>0.91114196459562646</v>
      </c>
      <c r="AJ1547" s="26">
        <v>0.95077545515846262</v>
      </c>
      <c r="AK1547" s="26">
        <v>0.94932935916542471</v>
      </c>
      <c r="AL1547" s="26">
        <v>0.94596125523960573</v>
      </c>
      <c r="AM1547" s="25">
        <v>0.99</v>
      </c>
      <c r="AN1547" s="30">
        <v>1</v>
      </c>
      <c r="AO1547" s="30">
        <v>1</v>
      </c>
      <c r="AP1547" s="30">
        <v>1</v>
      </c>
      <c r="AQ1547" s="30">
        <v>1</v>
      </c>
      <c r="AR1547" s="50">
        <v>0.110069253262963</v>
      </c>
      <c r="AS1547" s="34">
        <v>0.33333333333333331</v>
      </c>
      <c r="AT1547" s="34">
        <v>0</v>
      </c>
      <c r="AU1547" s="34">
        <v>7.1428571428571425E-2</v>
      </c>
      <c r="AV1547" s="34">
        <v>9.0277777777777776E-2</v>
      </c>
      <c r="AW1547" s="10"/>
      <c r="AX1547" s="8"/>
    </row>
    <row r="1548" spans="1:50">
      <c r="A1548" s="7"/>
      <c r="B1548" s="10"/>
      <c r="C1548" s="45" t="s">
        <v>1468</v>
      </c>
      <c r="D1548" s="23" t="s">
        <v>27</v>
      </c>
      <c r="E1548" s="61" t="s">
        <v>1592</v>
      </c>
      <c r="F1548" s="61" t="s">
        <v>1592</v>
      </c>
      <c r="G1548" s="61" t="s">
        <v>1592</v>
      </c>
      <c r="H1548" s="61" t="s">
        <v>1592</v>
      </c>
      <c r="I1548" s="25">
        <v>0.9</v>
      </c>
      <c r="J1548" s="26">
        <v>1</v>
      </c>
      <c r="K1548" s="26">
        <v>1</v>
      </c>
      <c r="L1548" s="27">
        <v>1</v>
      </c>
      <c r="M1548" s="26">
        <v>0.99115044247787609</v>
      </c>
      <c r="N1548" s="28">
        <v>0.9</v>
      </c>
      <c r="O1548" s="26">
        <v>0.93799002138275123</v>
      </c>
      <c r="P1548" s="26">
        <v>0.95035149384885764</v>
      </c>
      <c r="Q1548" s="26">
        <v>0.97820308346624141</v>
      </c>
      <c r="R1548" s="26">
        <v>0.94197098549274638</v>
      </c>
      <c r="S1548" s="28">
        <v>0.9</v>
      </c>
      <c r="T1548" s="26">
        <v>0.8898788310762652</v>
      </c>
      <c r="U1548" s="26">
        <v>0.92530755711775048</v>
      </c>
      <c r="V1548" s="26">
        <v>0.94683678894205214</v>
      </c>
      <c r="W1548" s="26">
        <v>0.93491745872936471</v>
      </c>
      <c r="X1548" s="28">
        <v>0.92</v>
      </c>
      <c r="Y1548" s="28">
        <v>0</v>
      </c>
      <c r="Z1548" s="28">
        <v>0</v>
      </c>
      <c r="AA1548" s="28">
        <v>0</v>
      </c>
      <c r="AB1548" s="28">
        <v>0</v>
      </c>
      <c r="AC1548" s="28">
        <v>0.92</v>
      </c>
      <c r="AD1548" s="26">
        <v>1</v>
      </c>
      <c r="AE1548" s="26">
        <v>0.97468354430379744</v>
      </c>
      <c r="AF1548" s="26">
        <v>0.9887640449438202</v>
      </c>
      <c r="AG1548" s="26">
        <v>0.98133748055987557</v>
      </c>
      <c r="AH1548" s="28">
        <v>0.92</v>
      </c>
      <c r="AI1548" s="26">
        <v>0.94761225944404848</v>
      </c>
      <c r="AJ1548" s="26">
        <v>0.97056239015817225</v>
      </c>
      <c r="AK1548" s="26">
        <v>0.97554492291334394</v>
      </c>
      <c r="AL1548" s="26">
        <v>0.97453726863431711</v>
      </c>
      <c r="AM1548" s="25">
        <v>0.99</v>
      </c>
      <c r="AN1548" s="30">
        <v>1</v>
      </c>
      <c r="AO1548" s="30">
        <v>1</v>
      </c>
      <c r="AP1548" s="30">
        <v>1</v>
      </c>
      <c r="AQ1548" s="30">
        <v>1</v>
      </c>
      <c r="AR1548" s="50">
        <v>0.110069253262963</v>
      </c>
      <c r="AS1548" s="34">
        <v>0.15384615384615385</v>
      </c>
      <c r="AT1548" s="34">
        <v>5.8823529411764705E-2</v>
      </c>
      <c r="AU1548" s="34">
        <v>0</v>
      </c>
      <c r="AV1548" s="34">
        <v>6.7226890756302518E-2</v>
      </c>
      <c r="AW1548" s="10"/>
      <c r="AX1548" s="8"/>
    </row>
    <row r="1549" spans="1:50">
      <c r="A1549" s="7"/>
      <c r="B1549" s="10"/>
      <c r="C1549" s="45" t="s">
        <v>1468</v>
      </c>
      <c r="D1549" s="23" t="s">
        <v>27</v>
      </c>
      <c r="E1549" s="61" t="s">
        <v>1593</v>
      </c>
      <c r="F1549" s="61" t="s">
        <v>1593</v>
      </c>
      <c r="G1549" s="61" t="s">
        <v>1593</v>
      </c>
      <c r="H1549" s="61" t="s">
        <v>1593</v>
      </c>
      <c r="I1549" s="25">
        <v>0.9</v>
      </c>
      <c r="J1549" s="26">
        <v>1</v>
      </c>
      <c r="K1549" s="26">
        <v>1</v>
      </c>
      <c r="L1549" s="27">
        <v>1</v>
      </c>
      <c r="M1549" s="26">
        <v>1</v>
      </c>
      <c r="N1549" s="28">
        <v>0.9</v>
      </c>
      <c r="O1549" s="26">
        <v>0.9503105590062112</v>
      </c>
      <c r="P1549" s="26">
        <v>0.91413852318259869</v>
      </c>
      <c r="Q1549" s="26">
        <v>0.89517684887459803</v>
      </c>
      <c r="R1549" s="26">
        <v>0.92024906175366772</v>
      </c>
      <c r="S1549" s="28">
        <v>0.9</v>
      </c>
      <c r="T1549" s="26">
        <v>0.64182194616977228</v>
      </c>
      <c r="U1549" s="26">
        <v>0.5535203205495135</v>
      </c>
      <c r="V1549" s="26">
        <v>0.65337620578778133</v>
      </c>
      <c r="W1549" s="26">
        <v>0.65992835209825995</v>
      </c>
      <c r="X1549" s="28">
        <v>0.92</v>
      </c>
      <c r="Y1549" s="28">
        <v>0</v>
      </c>
      <c r="Z1549" s="28">
        <v>0</v>
      </c>
      <c r="AA1549" s="28">
        <v>0</v>
      </c>
      <c r="AB1549" s="28">
        <v>0</v>
      </c>
      <c r="AC1549" s="28">
        <v>0.92</v>
      </c>
      <c r="AD1549" s="26">
        <v>1</v>
      </c>
      <c r="AE1549" s="26">
        <v>1</v>
      </c>
      <c r="AF1549" s="26">
        <v>1</v>
      </c>
      <c r="AG1549" s="26">
        <v>1</v>
      </c>
      <c r="AH1549" s="28">
        <v>0.92</v>
      </c>
      <c r="AI1549" s="26">
        <v>0.95238095238095233</v>
      </c>
      <c r="AJ1549" s="26">
        <v>0.91127647395535205</v>
      </c>
      <c r="AK1549" s="26">
        <v>0.9209003215434084</v>
      </c>
      <c r="AL1549" s="26">
        <v>0.92212555441828725</v>
      </c>
      <c r="AM1549" s="25">
        <v>0.99</v>
      </c>
      <c r="AN1549" s="30">
        <v>1</v>
      </c>
      <c r="AO1549" s="30">
        <v>1</v>
      </c>
      <c r="AP1549" s="30">
        <v>1</v>
      </c>
      <c r="AQ1549" s="30">
        <v>1</v>
      </c>
      <c r="AR1549" s="50">
        <v>0.110069253262963</v>
      </c>
      <c r="AS1549" s="34">
        <v>0.125</v>
      </c>
      <c r="AT1549" s="34">
        <v>0</v>
      </c>
      <c r="AU1549" s="34">
        <v>0</v>
      </c>
      <c r="AV1549" s="34">
        <v>7.1428571428571425E-2</v>
      </c>
      <c r="AW1549" s="10"/>
      <c r="AX1549" s="8"/>
    </row>
    <row r="1550" spans="1:50">
      <c r="A1550" s="7"/>
      <c r="B1550" s="10"/>
      <c r="C1550" s="45" t="s">
        <v>1468</v>
      </c>
      <c r="D1550" s="23" t="s">
        <v>27</v>
      </c>
      <c r="E1550" s="61" t="s">
        <v>1594</v>
      </c>
      <c r="F1550" s="61" t="s">
        <v>1594</v>
      </c>
      <c r="G1550" s="61" t="s">
        <v>1594</v>
      </c>
      <c r="H1550" s="61" t="s">
        <v>1594</v>
      </c>
      <c r="I1550" s="25">
        <v>0.9</v>
      </c>
      <c r="J1550" s="26">
        <v>0.8571428571428571</v>
      </c>
      <c r="K1550" s="26">
        <v>0.92</v>
      </c>
      <c r="L1550" s="27">
        <v>0.9285714285714286</v>
      </c>
      <c r="M1550" s="26">
        <v>0.8867924528301887</v>
      </c>
      <c r="N1550" s="28">
        <v>0.9</v>
      </c>
      <c r="O1550" s="26">
        <v>0.85395384033295496</v>
      </c>
      <c r="P1550" s="26">
        <v>0.82085020242914974</v>
      </c>
      <c r="Q1550" s="26">
        <v>0.86296840558412935</v>
      </c>
      <c r="R1550" s="26">
        <v>0.86340330850343427</v>
      </c>
      <c r="S1550" s="28">
        <v>0.9</v>
      </c>
      <c r="T1550" s="26">
        <v>0.50737797956867192</v>
      </c>
      <c r="U1550" s="26">
        <v>0.49932523616734142</v>
      </c>
      <c r="V1550" s="26">
        <v>0.52645113886847905</v>
      </c>
      <c r="W1550" s="26">
        <v>0.51252781271161851</v>
      </c>
      <c r="X1550" s="28">
        <v>0.92</v>
      </c>
      <c r="Y1550" s="28">
        <v>0</v>
      </c>
      <c r="Z1550" s="28">
        <v>0</v>
      </c>
      <c r="AA1550" s="28">
        <v>0</v>
      </c>
      <c r="AB1550" s="28">
        <v>0</v>
      </c>
      <c r="AC1550" s="28">
        <v>0.92</v>
      </c>
      <c r="AD1550" s="26">
        <v>1</v>
      </c>
      <c r="AE1550" s="26">
        <v>0.99230769230769234</v>
      </c>
      <c r="AF1550" s="26">
        <v>0.96739130434782605</v>
      </c>
      <c r="AG1550" s="26">
        <v>0.99013968775677896</v>
      </c>
      <c r="AH1550" s="28">
        <v>0.92</v>
      </c>
      <c r="AI1550" s="26">
        <v>0.89027620128641693</v>
      </c>
      <c r="AJ1550" s="26">
        <v>0.85796221322537114</v>
      </c>
      <c r="AK1550" s="26">
        <v>0.90374724467303458</v>
      </c>
      <c r="AL1550" s="26">
        <v>0.86175873077295151</v>
      </c>
      <c r="AM1550" s="25">
        <v>0.99</v>
      </c>
      <c r="AN1550" s="30">
        <v>1</v>
      </c>
      <c r="AO1550" s="30">
        <v>1</v>
      </c>
      <c r="AP1550" s="30">
        <v>1</v>
      </c>
      <c r="AQ1550" s="30">
        <v>1</v>
      </c>
      <c r="AR1550" s="50">
        <v>0.110069253262963</v>
      </c>
      <c r="AS1550" s="34">
        <v>1.8018018018018018E-2</v>
      </c>
      <c r="AT1550" s="34">
        <v>0.1388888888888889</v>
      </c>
      <c r="AU1550" s="34">
        <v>3.896103896103896E-2</v>
      </c>
      <c r="AV1550" s="34">
        <v>0.05</v>
      </c>
      <c r="AW1550" s="10"/>
      <c r="AX1550" s="8"/>
    </row>
    <row r="1551" spans="1:50">
      <c r="A1551" s="7"/>
      <c r="B1551" s="10"/>
      <c r="C1551" s="45" t="s">
        <v>1468</v>
      </c>
      <c r="D1551" s="23" t="s">
        <v>27</v>
      </c>
      <c r="E1551" s="61" t="s">
        <v>1595</v>
      </c>
      <c r="F1551" s="61" t="s">
        <v>1595</v>
      </c>
      <c r="G1551" s="61" t="s">
        <v>1595</v>
      </c>
      <c r="H1551" s="61" t="s">
        <v>1595</v>
      </c>
      <c r="I1551" s="25">
        <v>0.9</v>
      </c>
      <c r="J1551" s="26">
        <v>1</v>
      </c>
      <c r="K1551" s="26">
        <v>0.95</v>
      </c>
      <c r="L1551" s="27">
        <v>0.9</v>
      </c>
      <c r="M1551" s="26">
        <v>0.92307692307692313</v>
      </c>
      <c r="N1551" s="28">
        <v>0.9</v>
      </c>
      <c r="O1551" s="26">
        <v>0</v>
      </c>
      <c r="P1551" s="26">
        <v>0</v>
      </c>
      <c r="Q1551" s="26">
        <v>0</v>
      </c>
      <c r="R1551" s="26">
        <v>0</v>
      </c>
      <c r="S1551" s="28">
        <v>0.9</v>
      </c>
      <c r="T1551" s="26">
        <v>0</v>
      </c>
      <c r="U1551" s="26">
        <v>0</v>
      </c>
      <c r="V1551" s="26">
        <v>0</v>
      </c>
      <c r="W1551" s="26">
        <v>0</v>
      </c>
      <c r="X1551" s="28">
        <v>0.92</v>
      </c>
      <c r="Y1551" s="28">
        <v>0</v>
      </c>
      <c r="Z1551" s="28">
        <v>0</v>
      </c>
      <c r="AA1551" s="28">
        <v>0</v>
      </c>
      <c r="AB1551" s="28">
        <v>0</v>
      </c>
      <c r="AC1551" s="28">
        <v>0.92</v>
      </c>
      <c r="AD1551" s="26">
        <v>0.90476190476190477</v>
      </c>
      <c r="AE1551" s="26">
        <v>0.51724137931034486</v>
      </c>
      <c r="AF1551" s="26">
        <v>0.94444444444444442</v>
      </c>
      <c r="AG1551" s="26">
        <v>0.77777777777777779</v>
      </c>
      <c r="AH1551" s="28">
        <v>0.92</v>
      </c>
      <c r="AI1551" s="26">
        <v>0.91733067729083662</v>
      </c>
      <c r="AJ1551" s="26">
        <v>0.95928080380750924</v>
      </c>
      <c r="AK1551" s="26">
        <v>0.97653194263363752</v>
      </c>
      <c r="AL1551" s="26">
        <v>0.97139164659578214</v>
      </c>
      <c r="AM1551" s="25">
        <v>0.99</v>
      </c>
      <c r="AN1551" s="30">
        <v>1</v>
      </c>
      <c r="AO1551" s="30">
        <v>1</v>
      </c>
      <c r="AP1551" s="30">
        <v>1</v>
      </c>
      <c r="AQ1551" s="30">
        <v>1</v>
      </c>
      <c r="AR1551" s="50">
        <v>0.110069253262963</v>
      </c>
      <c r="AS1551" s="34">
        <v>0</v>
      </c>
      <c r="AT1551" s="34">
        <v>6.6666666666666666E-2</v>
      </c>
      <c r="AU1551" s="34">
        <v>6.6666666666666666E-2</v>
      </c>
      <c r="AV1551" s="34">
        <v>6.535947712418301E-2</v>
      </c>
      <c r="AW1551" s="10"/>
      <c r="AX1551" s="8"/>
    </row>
    <row r="1552" spans="1:50">
      <c r="A1552" s="7"/>
      <c r="B1552" s="10"/>
      <c r="C1552" s="45" t="s">
        <v>1468</v>
      </c>
      <c r="D1552" s="23" t="s">
        <v>27</v>
      </c>
      <c r="E1552" s="61" t="s">
        <v>1596</v>
      </c>
      <c r="F1552" s="61" t="s">
        <v>1596</v>
      </c>
      <c r="G1552" s="61" t="s">
        <v>1596</v>
      </c>
      <c r="H1552" s="61" t="s">
        <v>1596</v>
      </c>
      <c r="I1552" s="25">
        <v>0.9</v>
      </c>
      <c r="J1552" s="26">
        <v>0.97222222222222221</v>
      </c>
      <c r="K1552" s="26">
        <v>1</v>
      </c>
      <c r="L1552" s="27">
        <v>0.97222222222222221</v>
      </c>
      <c r="M1552" s="26">
        <v>0.95470383275261328</v>
      </c>
      <c r="N1552" s="28">
        <v>0.9</v>
      </c>
      <c r="O1552" s="26">
        <v>0.98836126629422716</v>
      </c>
      <c r="P1552" s="26">
        <v>0.98113723346090764</v>
      </c>
      <c r="Q1552" s="26">
        <v>0.98961474036850916</v>
      </c>
      <c r="R1552" s="26">
        <v>0.96880925913816784</v>
      </c>
      <c r="S1552" s="28">
        <v>0.9</v>
      </c>
      <c r="T1552" s="26">
        <v>0.87965549348230909</v>
      </c>
      <c r="U1552" s="26">
        <v>0.89611809732094039</v>
      </c>
      <c r="V1552" s="26">
        <v>0.89112227805695143</v>
      </c>
      <c r="W1552" s="26">
        <v>0.87147714640685281</v>
      </c>
      <c r="X1552" s="28">
        <v>0.92</v>
      </c>
      <c r="Y1552" s="28">
        <v>0</v>
      </c>
      <c r="Z1552" s="28">
        <v>0</v>
      </c>
      <c r="AA1552" s="28">
        <v>0</v>
      </c>
      <c r="AB1552" s="28">
        <v>0</v>
      </c>
      <c r="AC1552" s="28">
        <v>0.92</v>
      </c>
      <c r="AD1552" s="26">
        <v>0.98901098901098905</v>
      </c>
      <c r="AE1552" s="26">
        <v>0.99047619047619051</v>
      </c>
      <c r="AF1552" s="26">
        <v>1</v>
      </c>
      <c r="AG1552" s="26">
        <v>0.99451754385964908</v>
      </c>
      <c r="AH1552" s="28">
        <v>0.92</v>
      </c>
      <c r="AI1552" s="26">
        <v>0.95367783985102417</v>
      </c>
      <c r="AJ1552" s="26">
        <v>0.96992892290869326</v>
      </c>
      <c r="AK1552" s="26">
        <v>0.97421299397186867</v>
      </c>
      <c r="AL1552" s="26">
        <v>0.96544283519142116</v>
      </c>
      <c r="AM1552" s="25">
        <v>0.99</v>
      </c>
      <c r="AN1552" s="30">
        <v>1</v>
      </c>
      <c r="AO1552" s="30">
        <v>1</v>
      </c>
      <c r="AP1552" s="30">
        <v>1</v>
      </c>
      <c r="AQ1552" s="30">
        <v>1</v>
      </c>
      <c r="AR1552" s="50">
        <v>0.110069253262963</v>
      </c>
      <c r="AS1552" s="34">
        <v>7.9365079365079361E-3</v>
      </c>
      <c r="AT1552" s="34">
        <v>8.9285714285714288E-2</v>
      </c>
      <c r="AU1552" s="34">
        <v>6.4935064935064929E-2</v>
      </c>
      <c r="AV1552" s="34">
        <v>4.6571798188874518E-2</v>
      </c>
      <c r="AW1552" s="10"/>
      <c r="AX1552" s="8"/>
    </row>
    <row r="1553" spans="1:50">
      <c r="A1553" s="7"/>
      <c r="B1553" s="10"/>
      <c r="C1553" s="45" t="s">
        <v>1468</v>
      </c>
      <c r="D1553" s="23" t="s">
        <v>27</v>
      </c>
      <c r="E1553" s="61" t="s">
        <v>1597</v>
      </c>
      <c r="F1553" s="61" t="s">
        <v>1597</v>
      </c>
      <c r="G1553" s="61" t="s">
        <v>1597</v>
      </c>
      <c r="H1553" s="61" t="s">
        <v>1597</v>
      </c>
      <c r="I1553" s="25">
        <v>0.9</v>
      </c>
      <c r="J1553" s="26">
        <v>0</v>
      </c>
      <c r="K1553" s="26">
        <v>0</v>
      </c>
      <c r="L1553" s="27">
        <v>0</v>
      </c>
      <c r="M1553" s="26">
        <v>0</v>
      </c>
      <c r="N1553" s="28">
        <v>0.9</v>
      </c>
      <c r="O1553" s="26">
        <v>0</v>
      </c>
      <c r="P1553" s="26">
        <v>0</v>
      </c>
      <c r="Q1553" s="26">
        <v>0</v>
      </c>
      <c r="R1553" s="26">
        <v>0</v>
      </c>
      <c r="S1553" s="28">
        <v>0.9</v>
      </c>
      <c r="T1553" s="26">
        <v>0</v>
      </c>
      <c r="U1553" s="26">
        <v>0</v>
      </c>
      <c r="V1553" s="26">
        <v>0</v>
      </c>
      <c r="W1553" s="26">
        <v>0</v>
      </c>
      <c r="X1553" s="28">
        <v>0.92</v>
      </c>
      <c r="Y1553" s="28">
        <v>0</v>
      </c>
      <c r="Z1553" s="28">
        <v>0</v>
      </c>
      <c r="AA1553" s="28">
        <v>0</v>
      </c>
      <c r="AB1553" s="28">
        <v>0</v>
      </c>
      <c r="AC1553" s="28">
        <v>0.92</v>
      </c>
      <c r="AD1553" s="26">
        <v>0</v>
      </c>
      <c r="AE1553" s="26">
        <v>0</v>
      </c>
      <c r="AF1553" s="26">
        <v>0</v>
      </c>
      <c r="AG1553" s="26">
        <v>0</v>
      </c>
      <c r="AH1553" s="28">
        <v>0.92</v>
      </c>
      <c r="AI1553" s="26">
        <v>0</v>
      </c>
      <c r="AJ1553" s="26">
        <v>0</v>
      </c>
      <c r="AK1553" s="26">
        <v>0</v>
      </c>
      <c r="AL1553" s="26">
        <v>0</v>
      </c>
      <c r="AM1553" s="25">
        <v>0.99</v>
      </c>
      <c r="AN1553" s="30">
        <v>0</v>
      </c>
      <c r="AO1553" s="30">
        <v>0</v>
      </c>
      <c r="AP1553" s="30">
        <v>0</v>
      </c>
      <c r="AQ1553" s="30">
        <v>0</v>
      </c>
      <c r="AR1553" s="50">
        <v>0.110069253262963</v>
      </c>
      <c r="AS1553" s="34">
        <v>0</v>
      </c>
      <c r="AT1553" s="34">
        <v>0</v>
      </c>
      <c r="AU1553" s="34">
        <v>0</v>
      </c>
      <c r="AV1553" s="34">
        <v>0</v>
      </c>
      <c r="AW1553" s="10"/>
      <c r="AX1553" s="8"/>
    </row>
    <row r="1554" spans="1:50">
      <c r="A1554" s="7"/>
      <c r="B1554" s="10"/>
      <c r="C1554" s="45" t="s">
        <v>1468</v>
      </c>
      <c r="D1554" s="23" t="s">
        <v>27</v>
      </c>
      <c r="E1554" s="61" t="s">
        <v>1598</v>
      </c>
      <c r="F1554" s="61" t="s">
        <v>1598</v>
      </c>
      <c r="G1554" s="61" t="s">
        <v>1598</v>
      </c>
      <c r="H1554" s="61" t="s">
        <v>1598</v>
      </c>
      <c r="I1554" s="25">
        <v>0.9</v>
      </c>
      <c r="J1554" s="26">
        <v>0.82352941176470584</v>
      </c>
      <c r="K1554" s="26">
        <v>1</v>
      </c>
      <c r="L1554" s="27">
        <v>1</v>
      </c>
      <c r="M1554" s="26">
        <v>0.97202797202797198</v>
      </c>
      <c r="N1554" s="28">
        <v>0.9</v>
      </c>
      <c r="O1554" s="26">
        <v>0.96102055279943299</v>
      </c>
      <c r="P1554" s="26">
        <v>0.96164021164021163</v>
      </c>
      <c r="Q1554" s="26">
        <v>0.97068145800316952</v>
      </c>
      <c r="R1554" s="26">
        <v>0.97029629076796775</v>
      </c>
      <c r="S1554" s="28">
        <v>0.9</v>
      </c>
      <c r="T1554" s="26">
        <v>0.53649893692416728</v>
      </c>
      <c r="U1554" s="26">
        <v>0.44620811287477952</v>
      </c>
      <c r="V1554" s="26">
        <v>0.62440570522979399</v>
      </c>
      <c r="W1554" s="26">
        <v>0.52100903052466607</v>
      </c>
      <c r="X1554" s="28">
        <v>0.92</v>
      </c>
      <c r="Y1554" s="28">
        <v>0</v>
      </c>
      <c r="Z1554" s="28">
        <v>0</v>
      </c>
      <c r="AA1554" s="28">
        <v>0</v>
      </c>
      <c r="AB1554" s="28">
        <v>0</v>
      </c>
      <c r="AC1554" s="28">
        <v>0.92</v>
      </c>
      <c r="AD1554" s="26">
        <v>1</v>
      </c>
      <c r="AE1554" s="26">
        <v>1</v>
      </c>
      <c r="AF1554" s="26">
        <v>1</v>
      </c>
      <c r="AG1554" s="26">
        <v>0.97872340425531912</v>
      </c>
      <c r="AH1554" s="28">
        <v>0.92</v>
      </c>
      <c r="AI1554" s="26">
        <v>0.88377037562012761</v>
      </c>
      <c r="AJ1554" s="26">
        <v>0.89109347442680775</v>
      </c>
      <c r="AK1554" s="26">
        <v>0.88193343898573695</v>
      </c>
      <c r="AL1554" s="26">
        <v>0.90484364504813797</v>
      </c>
      <c r="AM1554" s="25">
        <v>0.99</v>
      </c>
      <c r="AN1554" s="30">
        <v>1</v>
      </c>
      <c r="AO1554" s="30">
        <v>1</v>
      </c>
      <c r="AP1554" s="30">
        <v>1</v>
      </c>
      <c r="AQ1554" s="30">
        <v>1</v>
      </c>
      <c r="AR1554" s="50">
        <v>0.110069253262963</v>
      </c>
      <c r="AS1554" s="34">
        <v>0</v>
      </c>
      <c r="AT1554" s="34">
        <v>0.16666666666666666</v>
      </c>
      <c r="AU1554" s="34">
        <v>9.0909090909090912E-2</v>
      </c>
      <c r="AV1554" s="34">
        <v>6.097560975609756E-2</v>
      </c>
      <c r="AW1554" s="10"/>
      <c r="AX1554" s="8"/>
    </row>
    <row r="1555" spans="1:50">
      <c r="A1555" s="7"/>
      <c r="B1555" s="10"/>
      <c r="C1555" s="45" t="s">
        <v>1468</v>
      </c>
      <c r="D1555" s="23" t="s">
        <v>27</v>
      </c>
      <c r="E1555" s="61" t="s">
        <v>1599</v>
      </c>
      <c r="F1555" s="61" t="s">
        <v>1599</v>
      </c>
      <c r="G1555" s="61" t="s">
        <v>1599</v>
      </c>
      <c r="H1555" s="61" t="s">
        <v>1599</v>
      </c>
      <c r="I1555" s="25">
        <v>0.9</v>
      </c>
      <c r="J1555" s="26">
        <v>0.94444444444444442</v>
      </c>
      <c r="K1555" s="26">
        <v>0.94444444444444442</v>
      </c>
      <c r="L1555" s="27">
        <v>0.94736842105263153</v>
      </c>
      <c r="M1555" s="26">
        <v>0.94557823129251706</v>
      </c>
      <c r="N1555" s="28">
        <v>0.9</v>
      </c>
      <c r="O1555" s="26">
        <v>0</v>
      </c>
      <c r="P1555" s="26">
        <v>0</v>
      </c>
      <c r="Q1555" s="26">
        <v>0</v>
      </c>
      <c r="R1555" s="26">
        <v>0</v>
      </c>
      <c r="S1555" s="28">
        <v>0.9</v>
      </c>
      <c r="T1555" s="26">
        <v>0</v>
      </c>
      <c r="U1555" s="26">
        <v>0</v>
      </c>
      <c r="V1555" s="26">
        <v>0</v>
      </c>
      <c r="W1555" s="26">
        <v>1</v>
      </c>
      <c r="X1555" s="28">
        <v>0.92</v>
      </c>
      <c r="Y1555" s="28">
        <v>0</v>
      </c>
      <c r="Z1555" s="28">
        <v>0</v>
      </c>
      <c r="AA1555" s="28">
        <v>0</v>
      </c>
      <c r="AB1555" s="28">
        <v>0</v>
      </c>
      <c r="AC1555" s="28">
        <v>0.92</v>
      </c>
      <c r="AD1555" s="26">
        <v>1</v>
      </c>
      <c r="AE1555" s="26">
        <v>0</v>
      </c>
      <c r="AF1555" s="26">
        <v>1</v>
      </c>
      <c r="AG1555" s="26">
        <v>0.35294117647058826</v>
      </c>
      <c r="AH1555" s="28">
        <v>0.92</v>
      </c>
      <c r="AI1555" s="26">
        <v>0.69203849518810145</v>
      </c>
      <c r="AJ1555" s="26">
        <v>0.81261711430356032</v>
      </c>
      <c r="AK1555" s="26">
        <v>0.82209585702680743</v>
      </c>
      <c r="AL1555" s="26">
        <v>0.83706455175183214</v>
      </c>
      <c r="AM1555" s="25">
        <v>0.99</v>
      </c>
      <c r="AN1555" s="30">
        <v>0</v>
      </c>
      <c r="AO1555" s="30">
        <v>0</v>
      </c>
      <c r="AP1555" s="30">
        <v>0</v>
      </c>
      <c r="AQ1555" s="30">
        <v>1</v>
      </c>
      <c r="AR1555" s="50">
        <v>0.110069253262963</v>
      </c>
      <c r="AS1555" s="34">
        <v>0.14814814814814814</v>
      </c>
      <c r="AT1555" s="34">
        <v>0.1111111111111111</v>
      </c>
      <c r="AU1555" s="34">
        <v>0.40740740740740738</v>
      </c>
      <c r="AV1555" s="34">
        <v>0.17054263565891473</v>
      </c>
      <c r="AW1555" s="10"/>
      <c r="AX1555" s="8"/>
    </row>
    <row r="1556" spans="1:50">
      <c r="A1556" s="7"/>
      <c r="B1556" s="10"/>
      <c r="C1556" s="45" t="s">
        <v>1468</v>
      </c>
      <c r="D1556" s="23" t="s">
        <v>27</v>
      </c>
      <c r="E1556" s="61" t="s">
        <v>1600</v>
      </c>
      <c r="F1556" s="61" t="s">
        <v>1600</v>
      </c>
      <c r="G1556" s="61" t="s">
        <v>1600</v>
      </c>
      <c r="H1556" s="61" t="s">
        <v>1600</v>
      </c>
      <c r="I1556" s="25">
        <v>0.9</v>
      </c>
      <c r="J1556" s="26">
        <v>0.88235294117647056</v>
      </c>
      <c r="K1556" s="26">
        <v>0.86842105263157898</v>
      </c>
      <c r="L1556" s="27">
        <v>0.94285714285714284</v>
      </c>
      <c r="M1556" s="26">
        <v>0.92057761732851984</v>
      </c>
      <c r="N1556" s="28">
        <v>0.9</v>
      </c>
      <c r="O1556" s="26">
        <v>0.99352191751241636</v>
      </c>
      <c r="P1556" s="26">
        <v>0.99390509360034829</v>
      </c>
      <c r="Q1556" s="26">
        <v>0.99313227829202744</v>
      </c>
      <c r="R1556" s="26">
        <v>0.98696670044376111</v>
      </c>
      <c r="S1556" s="28">
        <v>0.9</v>
      </c>
      <c r="T1556" s="26">
        <v>0.89894191319369465</v>
      </c>
      <c r="U1556" s="26">
        <v>0.91771876360470184</v>
      </c>
      <c r="V1556" s="26">
        <v>0.906240668856375</v>
      </c>
      <c r="W1556" s="26">
        <v>0.88483175512771239</v>
      </c>
      <c r="X1556" s="28">
        <v>0.92</v>
      </c>
      <c r="Y1556" s="28">
        <v>0</v>
      </c>
      <c r="Z1556" s="28">
        <v>0</v>
      </c>
      <c r="AA1556" s="28">
        <v>0</v>
      </c>
      <c r="AB1556" s="28">
        <v>0</v>
      </c>
      <c r="AC1556" s="28">
        <v>0.92</v>
      </c>
      <c r="AD1556" s="26">
        <v>0.9</v>
      </c>
      <c r="AE1556" s="26">
        <v>0.47619047619047616</v>
      </c>
      <c r="AF1556" s="26">
        <v>0.73684210526315785</v>
      </c>
      <c r="AG1556" s="26">
        <v>0.72483221476510062</v>
      </c>
      <c r="AH1556" s="28">
        <v>0.92</v>
      </c>
      <c r="AI1556" s="26">
        <v>0.95746977547495682</v>
      </c>
      <c r="AJ1556" s="26">
        <v>0.97692642577274702</v>
      </c>
      <c r="AK1556" s="26">
        <v>0.96597014925373137</v>
      </c>
      <c r="AL1556" s="26">
        <v>0.9684857801691007</v>
      </c>
      <c r="AM1556" s="25">
        <v>0.99</v>
      </c>
      <c r="AN1556" s="30">
        <v>1</v>
      </c>
      <c r="AO1556" s="30">
        <v>0</v>
      </c>
      <c r="AP1556" s="30">
        <v>1</v>
      </c>
      <c r="AQ1556" s="30">
        <v>1</v>
      </c>
      <c r="AR1556" s="50">
        <v>0.110069253262963</v>
      </c>
      <c r="AS1556" s="34">
        <v>0</v>
      </c>
      <c r="AT1556" s="34">
        <v>0.54545454545454541</v>
      </c>
      <c r="AU1556" s="34">
        <v>0</v>
      </c>
      <c r="AV1556" s="34">
        <v>0.15492957746478872</v>
      </c>
      <c r="AW1556" s="10"/>
      <c r="AX1556" s="8"/>
    </row>
    <row r="1557" spans="1:50">
      <c r="A1557" s="7"/>
      <c r="B1557" s="10"/>
      <c r="C1557" s="45" t="s">
        <v>1468</v>
      </c>
      <c r="D1557" s="23" t="s">
        <v>27</v>
      </c>
      <c r="E1557" s="61" t="s">
        <v>1601</v>
      </c>
      <c r="F1557" s="61" t="s">
        <v>1601</v>
      </c>
      <c r="G1557" s="61" t="s">
        <v>1601</v>
      </c>
      <c r="H1557" s="61" t="s">
        <v>1601</v>
      </c>
      <c r="I1557" s="25">
        <v>0.9</v>
      </c>
      <c r="J1557" s="26">
        <v>0.875</v>
      </c>
      <c r="K1557" s="26">
        <v>0.8571428571428571</v>
      </c>
      <c r="L1557" s="27">
        <v>0.92307692307692313</v>
      </c>
      <c r="M1557" s="26">
        <v>0.86635944700460832</v>
      </c>
      <c r="N1557" s="28">
        <v>0.9</v>
      </c>
      <c r="O1557" s="26">
        <v>0.95335276967930027</v>
      </c>
      <c r="P1557" s="26">
        <v>0.97853441894892668</v>
      </c>
      <c r="Q1557" s="26">
        <v>0.99153498871331824</v>
      </c>
      <c r="R1557" s="26">
        <v>0.97695162445471706</v>
      </c>
      <c r="S1557" s="28">
        <v>0.9</v>
      </c>
      <c r="T1557" s="26">
        <v>0.89795918367346939</v>
      </c>
      <c r="U1557" s="26">
        <v>0.91265729089563286</v>
      </c>
      <c r="V1557" s="26">
        <v>0.92607223476297973</v>
      </c>
      <c r="W1557" s="26">
        <v>0.92200013021681104</v>
      </c>
      <c r="X1557" s="28">
        <v>0.92</v>
      </c>
      <c r="Y1557" s="28">
        <v>0</v>
      </c>
      <c r="Z1557" s="28">
        <v>0</v>
      </c>
      <c r="AA1557" s="28">
        <v>0</v>
      </c>
      <c r="AB1557" s="28">
        <v>0</v>
      </c>
      <c r="AC1557" s="28">
        <v>0.92</v>
      </c>
      <c r="AD1557" s="26">
        <v>0.5714285714285714</v>
      </c>
      <c r="AE1557" s="26">
        <v>1</v>
      </c>
      <c r="AF1557" s="26">
        <v>1</v>
      </c>
      <c r="AG1557" s="26">
        <v>0.63888888888888884</v>
      </c>
      <c r="AH1557" s="28">
        <v>0.92</v>
      </c>
      <c r="AI1557" s="26">
        <v>0.94127446897126199</v>
      </c>
      <c r="AJ1557" s="26">
        <v>0.9689119170984456</v>
      </c>
      <c r="AK1557" s="26">
        <v>0.96162528216704291</v>
      </c>
      <c r="AL1557" s="26">
        <v>0.96894733415793244</v>
      </c>
      <c r="AM1557" s="25">
        <v>0.99</v>
      </c>
      <c r="AN1557" s="30">
        <v>1</v>
      </c>
      <c r="AO1557" s="30">
        <v>1</v>
      </c>
      <c r="AP1557" s="30">
        <v>1</v>
      </c>
      <c r="AQ1557" s="30">
        <v>1</v>
      </c>
      <c r="AR1557" s="50">
        <v>0.110069253262963</v>
      </c>
      <c r="AS1557" s="34">
        <v>0.41666666666666669</v>
      </c>
      <c r="AT1557" s="34">
        <v>0.14285714285714285</v>
      </c>
      <c r="AU1557" s="34">
        <v>0</v>
      </c>
      <c r="AV1557" s="34">
        <v>0.22535211267605634</v>
      </c>
      <c r="AW1557" s="10"/>
      <c r="AX1557" s="8"/>
    </row>
    <row r="1558" spans="1:50">
      <c r="A1558" s="7"/>
      <c r="B1558" s="10"/>
      <c r="C1558" s="45" t="s">
        <v>1468</v>
      </c>
      <c r="D1558" s="23" t="s">
        <v>27</v>
      </c>
      <c r="E1558" s="61" t="s">
        <v>1602</v>
      </c>
      <c r="F1558" s="61" t="s">
        <v>1602</v>
      </c>
      <c r="G1558" s="61" t="s">
        <v>1602</v>
      </c>
      <c r="H1558" s="61" t="s">
        <v>1602</v>
      </c>
      <c r="I1558" s="25">
        <v>0.9</v>
      </c>
      <c r="J1558" s="26">
        <v>0.91666666666666663</v>
      </c>
      <c r="K1558" s="26">
        <v>1</v>
      </c>
      <c r="L1558" s="27">
        <v>1</v>
      </c>
      <c r="M1558" s="26">
        <v>0.99137931034482762</v>
      </c>
      <c r="N1558" s="28">
        <v>0.9</v>
      </c>
      <c r="O1558" s="26">
        <v>0.97855611150822019</v>
      </c>
      <c r="P1558" s="26">
        <v>0.84986301369863015</v>
      </c>
      <c r="Q1558" s="26">
        <v>0.98766954377311955</v>
      </c>
      <c r="R1558" s="26">
        <v>0.86285142237423873</v>
      </c>
      <c r="S1558" s="28">
        <v>0.9</v>
      </c>
      <c r="T1558" s="26">
        <v>0.44388849177984274</v>
      </c>
      <c r="U1558" s="26">
        <v>0.36986301369863012</v>
      </c>
      <c r="V1558" s="26">
        <v>0.41985203452527742</v>
      </c>
      <c r="W1558" s="26">
        <v>0.4217068490865104</v>
      </c>
      <c r="X1558" s="28">
        <v>0.92</v>
      </c>
      <c r="Y1558" s="28">
        <v>0</v>
      </c>
      <c r="Z1558" s="28">
        <v>0</v>
      </c>
      <c r="AA1558" s="28">
        <v>0</v>
      </c>
      <c r="AB1558" s="28">
        <v>0</v>
      </c>
      <c r="AC1558" s="28">
        <v>0.92</v>
      </c>
      <c r="AD1558" s="26">
        <v>1</v>
      </c>
      <c r="AE1558" s="26">
        <v>1</v>
      </c>
      <c r="AF1558" s="26">
        <v>1</v>
      </c>
      <c r="AG1558" s="26">
        <v>0.99910474485228296</v>
      </c>
      <c r="AH1558" s="28">
        <v>0.92</v>
      </c>
      <c r="AI1558" s="26">
        <v>0.91136526090064329</v>
      </c>
      <c r="AJ1558" s="26">
        <v>0.87506849315068491</v>
      </c>
      <c r="AK1558" s="26">
        <v>0.90937114673242914</v>
      </c>
      <c r="AL1558" s="26">
        <v>0.85868023692333362</v>
      </c>
      <c r="AM1558" s="25">
        <v>0.99</v>
      </c>
      <c r="AN1558" s="30">
        <v>0</v>
      </c>
      <c r="AO1558" s="30">
        <v>1</v>
      </c>
      <c r="AP1558" s="30">
        <v>0</v>
      </c>
      <c r="AQ1558" s="30">
        <v>1</v>
      </c>
      <c r="AR1558" s="50">
        <v>0.110069253262963</v>
      </c>
      <c r="AS1558" s="34">
        <v>0</v>
      </c>
      <c r="AT1558" s="34">
        <v>0.1875</v>
      </c>
      <c r="AU1558" s="34">
        <v>0</v>
      </c>
      <c r="AV1558" s="34">
        <v>0.05</v>
      </c>
      <c r="AW1558" s="10"/>
      <c r="AX1558" s="8"/>
    </row>
    <row r="1559" spans="1:50">
      <c r="A1559" s="7"/>
      <c r="B1559" s="10"/>
      <c r="C1559" s="45" t="s">
        <v>1468</v>
      </c>
      <c r="D1559" s="23" t="s">
        <v>27</v>
      </c>
      <c r="E1559" s="61" t="s">
        <v>1603</v>
      </c>
      <c r="F1559" s="61" t="s">
        <v>1603</v>
      </c>
      <c r="G1559" s="61" t="s">
        <v>1603</v>
      </c>
      <c r="H1559" s="61" t="s">
        <v>1603</v>
      </c>
      <c r="I1559" s="25">
        <v>0.9</v>
      </c>
      <c r="J1559" s="26">
        <v>1</v>
      </c>
      <c r="K1559" s="26">
        <v>0.5</v>
      </c>
      <c r="L1559" s="27">
        <v>0.66666666666666663</v>
      </c>
      <c r="M1559" s="26">
        <v>0.6966292134831461</v>
      </c>
      <c r="N1559" s="28">
        <v>0.9</v>
      </c>
      <c r="O1559" s="26">
        <v>0</v>
      </c>
      <c r="P1559" s="26">
        <v>0</v>
      </c>
      <c r="Q1559" s="26">
        <v>0</v>
      </c>
      <c r="R1559" s="26">
        <v>0.16666666666666666</v>
      </c>
      <c r="S1559" s="28">
        <v>0.9</v>
      </c>
      <c r="T1559" s="26">
        <v>1</v>
      </c>
      <c r="U1559" s="26">
        <v>0</v>
      </c>
      <c r="V1559" s="26">
        <v>0.25</v>
      </c>
      <c r="W1559" s="26">
        <v>0.33333333333333331</v>
      </c>
      <c r="X1559" s="28">
        <v>0.92</v>
      </c>
      <c r="Y1559" s="28">
        <v>0</v>
      </c>
      <c r="Z1559" s="28">
        <v>0</v>
      </c>
      <c r="AA1559" s="28">
        <v>0</v>
      </c>
      <c r="AB1559" s="28">
        <v>0</v>
      </c>
      <c r="AC1559" s="28">
        <v>0.92</v>
      </c>
      <c r="AD1559" s="26">
        <v>0.77777777777777779</v>
      </c>
      <c r="AE1559" s="26">
        <v>0.83333333333333337</v>
      </c>
      <c r="AF1559" s="26">
        <v>1</v>
      </c>
      <c r="AG1559" s="26">
        <v>0.88888888888888884</v>
      </c>
      <c r="AH1559" s="28">
        <v>0.92</v>
      </c>
      <c r="AI1559" s="26">
        <v>0.7995226730310262</v>
      </c>
      <c r="AJ1559" s="26">
        <v>0.87334137515078403</v>
      </c>
      <c r="AK1559" s="26">
        <v>0.84078516902944389</v>
      </c>
      <c r="AL1559" s="26">
        <v>0.68399018334055151</v>
      </c>
      <c r="AM1559" s="25">
        <v>0.99</v>
      </c>
      <c r="AN1559" s="30">
        <v>0</v>
      </c>
      <c r="AO1559" s="30">
        <v>1</v>
      </c>
      <c r="AP1559" s="30">
        <v>1</v>
      </c>
      <c r="AQ1559" s="30">
        <v>1</v>
      </c>
      <c r="AR1559" s="50">
        <v>0.110069253262963</v>
      </c>
      <c r="AS1559" s="34">
        <v>0.21428571428571427</v>
      </c>
      <c r="AT1559" s="34">
        <v>0.18181818181818182</v>
      </c>
      <c r="AU1559" s="34">
        <v>0</v>
      </c>
      <c r="AV1559" s="34">
        <v>0.20481927710843373</v>
      </c>
      <c r="AW1559" s="10"/>
      <c r="AX1559" s="8"/>
    </row>
    <row r="1560" spans="1:50">
      <c r="A1560" s="7"/>
      <c r="B1560" s="10"/>
      <c r="C1560" s="45" t="s">
        <v>1468</v>
      </c>
      <c r="D1560" s="23" t="s">
        <v>27</v>
      </c>
      <c r="E1560" s="61" t="s">
        <v>1604</v>
      </c>
      <c r="F1560" s="61" t="s">
        <v>1604</v>
      </c>
      <c r="G1560" s="61" t="s">
        <v>1604</v>
      </c>
      <c r="H1560" s="61" t="s">
        <v>1604</v>
      </c>
      <c r="I1560" s="25">
        <v>0.9</v>
      </c>
      <c r="J1560" s="26">
        <v>0.83333333333333337</v>
      </c>
      <c r="K1560" s="26">
        <v>0.94444444444444442</v>
      </c>
      <c r="L1560" s="27">
        <v>1</v>
      </c>
      <c r="M1560" s="26">
        <v>0.91946308724832215</v>
      </c>
      <c r="N1560" s="28">
        <v>0.9</v>
      </c>
      <c r="O1560" s="26">
        <v>0</v>
      </c>
      <c r="P1560" s="26">
        <v>0</v>
      </c>
      <c r="Q1560" s="26">
        <v>0</v>
      </c>
      <c r="R1560" s="26">
        <v>0</v>
      </c>
      <c r="S1560" s="28">
        <v>0.9</v>
      </c>
      <c r="T1560" s="26">
        <v>0</v>
      </c>
      <c r="U1560" s="26">
        <v>0</v>
      </c>
      <c r="V1560" s="26">
        <v>0</v>
      </c>
      <c r="W1560" s="26">
        <v>0</v>
      </c>
      <c r="X1560" s="28">
        <v>0.92</v>
      </c>
      <c r="Y1560" s="28">
        <v>0</v>
      </c>
      <c r="Z1560" s="28">
        <v>0</v>
      </c>
      <c r="AA1560" s="28">
        <v>0</v>
      </c>
      <c r="AB1560" s="28">
        <v>0</v>
      </c>
      <c r="AC1560" s="28">
        <v>0.92</v>
      </c>
      <c r="AD1560" s="26">
        <v>0</v>
      </c>
      <c r="AE1560" s="26">
        <v>0</v>
      </c>
      <c r="AF1560" s="26">
        <v>0</v>
      </c>
      <c r="AG1560" s="26">
        <v>0.125</v>
      </c>
      <c r="AH1560" s="28">
        <v>0.92</v>
      </c>
      <c r="AI1560" s="26">
        <v>0.71210106382978722</v>
      </c>
      <c r="AJ1560" s="26">
        <v>0.69387755102040816</v>
      </c>
      <c r="AK1560" s="26">
        <v>0.74058060531192094</v>
      </c>
      <c r="AL1560" s="26">
        <v>0.74402962515114868</v>
      </c>
      <c r="AM1560" s="25">
        <v>0.99</v>
      </c>
      <c r="AN1560" s="30">
        <v>0</v>
      </c>
      <c r="AO1560" s="30">
        <v>0</v>
      </c>
      <c r="AP1560" s="30">
        <v>0</v>
      </c>
      <c r="AQ1560" s="30">
        <v>0</v>
      </c>
      <c r="AR1560" s="50">
        <v>0.110069253262963</v>
      </c>
      <c r="AS1560" s="34">
        <v>4.878048780487805E-2</v>
      </c>
      <c r="AT1560" s="34">
        <v>0.10344827586206896</v>
      </c>
      <c r="AU1560" s="34">
        <v>0</v>
      </c>
      <c r="AV1560" s="34">
        <v>7.3239436619718309E-2</v>
      </c>
      <c r="AW1560" s="10"/>
      <c r="AX1560" s="8"/>
    </row>
    <row r="1561" spans="1:50">
      <c r="A1561" s="7"/>
      <c r="B1561" s="10"/>
      <c r="C1561" s="45" t="s">
        <v>1468</v>
      </c>
      <c r="D1561" s="23" t="s">
        <v>27</v>
      </c>
      <c r="E1561" s="61" t="s">
        <v>1605</v>
      </c>
      <c r="F1561" s="61" t="s">
        <v>1605</v>
      </c>
      <c r="G1561" s="61" t="s">
        <v>1605</v>
      </c>
      <c r="H1561" s="61" t="s">
        <v>1605</v>
      </c>
      <c r="I1561" s="25">
        <v>0.9</v>
      </c>
      <c r="J1561" s="26">
        <v>1</v>
      </c>
      <c r="K1561" s="26">
        <v>0.92307692307692313</v>
      </c>
      <c r="L1561" s="27">
        <v>1</v>
      </c>
      <c r="M1561" s="26">
        <v>0.98863636363636365</v>
      </c>
      <c r="N1561" s="28">
        <v>0.9</v>
      </c>
      <c r="O1561" s="26">
        <v>0</v>
      </c>
      <c r="P1561" s="26">
        <v>0</v>
      </c>
      <c r="Q1561" s="26">
        <v>0</v>
      </c>
      <c r="R1561" s="26">
        <v>0</v>
      </c>
      <c r="S1561" s="28">
        <v>0.9</v>
      </c>
      <c r="T1561" s="26">
        <v>0</v>
      </c>
      <c r="U1561" s="26">
        <v>0</v>
      </c>
      <c r="V1561" s="26">
        <v>0</v>
      </c>
      <c r="W1561" s="26">
        <v>0</v>
      </c>
      <c r="X1561" s="28">
        <v>0.92</v>
      </c>
      <c r="Y1561" s="28">
        <v>0</v>
      </c>
      <c r="Z1561" s="28">
        <v>0</v>
      </c>
      <c r="AA1561" s="28">
        <v>0</v>
      </c>
      <c r="AB1561" s="28">
        <v>0</v>
      </c>
      <c r="AC1561" s="28">
        <v>0.92</v>
      </c>
      <c r="AD1561" s="26">
        <v>0</v>
      </c>
      <c r="AE1561" s="26">
        <v>0</v>
      </c>
      <c r="AF1561" s="26">
        <v>0</v>
      </c>
      <c r="AG1561" s="26">
        <v>7.6923076923076927E-2</v>
      </c>
      <c r="AH1561" s="28">
        <v>0.92</v>
      </c>
      <c r="AI1561" s="26">
        <v>0.95738354806739345</v>
      </c>
      <c r="AJ1561" s="26">
        <v>0.93923381770145309</v>
      </c>
      <c r="AK1561" s="26">
        <v>0.66013712047012729</v>
      </c>
      <c r="AL1561" s="26">
        <v>0.87016848364717547</v>
      </c>
      <c r="AM1561" s="25">
        <v>0.99</v>
      </c>
      <c r="AN1561" s="30">
        <v>0</v>
      </c>
      <c r="AO1561" s="30">
        <v>0</v>
      </c>
      <c r="AP1561" s="30">
        <v>0</v>
      </c>
      <c r="AQ1561" s="30">
        <v>0</v>
      </c>
      <c r="AR1561" s="50">
        <v>0.110069253262963</v>
      </c>
      <c r="AS1561" s="34">
        <v>0.13333333333333333</v>
      </c>
      <c r="AT1561" s="34">
        <v>0</v>
      </c>
      <c r="AU1561" s="34">
        <v>0</v>
      </c>
      <c r="AV1561" s="34">
        <v>7.4999999999999997E-2</v>
      </c>
      <c r="AW1561" s="10"/>
      <c r="AX1561" s="8"/>
    </row>
    <row r="1562" spans="1:50">
      <c r="A1562" s="7"/>
      <c r="B1562" s="10"/>
      <c r="C1562" s="45" t="s">
        <v>1468</v>
      </c>
      <c r="D1562" s="23" t="s">
        <v>27</v>
      </c>
      <c r="E1562" s="61" t="s">
        <v>1606</v>
      </c>
      <c r="F1562" s="61" t="s">
        <v>1606</v>
      </c>
      <c r="G1562" s="61" t="s">
        <v>1606</v>
      </c>
      <c r="H1562" s="61" t="s">
        <v>1606</v>
      </c>
      <c r="I1562" s="25">
        <v>0.9</v>
      </c>
      <c r="J1562" s="26">
        <v>0.91666666666666663</v>
      </c>
      <c r="K1562" s="26">
        <v>0.83333333333333337</v>
      </c>
      <c r="L1562" s="27">
        <v>0.75</v>
      </c>
      <c r="M1562" s="26">
        <v>0.82222222222222219</v>
      </c>
      <c r="N1562" s="28">
        <v>0.9</v>
      </c>
      <c r="O1562" s="26">
        <v>0</v>
      </c>
      <c r="P1562" s="26">
        <v>0</v>
      </c>
      <c r="Q1562" s="26">
        <v>0</v>
      </c>
      <c r="R1562" s="26">
        <v>0.5</v>
      </c>
      <c r="S1562" s="28">
        <v>0.9</v>
      </c>
      <c r="T1562" s="26">
        <v>0</v>
      </c>
      <c r="U1562" s="26">
        <v>0</v>
      </c>
      <c r="V1562" s="26">
        <v>0</v>
      </c>
      <c r="W1562" s="26">
        <v>0.5</v>
      </c>
      <c r="X1562" s="28">
        <v>0.92</v>
      </c>
      <c r="Y1562" s="28">
        <v>0</v>
      </c>
      <c r="Z1562" s="28">
        <v>0</v>
      </c>
      <c r="AA1562" s="28">
        <v>0</v>
      </c>
      <c r="AB1562" s="28">
        <v>0</v>
      </c>
      <c r="AC1562" s="28">
        <v>0.92</v>
      </c>
      <c r="AD1562" s="26">
        <v>0</v>
      </c>
      <c r="AE1562" s="26">
        <v>1</v>
      </c>
      <c r="AF1562" s="26">
        <v>0</v>
      </c>
      <c r="AG1562" s="26">
        <v>0.47619047619047616</v>
      </c>
      <c r="AH1562" s="28">
        <v>0.92</v>
      </c>
      <c r="AI1562" s="26">
        <v>0.99100719424460426</v>
      </c>
      <c r="AJ1562" s="26">
        <v>0.99358288770053471</v>
      </c>
      <c r="AK1562" s="26">
        <v>0.99632014719411222</v>
      </c>
      <c r="AL1562" s="26">
        <v>0.99613352236112906</v>
      </c>
      <c r="AM1562" s="25">
        <v>0.99</v>
      </c>
      <c r="AN1562" s="30">
        <v>0</v>
      </c>
      <c r="AO1562" s="30">
        <v>0</v>
      </c>
      <c r="AP1562" s="30">
        <v>1</v>
      </c>
      <c r="AQ1562" s="30">
        <v>1</v>
      </c>
      <c r="AR1562" s="50">
        <v>0.110069253262963</v>
      </c>
      <c r="AS1562" s="34">
        <v>0</v>
      </c>
      <c r="AT1562" s="34">
        <v>0.18181818181818182</v>
      </c>
      <c r="AU1562" s="34">
        <v>0.21052631578947367</v>
      </c>
      <c r="AV1562" s="34">
        <v>0.112</v>
      </c>
      <c r="AW1562" s="10"/>
      <c r="AX1562" s="8"/>
    </row>
    <row r="1563" spans="1:50">
      <c r="A1563" s="7"/>
      <c r="B1563" s="10"/>
      <c r="C1563" s="45" t="s">
        <v>1468</v>
      </c>
      <c r="D1563" s="23" t="s">
        <v>27</v>
      </c>
      <c r="E1563" s="61" t="s">
        <v>1607</v>
      </c>
      <c r="F1563" s="61" t="s">
        <v>1607</v>
      </c>
      <c r="G1563" s="61" t="s">
        <v>1607</v>
      </c>
      <c r="H1563" s="61" t="s">
        <v>1607</v>
      </c>
      <c r="I1563" s="25">
        <v>0.9</v>
      </c>
      <c r="J1563" s="26">
        <v>0.8125</v>
      </c>
      <c r="K1563" s="26">
        <v>0.76923076923076927</v>
      </c>
      <c r="L1563" s="27">
        <v>0.75</v>
      </c>
      <c r="M1563" s="26">
        <v>0.82905982905982911</v>
      </c>
      <c r="N1563" s="28">
        <v>0.9</v>
      </c>
      <c r="O1563" s="26">
        <v>0</v>
      </c>
      <c r="P1563" s="26">
        <v>0</v>
      </c>
      <c r="Q1563" s="26">
        <v>0</v>
      </c>
      <c r="R1563" s="26">
        <v>0</v>
      </c>
      <c r="S1563" s="28">
        <v>0.9</v>
      </c>
      <c r="T1563" s="26">
        <v>0</v>
      </c>
      <c r="U1563" s="26">
        <v>0</v>
      </c>
      <c r="V1563" s="26">
        <v>1</v>
      </c>
      <c r="W1563" s="26">
        <v>0.33333333333333331</v>
      </c>
      <c r="X1563" s="28">
        <v>0.92</v>
      </c>
      <c r="Y1563" s="28">
        <v>0</v>
      </c>
      <c r="Z1563" s="28">
        <v>0</v>
      </c>
      <c r="AA1563" s="28">
        <v>0</v>
      </c>
      <c r="AB1563" s="28">
        <v>0</v>
      </c>
      <c r="AC1563" s="28">
        <v>0.92</v>
      </c>
      <c r="AD1563" s="26">
        <v>0.84615384615384615</v>
      </c>
      <c r="AE1563" s="26">
        <v>0.9</v>
      </c>
      <c r="AF1563" s="26">
        <v>1</v>
      </c>
      <c r="AG1563" s="26">
        <v>0.85623678646934465</v>
      </c>
      <c r="AH1563" s="28">
        <v>0.92</v>
      </c>
      <c r="AI1563" s="26">
        <v>0.73140794223826711</v>
      </c>
      <c r="AJ1563" s="26">
        <v>0.6713483146067416</v>
      </c>
      <c r="AK1563" s="26">
        <v>0.69325153374233128</v>
      </c>
      <c r="AL1563" s="26">
        <v>0.71154728056498207</v>
      </c>
      <c r="AM1563" s="25">
        <v>0.99</v>
      </c>
      <c r="AN1563" s="30">
        <v>1</v>
      </c>
      <c r="AO1563" s="30">
        <v>1</v>
      </c>
      <c r="AP1563" s="30">
        <v>1</v>
      </c>
      <c r="AQ1563" s="30">
        <v>1</v>
      </c>
      <c r="AR1563" s="50">
        <v>0.110069253262963</v>
      </c>
      <c r="AS1563" s="34">
        <v>0</v>
      </c>
      <c r="AT1563" s="34">
        <v>0.42857142857142855</v>
      </c>
      <c r="AU1563" s="34">
        <v>0.23076923076923078</v>
      </c>
      <c r="AV1563" s="34">
        <v>0.1111111111111111</v>
      </c>
      <c r="AW1563" s="10"/>
      <c r="AX1563" s="8"/>
    </row>
    <row r="1564" spans="1:50">
      <c r="A1564" s="7"/>
      <c r="B1564" s="10"/>
      <c r="C1564" s="45" t="s">
        <v>1468</v>
      </c>
      <c r="D1564" s="23" t="s">
        <v>27</v>
      </c>
      <c r="E1564" s="61" t="s">
        <v>1608</v>
      </c>
      <c r="F1564" s="61" t="s">
        <v>1608</v>
      </c>
      <c r="G1564" s="61" t="s">
        <v>1608</v>
      </c>
      <c r="H1564" s="61" t="s">
        <v>1608</v>
      </c>
      <c r="I1564" s="25">
        <v>0.9</v>
      </c>
      <c r="J1564" s="26">
        <v>0.875</v>
      </c>
      <c r="K1564" s="26">
        <v>0.9285714285714286</v>
      </c>
      <c r="L1564" s="27">
        <v>0.95833333333333337</v>
      </c>
      <c r="M1564" s="26">
        <v>0.94499999999999995</v>
      </c>
      <c r="N1564" s="28">
        <v>0.9</v>
      </c>
      <c r="O1564" s="26">
        <v>0.99440447641886487</v>
      </c>
      <c r="P1564" s="26">
        <v>0.99402092675635279</v>
      </c>
      <c r="Q1564" s="26">
        <v>0.99643221202854226</v>
      </c>
      <c r="R1564" s="26">
        <v>0.99569071657227282</v>
      </c>
      <c r="S1564" s="28">
        <v>0.9</v>
      </c>
      <c r="T1564" s="26">
        <v>0.95563549160671468</v>
      </c>
      <c r="U1564" s="26">
        <v>0.9566517189835575</v>
      </c>
      <c r="V1564" s="26">
        <v>0.96381243628950053</v>
      </c>
      <c r="W1564" s="26">
        <v>0.95050480177296237</v>
      </c>
      <c r="X1564" s="28">
        <v>0.92</v>
      </c>
      <c r="Y1564" s="28">
        <v>0</v>
      </c>
      <c r="Z1564" s="28">
        <v>0</v>
      </c>
      <c r="AA1564" s="28">
        <v>0</v>
      </c>
      <c r="AB1564" s="28">
        <v>1</v>
      </c>
      <c r="AC1564" s="28">
        <v>0.92</v>
      </c>
      <c r="AD1564" s="26">
        <v>0.88</v>
      </c>
      <c r="AE1564" s="26">
        <v>0.875</v>
      </c>
      <c r="AF1564" s="26">
        <v>0.88888888888888884</v>
      </c>
      <c r="AG1564" s="26">
        <v>0.88953488372093026</v>
      </c>
      <c r="AH1564" s="28">
        <v>0.92</v>
      </c>
      <c r="AI1564" s="26">
        <v>0.97841726618705038</v>
      </c>
      <c r="AJ1564" s="26">
        <v>0.98804185351270557</v>
      </c>
      <c r="AK1564" s="26">
        <v>0.98318042813455653</v>
      </c>
      <c r="AL1564" s="26">
        <v>0.98104032009849185</v>
      </c>
      <c r="AM1564" s="25">
        <v>0.99</v>
      </c>
      <c r="AN1564" s="30">
        <v>1</v>
      </c>
      <c r="AO1564" s="30">
        <v>1</v>
      </c>
      <c r="AP1564" s="30">
        <v>1</v>
      </c>
      <c r="AQ1564" s="30">
        <v>1</v>
      </c>
      <c r="AR1564" s="50">
        <v>0.110069253262963</v>
      </c>
      <c r="AS1564" s="34">
        <v>0</v>
      </c>
      <c r="AT1564" s="34">
        <v>0</v>
      </c>
      <c r="AU1564" s="34">
        <v>0</v>
      </c>
      <c r="AV1564" s="34">
        <v>7.9365079365079361E-2</v>
      </c>
      <c r="AW1564" s="10"/>
      <c r="AX1564" s="8"/>
    </row>
    <row r="1565" spans="1:50">
      <c r="A1565" s="7"/>
      <c r="B1565" s="10"/>
      <c r="C1565" s="45" t="s">
        <v>1468</v>
      </c>
      <c r="D1565" s="23" t="s">
        <v>27</v>
      </c>
      <c r="E1565" s="61" t="s">
        <v>1609</v>
      </c>
      <c r="F1565" s="61" t="s">
        <v>1609</v>
      </c>
      <c r="G1565" s="61" t="s">
        <v>1609</v>
      </c>
      <c r="H1565" s="61" t="s">
        <v>1609</v>
      </c>
      <c r="I1565" s="25">
        <v>0.9</v>
      </c>
      <c r="J1565" s="26">
        <v>1</v>
      </c>
      <c r="K1565" s="26">
        <v>1</v>
      </c>
      <c r="L1565" s="27">
        <v>1</v>
      </c>
      <c r="M1565" s="26">
        <v>0.97902097902097907</v>
      </c>
      <c r="N1565" s="28">
        <v>0.9</v>
      </c>
      <c r="O1565" s="26">
        <v>0.99400119976004797</v>
      </c>
      <c r="P1565" s="26">
        <v>0.99754901960784315</v>
      </c>
      <c r="Q1565" s="26">
        <v>0.99870633893919791</v>
      </c>
      <c r="R1565" s="26">
        <v>0.98994537249623937</v>
      </c>
      <c r="S1565" s="28">
        <v>0.9</v>
      </c>
      <c r="T1565" s="26">
        <v>0.93101379724055189</v>
      </c>
      <c r="U1565" s="26">
        <v>0.9452614379084967</v>
      </c>
      <c r="V1565" s="26">
        <v>0.94437257438551103</v>
      </c>
      <c r="W1565" s="26">
        <v>0.89470350724408199</v>
      </c>
      <c r="X1565" s="28">
        <v>0.92</v>
      </c>
      <c r="Y1565" s="28">
        <v>0</v>
      </c>
      <c r="Z1565" s="28">
        <v>0</v>
      </c>
      <c r="AA1565" s="28">
        <v>0</v>
      </c>
      <c r="AB1565" s="28">
        <v>0</v>
      </c>
      <c r="AC1565" s="28">
        <v>0.92</v>
      </c>
      <c r="AD1565" s="26">
        <v>0.88461538461538458</v>
      </c>
      <c r="AE1565" s="26">
        <v>0.96296296296296291</v>
      </c>
      <c r="AF1565" s="26">
        <v>1</v>
      </c>
      <c r="AG1565" s="26">
        <v>0.92520775623268703</v>
      </c>
      <c r="AH1565" s="28">
        <v>0.92</v>
      </c>
      <c r="AI1565" s="26">
        <v>0.97781774580335734</v>
      </c>
      <c r="AJ1565" s="26">
        <v>0.96323529411764708</v>
      </c>
      <c r="AK1565" s="26">
        <v>0.98771021992238028</v>
      </c>
      <c r="AL1565" s="26">
        <v>0.96841355288157061</v>
      </c>
      <c r="AM1565" s="25">
        <v>0.99</v>
      </c>
      <c r="AN1565" s="30">
        <v>1</v>
      </c>
      <c r="AO1565" s="30">
        <v>1</v>
      </c>
      <c r="AP1565" s="30">
        <v>0</v>
      </c>
      <c r="AQ1565" s="30">
        <v>1</v>
      </c>
      <c r="AR1565" s="50">
        <v>0.110069253262963</v>
      </c>
      <c r="AS1565" s="34">
        <v>0</v>
      </c>
      <c r="AT1565" s="34">
        <v>0</v>
      </c>
      <c r="AU1565" s="34">
        <v>0</v>
      </c>
      <c r="AV1565" s="34">
        <v>1.7699115044247787E-2</v>
      </c>
      <c r="AW1565" s="10"/>
      <c r="AX1565" s="8"/>
    </row>
    <row r="1566" spans="1:50">
      <c r="A1566" s="7"/>
      <c r="B1566" s="10"/>
      <c r="C1566" s="45" t="s">
        <v>1468</v>
      </c>
      <c r="D1566" s="23" t="s">
        <v>27</v>
      </c>
      <c r="E1566" s="61" t="s">
        <v>1610</v>
      </c>
      <c r="F1566" s="61" t="s">
        <v>1610</v>
      </c>
      <c r="G1566" s="61" t="s">
        <v>1610</v>
      </c>
      <c r="H1566" s="61" t="s">
        <v>1610</v>
      </c>
      <c r="I1566" s="25">
        <v>0.9</v>
      </c>
      <c r="J1566" s="26">
        <v>0.88888888888888884</v>
      </c>
      <c r="K1566" s="26">
        <v>1</v>
      </c>
      <c r="L1566" s="27">
        <v>0.7</v>
      </c>
      <c r="M1566" s="26">
        <v>0.84507042253521125</v>
      </c>
      <c r="N1566" s="28">
        <v>0.9</v>
      </c>
      <c r="O1566" s="26">
        <v>0</v>
      </c>
      <c r="P1566" s="26">
        <v>0</v>
      </c>
      <c r="Q1566" s="26">
        <v>0</v>
      </c>
      <c r="R1566" s="26">
        <v>0</v>
      </c>
      <c r="S1566" s="28">
        <v>0.9</v>
      </c>
      <c r="T1566" s="26">
        <v>0</v>
      </c>
      <c r="U1566" s="26">
        <v>0</v>
      </c>
      <c r="V1566" s="26">
        <v>0</v>
      </c>
      <c r="W1566" s="26">
        <v>0</v>
      </c>
      <c r="X1566" s="28">
        <v>0.92</v>
      </c>
      <c r="Y1566" s="28">
        <v>0</v>
      </c>
      <c r="Z1566" s="28">
        <v>0</v>
      </c>
      <c r="AA1566" s="28">
        <v>0</v>
      </c>
      <c r="AB1566" s="28">
        <v>0</v>
      </c>
      <c r="AC1566" s="28">
        <v>0.92</v>
      </c>
      <c r="AD1566" s="26">
        <v>0</v>
      </c>
      <c r="AE1566" s="26">
        <v>0</v>
      </c>
      <c r="AF1566" s="26">
        <v>0.53846153846153844</v>
      </c>
      <c r="AG1566" s="26">
        <v>0.16483516483516483</v>
      </c>
      <c r="AH1566" s="28">
        <v>0.92</v>
      </c>
      <c r="AI1566" s="26">
        <v>0.92435897435897441</v>
      </c>
      <c r="AJ1566" s="26">
        <v>0.96274834437086088</v>
      </c>
      <c r="AK1566" s="26">
        <v>0.98388952819332565</v>
      </c>
      <c r="AL1566" s="26">
        <v>0.95864276568501916</v>
      </c>
      <c r="AM1566" s="25">
        <v>0.99</v>
      </c>
      <c r="AN1566" s="30">
        <v>0</v>
      </c>
      <c r="AO1566" s="30">
        <v>0</v>
      </c>
      <c r="AP1566" s="30">
        <v>0</v>
      </c>
      <c r="AQ1566" s="30">
        <v>1</v>
      </c>
      <c r="AR1566" s="50">
        <v>0.110069253262963</v>
      </c>
      <c r="AS1566" s="34">
        <v>0</v>
      </c>
      <c r="AT1566" s="34">
        <v>0.22222222222222221</v>
      </c>
      <c r="AU1566" s="34">
        <v>6.25E-2</v>
      </c>
      <c r="AV1566" s="34">
        <v>8.1395348837209308E-2</v>
      </c>
      <c r="AW1566" s="10"/>
      <c r="AX1566" s="8"/>
    </row>
    <row r="1567" spans="1:50">
      <c r="A1567" s="7"/>
      <c r="B1567" s="10"/>
      <c r="C1567" s="45" t="s">
        <v>1468</v>
      </c>
      <c r="D1567" s="23" t="s">
        <v>27</v>
      </c>
      <c r="E1567" s="61" t="s">
        <v>1611</v>
      </c>
      <c r="F1567" s="61" t="s">
        <v>1611</v>
      </c>
      <c r="G1567" s="61" t="s">
        <v>1611</v>
      </c>
      <c r="H1567" s="61" t="s">
        <v>1611</v>
      </c>
      <c r="I1567" s="25">
        <v>0.9</v>
      </c>
      <c r="J1567" s="26">
        <v>0.94736842105263153</v>
      </c>
      <c r="K1567" s="26">
        <v>1</v>
      </c>
      <c r="L1567" s="27">
        <v>1</v>
      </c>
      <c r="M1567" s="26">
        <v>0.94666666666666666</v>
      </c>
      <c r="N1567" s="28">
        <v>0.9</v>
      </c>
      <c r="O1567" s="26">
        <v>0</v>
      </c>
      <c r="P1567" s="26">
        <v>0</v>
      </c>
      <c r="Q1567" s="26">
        <v>0</v>
      </c>
      <c r="R1567" s="26">
        <v>0</v>
      </c>
      <c r="S1567" s="28">
        <v>0.9</v>
      </c>
      <c r="T1567" s="26">
        <v>0</v>
      </c>
      <c r="U1567" s="26">
        <v>0</v>
      </c>
      <c r="V1567" s="26">
        <v>0</v>
      </c>
      <c r="W1567" s="26">
        <v>0</v>
      </c>
      <c r="X1567" s="28">
        <v>0.92</v>
      </c>
      <c r="Y1567" s="28">
        <v>0</v>
      </c>
      <c r="Z1567" s="28">
        <v>0</v>
      </c>
      <c r="AA1567" s="28">
        <v>0</v>
      </c>
      <c r="AB1567" s="28">
        <v>0</v>
      </c>
      <c r="AC1567" s="28">
        <v>0.92</v>
      </c>
      <c r="AD1567" s="26">
        <v>0</v>
      </c>
      <c r="AE1567" s="26">
        <v>0.93333333333333335</v>
      </c>
      <c r="AF1567" s="26">
        <v>0</v>
      </c>
      <c r="AG1567" s="26">
        <v>0.43697478991596639</v>
      </c>
      <c r="AH1567" s="28">
        <v>0.92</v>
      </c>
      <c r="AI1567" s="26">
        <v>0.87180910099889009</v>
      </c>
      <c r="AJ1567" s="26">
        <v>0.8401888064733648</v>
      </c>
      <c r="AK1567" s="26">
        <v>0.89390088945362134</v>
      </c>
      <c r="AL1567" s="26">
        <v>0.87202196439642188</v>
      </c>
      <c r="AM1567" s="25">
        <v>0.99</v>
      </c>
      <c r="AN1567" s="30">
        <v>1</v>
      </c>
      <c r="AO1567" s="30">
        <v>1</v>
      </c>
      <c r="AP1567" s="30">
        <v>1</v>
      </c>
      <c r="AQ1567" s="30">
        <v>1</v>
      </c>
      <c r="AR1567" s="50">
        <v>0.110069253262963</v>
      </c>
      <c r="AS1567" s="34">
        <v>0.1</v>
      </c>
      <c r="AT1567" s="34">
        <v>0.13333333333333333</v>
      </c>
      <c r="AU1567" s="34">
        <v>0.10526315789473684</v>
      </c>
      <c r="AV1567" s="34">
        <v>0.10975609756097561</v>
      </c>
      <c r="AW1567" s="10"/>
      <c r="AX1567" s="8"/>
    </row>
    <row r="1568" spans="1:50">
      <c r="A1568" s="7"/>
      <c r="B1568" s="10"/>
      <c r="C1568" s="45" t="s">
        <v>1468</v>
      </c>
      <c r="D1568" s="23" t="s">
        <v>27</v>
      </c>
      <c r="E1568" s="61" t="s">
        <v>1612</v>
      </c>
      <c r="F1568" s="61" t="s">
        <v>1612</v>
      </c>
      <c r="G1568" s="61" t="s">
        <v>1612</v>
      </c>
      <c r="H1568" s="61" t="s">
        <v>1612</v>
      </c>
      <c r="I1568" s="25">
        <v>0.9</v>
      </c>
      <c r="J1568" s="26">
        <v>1</v>
      </c>
      <c r="K1568" s="26">
        <v>0.96</v>
      </c>
      <c r="L1568" s="27">
        <v>0.95833333333333337</v>
      </c>
      <c r="M1568" s="26">
        <v>0.97340425531914898</v>
      </c>
      <c r="N1568" s="28">
        <v>0.9</v>
      </c>
      <c r="O1568" s="26">
        <v>0.99257688229056207</v>
      </c>
      <c r="P1568" s="26">
        <v>0.99265091863517063</v>
      </c>
      <c r="Q1568" s="26">
        <v>0.91379310344827591</v>
      </c>
      <c r="R1568" s="26">
        <v>0.95623538101686567</v>
      </c>
      <c r="S1568" s="28">
        <v>0.9</v>
      </c>
      <c r="T1568" s="26">
        <v>0.97295864262990461</v>
      </c>
      <c r="U1568" s="26">
        <v>0.93018372703412078</v>
      </c>
      <c r="V1568" s="26">
        <v>0.88702359346642468</v>
      </c>
      <c r="W1568" s="26">
        <v>0.92835159423858182</v>
      </c>
      <c r="X1568" s="28">
        <v>0.92</v>
      </c>
      <c r="Y1568" s="28">
        <v>0</v>
      </c>
      <c r="Z1568" s="28">
        <v>0</v>
      </c>
      <c r="AA1568" s="28">
        <v>0</v>
      </c>
      <c r="AB1568" s="28">
        <v>0</v>
      </c>
      <c r="AC1568" s="28">
        <v>0.92</v>
      </c>
      <c r="AD1568" s="26">
        <v>0</v>
      </c>
      <c r="AE1568" s="26">
        <v>0</v>
      </c>
      <c r="AF1568" s="26">
        <v>1</v>
      </c>
      <c r="AG1568" s="26">
        <v>0.5757575757575758</v>
      </c>
      <c r="AH1568" s="28">
        <v>0.92</v>
      </c>
      <c r="AI1568" s="26">
        <v>0.97985153764581123</v>
      </c>
      <c r="AJ1568" s="26">
        <v>0.9653725078698846</v>
      </c>
      <c r="AK1568" s="26">
        <v>0.945069788383611</v>
      </c>
      <c r="AL1568" s="26">
        <v>0.96199117214320751</v>
      </c>
      <c r="AM1568" s="25">
        <v>0.99</v>
      </c>
      <c r="AN1568" s="30">
        <v>1</v>
      </c>
      <c r="AO1568" s="30">
        <v>1</v>
      </c>
      <c r="AP1568" s="30">
        <v>0</v>
      </c>
      <c r="AQ1568" s="30">
        <v>1</v>
      </c>
      <c r="AR1568" s="50">
        <v>0.110069253262963</v>
      </c>
      <c r="AS1568" s="34">
        <v>0.33333333333333331</v>
      </c>
      <c r="AT1568" s="34">
        <v>0</v>
      </c>
      <c r="AU1568" s="34">
        <v>0</v>
      </c>
      <c r="AV1568" s="34">
        <v>5.6179775280898875E-2</v>
      </c>
      <c r="AW1568" s="10"/>
      <c r="AX1568" s="8"/>
    </row>
    <row r="1569" spans="1:50">
      <c r="A1569" s="7"/>
      <c r="B1569" s="10"/>
      <c r="C1569" s="45" t="s">
        <v>1468</v>
      </c>
      <c r="D1569" s="23" t="s">
        <v>27</v>
      </c>
      <c r="E1569" s="61" t="s">
        <v>1613</v>
      </c>
      <c r="F1569" s="61" t="s">
        <v>1613</v>
      </c>
      <c r="G1569" s="61" t="s">
        <v>1613</v>
      </c>
      <c r="H1569" s="61" t="s">
        <v>1613</v>
      </c>
      <c r="I1569" s="25">
        <v>0.9</v>
      </c>
      <c r="J1569" s="26">
        <v>1</v>
      </c>
      <c r="K1569" s="26">
        <v>0.967741935483871</v>
      </c>
      <c r="L1569" s="27">
        <v>0.967741935483871</v>
      </c>
      <c r="M1569" s="26">
        <v>0.99183673469387756</v>
      </c>
      <c r="N1569" s="28">
        <v>0.9</v>
      </c>
      <c r="O1569" s="26">
        <v>0.99684542586750791</v>
      </c>
      <c r="P1569" s="26">
        <v>0.99778638627559491</v>
      </c>
      <c r="Q1569" s="26">
        <v>0.99637243047158408</v>
      </c>
      <c r="R1569" s="26">
        <v>0.99637697568044925</v>
      </c>
      <c r="S1569" s="28">
        <v>0.9</v>
      </c>
      <c r="T1569" s="26">
        <v>0.93834241468310864</v>
      </c>
      <c r="U1569" s="26">
        <v>0.93746541228555613</v>
      </c>
      <c r="V1569" s="26">
        <v>0.95445384925433296</v>
      </c>
      <c r="W1569" s="26">
        <v>0.930709659888592</v>
      </c>
      <c r="X1569" s="28">
        <v>0.92</v>
      </c>
      <c r="Y1569" s="28">
        <v>0</v>
      </c>
      <c r="Z1569" s="28">
        <v>0</v>
      </c>
      <c r="AA1569" s="28">
        <v>0</v>
      </c>
      <c r="AB1569" s="28">
        <v>0</v>
      </c>
      <c r="AC1569" s="28">
        <v>0.92</v>
      </c>
      <c r="AD1569" s="26">
        <v>1</v>
      </c>
      <c r="AE1569" s="26">
        <v>0.56000000000000005</v>
      </c>
      <c r="AF1569" s="26">
        <v>0.27777777777777779</v>
      </c>
      <c r="AG1569" s="26">
        <v>0.59447004608294929</v>
      </c>
      <c r="AH1569" s="28">
        <v>0.92</v>
      </c>
      <c r="AI1569" s="26">
        <v>0.97160883280757093</v>
      </c>
      <c r="AJ1569" s="26">
        <v>0.98007747648035415</v>
      </c>
      <c r="AK1569" s="26">
        <v>0.98186215235792018</v>
      </c>
      <c r="AL1569" s="26">
        <v>0.97966577600652149</v>
      </c>
      <c r="AM1569" s="25">
        <v>0.99</v>
      </c>
      <c r="AN1569" s="30">
        <v>1</v>
      </c>
      <c r="AO1569" s="30">
        <v>1</v>
      </c>
      <c r="AP1569" s="30">
        <v>1</v>
      </c>
      <c r="AQ1569" s="30">
        <v>1</v>
      </c>
      <c r="AR1569" s="50">
        <v>0.110069253262963</v>
      </c>
      <c r="AS1569" s="34">
        <v>0</v>
      </c>
      <c r="AT1569" s="34">
        <v>0</v>
      </c>
      <c r="AU1569" s="34">
        <v>0.1</v>
      </c>
      <c r="AV1569" s="34">
        <v>9.0909090909090912E-2</v>
      </c>
      <c r="AW1569" s="10"/>
      <c r="AX1569" s="8"/>
    </row>
    <row r="1570" spans="1:50">
      <c r="A1570" s="7"/>
      <c r="B1570" s="10"/>
      <c r="C1570" s="45" t="s">
        <v>1468</v>
      </c>
      <c r="D1570" s="23" t="s">
        <v>27</v>
      </c>
      <c r="E1570" s="61" t="s">
        <v>1614</v>
      </c>
      <c r="F1570" s="61" t="s">
        <v>1614</v>
      </c>
      <c r="G1570" s="61" t="s">
        <v>1614</v>
      </c>
      <c r="H1570" s="61" t="s">
        <v>1614</v>
      </c>
      <c r="I1570" s="25">
        <v>0.9</v>
      </c>
      <c r="J1570" s="26">
        <v>0.95</v>
      </c>
      <c r="K1570" s="26">
        <v>1</v>
      </c>
      <c r="L1570" s="27">
        <v>0.95652173913043481</v>
      </c>
      <c r="M1570" s="26">
        <v>0.95402298850574707</v>
      </c>
      <c r="N1570" s="28">
        <v>0.9</v>
      </c>
      <c r="O1570" s="26">
        <v>0.82381142628845383</v>
      </c>
      <c r="P1570" s="26">
        <v>0.94767441860465118</v>
      </c>
      <c r="Q1570" s="26">
        <v>0.79169598874032376</v>
      </c>
      <c r="R1570" s="26">
        <v>0.88121477770820289</v>
      </c>
      <c r="S1570" s="28">
        <v>0.9</v>
      </c>
      <c r="T1570" s="26">
        <v>0.60687175389532566</v>
      </c>
      <c r="U1570" s="26">
        <v>0.7156007751937985</v>
      </c>
      <c r="V1570" s="26">
        <v>0.67839549612948624</v>
      </c>
      <c r="W1570" s="26">
        <v>0.72254226675015654</v>
      </c>
      <c r="X1570" s="28">
        <v>0.92</v>
      </c>
      <c r="Y1570" s="28">
        <v>0</v>
      </c>
      <c r="Z1570" s="28">
        <v>0</v>
      </c>
      <c r="AA1570" s="28">
        <v>0</v>
      </c>
      <c r="AB1570" s="28">
        <v>0</v>
      </c>
      <c r="AC1570" s="28">
        <v>0.92</v>
      </c>
      <c r="AD1570" s="26">
        <v>0.99741602067183466</v>
      </c>
      <c r="AE1570" s="26">
        <v>0.98974358974358978</v>
      </c>
      <c r="AF1570" s="26">
        <v>1</v>
      </c>
      <c r="AG1570" s="26">
        <v>0.99877899877899878</v>
      </c>
      <c r="AH1570" s="28">
        <v>0.92</v>
      </c>
      <c r="AI1570" s="26">
        <v>0.74870155813024375</v>
      </c>
      <c r="AJ1570" s="26">
        <v>0.82315891472868219</v>
      </c>
      <c r="AK1570" s="26">
        <v>0.83391977480647428</v>
      </c>
      <c r="AL1570" s="26">
        <v>0.84057608015028173</v>
      </c>
      <c r="AM1570" s="25">
        <v>0.99</v>
      </c>
      <c r="AN1570" s="30">
        <v>1</v>
      </c>
      <c r="AO1570" s="30">
        <v>1</v>
      </c>
      <c r="AP1570" s="30">
        <v>0</v>
      </c>
      <c r="AQ1570" s="30">
        <v>1</v>
      </c>
      <c r="AR1570" s="50">
        <v>0.110069253262963</v>
      </c>
      <c r="AS1570" s="34">
        <v>6.8965517241379309E-2</v>
      </c>
      <c r="AT1570" s="34">
        <v>0.125</v>
      </c>
      <c r="AU1570" s="34">
        <v>8.5714285714285715E-2</v>
      </c>
      <c r="AV1570" s="34">
        <v>9.8360655737704916E-2</v>
      </c>
      <c r="AW1570" s="10"/>
      <c r="AX1570" s="8"/>
    </row>
    <row r="1571" spans="1:50">
      <c r="A1571" s="7"/>
      <c r="B1571" s="10"/>
      <c r="C1571" s="45" t="s">
        <v>1468</v>
      </c>
      <c r="D1571" s="23" t="s">
        <v>27</v>
      </c>
      <c r="E1571" s="61" t="s">
        <v>1615</v>
      </c>
      <c r="F1571" s="61" t="s">
        <v>1615</v>
      </c>
      <c r="G1571" s="61" t="s">
        <v>1615</v>
      </c>
      <c r="H1571" s="61" t="s">
        <v>1615</v>
      </c>
      <c r="I1571" s="25">
        <v>0.9</v>
      </c>
      <c r="J1571" s="26">
        <v>0.87878787878787878</v>
      </c>
      <c r="K1571" s="26">
        <v>0.8529411764705882</v>
      </c>
      <c r="L1571" s="27">
        <v>0.82857142857142863</v>
      </c>
      <c r="M1571" s="26">
        <v>0.85283018867924532</v>
      </c>
      <c r="N1571" s="28">
        <v>0.9</v>
      </c>
      <c r="O1571" s="26">
        <v>0.12414030261348005</v>
      </c>
      <c r="P1571" s="26">
        <v>9.0355805243445692E-2</v>
      </c>
      <c r="Q1571" s="26">
        <v>6.2250843299601351E-2</v>
      </c>
      <c r="R1571" s="26">
        <v>5.1583835225966622E-2</v>
      </c>
      <c r="S1571" s="28">
        <v>0.9</v>
      </c>
      <c r="T1571" s="26">
        <v>0.15818431911966988</v>
      </c>
      <c r="U1571" s="26">
        <v>0.12734082397003746</v>
      </c>
      <c r="V1571" s="26">
        <v>7.7276908923643056E-2</v>
      </c>
      <c r="W1571" s="26">
        <v>7.1766815318835914E-2</v>
      </c>
      <c r="X1571" s="28">
        <v>0.92</v>
      </c>
      <c r="Y1571" s="28">
        <v>0</v>
      </c>
      <c r="Z1571" s="28">
        <v>0</v>
      </c>
      <c r="AA1571" s="28">
        <v>0</v>
      </c>
      <c r="AB1571" s="28">
        <v>0</v>
      </c>
      <c r="AC1571" s="28">
        <v>0.92</v>
      </c>
      <c r="AD1571" s="26">
        <v>0</v>
      </c>
      <c r="AE1571" s="26">
        <v>0</v>
      </c>
      <c r="AF1571" s="26">
        <v>0.30769230769230771</v>
      </c>
      <c r="AG1571" s="26">
        <v>0.5892857142857143</v>
      </c>
      <c r="AH1571" s="28">
        <v>0.92</v>
      </c>
      <c r="AI1571" s="26">
        <v>0.72327260226882095</v>
      </c>
      <c r="AJ1571" s="26">
        <v>0.72297613476836686</v>
      </c>
      <c r="AK1571" s="26">
        <v>0.71980380134886568</v>
      </c>
      <c r="AL1571" s="26">
        <v>0.68846507352941178</v>
      </c>
      <c r="AM1571" s="25">
        <v>0.99</v>
      </c>
      <c r="AN1571" s="30">
        <v>0</v>
      </c>
      <c r="AO1571" s="30">
        <v>0</v>
      </c>
      <c r="AP1571" s="30">
        <v>0</v>
      </c>
      <c r="AQ1571" s="30">
        <v>1</v>
      </c>
      <c r="AR1571" s="50">
        <v>0.110069253262963</v>
      </c>
      <c r="AS1571" s="34">
        <v>0.08</v>
      </c>
      <c r="AT1571" s="34">
        <v>6.6666666666666666E-2</v>
      </c>
      <c r="AU1571" s="34">
        <v>0.24</v>
      </c>
      <c r="AV1571" s="34">
        <v>0.15789473684210525</v>
      </c>
      <c r="AW1571" s="10"/>
      <c r="AX1571" s="8"/>
    </row>
    <row r="1572" spans="1:50">
      <c r="A1572" s="7"/>
      <c r="B1572" s="10"/>
      <c r="C1572" s="45" t="s">
        <v>1468</v>
      </c>
      <c r="D1572" s="23" t="s">
        <v>27</v>
      </c>
      <c r="E1572" s="61" t="s">
        <v>1616</v>
      </c>
      <c r="F1572" s="61" t="s">
        <v>1616</v>
      </c>
      <c r="G1572" s="61" t="s">
        <v>1616</v>
      </c>
      <c r="H1572" s="61" t="s">
        <v>1616</v>
      </c>
      <c r="I1572" s="25">
        <v>0.9</v>
      </c>
      <c r="J1572" s="26">
        <v>1</v>
      </c>
      <c r="K1572" s="26">
        <v>0.8</v>
      </c>
      <c r="L1572" s="27">
        <v>0.92307692307692313</v>
      </c>
      <c r="M1572" s="26">
        <v>0.96969696969696972</v>
      </c>
      <c r="N1572" s="28">
        <v>0.9</v>
      </c>
      <c r="O1572" s="26">
        <v>0</v>
      </c>
      <c r="P1572" s="26">
        <v>1</v>
      </c>
      <c r="Q1572" s="26">
        <v>0</v>
      </c>
      <c r="R1572" s="26">
        <v>1</v>
      </c>
      <c r="S1572" s="28">
        <v>0.9</v>
      </c>
      <c r="T1572" s="26">
        <v>0</v>
      </c>
      <c r="U1572" s="26">
        <v>1</v>
      </c>
      <c r="V1572" s="26">
        <v>0</v>
      </c>
      <c r="W1572" s="26">
        <v>1</v>
      </c>
      <c r="X1572" s="28">
        <v>0.92</v>
      </c>
      <c r="Y1572" s="28">
        <v>0</v>
      </c>
      <c r="Z1572" s="28">
        <v>0</v>
      </c>
      <c r="AA1572" s="28">
        <v>0</v>
      </c>
      <c r="AB1572" s="28">
        <v>0</v>
      </c>
      <c r="AC1572" s="28">
        <v>0.92</v>
      </c>
      <c r="AD1572" s="26">
        <v>0</v>
      </c>
      <c r="AE1572" s="26">
        <v>0.1</v>
      </c>
      <c r="AF1572" s="26">
        <v>0</v>
      </c>
      <c r="AG1572" s="26">
        <v>5.8823529411764705E-2</v>
      </c>
      <c r="AH1572" s="28">
        <v>0.92</v>
      </c>
      <c r="AI1572" s="26">
        <v>0.97875457875457872</v>
      </c>
      <c r="AJ1572" s="26">
        <v>0.9889001009081736</v>
      </c>
      <c r="AK1572" s="26">
        <v>0.98742138364779874</v>
      </c>
      <c r="AL1572" s="26">
        <v>0.99138355489906449</v>
      </c>
      <c r="AM1572" s="25">
        <v>0.99</v>
      </c>
      <c r="AN1572" s="30">
        <v>0</v>
      </c>
      <c r="AO1572" s="30">
        <v>0</v>
      </c>
      <c r="AP1572" s="30">
        <v>0</v>
      </c>
      <c r="AQ1572" s="30">
        <v>1</v>
      </c>
      <c r="AR1572" s="50">
        <v>0.110069253262963</v>
      </c>
      <c r="AS1572" s="34">
        <v>0</v>
      </c>
      <c r="AT1572" s="34">
        <v>0.16666666666666666</v>
      </c>
      <c r="AU1572" s="34">
        <v>0</v>
      </c>
      <c r="AV1572" s="34">
        <v>9.6153846153846159E-2</v>
      </c>
      <c r="AW1572" s="10"/>
      <c r="AX1572" s="8"/>
    </row>
    <row r="1573" spans="1:50">
      <c r="A1573" s="7"/>
      <c r="B1573" s="10"/>
      <c r="C1573" s="45" t="s">
        <v>1468</v>
      </c>
      <c r="D1573" s="23" t="s">
        <v>27</v>
      </c>
      <c r="E1573" s="61" t="s">
        <v>1617</v>
      </c>
      <c r="F1573" s="61" t="s">
        <v>1617</v>
      </c>
      <c r="G1573" s="61" t="s">
        <v>1617</v>
      </c>
      <c r="H1573" s="61" t="s">
        <v>1617</v>
      </c>
      <c r="I1573" s="25">
        <v>0.9</v>
      </c>
      <c r="J1573" s="26">
        <v>0.97368421052631582</v>
      </c>
      <c r="K1573" s="26">
        <v>0.86842105263157898</v>
      </c>
      <c r="L1573" s="27">
        <v>0.94594594594594594</v>
      </c>
      <c r="M1573" s="26">
        <v>0.94389438943894388</v>
      </c>
      <c r="N1573" s="28">
        <v>0.9</v>
      </c>
      <c r="O1573" s="26">
        <v>0.99830426356589153</v>
      </c>
      <c r="P1573" s="26">
        <v>0.99716713881019825</v>
      </c>
      <c r="Q1573" s="26">
        <v>0.99106504646175841</v>
      </c>
      <c r="R1573" s="26">
        <v>0.99298021697511163</v>
      </c>
      <c r="S1573" s="28">
        <v>0.9</v>
      </c>
      <c r="T1573" s="26">
        <v>0.93895348837209303</v>
      </c>
      <c r="U1573" s="26">
        <v>0.95372993389990557</v>
      </c>
      <c r="V1573" s="26">
        <v>0.96068620443173691</v>
      </c>
      <c r="W1573" s="26">
        <v>0.9520181876196554</v>
      </c>
      <c r="X1573" s="28">
        <v>0.92</v>
      </c>
      <c r="Y1573" s="28">
        <v>0</v>
      </c>
      <c r="Z1573" s="28">
        <v>0</v>
      </c>
      <c r="AA1573" s="28">
        <v>0</v>
      </c>
      <c r="AB1573" s="28">
        <v>0</v>
      </c>
      <c r="AC1573" s="28">
        <v>0.92</v>
      </c>
      <c r="AD1573" s="26">
        <v>0.8545454545454545</v>
      </c>
      <c r="AE1573" s="26">
        <v>1</v>
      </c>
      <c r="AF1573" s="26">
        <v>0.97297297297297303</v>
      </c>
      <c r="AG1573" s="26">
        <v>0.92491467576791808</v>
      </c>
      <c r="AH1573" s="28">
        <v>0.92</v>
      </c>
      <c r="AI1573" s="26">
        <v>0.97238372093023251</v>
      </c>
      <c r="AJ1573" s="26">
        <v>0.98583569405099147</v>
      </c>
      <c r="AK1573" s="26">
        <v>0.98570407433881346</v>
      </c>
      <c r="AL1573" s="26">
        <v>0.98292916400765795</v>
      </c>
      <c r="AM1573" s="25">
        <v>0.99</v>
      </c>
      <c r="AN1573" s="30">
        <v>1</v>
      </c>
      <c r="AO1573" s="30">
        <v>1</v>
      </c>
      <c r="AP1573" s="30">
        <v>1</v>
      </c>
      <c r="AQ1573" s="30">
        <v>1</v>
      </c>
      <c r="AR1573" s="50">
        <v>0.110069253262963</v>
      </c>
      <c r="AS1573" s="34">
        <v>0.15384615384615385</v>
      </c>
      <c r="AT1573" s="34">
        <v>0</v>
      </c>
      <c r="AU1573" s="34">
        <v>5.2631578947368418E-2</v>
      </c>
      <c r="AV1573" s="34">
        <v>7.2847682119205295E-2</v>
      </c>
      <c r="AW1573" s="10"/>
      <c r="AX1573" s="8"/>
    </row>
    <row r="1574" spans="1:50">
      <c r="A1574" s="7"/>
      <c r="B1574" s="10"/>
      <c r="C1574" s="45" t="s">
        <v>1468</v>
      </c>
      <c r="D1574" s="23" t="s">
        <v>27</v>
      </c>
      <c r="E1574" s="61" t="s">
        <v>1618</v>
      </c>
      <c r="F1574" s="61" t="s">
        <v>1618</v>
      </c>
      <c r="G1574" s="61" t="s">
        <v>1618</v>
      </c>
      <c r="H1574" s="61" t="s">
        <v>1618</v>
      </c>
      <c r="I1574" s="25">
        <v>0.9</v>
      </c>
      <c r="J1574" s="26">
        <v>0.8571428571428571</v>
      </c>
      <c r="K1574" s="26">
        <v>0.83333333333333337</v>
      </c>
      <c r="L1574" s="27">
        <v>0.93333333333333335</v>
      </c>
      <c r="M1574" s="26">
        <v>0.83333333333333337</v>
      </c>
      <c r="N1574" s="28">
        <v>0.9</v>
      </c>
      <c r="O1574" s="26">
        <v>0</v>
      </c>
      <c r="P1574" s="26">
        <v>0</v>
      </c>
      <c r="Q1574" s="26">
        <v>0</v>
      </c>
      <c r="R1574" s="26">
        <v>0</v>
      </c>
      <c r="S1574" s="28">
        <v>0.9</v>
      </c>
      <c r="T1574" s="26">
        <v>0</v>
      </c>
      <c r="U1574" s="26">
        <v>0</v>
      </c>
      <c r="V1574" s="26">
        <v>0</v>
      </c>
      <c r="W1574" s="26">
        <v>0</v>
      </c>
      <c r="X1574" s="28">
        <v>0.92</v>
      </c>
      <c r="Y1574" s="28">
        <v>0</v>
      </c>
      <c r="Z1574" s="28">
        <v>0</v>
      </c>
      <c r="AA1574" s="28">
        <v>0</v>
      </c>
      <c r="AB1574" s="28">
        <v>0</v>
      </c>
      <c r="AC1574" s="28">
        <v>0.92</v>
      </c>
      <c r="AD1574" s="26">
        <v>0</v>
      </c>
      <c r="AE1574" s="26">
        <v>0</v>
      </c>
      <c r="AF1574" s="26">
        <v>0.14285714285714285</v>
      </c>
      <c r="AG1574" s="26">
        <v>0.21739130434782608</v>
      </c>
      <c r="AH1574" s="28">
        <v>0.92</v>
      </c>
      <c r="AI1574" s="26">
        <v>0.72822822822822819</v>
      </c>
      <c r="AJ1574" s="26">
        <v>0.6964285714285714</v>
      </c>
      <c r="AK1574" s="26">
        <v>0.71473551637279598</v>
      </c>
      <c r="AL1574" s="26">
        <v>0.7343609158103479</v>
      </c>
      <c r="AM1574" s="25">
        <v>0.99</v>
      </c>
      <c r="AN1574" s="30">
        <v>0</v>
      </c>
      <c r="AO1574" s="30">
        <v>0</v>
      </c>
      <c r="AP1574" s="30">
        <v>0</v>
      </c>
      <c r="AQ1574" s="30">
        <v>0</v>
      </c>
      <c r="AR1574" s="50">
        <v>0.110069253262963</v>
      </c>
      <c r="AS1574" s="34">
        <v>0</v>
      </c>
      <c r="AT1574" s="34">
        <v>0.13333333333333333</v>
      </c>
      <c r="AU1574" s="34">
        <v>0.13333333333333333</v>
      </c>
      <c r="AV1574" s="34">
        <v>0.10714285714285714</v>
      </c>
      <c r="AW1574" s="10"/>
      <c r="AX1574" s="8"/>
    </row>
    <row r="1575" spans="1:50">
      <c r="A1575" s="7"/>
      <c r="B1575" s="10"/>
      <c r="C1575" s="45" t="s">
        <v>1468</v>
      </c>
      <c r="D1575" s="23" t="s">
        <v>27</v>
      </c>
      <c r="E1575" s="61" t="s">
        <v>1619</v>
      </c>
      <c r="F1575" s="61" t="s">
        <v>1619</v>
      </c>
      <c r="G1575" s="61" t="s">
        <v>1619</v>
      </c>
      <c r="H1575" s="61" t="s">
        <v>1619</v>
      </c>
      <c r="I1575" s="25">
        <v>0.9</v>
      </c>
      <c r="J1575" s="26">
        <v>0.77272727272727271</v>
      </c>
      <c r="K1575" s="26">
        <v>0.72727272727272729</v>
      </c>
      <c r="L1575" s="27">
        <v>0.82352941176470584</v>
      </c>
      <c r="M1575" s="26">
        <v>0.52121212121212124</v>
      </c>
      <c r="N1575" s="28">
        <v>0.9</v>
      </c>
      <c r="O1575" s="26">
        <v>0</v>
      </c>
      <c r="P1575" s="26">
        <v>0</v>
      </c>
      <c r="Q1575" s="26">
        <v>0</v>
      </c>
      <c r="R1575" s="26">
        <v>0</v>
      </c>
      <c r="S1575" s="28">
        <v>0.9</v>
      </c>
      <c r="T1575" s="26">
        <v>0</v>
      </c>
      <c r="U1575" s="26">
        <v>0</v>
      </c>
      <c r="V1575" s="26">
        <v>0</v>
      </c>
      <c r="W1575" s="26">
        <v>0</v>
      </c>
      <c r="X1575" s="28">
        <v>0.92</v>
      </c>
      <c r="Y1575" s="28">
        <v>0</v>
      </c>
      <c r="Z1575" s="28">
        <v>0</v>
      </c>
      <c r="AA1575" s="28">
        <v>0</v>
      </c>
      <c r="AB1575" s="28">
        <v>0</v>
      </c>
      <c r="AC1575" s="28">
        <v>0.92</v>
      </c>
      <c r="AD1575" s="26">
        <v>0</v>
      </c>
      <c r="AE1575" s="26">
        <v>0</v>
      </c>
      <c r="AF1575" s="26">
        <v>1</v>
      </c>
      <c r="AG1575" s="26">
        <v>4.4444444444444446E-2</v>
      </c>
      <c r="AH1575" s="28">
        <v>0.92</v>
      </c>
      <c r="AI1575" s="26">
        <v>0.74690007293946026</v>
      </c>
      <c r="AJ1575" s="26">
        <v>0.74336283185840712</v>
      </c>
      <c r="AK1575" s="26">
        <v>0.70275119617224879</v>
      </c>
      <c r="AL1575" s="26">
        <v>0.74280216647662489</v>
      </c>
      <c r="AM1575" s="25">
        <v>0.99</v>
      </c>
      <c r="AN1575" s="30">
        <v>0</v>
      </c>
      <c r="AO1575" s="30">
        <v>0</v>
      </c>
      <c r="AP1575" s="30">
        <v>0</v>
      </c>
      <c r="AQ1575" s="30">
        <v>1</v>
      </c>
      <c r="AR1575" s="50">
        <v>0.110069253262963</v>
      </c>
      <c r="AS1575" s="34">
        <v>2.2727272727272728E-2</v>
      </c>
      <c r="AT1575" s="34">
        <v>5.4054054054054057E-2</v>
      </c>
      <c r="AU1575" s="34">
        <v>8.3333333333333329E-2</v>
      </c>
      <c r="AV1575" s="34">
        <v>9.0624999999999997E-2</v>
      </c>
      <c r="AW1575" s="10"/>
      <c r="AX1575" s="8"/>
    </row>
    <row r="1576" spans="1:50">
      <c r="A1576" s="7"/>
      <c r="B1576" s="10"/>
      <c r="C1576" s="45" t="s">
        <v>1468</v>
      </c>
      <c r="D1576" s="23" t="s">
        <v>27</v>
      </c>
      <c r="E1576" s="61" t="s">
        <v>1620</v>
      </c>
      <c r="F1576" s="61" t="s">
        <v>1620</v>
      </c>
      <c r="G1576" s="61" t="s">
        <v>1620</v>
      </c>
      <c r="H1576" s="61" t="s">
        <v>1620</v>
      </c>
      <c r="I1576" s="25">
        <v>0.9</v>
      </c>
      <c r="J1576" s="26">
        <v>0.4</v>
      </c>
      <c r="K1576" s="26">
        <v>0.5</v>
      </c>
      <c r="L1576" s="27">
        <v>0.66666666666666663</v>
      </c>
      <c r="M1576" s="26">
        <v>0.40384615384615385</v>
      </c>
      <c r="N1576" s="28">
        <v>0.9</v>
      </c>
      <c r="O1576" s="26">
        <v>0</v>
      </c>
      <c r="P1576" s="26">
        <v>0</v>
      </c>
      <c r="Q1576" s="26">
        <v>0</v>
      </c>
      <c r="R1576" s="26">
        <v>0</v>
      </c>
      <c r="S1576" s="28">
        <v>0.9</v>
      </c>
      <c r="T1576" s="26">
        <v>0</v>
      </c>
      <c r="U1576" s="26">
        <v>0</v>
      </c>
      <c r="V1576" s="26">
        <v>0</v>
      </c>
      <c r="W1576" s="26">
        <v>0</v>
      </c>
      <c r="X1576" s="28">
        <v>0.92</v>
      </c>
      <c r="Y1576" s="28">
        <v>0</v>
      </c>
      <c r="Z1576" s="28">
        <v>0</v>
      </c>
      <c r="AA1576" s="28">
        <v>0</v>
      </c>
      <c r="AB1576" s="28">
        <v>0</v>
      </c>
      <c r="AC1576" s="28">
        <v>0.92</v>
      </c>
      <c r="AD1576" s="26">
        <v>0</v>
      </c>
      <c r="AE1576" s="26">
        <v>0.33333333333333331</v>
      </c>
      <c r="AF1576" s="26">
        <v>0.125</v>
      </c>
      <c r="AG1576" s="26">
        <v>0.37735849056603776</v>
      </c>
      <c r="AH1576" s="28">
        <v>0.92</v>
      </c>
      <c r="AI1576" s="26">
        <v>0.88768606224627877</v>
      </c>
      <c r="AJ1576" s="26">
        <v>0.91032325338894682</v>
      </c>
      <c r="AK1576" s="26">
        <v>0.8955431754874652</v>
      </c>
      <c r="AL1576" s="26">
        <v>0.89766987127260878</v>
      </c>
      <c r="AM1576" s="25">
        <v>0.99</v>
      </c>
      <c r="AN1576" s="30">
        <v>1</v>
      </c>
      <c r="AO1576" s="30">
        <v>1</v>
      </c>
      <c r="AP1576" s="30">
        <v>1</v>
      </c>
      <c r="AQ1576" s="30">
        <v>1</v>
      </c>
      <c r="AR1576" s="50">
        <v>0.110069253262963</v>
      </c>
      <c r="AS1576" s="34">
        <v>8.3333333333333329E-2</v>
      </c>
      <c r="AT1576" s="34">
        <v>0.16666666666666666</v>
      </c>
      <c r="AU1576" s="34">
        <v>0</v>
      </c>
      <c r="AV1576" s="34">
        <v>8.8235294117647065E-2</v>
      </c>
      <c r="AW1576" s="10"/>
      <c r="AX1576" s="8"/>
    </row>
    <row r="1577" spans="1:50">
      <c r="A1577" s="7"/>
      <c r="B1577" s="10"/>
      <c r="C1577" s="45" t="s">
        <v>1468</v>
      </c>
      <c r="D1577" s="23" t="s">
        <v>27</v>
      </c>
      <c r="E1577" s="61" t="s">
        <v>1621</v>
      </c>
      <c r="F1577" s="61" t="s">
        <v>1621</v>
      </c>
      <c r="G1577" s="61" t="s">
        <v>1621</v>
      </c>
      <c r="H1577" s="61" t="s">
        <v>1621</v>
      </c>
      <c r="I1577" s="25">
        <v>0.9</v>
      </c>
      <c r="J1577" s="26">
        <v>0.8125</v>
      </c>
      <c r="K1577" s="26">
        <v>0.92307692307692313</v>
      </c>
      <c r="L1577" s="27">
        <v>0.8666666666666667</v>
      </c>
      <c r="M1577" s="26">
        <v>0.90434782608695652</v>
      </c>
      <c r="N1577" s="28">
        <v>0.9</v>
      </c>
      <c r="O1577" s="26">
        <v>0</v>
      </c>
      <c r="P1577" s="26">
        <v>1</v>
      </c>
      <c r="Q1577" s="26">
        <v>0</v>
      </c>
      <c r="R1577" s="26">
        <v>1</v>
      </c>
      <c r="S1577" s="28">
        <v>0.9</v>
      </c>
      <c r="T1577" s="26">
        <v>0</v>
      </c>
      <c r="U1577" s="26">
        <v>0</v>
      </c>
      <c r="V1577" s="26">
        <v>0</v>
      </c>
      <c r="W1577" s="26">
        <v>0</v>
      </c>
      <c r="X1577" s="28">
        <v>0.92</v>
      </c>
      <c r="Y1577" s="28">
        <v>0</v>
      </c>
      <c r="Z1577" s="28">
        <v>0</v>
      </c>
      <c r="AA1577" s="28">
        <v>0</v>
      </c>
      <c r="AB1577" s="28">
        <v>0</v>
      </c>
      <c r="AC1577" s="28">
        <v>0.92</v>
      </c>
      <c r="AD1577" s="26">
        <v>1</v>
      </c>
      <c r="AE1577" s="26">
        <v>1</v>
      </c>
      <c r="AF1577" s="26">
        <v>0</v>
      </c>
      <c r="AG1577" s="26">
        <v>0.82857142857142863</v>
      </c>
      <c r="AH1577" s="28">
        <v>0.92</v>
      </c>
      <c r="AI1577" s="26">
        <v>0.87184873949579833</v>
      </c>
      <c r="AJ1577" s="26">
        <v>0.95552147239263807</v>
      </c>
      <c r="AK1577" s="26">
        <v>0.93910806174957118</v>
      </c>
      <c r="AL1577" s="26">
        <v>0.93920252664824322</v>
      </c>
      <c r="AM1577" s="25">
        <v>0.99</v>
      </c>
      <c r="AN1577" s="30">
        <v>0</v>
      </c>
      <c r="AO1577" s="30">
        <v>0</v>
      </c>
      <c r="AP1577" s="30">
        <v>0</v>
      </c>
      <c r="AQ1577" s="30">
        <v>1</v>
      </c>
      <c r="AR1577" s="50">
        <v>0.110069253262963</v>
      </c>
      <c r="AS1577" s="34">
        <v>0</v>
      </c>
      <c r="AT1577" s="34">
        <v>0.10526315789473684</v>
      </c>
      <c r="AU1577" s="34">
        <v>0.10526315789473684</v>
      </c>
      <c r="AV1577" s="34">
        <v>0.12213740458015267</v>
      </c>
      <c r="AW1577" s="10"/>
      <c r="AX1577" s="8"/>
    </row>
    <row r="1578" spans="1:50">
      <c r="A1578" s="7"/>
      <c r="B1578" s="10"/>
      <c r="C1578" s="45" t="s">
        <v>1468</v>
      </c>
      <c r="D1578" s="23" t="s">
        <v>27</v>
      </c>
      <c r="E1578" s="61" t="s">
        <v>1622</v>
      </c>
      <c r="F1578" s="61" t="s">
        <v>1622</v>
      </c>
      <c r="G1578" s="61" t="s">
        <v>1622</v>
      </c>
      <c r="H1578" s="61" t="s">
        <v>1622</v>
      </c>
      <c r="I1578" s="25">
        <v>0.9</v>
      </c>
      <c r="J1578" s="26">
        <v>0.61111111111111116</v>
      </c>
      <c r="K1578" s="26">
        <v>0.61111111111111116</v>
      </c>
      <c r="L1578" s="27">
        <v>0.47368421052631576</v>
      </c>
      <c r="M1578" s="26">
        <v>0.61702127659574468</v>
      </c>
      <c r="N1578" s="28">
        <v>0.9</v>
      </c>
      <c r="O1578" s="26">
        <v>0</v>
      </c>
      <c r="P1578" s="26">
        <v>0</v>
      </c>
      <c r="Q1578" s="26">
        <v>0</v>
      </c>
      <c r="R1578" s="26">
        <v>0</v>
      </c>
      <c r="S1578" s="28">
        <v>0.9</v>
      </c>
      <c r="T1578" s="26">
        <v>0</v>
      </c>
      <c r="U1578" s="26">
        <v>0</v>
      </c>
      <c r="V1578" s="26">
        <v>0</v>
      </c>
      <c r="W1578" s="26">
        <v>2.3809523809523808E-2</v>
      </c>
      <c r="X1578" s="28">
        <v>0.92</v>
      </c>
      <c r="Y1578" s="28">
        <v>0</v>
      </c>
      <c r="Z1578" s="28">
        <v>0</v>
      </c>
      <c r="AA1578" s="28">
        <v>0</v>
      </c>
      <c r="AB1578" s="28">
        <v>0</v>
      </c>
      <c r="AC1578" s="28">
        <v>0.92</v>
      </c>
      <c r="AD1578" s="26">
        <v>0</v>
      </c>
      <c r="AE1578" s="26">
        <v>0</v>
      </c>
      <c r="AF1578" s="26">
        <v>0</v>
      </c>
      <c r="AG1578" s="26">
        <v>8.3333333333333329E-2</v>
      </c>
      <c r="AH1578" s="28">
        <v>0.92</v>
      </c>
      <c r="AI1578" s="26">
        <v>0.93411501954215526</v>
      </c>
      <c r="AJ1578" s="26">
        <v>0.94951017332328558</v>
      </c>
      <c r="AK1578" s="26">
        <v>0.95840978593272175</v>
      </c>
      <c r="AL1578" s="26">
        <v>0.95636741407670334</v>
      </c>
      <c r="AM1578" s="25">
        <v>0.99</v>
      </c>
      <c r="AN1578" s="30">
        <v>0</v>
      </c>
      <c r="AO1578" s="30">
        <v>0</v>
      </c>
      <c r="AP1578" s="30">
        <v>0</v>
      </c>
      <c r="AQ1578" s="30">
        <v>1</v>
      </c>
      <c r="AR1578" s="50">
        <v>0.110069253262963</v>
      </c>
      <c r="AS1578" s="34">
        <v>0.05</v>
      </c>
      <c r="AT1578" s="34">
        <v>0.10526315789473684</v>
      </c>
      <c r="AU1578" s="34">
        <v>0.16666666666666666</v>
      </c>
      <c r="AV1578" s="34">
        <v>8.3832335329341312E-2</v>
      </c>
      <c r="AW1578" s="10"/>
      <c r="AX1578" s="8"/>
    </row>
    <row r="1579" spans="1:50">
      <c r="A1579" s="7"/>
      <c r="B1579" s="10"/>
      <c r="C1579" s="45" t="s">
        <v>1468</v>
      </c>
      <c r="D1579" s="23" t="s">
        <v>27</v>
      </c>
      <c r="E1579" s="61" t="s">
        <v>1623</v>
      </c>
      <c r="F1579" s="61" t="s">
        <v>1623</v>
      </c>
      <c r="G1579" s="61" t="s">
        <v>1623</v>
      </c>
      <c r="H1579" s="61" t="s">
        <v>1623</v>
      </c>
      <c r="I1579" s="25">
        <v>0.9</v>
      </c>
      <c r="J1579" s="26">
        <v>0.93333333333333335</v>
      </c>
      <c r="K1579" s="26">
        <v>0.96969696969696972</v>
      </c>
      <c r="L1579" s="27">
        <v>1</v>
      </c>
      <c r="M1579" s="26">
        <v>0.94979079497907948</v>
      </c>
      <c r="N1579" s="28">
        <v>0.9</v>
      </c>
      <c r="O1579" s="26">
        <v>0.97473997028231796</v>
      </c>
      <c r="P1579" s="26">
        <v>0.95795418889237527</v>
      </c>
      <c r="Q1579" s="26">
        <v>0.9474021808851828</v>
      </c>
      <c r="R1579" s="26">
        <v>0.96076274294096076</v>
      </c>
      <c r="S1579" s="28">
        <v>0.9</v>
      </c>
      <c r="T1579" s="26">
        <v>0.6414066369489847</v>
      </c>
      <c r="U1579" s="26">
        <v>0.57263884530906806</v>
      </c>
      <c r="V1579" s="26">
        <v>0.69788325849903787</v>
      </c>
      <c r="W1579" s="26">
        <v>0.54240662161454245</v>
      </c>
      <c r="X1579" s="28">
        <v>0.92</v>
      </c>
      <c r="Y1579" s="28">
        <v>0</v>
      </c>
      <c r="Z1579" s="28">
        <v>0</v>
      </c>
      <c r="AA1579" s="28">
        <v>0</v>
      </c>
      <c r="AB1579" s="28">
        <v>0</v>
      </c>
      <c r="AC1579" s="28">
        <v>0.92</v>
      </c>
      <c r="AD1579" s="26">
        <v>0.95121951219512191</v>
      </c>
      <c r="AE1579" s="26">
        <v>1</v>
      </c>
      <c r="AF1579" s="26">
        <v>1</v>
      </c>
      <c r="AG1579" s="26">
        <v>0.93827160493827155</v>
      </c>
      <c r="AH1579" s="28">
        <v>0.92</v>
      </c>
      <c r="AI1579" s="26">
        <v>0.84497275879148093</v>
      </c>
      <c r="AJ1579" s="26">
        <v>0.89457169752117982</v>
      </c>
      <c r="AK1579" s="26">
        <v>0.85952533675432974</v>
      </c>
      <c r="AL1579" s="26">
        <v>0.85804085908852801</v>
      </c>
      <c r="AM1579" s="25">
        <v>0.99</v>
      </c>
      <c r="AN1579" s="30">
        <v>1</v>
      </c>
      <c r="AO1579" s="30">
        <v>1</v>
      </c>
      <c r="AP1579" s="30">
        <v>1</v>
      </c>
      <c r="AQ1579" s="30">
        <v>1</v>
      </c>
      <c r="AR1579" s="50">
        <v>0.110069253262963</v>
      </c>
      <c r="AS1579" s="34">
        <v>0</v>
      </c>
      <c r="AT1579" s="34">
        <v>0</v>
      </c>
      <c r="AU1579" s="34">
        <v>0.18181818181818182</v>
      </c>
      <c r="AV1579" s="34">
        <v>8.3333333333333329E-2</v>
      </c>
      <c r="AW1579" s="10"/>
      <c r="AX1579" s="8"/>
    </row>
    <row r="1580" spans="1:50">
      <c r="A1580" s="7"/>
      <c r="B1580" s="10"/>
      <c r="C1580" s="45" t="s">
        <v>1468</v>
      </c>
      <c r="D1580" s="23" t="s">
        <v>27</v>
      </c>
      <c r="E1580" s="61" t="s">
        <v>1624</v>
      </c>
      <c r="F1580" s="61" t="s">
        <v>1624</v>
      </c>
      <c r="G1580" s="61" t="s">
        <v>1624</v>
      </c>
      <c r="H1580" s="61" t="s">
        <v>1624</v>
      </c>
      <c r="I1580" s="25">
        <v>0.9</v>
      </c>
      <c r="J1580" s="26">
        <v>0.97499999999999998</v>
      </c>
      <c r="K1580" s="26">
        <v>1</v>
      </c>
      <c r="L1580" s="27">
        <v>0.92500000000000004</v>
      </c>
      <c r="M1580" s="26">
        <v>0.95975232198142413</v>
      </c>
      <c r="N1580" s="28">
        <v>0.9</v>
      </c>
      <c r="O1580" s="26">
        <v>0.92324246771879481</v>
      </c>
      <c r="P1580" s="26">
        <v>0.937039857831937</v>
      </c>
      <c r="Q1580" s="26">
        <v>0.7615277130880298</v>
      </c>
      <c r="R1580" s="26">
        <v>0.89227340267459143</v>
      </c>
      <c r="S1580" s="28">
        <v>0.9</v>
      </c>
      <c r="T1580" s="26">
        <v>0.34935437589670015</v>
      </c>
      <c r="U1580" s="26">
        <v>0.29576034526529577</v>
      </c>
      <c r="V1580" s="26">
        <v>0.4993013507219376</v>
      </c>
      <c r="W1580" s="26">
        <v>0.37651521076092909</v>
      </c>
      <c r="X1580" s="28">
        <v>0.92</v>
      </c>
      <c r="Y1580" s="28">
        <v>0</v>
      </c>
      <c r="Z1580" s="28">
        <v>0</v>
      </c>
      <c r="AA1580" s="28">
        <v>0</v>
      </c>
      <c r="AB1580" s="28">
        <v>0</v>
      </c>
      <c r="AC1580" s="28">
        <v>0.92</v>
      </c>
      <c r="AD1580" s="26">
        <v>1</v>
      </c>
      <c r="AE1580" s="26">
        <v>1</v>
      </c>
      <c r="AF1580" s="26">
        <v>0.88</v>
      </c>
      <c r="AG1580" s="26">
        <v>0.96842105263157896</v>
      </c>
      <c r="AH1580" s="28">
        <v>0.92</v>
      </c>
      <c r="AI1580" s="26">
        <v>0.89418938307030127</v>
      </c>
      <c r="AJ1580" s="26">
        <v>0.91296625222024863</v>
      </c>
      <c r="AK1580" s="26">
        <v>0.75640428504890544</v>
      </c>
      <c r="AL1580" s="26">
        <v>0.87785423834845167</v>
      </c>
      <c r="AM1580" s="25">
        <v>0.99</v>
      </c>
      <c r="AN1580" s="30">
        <v>1</v>
      </c>
      <c r="AO1580" s="30">
        <v>1</v>
      </c>
      <c r="AP1580" s="30">
        <v>1</v>
      </c>
      <c r="AQ1580" s="30">
        <v>1</v>
      </c>
      <c r="AR1580" s="50">
        <v>0.110069253262963</v>
      </c>
      <c r="AS1580" s="34">
        <v>7.6923076923076927E-2</v>
      </c>
      <c r="AT1580" s="34">
        <v>0</v>
      </c>
      <c r="AU1580" s="34">
        <v>8.3333333333333329E-2</v>
      </c>
      <c r="AV1580" s="34">
        <v>8.2706766917293228E-2</v>
      </c>
      <c r="AW1580" s="10"/>
      <c r="AX1580" s="8"/>
    </row>
    <row r="1581" spans="1:50">
      <c r="A1581" s="7"/>
      <c r="B1581" s="10"/>
      <c r="C1581" s="45" t="s">
        <v>1468</v>
      </c>
      <c r="D1581" s="23" t="s">
        <v>27</v>
      </c>
      <c r="E1581" s="61" t="s">
        <v>1625</v>
      </c>
      <c r="F1581" s="61" t="s">
        <v>1625</v>
      </c>
      <c r="G1581" s="61" t="s">
        <v>1625</v>
      </c>
      <c r="H1581" s="61" t="s">
        <v>1625</v>
      </c>
      <c r="I1581" s="25">
        <v>0.9</v>
      </c>
      <c r="J1581" s="26">
        <v>0.95744680851063835</v>
      </c>
      <c r="K1581" s="26">
        <v>1</v>
      </c>
      <c r="L1581" s="27">
        <v>1</v>
      </c>
      <c r="M1581" s="26">
        <v>0.98941798941798942</v>
      </c>
      <c r="N1581" s="28">
        <v>0.9</v>
      </c>
      <c r="O1581" s="26">
        <v>0.98685540950455009</v>
      </c>
      <c r="P1581" s="26">
        <v>0.98433268858800771</v>
      </c>
      <c r="Q1581" s="26">
        <v>0.99296357615894038</v>
      </c>
      <c r="R1581" s="26">
        <v>0.97911682937867717</v>
      </c>
      <c r="S1581" s="28">
        <v>0.9</v>
      </c>
      <c r="T1581" s="26">
        <v>0.8294573643410853</v>
      </c>
      <c r="U1581" s="26">
        <v>0.70754352030947776</v>
      </c>
      <c r="V1581" s="26">
        <v>0.88120860927152322</v>
      </c>
      <c r="W1581" s="26">
        <v>0.75166483480959467</v>
      </c>
      <c r="X1581" s="28">
        <v>0.92</v>
      </c>
      <c r="Y1581" s="28">
        <v>0</v>
      </c>
      <c r="Z1581" s="28">
        <v>0</v>
      </c>
      <c r="AA1581" s="28">
        <v>0</v>
      </c>
      <c r="AB1581" s="28">
        <v>0</v>
      </c>
      <c r="AC1581" s="28">
        <v>0.92</v>
      </c>
      <c r="AD1581" s="26">
        <v>0.95</v>
      </c>
      <c r="AE1581" s="26">
        <v>0.83333333333333337</v>
      </c>
      <c r="AF1581" s="26">
        <v>0.91666666666666663</v>
      </c>
      <c r="AG1581" s="26">
        <v>0.92777777777777781</v>
      </c>
      <c r="AH1581" s="28">
        <v>0.92</v>
      </c>
      <c r="AI1581" s="26">
        <v>0.93090663970340415</v>
      </c>
      <c r="AJ1581" s="26">
        <v>0.94661508704061892</v>
      </c>
      <c r="AK1581" s="26">
        <v>0.94453642384105962</v>
      </c>
      <c r="AL1581" s="26">
        <v>0.94382131428386717</v>
      </c>
      <c r="AM1581" s="25">
        <v>0.99</v>
      </c>
      <c r="AN1581" s="30">
        <v>1</v>
      </c>
      <c r="AO1581" s="30">
        <v>1</v>
      </c>
      <c r="AP1581" s="30">
        <v>1</v>
      </c>
      <c r="AQ1581" s="30">
        <v>1</v>
      </c>
      <c r="AR1581" s="50">
        <v>0.110069253262963</v>
      </c>
      <c r="AS1581" s="34">
        <v>0</v>
      </c>
      <c r="AT1581" s="34">
        <v>6.6666666666666666E-2</v>
      </c>
      <c r="AU1581" s="34">
        <v>0</v>
      </c>
      <c r="AV1581" s="34">
        <v>0.12666666666666668</v>
      </c>
      <c r="AW1581" s="10"/>
      <c r="AX1581" s="8"/>
    </row>
    <row r="1582" spans="1:50">
      <c r="A1582" s="7"/>
      <c r="B1582" s="10"/>
      <c r="C1582" s="45" t="s">
        <v>1468</v>
      </c>
      <c r="D1582" s="23" t="s">
        <v>27</v>
      </c>
      <c r="E1582" s="61" t="s">
        <v>1626</v>
      </c>
      <c r="F1582" s="61" t="s">
        <v>1626</v>
      </c>
      <c r="G1582" s="61" t="s">
        <v>1626</v>
      </c>
      <c r="H1582" s="61" t="s">
        <v>1626</v>
      </c>
      <c r="I1582" s="25">
        <v>0.9</v>
      </c>
      <c r="J1582" s="26">
        <v>1</v>
      </c>
      <c r="K1582" s="26">
        <v>1</v>
      </c>
      <c r="L1582" s="27">
        <v>0.97499999999999998</v>
      </c>
      <c r="M1582" s="26">
        <v>0.9868852459016394</v>
      </c>
      <c r="N1582" s="28">
        <v>0.9</v>
      </c>
      <c r="O1582" s="26">
        <v>0.99955066277241067</v>
      </c>
      <c r="P1582" s="26">
        <v>0.99856665074056383</v>
      </c>
      <c r="Q1582" s="26">
        <v>0.99747315224257738</v>
      </c>
      <c r="R1582" s="26">
        <v>0.99805447470817121</v>
      </c>
      <c r="S1582" s="28">
        <v>0.9</v>
      </c>
      <c r="T1582" s="26">
        <v>0.95192091664794432</v>
      </c>
      <c r="U1582" s="26">
        <v>0.95747730530339226</v>
      </c>
      <c r="V1582" s="26">
        <v>0.96304485154769426</v>
      </c>
      <c r="W1582" s="26">
        <v>0.94607591219440568</v>
      </c>
      <c r="X1582" s="28">
        <v>0.92</v>
      </c>
      <c r="Y1582" s="28">
        <v>0</v>
      </c>
      <c r="Z1582" s="28">
        <v>0</v>
      </c>
      <c r="AA1582" s="28">
        <v>0</v>
      </c>
      <c r="AB1582" s="28">
        <v>0</v>
      </c>
      <c r="AC1582" s="28">
        <v>0.92</v>
      </c>
      <c r="AD1582" s="26">
        <v>1</v>
      </c>
      <c r="AE1582" s="26">
        <v>1</v>
      </c>
      <c r="AF1582" s="26">
        <v>0.97368421052631582</v>
      </c>
      <c r="AG1582" s="26">
        <v>0.99694189602446481</v>
      </c>
      <c r="AH1582" s="28">
        <v>0.92</v>
      </c>
      <c r="AI1582" s="26">
        <v>0.97933048753089191</v>
      </c>
      <c r="AJ1582" s="26">
        <v>0.99092212135690394</v>
      </c>
      <c r="AK1582" s="26">
        <v>0.983575489576753</v>
      </c>
      <c r="AL1582" s="26">
        <v>0.98359151310476467</v>
      </c>
      <c r="AM1582" s="25">
        <v>0.99</v>
      </c>
      <c r="AN1582" s="30">
        <v>0</v>
      </c>
      <c r="AO1582" s="30">
        <v>1</v>
      </c>
      <c r="AP1582" s="30">
        <v>1</v>
      </c>
      <c r="AQ1582" s="30">
        <v>1</v>
      </c>
      <c r="AR1582" s="50">
        <v>0.110069253262963</v>
      </c>
      <c r="AS1582" s="34">
        <v>0</v>
      </c>
      <c r="AT1582" s="34">
        <v>0.2857142857142857</v>
      </c>
      <c r="AU1582" s="34">
        <v>0.16666666666666666</v>
      </c>
      <c r="AV1582" s="34">
        <v>7.8947368421052627E-2</v>
      </c>
      <c r="AW1582" s="10"/>
      <c r="AX1582" s="8"/>
    </row>
    <row r="1583" spans="1:50">
      <c r="A1583" s="7"/>
      <c r="B1583" s="10"/>
      <c r="C1583" s="45" t="s">
        <v>1468</v>
      </c>
      <c r="D1583" s="23" t="s">
        <v>27</v>
      </c>
      <c r="E1583" s="61" t="s">
        <v>1627</v>
      </c>
      <c r="F1583" s="61" t="s">
        <v>1627</v>
      </c>
      <c r="G1583" s="61" t="s">
        <v>1627</v>
      </c>
      <c r="H1583" s="61" t="s">
        <v>1627</v>
      </c>
      <c r="I1583" s="25">
        <v>0.9</v>
      </c>
      <c r="J1583" s="26">
        <v>0.89473684210526316</v>
      </c>
      <c r="K1583" s="26">
        <v>0.95238095238095233</v>
      </c>
      <c r="L1583" s="27">
        <v>0.91304347826086951</v>
      </c>
      <c r="M1583" s="26">
        <v>0.92307692307692313</v>
      </c>
      <c r="N1583" s="28">
        <v>0.9</v>
      </c>
      <c r="O1583" s="26">
        <v>0.99286912751677847</v>
      </c>
      <c r="P1583" s="26">
        <v>0.99325842696629218</v>
      </c>
      <c r="Q1583" s="26">
        <v>0.9869688385269122</v>
      </c>
      <c r="R1583" s="26">
        <v>0.9905461470448208</v>
      </c>
      <c r="S1583" s="28">
        <v>0.9</v>
      </c>
      <c r="T1583" s="26">
        <v>0.66526845637583898</v>
      </c>
      <c r="U1583" s="26">
        <v>0.72808988764044946</v>
      </c>
      <c r="V1583" s="26">
        <v>0.60963172804532573</v>
      </c>
      <c r="W1583" s="26">
        <v>0.68768278582602194</v>
      </c>
      <c r="X1583" s="28">
        <v>0.92</v>
      </c>
      <c r="Y1583" s="28">
        <v>0</v>
      </c>
      <c r="Z1583" s="28">
        <v>0</v>
      </c>
      <c r="AA1583" s="28">
        <v>0</v>
      </c>
      <c r="AB1583" s="28">
        <v>0</v>
      </c>
      <c r="AC1583" s="28">
        <v>0.92</v>
      </c>
      <c r="AD1583" s="26">
        <v>1</v>
      </c>
      <c r="AE1583" s="26">
        <v>0.95652173913043481</v>
      </c>
      <c r="AF1583" s="26">
        <v>1</v>
      </c>
      <c r="AG1583" s="26">
        <v>0.97948717948717945</v>
      </c>
      <c r="AH1583" s="28">
        <v>0.92</v>
      </c>
      <c r="AI1583" s="26">
        <v>0.74119127516778527</v>
      </c>
      <c r="AJ1583" s="26">
        <v>0.82846441947565541</v>
      </c>
      <c r="AK1583" s="26">
        <v>0.75184135977337108</v>
      </c>
      <c r="AL1583" s="26">
        <v>0.7920832483166701</v>
      </c>
      <c r="AM1583" s="25">
        <v>0.99</v>
      </c>
      <c r="AN1583" s="30">
        <v>1</v>
      </c>
      <c r="AO1583" s="30">
        <v>1</v>
      </c>
      <c r="AP1583" s="30">
        <v>1</v>
      </c>
      <c r="AQ1583" s="30">
        <v>1</v>
      </c>
      <c r="AR1583" s="50">
        <v>0.110069253262963</v>
      </c>
      <c r="AS1583" s="34">
        <v>0.1</v>
      </c>
      <c r="AT1583" s="34">
        <v>0.08</v>
      </c>
      <c r="AU1583" s="34">
        <v>0.21739130434782608</v>
      </c>
      <c r="AV1583" s="34">
        <v>0.14035087719298245</v>
      </c>
      <c r="AW1583" s="10"/>
      <c r="AX1583" s="8"/>
    </row>
    <row r="1584" spans="1:50">
      <c r="A1584" s="7"/>
      <c r="B1584" s="10"/>
      <c r="C1584" s="45" t="s">
        <v>1468</v>
      </c>
      <c r="D1584" s="23" t="s">
        <v>27</v>
      </c>
      <c r="E1584" s="61" t="s">
        <v>1628</v>
      </c>
      <c r="F1584" s="61" t="s">
        <v>1628</v>
      </c>
      <c r="G1584" s="61" t="s">
        <v>1628</v>
      </c>
      <c r="H1584" s="61" t="s">
        <v>1628</v>
      </c>
      <c r="I1584" s="25">
        <v>0.9</v>
      </c>
      <c r="J1584" s="26">
        <v>1</v>
      </c>
      <c r="K1584" s="26">
        <v>1</v>
      </c>
      <c r="L1584" s="27">
        <v>1</v>
      </c>
      <c r="M1584" s="26">
        <v>0.99504950495049505</v>
      </c>
      <c r="N1584" s="28">
        <v>0.9</v>
      </c>
      <c r="O1584" s="26">
        <v>0.9672762271414822</v>
      </c>
      <c r="P1584" s="26">
        <v>0.97624190064794814</v>
      </c>
      <c r="Q1584" s="26">
        <v>0.986444212721585</v>
      </c>
      <c r="R1584" s="26">
        <v>0.96411092985318103</v>
      </c>
      <c r="S1584" s="28">
        <v>0.9</v>
      </c>
      <c r="T1584" s="26">
        <v>0.76997112608277185</v>
      </c>
      <c r="U1584" s="26">
        <v>0.82793376529877605</v>
      </c>
      <c r="V1584" s="26">
        <v>0.8362877997914494</v>
      </c>
      <c r="W1584" s="26">
        <v>0.77497361097783324</v>
      </c>
      <c r="X1584" s="28">
        <v>0.92</v>
      </c>
      <c r="Y1584" s="28">
        <v>0.87024608501118572</v>
      </c>
      <c r="Z1584" s="28">
        <v>0.87848784878487851</v>
      </c>
      <c r="AA1584" s="28">
        <v>0.92201039861351819</v>
      </c>
      <c r="AB1584" s="28">
        <v>0.87046979865771812</v>
      </c>
      <c r="AC1584" s="28">
        <v>0.92</v>
      </c>
      <c r="AD1584" s="26">
        <v>0.9</v>
      </c>
      <c r="AE1584" s="26">
        <v>0.88235294117647056</v>
      </c>
      <c r="AF1584" s="26">
        <v>0.9358974358974359</v>
      </c>
      <c r="AG1584" s="26">
        <v>0.94904458598726116</v>
      </c>
      <c r="AH1584" s="28">
        <v>0.92</v>
      </c>
      <c r="AI1584" s="26">
        <v>0.89075630252100846</v>
      </c>
      <c r="AJ1584" s="26">
        <v>0.92800000000000005</v>
      </c>
      <c r="AK1584" s="26">
        <v>0.93756967670011149</v>
      </c>
      <c r="AL1584" s="26">
        <v>0.90621288023550073</v>
      </c>
      <c r="AM1584" s="25">
        <v>0.99</v>
      </c>
      <c r="AN1584" s="30">
        <v>1</v>
      </c>
      <c r="AO1584" s="30">
        <v>1</v>
      </c>
      <c r="AP1584" s="30">
        <v>1</v>
      </c>
      <c r="AQ1584" s="30">
        <v>1</v>
      </c>
      <c r="AR1584" s="50">
        <v>0.110069253262963</v>
      </c>
      <c r="AS1584" s="34">
        <v>9.0909090909090912E-2</v>
      </c>
      <c r="AT1584" s="34">
        <v>0</v>
      </c>
      <c r="AU1584" s="34">
        <v>0</v>
      </c>
      <c r="AV1584" s="34">
        <v>5.3333333333333337E-2</v>
      </c>
      <c r="AW1584" s="10"/>
      <c r="AX1584" s="8"/>
    </row>
    <row r="1585" spans="1:50">
      <c r="A1585" s="7"/>
      <c r="B1585" s="10"/>
      <c r="C1585" s="45" t="s">
        <v>1468</v>
      </c>
      <c r="D1585" s="23" t="s">
        <v>27</v>
      </c>
      <c r="E1585" s="61" t="s">
        <v>1629</v>
      </c>
      <c r="F1585" s="61" t="s">
        <v>1629</v>
      </c>
      <c r="G1585" s="61" t="s">
        <v>1629</v>
      </c>
      <c r="H1585" s="61" t="s">
        <v>1629</v>
      </c>
      <c r="I1585" s="25">
        <v>0.9</v>
      </c>
      <c r="J1585" s="26">
        <v>0.61538461538461542</v>
      </c>
      <c r="K1585" s="26">
        <v>0.73076923076923073</v>
      </c>
      <c r="L1585" s="27">
        <v>0.64</v>
      </c>
      <c r="M1585" s="26">
        <v>0.65727699530516437</v>
      </c>
      <c r="N1585" s="28">
        <v>0.9</v>
      </c>
      <c r="O1585" s="26">
        <v>1</v>
      </c>
      <c r="P1585" s="26">
        <v>0</v>
      </c>
      <c r="Q1585" s="26">
        <v>0</v>
      </c>
      <c r="R1585" s="26">
        <v>0.5</v>
      </c>
      <c r="S1585" s="28">
        <v>0.9</v>
      </c>
      <c r="T1585" s="26">
        <v>1</v>
      </c>
      <c r="U1585" s="26">
        <v>0</v>
      </c>
      <c r="V1585" s="26">
        <v>0</v>
      </c>
      <c r="W1585" s="26">
        <v>0.5</v>
      </c>
      <c r="X1585" s="28">
        <v>0.92</v>
      </c>
      <c r="Y1585" s="28">
        <v>0</v>
      </c>
      <c r="Z1585" s="28">
        <v>0</v>
      </c>
      <c r="AA1585" s="28">
        <v>0</v>
      </c>
      <c r="AB1585" s="28">
        <v>0</v>
      </c>
      <c r="AC1585" s="28">
        <v>0.92</v>
      </c>
      <c r="AD1585" s="26">
        <v>0</v>
      </c>
      <c r="AE1585" s="26">
        <v>0</v>
      </c>
      <c r="AF1585" s="26">
        <v>6.25E-2</v>
      </c>
      <c r="AG1585" s="26">
        <v>0.10619469026548672</v>
      </c>
      <c r="AH1585" s="28">
        <v>0.92</v>
      </c>
      <c r="AI1585" s="26">
        <v>0.88066825775656321</v>
      </c>
      <c r="AJ1585" s="26">
        <v>0.91345397324940991</v>
      </c>
      <c r="AK1585" s="26">
        <v>0.92158859470468435</v>
      </c>
      <c r="AL1585" s="26">
        <v>0.90785526235229286</v>
      </c>
      <c r="AM1585" s="25">
        <v>0.99</v>
      </c>
      <c r="AN1585" s="30">
        <v>0</v>
      </c>
      <c r="AO1585" s="30">
        <v>0</v>
      </c>
      <c r="AP1585" s="30">
        <v>0</v>
      </c>
      <c r="AQ1585" s="30">
        <v>1</v>
      </c>
      <c r="AR1585" s="50">
        <v>0.110069253262963</v>
      </c>
      <c r="AS1585" s="34">
        <v>0.11764705882352941</v>
      </c>
      <c r="AT1585" s="34">
        <v>0.11764705882352941</v>
      </c>
      <c r="AU1585" s="34">
        <v>0.29166666666666669</v>
      </c>
      <c r="AV1585" s="34">
        <v>0.21176470588235294</v>
      </c>
      <c r="AW1585" s="10"/>
      <c r="AX1585" s="8"/>
    </row>
    <row r="1586" spans="1:50">
      <c r="A1586" s="7"/>
      <c r="B1586" s="10"/>
      <c r="C1586" s="45" t="s">
        <v>1468</v>
      </c>
      <c r="D1586" s="23" t="s">
        <v>27</v>
      </c>
      <c r="E1586" s="61" t="s">
        <v>1630</v>
      </c>
      <c r="F1586" s="61" t="s">
        <v>1630</v>
      </c>
      <c r="G1586" s="61" t="s">
        <v>1630</v>
      </c>
      <c r="H1586" s="61" t="s">
        <v>1630</v>
      </c>
      <c r="I1586" s="25">
        <v>0.9</v>
      </c>
      <c r="J1586" s="26">
        <v>1</v>
      </c>
      <c r="K1586" s="26">
        <v>0.94444444444444442</v>
      </c>
      <c r="L1586" s="27">
        <v>1</v>
      </c>
      <c r="M1586" s="26">
        <v>0.97058823529411764</v>
      </c>
      <c r="N1586" s="28">
        <v>0.9</v>
      </c>
      <c r="O1586" s="26">
        <v>0.9990277102576568</v>
      </c>
      <c r="P1586" s="26">
        <v>0.99882972498537159</v>
      </c>
      <c r="Q1586" s="26">
        <v>0.99845797995373942</v>
      </c>
      <c r="R1586" s="26">
        <v>0.9946236559139785</v>
      </c>
      <c r="S1586" s="28">
        <v>0.9</v>
      </c>
      <c r="T1586" s="26">
        <v>0.93534273213417596</v>
      </c>
      <c r="U1586" s="26">
        <v>0.93387946167349323</v>
      </c>
      <c r="V1586" s="26">
        <v>0.95373939861218193</v>
      </c>
      <c r="W1586" s="26">
        <v>0.93258891645988418</v>
      </c>
      <c r="X1586" s="28">
        <v>0.92</v>
      </c>
      <c r="Y1586" s="28">
        <v>0</v>
      </c>
      <c r="Z1586" s="28">
        <v>0</v>
      </c>
      <c r="AA1586" s="28">
        <v>0</v>
      </c>
      <c r="AB1586" s="28">
        <v>0</v>
      </c>
      <c r="AC1586" s="28">
        <v>0.92</v>
      </c>
      <c r="AD1586" s="26">
        <v>0.42028985507246375</v>
      </c>
      <c r="AE1586" s="26">
        <v>0.26190476190476192</v>
      </c>
      <c r="AF1586" s="26">
        <v>0.2857142857142857</v>
      </c>
      <c r="AG1586" s="26">
        <v>0.34328358208955223</v>
      </c>
      <c r="AH1586" s="28">
        <v>0.92</v>
      </c>
      <c r="AI1586" s="26">
        <v>0.9732620320855615</v>
      </c>
      <c r="AJ1586" s="26">
        <v>0.9789350497366881</v>
      </c>
      <c r="AK1586" s="26">
        <v>0.98457979953739394</v>
      </c>
      <c r="AL1586" s="26">
        <v>0.98166655179543727</v>
      </c>
      <c r="AM1586" s="25">
        <v>0.99</v>
      </c>
      <c r="AN1586" s="30">
        <v>1</v>
      </c>
      <c r="AO1586" s="30">
        <v>0</v>
      </c>
      <c r="AP1586" s="30">
        <v>0</v>
      </c>
      <c r="AQ1586" s="30">
        <v>1</v>
      </c>
      <c r="AR1586" s="50">
        <v>0.110069253262963</v>
      </c>
      <c r="AS1586" s="34">
        <v>0</v>
      </c>
      <c r="AT1586" s="34">
        <v>0.05</v>
      </c>
      <c r="AU1586" s="34">
        <v>0</v>
      </c>
      <c r="AV1586" s="34">
        <v>3.7383177570093455E-2</v>
      </c>
      <c r="AW1586" s="10"/>
      <c r="AX1586" s="8"/>
    </row>
    <row r="1587" spans="1:50">
      <c r="A1587" s="7"/>
      <c r="B1587" s="10"/>
      <c r="C1587" s="45" t="s">
        <v>1468</v>
      </c>
      <c r="D1587" s="23" t="s">
        <v>27</v>
      </c>
      <c r="E1587" s="61" t="s">
        <v>1631</v>
      </c>
      <c r="F1587" s="61" t="s">
        <v>1631</v>
      </c>
      <c r="G1587" s="61" t="s">
        <v>1631</v>
      </c>
      <c r="H1587" s="61" t="s">
        <v>1631</v>
      </c>
      <c r="I1587" s="25">
        <v>0.9</v>
      </c>
      <c r="J1587" s="26">
        <v>0.47368421052631576</v>
      </c>
      <c r="K1587" s="26">
        <v>0.39473684210526316</v>
      </c>
      <c r="L1587" s="27">
        <v>0.40540540540540543</v>
      </c>
      <c r="M1587" s="26">
        <v>0.40404040404040403</v>
      </c>
      <c r="N1587" s="28">
        <v>0.9</v>
      </c>
      <c r="O1587" s="26">
        <v>0.98882169690306032</v>
      </c>
      <c r="P1587" s="26">
        <v>0.99099437148217639</v>
      </c>
      <c r="Q1587" s="26">
        <v>0.99395438307227257</v>
      </c>
      <c r="R1587" s="26">
        <v>0.97494996247185384</v>
      </c>
      <c r="S1587" s="28">
        <v>0.9</v>
      </c>
      <c r="T1587" s="26">
        <v>0.88216969030602899</v>
      </c>
      <c r="U1587" s="26">
        <v>0.91332082551594751</v>
      </c>
      <c r="V1587" s="26">
        <v>0.92030777686177523</v>
      </c>
      <c r="W1587" s="26">
        <v>0.89739179384538403</v>
      </c>
      <c r="X1587" s="28">
        <v>0.92</v>
      </c>
      <c r="Y1587" s="28">
        <v>0</v>
      </c>
      <c r="Z1587" s="28">
        <v>0</v>
      </c>
      <c r="AA1587" s="28">
        <v>0</v>
      </c>
      <c r="AB1587" s="28">
        <v>0</v>
      </c>
      <c r="AC1587" s="28">
        <v>0.92</v>
      </c>
      <c r="AD1587" s="26">
        <v>0.94578313253012047</v>
      </c>
      <c r="AE1587" s="26">
        <v>0.9707602339181286</v>
      </c>
      <c r="AF1587" s="26">
        <v>0.96478873239436624</v>
      </c>
      <c r="AG1587" s="26">
        <v>0.94811715481171543</v>
      </c>
      <c r="AH1587" s="28">
        <v>0.92</v>
      </c>
      <c r="AI1587" s="26">
        <v>0.93641194795675275</v>
      </c>
      <c r="AJ1587" s="26">
        <v>0.96097560975609753</v>
      </c>
      <c r="AK1587" s="26">
        <v>0.96537510305028851</v>
      </c>
      <c r="AL1587" s="26">
        <v>0.95965976608918635</v>
      </c>
      <c r="AM1587" s="25">
        <v>0.99</v>
      </c>
      <c r="AN1587" s="30">
        <v>1</v>
      </c>
      <c r="AO1587" s="30">
        <v>1</v>
      </c>
      <c r="AP1587" s="30">
        <v>1</v>
      </c>
      <c r="AQ1587" s="30">
        <v>1</v>
      </c>
      <c r="AR1587" s="50">
        <v>0.110069253262963</v>
      </c>
      <c r="AS1587" s="34">
        <v>0.13636363636363635</v>
      </c>
      <c r="AT1587" s="34">
        <v>0.1</v>
      </c>
      <c r="AU1587" s="34">
        <v>0.05</v>
      </c>
      <c r="AV1587" s="34">
        <v>0.11616161616161616</v>
      </c>
      <c r="AW1587" s="10"/>
      <c r="AX1587" s="8"/>
    </row>
    <row r="1588" spans="1:50">
      <c r="A1588" s="7"/>
      <c r="B1588" s="10"/>
      <c r="C1588" s="45" t="s">
        <v>1468</v>
      </c>
      <c r="D1588" s="23" t="s">
        <v>27</v>
      </c>
      <c r="E1588" s="61" t="s">
        <v>1632</v>
      </c>
      <c r="F1588" s="61" t="s">
        <v>1632</v>
      </c>
      <c r="G1588" s="61" t="s">
        <v>1632</v>
      </c>
      <c r="H1588" s="61" t="s">
        <v>1632</v>
      </c>
      <c r="I1588" s="25">
        <v>0.9</v>
      </c>
      <c r="J1588" s="26">
        <v>0.73684210526315785</v>
      </c>
      <c r="K1588" s="26">
        <v>0.61904761904761907</v>
      </c>
      <c r="L1588" s="27">
        <v>0.75</v>
      </c>
      <c r="M1588" s="26">
        <v>0.74213836477987416</v>
      </c>
      <c r="N1588" s="28">
        <v>0.9</v>
      </c>
      <c r="O1588" s="26">
        <v>0</v>
      </c>
      <c r="P1588" s="26">
        <v>0</v>
      </c>
      <c r="Q1588" s="26">
        <v>0</v>
      </c>
      <c r="R1588" s="26">
        <v>0</v>
      </c>
      <c r="S1588" s="28">
        <v>0.9</v>
      </c>
      <c r="T1588" s="26">
        <v>0</v>
      </c>
      <c r="U1588" s="26">
        <v>0</v>
      </c>
      <c r="V1588" s="26">
        <v>0</v>
      </c>
      <c r="W1588" s="26">
        <v>0</v>
      </c>
      <c r="X1588" s="28">
        <v>0.92</v>
      </c>
      <c r="Y1588" s="28">
        <v>0</v>
      </c>
      <c r="Z1588" s="28">
        <v>0</v>
      </c>
      <c r="AA1588" s="28">
        <v>0</v>
      </c>
      <c r="AB1588" s="28">
        <v>0</v>
      </c>
      <c r="AC1588" s="28">
        <v>0.92</v>
      </c>
      <c r="AD1588" s="26">
        <v>0</v>
      </c>
      <c r="AE1588" s="26">
        <v>6.6666666666666666E-2</v>
      </c>
      <c r="AF1588" s="26">
        <v>0</v>
      </c>
      <c r="AG1588" s="26">
        <v>0.23469387755102042</v>
      </c>
      <c r="AH1588" s="28">
        <v>0.92</v>
      </c>
      <c r="AI1588" s="26">
        <v>0.97503671071953013</v>
      </c>
      <c r="AJ1588" s="26">
        <v>0.98202107873527589</v>
      </c>
      <c r="AK1588" s="26">
        <v>0.97640653357531759</v>
      </c>
      <c r="AL1588" s="26">
        <v>0.97156398104265407</v>
      </c>
      <c r="AM1588" s="25">
        <v>0.99</v>
      </c>
      <c r="AN1588" s="30">
        <v>1</v>
      </c>
      <c r="AO1588" s="30">
        <v>0</v>
      </c>
      <c r="AP1588" s="30">
        <v>1</v>
      </c>
      <c r="AQ1588" s="30">
        <v>1</v>
      </c>
      <c r="AR1588" s="50">
        <v>0.110069253262963</v>
      </c>
      <c r="AS1588" s="34">
        <v>0.2</v>
      </c>
      <c r="AT1588" s="34">
        <v>0</v>
      </c>
      <c r="AU1588" s="34">
        <v>5.2631578947368418E-2</v>
      </c>
      <c r="AV1588" s="34">
        <v>6.8750000000000006E-2</v>
      </c>
      <c r="AW1588" s="10"/>
      <c r="AX1588" s="8"/>
    </row>
    <row r="1589" spans="1:50">
      <c r="A1589" s="7"/>
      <c r="B1589" s="10"/>
      <c r="C1589" s="45" t="s">
        <v>1468</v>
      </c>
      <c r="D1589" s="23" t="s">
        <v>27</v>
      </c>
      <c r="E1589" s="61" t="s">
        <v>1633</v>
      </c>
      <c r="F1589" s="61" t="s">
        <v>1633</v>
      </c>
      <c r="G1589" s="61" t="s">
        <v>1633</v>
      </c>
      <c r="H1589" s="61" t="s">
        <v>1633</v>
      </c>
      <c r="I1589" s="25">
        <v>0.9</v>
      </c>
      <c r="J1589" s="26">
        <v>0.7142857142857143</v>
      </c>
      <c r="K1589" s="26">
        <v>0.63636363636363635</v>
      </c>
      <c r="L1589" s="27">
        <v>0.66666666666666663</v>
      </c>
      <c r="M1589" s="26">
        <v>0.6645962732919255</v>
      </c>
      <c r="N1589" s="28">
        <v>0.9</v>
      </c>
      <c r="O1589" s="26">
        <v>0</v>
      </c>
      <c r="P1589" s="26">
        <v>0</v>
      </c>
      <c r="Q1589" s="26">
        <v>0</v>
      </c>
      <c r="R1589" s="26">
        <v>0</v>
      </c>
      <c r="S1589" s="28">
        <v>0.9</v>
      </c>
      <c r="T1589" s="26">
        <v>0</v>
      </c>
      <c r="U1589" s="26">
        <v>0</v>
      </c>
      <c r="V1589" s="26">
        <v>0</v>
      </c>
      <c r="W1589" s="26">
        <v>0</v>
      </c>
      <c r="X1589" s="28">
        <v>0.92</v>
      </c>
      <c r="Y1589" s="28">
        <v>0</v>
      </c>
      <c r="Z1589" s="28">
        <v>0</v>
      </c>
      <c r="AA1589" s="28">
        <v>0</v>
      </c>
      <c r="AB1589" s="28">
        <v>0</v>
      </c>
      <c r="AC1589" s="28">
        <v>0.92</v>
      </c>
      <c r="AD1589" s="26">
        <v>0</v>
      </c>
      <c r="AE1589" s="26">
        <v>0</v>
      </c>
      <c r="AF1589" s="26">
        <v>0.62068965517241381</v>
      </c>
      <c r="AG1589" s="26">
        <v>0.11515151515151516</v>
      </c>
      <c r="AH1589" s="28">
        <v>0.92</v>
      </c>
      <c r="AI1589" s="26">
        <v>0.77152831652443754</v>
      </c>
      <c r="AJ1589" s="26">
        <v>0.8030830432620587</v>
      </c>
      <c r="AK1589" s="26">
        <v>0.70651443922095369</v>
      </c>
      <c r="AL1589" s="26">
        <v>0.72374241333196176</v>
      </c>
      <c r="AM1589" s="25">
        <v>0.99</v>
      </c>
      <c r="AN1589" s="30">
        <v>1</v>
      </c>
      <c r="AO1589" s="30">
        <v>0</v>
      </c>
      <c r="AP1589" s="30">
        <v>1</v>
      </c>
      <c r="AQ1589" s="30">
        <v>1</v>
      </c>
      <c r="AR1589" s="50">
        <v>0.110069253262963</v>
      </c>
      <c r="AS1589" s="34">
        <v>0.13043478260869565</v>
      </c>
      <c r="AT1589" s="34">
        <v>7.2727272727272724E-2</v>
      </c>
      <c r="AU1589" s="34">
        <v>7.5471698113207544E-2</v>
      </c>
      <c r="AV1589" s="34">
        <v>8.2595870206489674E-2</v>
      </c>
      <c r="AW1589" s="10"/>
      <c r="AX1589" s="8"/>
    </row>
    <row r="1590" spans="1:50">
      <c r="A1590" s="7"/>
      <c r="B1590" s="10"/>
      <c r="C1590" s="45" t="s">
        <v>1468</v>
      </c>
      <c r="D1590" s="23" t="s">
        <v>27</v>
      </c>
      <c r="E1590" s="61" t="s">
        <v>1634</v>
      </c>
      <c r="F1590" s="61" t="s">
        <v>1634</v>
      </c>
      <c r="G1590" s="61" t="s">
        <v>1634</v>
      </c>
      <c r="H1590" s="61" t="s">
        <v>1634</v>
      </c>
      <c r="I1590" s="25">
        <v>0.9</v>
      </c>
      <c r="J1590" s="26">
        <v>1</v>
      </c>
      <c r="K1590" s="26">
        <v>1</v>
      </c>
      <c r="L1590" s="27">
        <v>1</v>
      </c>
      <c r="M1590" s="26">
        <v>0.99618320610687028</v>
      </c>
      <c r="N1590" s="28">
        <v>0.9</v>
      </c>
      <c r="O1590" s="26">
        <v>0.99743194658448897</v>
      </c>
      <c r="P1590" s="26">
        <v>0.99754224270353298</v>
      </c>
      <c r="Q1590" s="26">
        <v>0.99798954563731401</v>
      </c>
      <c r="R1590" s="26">
        <v>0.99507049911196488</v>
      </c>
      <c r="S1590" s="28">
        <v>0.9</v>
      </c>
      <c r="T1590" s="26">
        <v>0.90498202362609137</v>
      </c>
      <c r="U1590" s="26">
        <v>0.93548387096774188</v>
      </c>
      <c r="V1590" s="26">
        <v>0.94813027744270206</v>
      </c>
      <c r="W1590" s="26">
        <v>0.92018558120990246</v>
      </c>
      <c r="X1590" s="28">
        <v>0.92</v>
      </c>
      <c r="Y1590" s="28">
        <v>0</v>
      </c>
      <c r="Z1590" s="28">
        <v>0</v>
      </c>
      <c r="AA1590" s="28">
        <v>0</v>
      </c>
      <c r="AB1590" s="28">
        <v>0</v>
      </c>
      <c r="AC1590" s="28">
        <v>0.92</v>
      </c>
      <c r="AD1590" s="26">
        <v>1</v>
      </c>
      <c r="AE1590" s="26">
        <v>0.99350649350649356</v>
      </c>
      <c r="AF1590" s="26">
        <v>1</v>
      </c>
      <c r="AG1590" s="26">
        <v>0.99479682854311202</v>
      </c>
      <c r="AH1590" s="28">
        <v>0.92</v>
      </c>
      <c r="AI1590" s="26">
        <v>0.96944016435541858</v>
      </c>
      <c r="AJ1590" s="26">
        <v>0.97941628264208913</v>
      </c>
      <c r="AK1590" s="26">
        <v>0.9806996381182147</v>
      </c>
      <c r="AL1590" s="26">
        <v>0.9760782892352301</v>
      </c>
      <c r="AM1590" s="25">
        <v>0.99</v>
      </c>
      <c r="AN1590" s="30">
        <v>1</v>
      </c>
      <c r="AO1590" s="30">
        <v>1</v>
      </c>
      <c r="AP1590" s="30">
        <v>1</v>
      </c>
      <c r="AQ1590" s="30">
        <v>1</v>
      </c>
      <c r="AR1590" s="50">
        <v>0.110069253262963</v>
      </c>
      <c r="AS1590" s="34">
        <v>0</v>
      </c>
      <c r="AT1590" s="34">
        <v>0.19047619047619047</v>
      </c>
      <c r="AU1590" s="34">
        <v>7.6923076923076927E-2</v>
      </c>
      <c r="AV1590" s="34">
        <v>7.9646017699115043E-2</v>
      </c>
      <c r="AW1590" s="10"/>
      <c r="AX1590" s="8"/>
    </row>
    <row r="1591" spans="1:50">
      <c r="A1591" s="7"/>
      <c r="B1591" s="10"/>
      <c r="C1591" s="45" t="s">
        <v>1468</v>
      </c>
      <c r="D1591" s="23" t="s">
        <v>27</v>
      </c>
      <c r="E1591" s="61" t="s">
        <v>1635</v>
      </c>
      <c r="F1591" s="61" t="s">
        <v>1635</v>
      </c>
      <c r="G1591" s="61" t="s">
        <v>1635</v>
      </c>
      <c r="H1591" s="61" t="s">
        <v>1635</v>
      </c>
      <c r="I1591" s="25">
        <v>0.9</v>
      </c>
      <c r="J1591" s="26">
        <v>0.95454545454545459</v>
      </c>
      <c r="K1591" s="26">
        <v>1</v>
      </c>
      <c r="L1591" s="27">
        <v>0.95833333333333337</v>
      </c>
      <c r="M1591" s="26">
        <v>0.9731182795698925</v>
      </c>
      <c r="N1591" s="28">
        <v>0.9</v>
      </c>
      <c r="O1591" s="26">
        <v>0.98949044585987256</v>
      </c>
      <c r="P1591" s="26">
        <v>0.98629629629629634</v>
      </c>
      <c r="Q1591" s="26">
        <v>0.96142284569138281</v>
      </c>
      <c r="R1591" s="26">
        <v>0.98419369575148474</v>
      </c>
      <c r="S1591" s="28">
        <v>0.9</v>
      </c>
      <c r="T1591" s="26">
        <v>0.89554140127388537</v>
      </c>
      <c r="U1591" s="26">
        <v>0.90481481481481485</v>
      </c>
      <c r="V1591" s="26">
        <v>0.90280561122244485</v>
      </c>
      <c r="W1591" s="26">
        <v>0.90644129739607127</v>
      </c>
      <c r="X1591" s="28">
        <v>0.92</v>
      </c>
      <c r="Y1591" s="28">
        <v>0</v>
      </c>
      <c r="Z1591" s="28">
        <v>0</v>
      </c>
      <c r="AA1591" s="28">
        <v>0</v>
      </c>
      <c r="AB1591" s="28">
        <v>0</v>
      </c>
      <c r="AC1591" s="28">
        <v>0.92</v>
      </c>
      <c r="AD1591" s="26">
        <v>0.99315068493150682</v>
      </c>
      <c r="AE1591" s="26">
        <v>1</v>
      </c>
      <c r="AF1591" s="26">
        <v>0.9975669099756691</v>
      </c>
      <c r="AG1591" s="26">
        <v>0.97678018575851389</v>
      </c>
      <c r="AH1591" s="28">
        <v>0.92</v>
      </c>
      <c r="AI1591" s="26">
        <v>0.94078319006685773</v>
      </c>
      <c r="AJ1591" s="26">
        <v>0.97407407407407409</v>
      </c>
      <c r="AK1591" s="26">
        <v>0.96893787575150303</v>
      </c>
      <c r="AL1591" s="26">
        <v>0.96564798318943856</v>
      </c>
      <c r="AM1591" s="25">
        <v>0.99</v>
      </c>
      <c r="AN1591" s="30">
        <v>1</v>
      </c>
      <c r="AO1591" s="30">
        <v>1</v>
      </c>
      <c r="AP1591" s="30">
        <v>1</v>
      </c>
      <c r="AQ1591" s="30">
        <v>1</v>
      </c>
      <c r="AR1591" s="50">
        <v>0.110069253262963</v>
      </c>
      <c r="AS1591" s="34">
        <v>0.04</v>
      </c>
      <c r="AT1591" s="34">
        <v>0.04</v>
      </c>
      <c r="AU1591" s="34">
        <v>6.6666666666666666E-2</v>
      </c>
      <c r="AV1591" s="34">
        <v>6.2176165803108807E-2</v>
      </c>
      <c r="AW1591" s="10"/>
      <c r="AX1591" s="8"/>
    </row>
    <row r="1592" spans="1:50">
      <c r="A1592" s="7"/>
      <c r="B1592" s="10"/>
      <c r="C1592" s="45" t="s">
        <v>1468</v>
      </c>
      <c r="D1592" s="23" t="s">
        <v>27</v>
      </c>
      <c r="E1592" s="61" t="s">
        <v>1636</v>
      </c>
      <c r="F1592" s="61" t="s">
        <v>1636</v>
      </c>
      <c r="G1592" s="61" t="s">
        <v>1636</v>
      </c>
      <c r="H1592" s="61" t="s">
        <v>1636</v>
      </c>
      <c r="I1592" s="25">
        <v>0.9</v>
      </c>
      <c r="J1592" s="26">
        <v>0.97727272727272729</v>
      </c>
      <c r="K1592" s="26">
        <v>0.97916666666666663</v>
      </c>
      <c r="L1592" s="27">
        <v>1</v>
      </c>
      <c r="M1592" s="26">
        <v>0.98445595854922274</v>
      </c>
      <c r="N1592" s="28">
        <v>0.9</v>
      </c>
      <c r="O1592" s="26">
        <v>0.98177920685959275</v>
      </c>
      <c r="P1592" s="26">
        <v>0.96792301523656776</v>
      </c>
      <c r="Q1592" s="26">
        <v>0.98946814112690895</v>
      </c>
      <c r="R1592" s="26">
        <v>0.97214252177995719</v>
      </c>
      <c r="S1592" s="28">
        <v>0.9</v>
      </c>
      <c r="T1592" s="26">
        <v>0.7711682743837085</v>
      </c>
      <c r="U1592" s="26">
        <v>0.76303127506014434</v>
      </c>
      <c r="V1592" s="26">
        <v>0.79568193786203267</v>
      </c>
      <c r="W1592" s="26">
        <v>0.7619594136366008</v>
      </c>
      <c r="X1592" s="28">
        <v>0.92</v>
      </c>
      <c r="Y1592" s="28">
        <v>0.88230519480519476</v>
      </c>
      <c r="Z1592" s="28">
        <v>0.91258211217786755</v>
      </c>
      <c r="AA1592" s="28">
        <v>0.92624521072796939</v>
      </c>
      <c r="AB1592" s="28">
        <v>0.90834430443232395</v>
      </c>
      <c r="AC1592" s="28">
        <v>0.92</v>
      </c>
      <c r="AD1592" s="26">
        <v>1</v>
      </c>
      <c r="AE1592" s="26">
        <v>1</v>
      </c>
      <c r="AF1592" s="26">
        <v>0.93333333333333335</v>
      </c>
      <c r="AG1592" s="26">
        <v>0.98340548340548339</v>
      </c>
      <c r="AH1592" s="28">
        <v>0.92</v>
      </c>
      <c r="AI1592" s="26">
        <v>0.90092378752886837</v>
      </c>
      <c r="AJ1592" s="26">
        <v>0.93833780160857905</v>
      </c>
      <c r="AK1592" s="26">
        <v>0.94076724309282445</v>
      </c>
      <c r="AL1592" s="26">
        <v>0.92981806793269373</v>
      </c>
      <c r="AM1592" s="25">
        <v>0.99</v>
      </c>
      <c r="AN1592" s="30">
        <v>1</v>
      </c>
      <c r="AO1592" s="30">
        <v>1</v>
      </c>
      <c r="AP1592" s="30">
        <v>1</v>
      </c>
      <c r="AQ1592" s="30">
        <v>1</v>
      </c>
      <c r="AR1592" s="50">
        <v>0.110069253262963</v>
      </c>
      <c r="AS1592" s="34">
        <v>0</v>
      </c>
      <c r="AT1592" s="34">
        <v>0</v>
      </c>
      <c r="AU1592" s="34">
        <v>8.3333333333333329E-2</v>
      </c>
      <c r="AV1592" s="34">
        <v>7.8431372549019607E-2</v>
      </c>
      <c r="AW1592" s="10"/>
      <c r="AX1592" s="8"/>
    </row>
    <row r="1593" spans="1:50">
      <c r="A1593" s="7"/>
      <c r="B1593" s="10"/>
      <c r="C1593" s="45" t="s">
        <v>1468</v>
      </c>
      <c r="D1593" s="23" t="s">
        <v>27</v>
      </c>
      <c r="E1593" s="61" t="s">
        <v>1637</v>
      </c>
      <c r="F1593" s="61" t="s">
        <v>1637</v>
      </c>
      <c r="G1593" s="61" t="s">
        <v>1637</v>
      </c>
      <c r="H1593" s="61" t="s">
        <v>1637</v>
      </c>
      <c r="I1593" s="25">
        <v>0.9</v>
      </c>
      <c r="J1593" s="26">
        <v>1</v>
      </c>
      <c r="K1593" s="26">
        <v>0.92</v>
      </c>
      <c r="L1593" s="27">
        <v>1</v>
      </c>
      <c r="M1593" s="26">
        <v>0.97435897435897434</v>
      </c>
      <c r="N1593" s="28">
        <v>0.9</v>
      </c>
      <c r="O1593" s="26">
        <v>0.96414342629482075</v>
      </c>
      <c r="P1593" s="26">
        <v>0.9534184823441022</v>
      </c>
      <c r="Q1593" s="26">
        <v>0.98148148148148151</v>
      </c>
      <c r="R1593" s="26">
        <v>0.96700157604412929</v>
      </c>
      <c r="S1593" s="28">
        <v>0.9</v>
      </c>
      <c r="T1593" s="26">
        <v>0.73505976095617531</v>
      </c>
      <c r="U1593" s="26">
        <v>0.73328324567993985</v>
      </c>
      <c r="V1593" s="26">
        <v>0.74176954732510292</v>
      </c>
      <c r="W1593" s="26">
        <v>0.73108747044917255</v>
      </c>
      <c r="X1593" s="28">
        <v>0.92</v>
      </c>
      <c r="Y1593" s="28">
        <v>0.89665653495440734</v>
      </c>
      <c r="Z1593" s="28">
        <v>0.8989583333333333</v>
      </c>
      <c r="AA1593" s="28">
        <v>0.89668127739511583</v>
      </c>
      <c r="AB1593" s="28">
        <v>0.88804255833635592</v>
      </c>
      <c r="AC1593" s="28">
        <v>0.92</v>
      </c>
      <c r="AD1593" s="26">
        <v>1</v>
      </c>
      <c r="AE1593" s="26">
        <v>1</v>
      </c>
      <c r="AF1593" s="26">
        <v>0.98936170212765961</v>
      </c>
      <c r="AG1593" s="26">
        <v>0.99636803874092006</v>
      </c>
      <c r="AH1593" s="28">
        <v>0.92</v>
      </c>
      <c r="AI1593" s="26">
        <v>0.9086206896551724</v>
      </c>
      <c r="AJ1593" s="26">
        <v>0.92200435729847496</v>
      </c>
      <c r="AK1593" s="26">
        <v>0.9163098481899572</v>
      </c>
      <c r="AL1593" s="26">
        <v>0.91734954143376568</v>
      </c>
      <c r="AM1593" s="25">
        <v>0.99</v>
      </c>
      <c r="AN1593" s="30">
        <v>1</v>
      </c>
      <c r="AO1593" s="30">
        <v>1</v>
      </c>
      <c r="AP1593" s="30">
        <v>1</v>
      </c>
      <c r="AQ1593" s="30">
        <v>1</v>
      </c>
      <c r="AR1593" s="50">
        <v>0.110069253262963</v>
      </c>
      <c r="AS1593" s="34">
        <v>0</v>
      </c>
      <c r="AT1593" s="34">
        <v>0.1111111111111111</v>
      </c>
      <c r="AU1593" s="34">
        <v>0</v>
      </c>
      <c r="AV1593" s="34">
        <v>4.5454545454545456E-2</v>
      </c>
      <c r="AW1593" s="10"/>
      <c r="AX1593" s="8"/>
    </row>
    <row r="1594" spans="1:50">
      <c r="A1594" s="7"/>
      <c r="B1594" s="10"/>
      <c r="C1594" s="45" t="s">
        <v>1468</v>
      </c>
      <c r="D1594" s="23" t="s">
        <v>27</v>
      </c>
      <c r="E1594" s="61" t="s">
        <v>1638</v>
      </c>
      <c r="F1594" s="61" t="s">
        <v>1638</v>
      </c>
      <c r="G1594" s="61" t="s">
        <v>1638</v>
      </c>
      <c r="H1594" s="61" t="s">
        <v>1638</v>
      </c>
      <c r="I1594" s="25">
        <v>0.9</v>
      </c>
      <c r="J1594" s="26">
        <v>0.84375</v>
      </c>
      <c r="K1594" s="26">
        <v>0.90322580645161288</v>
      </c>
      <c r="L1594" s="27">
        <v>0.90322580645161288</v>
      </c>
      <c r="M1594" s="26">
        <v>0.88800000000000001</v>
      </c>
      <c r="N1594" s="28">
        <v>0.9</v>
      </c>
      <c r="O1594" s="26">
        <v>0.81003907424105803</v>
      </c>
      <c r="P1594" s="26">
        <v>0.58043758043758042</v>
      </c>
      <c r="Q1594" s="26">
        <v>0.81083404987102325</v>
      </c>
      <c r="R1594" s="26">
        <v>0.72249329640863336</v>
      </c>
      <c r="S1594" s="28">
        <v>0.9</v>
      </c>
      <c r="T1594" s="26">
        <v>0.76916140667267807</v>
      </c>
      <c r="U1594" s="26">
        <v>0.6280566280566281</v>
      </c>
      <c r="V1594" s="26">
        <v>0.83705932932072225</v>
      </c>
      <c r="W1594" s="26">
        <v>0.71387753307837709</v>
      </c>
      <c r="X1594" s="28">
        <v>0.92</v>
      </c>
      <c r="Y1594" s="28">
        <v>0</v>
      </c>
      <c r="Z1594" s="28">
        <v>0</v>
      </c>
      <c r="AA1594" s="28">
        <v>0</v>
      </c>
      <c r="AB1594" s="28">
        <v>0</v>
      </c>
      <c r="AC1594" s="28">
        <v>0.92</v>
      </c>
      <c r="AD1594" s="26">
        <v>0.95833333333333337</v>
      </c>
      <c r="AE1594" s="26">
        <v>0.90243902439024393</v>
      </c>
      <c r="AF1594" s="26">
        <v>0.94594594594594594</v>
      </c>
      <c r="AG1594" s="26">
        <v>0.95154185022026427</v>
      </c>
      <c r="AH1594" s="28">
        <v>0.92</v>
      </c>
      <c r="AI1594" s="26">
        <v>0.96092575894198973</v>
      </c>
      <c r="AJ1594" s="26">
        <v>0.91977691977691978</v>
      </c>
      <c r="AK1594" s="26">
        <v>0.96345657781599314</v>
      </c>
      <c r="AL1594" s="26">
        <v>0.95442158931082977</v>
      </c>
      <c r="AM1594" s="25">
        <v>0.99</v>
      </c>
      <c r="AN1594" s="30">
        <v>1</v>
      </c>
      <c r="AO1594" s="30">
        <v>1</v>
      </c>
      <c r="AP1594" s="30">
        <v>1</v>
      </c>
      <c r="AQ1594" s="30">
        <v>1</v>
      </c>
      <c r="AR1594" s="50">
        <v>0.110069253262963</v>
      </c>
      <c r="AS1594" s="34">
        <v>0.22222222222222221</v>
      </c>
      <c r="AT1594" s="34">
        <v>0</v>
      </c>
      <c r="AU1594" s="34">
        <v>7.6923076923076927E-2</v>
      </c>
      <c r="AV1594" s="34">
        <v>6.3380281690140844E-2</v>
      </c>
      <c r="AW1594" s="10"/>
      <c r="AX1594" s="8"/>
    </row>
    <row r="1595" spans="1:50">
      <c r="A1595" s="7"/>
      <c r="B1595" s="10"/>
      <c r="C1595" s="45" t="s">
        <v>1468</v>
      </c>
      <c r="D1595" s="23" t="s">
        <v>27</v>
      </c>
      <c r="E1595" s="61" t="s">
        <v>1639</v>
      </c>
      <c r="F1595" s="61" t="s">
        <v>1639</v>
      </c>
      <c r="G1595" s="61" t="s">
        <v>1639</v>
      </c>
      <c r="H1595" s="61" t="s">
        <v>1639</v>
      </c>
      <c r="I1595" s="25">
        <v>0.9</v>
      </c>
      <c r="J1595" s="26">
        <v>1</v>
      </c>
      <c r="K1595" s="26">
        <v>1</v>
      </c>
      <c r="L1595" s="27">
        <v>1</v>
      </c>
      <c r="M1595" s="26">
        <v>1</v>
      </c>
      <c r="N1595" s="28">
        <v>0.9</v>
      </c>
      <c r="O1595" s="26">
        <v>1</v>
      </c>
      <c r="P1595" s="26">
        <v>1</v>
      </c>
      <c r="Q1595" s="26">
        <v>0.99683042789223453</v>
      </c>
      <c r="R1595" s="26">
        <v>0.99941967308250312</v>
      </c>
      <c r="S1595" s="28">
        <v>0.9</v>
      </c>
      <c r="T1595" s="26">
        <v>0.9550810014727541</v>
      </c>
      <c r="U1595" s="26">
        <v>0.95559845559845558</v>
      </c>
      <c r="V1595" s="26">
        <v>0.95007923930269411</v>
      </c>
      <c r="W1595" s="26">
        <v>0.95618531772898729</v>
      </c>
      <c r="X1595" s="28">
        <v>0.92</v>
      </c>
      <c r="Y1595" s="28">
        <v>0</v>
      </c>
      <c r="Z1595" s="28">
        <v>0</v>
      </c>
      <c r="AA1595" s="28">
        <v>0</v>
      </c>
      <c r="AB1595" s="28">
        <v>0</v>
      </c>
      <c r="AC1595" s="28">
        <v>0.92</v>
      </c>
      <c r="AD1595" s="26">
        <v>1</v>
      </c>
      <c r="AE1595" s="26">
        <v>0.98529411764705888</v>
      </c>
      <c r="AF1595" s="26">
        <v>1</v>
      </c>
      <c r="AG1595" s="26">
        <v>0.99591836734693873</v>
      </c>
      <c r="AH1595" s="28">
        <v>0.92</v>
      </c>
      <c r="AI1595" s="26">
        <v>0.97569955817378495</v>
      </c>
      <c r="AJ1595" s="26">
        <v>0.98359073359073357</v>
      </c>
      <c r="AK1595" s="26">
        <v>0.97860538827258325</v>
      </c>
      <c r="AL1595" s="26">
        <v>0.97843118289970021</v>
      </c>
      <c r="AM1595" s="25">
        <v>0.99</v>
      </c>
      <c r="AN1595" s="30">
        <v>1</v>
      </c>
      <c r="AO1595" s="30">
        <v>1</v>
      </c>
      <c r="AP1595" s="30">
        <v>1</v>
      </c>
      <c r="AQ1595" s="30">
        <v>1</v>
      </c>
      <c r="AR1595" s="50">
        <v>0.110069253262963</v>
      </c>
      <c r="AS1595" s="34">
        <v>0</v>
      </c>
      <c r="AT1595" s="34">
        <v>0.16666666666666666</v>
      </c>
      <c r="AU1595" s="34">
        <v>6.6666666666666666E-2</v>
      </c>
      <c r="AV1595" s="34">
        <v>8.8495575221238937E-2</v>
      </c>
      <c r="AW1595" s="10"/>
      <c r="AX1595" s="8"/>
    </row>
    <row r="1596" spans="1:50">
      <c r="A1596" s="7"/>
      <c r="B1596" s="10"/>
      <c r="C1596" s="45" t="s">
        <v>1468</v>
      </c>
      <c r="D1596" s="23" t="s">
        <v>27</v>
      </c>
      <c r="E1596" s="61" t="s">
        <v>1640</v>
      </c>
      <c r="F1596" s="61" t="s">
        <v>1640</v>
      </c>
      <c r="G1596" s="61" t="s">
        <v>1640</v>
      </c>
      <c r="H1596" s="61" t="s">
        <v>1640</v>
      </c>
      <c r="I1596" s="25">
        <v>0.9</v>
      </c>
      <c r="J1596" s="26">
        <v>0.69230769230769229</v>
      </c>
      <c r="K1596" s="26">
        <v>1</v>
      </c>
      <c r="L1596" s="27">
        <v>0.8571428571428571</v>
      </c>
      <c r="M1596" s="26">
        <v>0.87272727272727268</v>
      </c>
      <c r="N1596" s="28">
        <v>0.9</v>
      </c>
      <c r="O1596" s="26">
        <v>0.92935323383084578</v>
      </c>
      <c r="P1596" s="26">
        <v>0.8631465517241379</v>
      </c>
      <c r="Q1596" s="26">
        <v>0.86568123393316199</v>
      </c>
      <c r="R1596" s="26">
        <v>0.89228615633979225</v>
      </c>
      <c r="S1596" s="28">
        <v>0.9</v>
      </c>
      <c r="T1596" s="26">
        <v>0.89800995024875618</v>
      </c>
      <c r="U1596" s="26">
        <v>0.83943965517241381</v>
      </c>
      <c r="V1596" s="26">
        <v>0.85089974293059123</v>
      </c>
      <c r="W1596" s="26">
        <v>0.8697413983643999</v>
      </c>
      <c r="X1596" s="28">
        <v>0.92</v>
      </c>
      <c r="Y1596" s="28">
        <v>0.93597122302158275</v>
      </c>
      <c r="Z1596" s="28">
        <v>0.93785310734463279</v>
      </c>
      <c r="AA1596" s="28">
        <v>0.90534521158129178</v>
      </c>
      <c r="AB1596" s="28">
        <v>0.93551510457010068</v>
      </c>
      <c r="AC1596" s="28">
        <v>0.92</v>
      </c>
      <c r="AD1596" s="26">
        <v>0.96794871794871795</v>
      </c>
      <c r="AE1596" s="26">
        <v>0.92307692307692313</v>
      </c>
      <c r="AF1596" s="26">
        <v>0.9152542372881356</v>
      </c>
      <c r="AG1596" s="26">
        <v>0.94045534150612964</v>
      </c>
      <c r="AH1596" s="28">
        <v>0.92</v>
      </c>
      <c r="AI1596" s="26">
        <v>0.93823529411764706</v>
      </c>
      <c r="AJ1596" s="26">
        <v>0.93766309075094234</v>
      </c>
      <c r="AK1596" s="26">
        <v>0.93072534637326809</v>
      </c>
      <c r="AL1596" s="26">
        <v>0.94682453351184004</v>
      </c>
      <c r="AM1596" s="25">
        <v>0.99</v>
      </c>
      <c r="AN1596" s="30">
        <v>1</v>
      </c>
      <c r="AO1596" s="30">
        <v>1</v>
      </c>
      <c r="AP1596" s="30">
        <v>0</v>
      </c>
      <c r="AQ1596" s="30">
        <v>1</v>
      </c>
      <c r="AR1596" s="50">
        <v>0.110069253262963</v>
      </c>
      <c r="AS1596" s="34">
        <v>0.17647058823529413</v>
      </c>
      <c r="AT1596" s="34">
        <v>0.10526315789473684</v>
      </c>
      <c r="AU1596" s="34">
        <v>0.10526315789473684</v>
      </c>
      <c r="AV1596" s="34">
        <v>0.1092436974789916</v>
      </c>
      <c r="AW1596" s="10"/>
      <c r="AX1596" s="8"/>
    </row>
    <row r="1597" spans="1:50">
      <c r="A1597" s="7"/>
      <c r="B1597" s="10"/>
      <c r="C1597" s="45" t="s">
        <v>1468</v>
      </c>
      <c r="D1597" s="23" t="s">
        <v>27</v>
      </c>
      <c r="E1597" s="61" t="s">
        <v>1641</v>
      </c>
      <c r="F1597" s="61" t="s">
        <v>1641</v>
      </c>
      <c r="G1597" s="61" t="s">
        <v>1641</v>
      </c>
      <c r="H1597" s="61" t="s">
        <v>1641</v>
      </c>
      <c r="I1597" s="25">
        <v>0.9</v>
      </c>
      <c r="J1597" s="26">
        <v>1</v>
      </c>
      <c r="K1597" s="26">
        <v>0.93877551020408168</v>
      </c>
      <c r="L1597" s="27">
        <v>1</v>
      </c>
      <c r="M1597" s="26">
        <v>0.95685279187817263</v>
      </c>
      <c r="N1597" s="28">
        <v>0.9</v>
      </c>
      <c r="O1597" s="26">
        <v>0.91705627705627701</v>
      </c>
      <c r="P1597" s="26">
        <v>0.96577347444269313</v>
      </c>
      <c r="Q1597" s="26">
        <v>0.96503642039542148</v>
      </c>
      <c r="R1597" s="26">
        <v>0.9217661097852029</v>
      </c>
      <c r="S1597" s="28">
        <v>0.9</v>
      </c>
      <c r="T1597" s="26">
        <v>0.92900432900432905</v>
      </c>
      <c r="U1597" s="26">
        <v>0.93672596262103125</v>
      </c>
      <c r="V1597" s="26">
        <v>0.93152965660770026</v>
      </c>
      <c r="W1597" s="26">
        <v>0.93042959427207639</v>
      </c>
      <c r="X1597" s="28">
        <v>0.92</v>
      </c>
      <c r="Y1597" s="28">
        <v>0</v>
      </c>
      <c r="Z1597" s="28">
        <v>0.66666666666666663</v>
      </c>
      <c r="AA1597" s="28">
        <v>0.25</v>
      </c>
      <c r="AB1597" s="28">
        <v>0.25</v>
      </c>
      <c r="AC1597" s="28">
        <v>0.92</v>
      </c>
      <c r="AD1597" s="26">
        <v>0.9057873485868102</v>
      </c>
      <c r="AE1597" s="26">
        <v>0.48577680525164113</v>
      </c>
      <c r="AF1597" s="26">
        <v>0.96965317919075145</v>
      </c>
      <c r="AG1597" s="26">
        <v>0.84589445287472598</v>
      </c>
      <c r="AH1597" s="28">
        <v>0.92</v>
      </c>
      <c r="AI1597" s="26">
        <v>0.96190476190476193</v>
      </c>
      <c r="AJ1597" s="26">
        <v>0.94779477947794777</v>
      </c>
      <c r="AK1597" s="26">
        <v>0.96049074651694744</v>
      </c>
      <c r="AL1597" s="26">
        <v>0.96292319805311</v>
      </c>
      <c r="AM1597" s="25">
        <v>0.99</v>
      </c>
      <c r="AN1597" s="30">
        <v>1</v>
      </c>
      <c r="AO1597" s="30">
        <v>1</v>
      </c>
      <c r="AP1597" s="30">
        <v>0</v>
      </c>
      <c r="AQ1597" s="30">
        <v>1</v>
      </c>
      <c r="AR1597" s="50">
        <v>0.110069253262963</v>
      </c>
      <c r="AS1597" s="34">
        <v>6.25E-2</v>
      </c>
      <c r="AT1597" s="34">
        <v>0.11764705882352941</v>
      </c>
      <c r="AU1597" s="34">
        <v>2.6315789473684209E-2</v>
      </c>
      <c r="AV1597" s="34">
        <v>5.6939501779359428E-2</v>
      </c>
      <c r="AW1597" s="10"/>
      <c r="AX1597" s="8"/>
    </row>
    <row r="1598" spans="1:50">
      <c r="A1598" s="7"/>
      <c r="B1598" s="10"/>
      <c r="C1598" s="45" t="s">
        <v>1468</v>
      </c>
      <c r="D1598" s="23" t="s">
        <v>27</v>
      </c>
      <c r="E1598" s="61" t="s">
        <v>1642</v>
      </c>
      <c r="F1598" s="61" t="s">
        <v>1642</v>
      </c>
      <c r="G1598" s="61" t="s">
        <v>1642</v>
      </c>
      <c r="H1598" s="61" t="s">
        <v>1642</v>
      </c>
      <c r="I1598" s="25">
        <v>0.9</v>
      </c>
      <c r="J1598" s="26">
        <v>0.69230769230769229</v>
      </c>
      <c r="K1598" s="26">
        <v>0.77777777777777779</v>
      </c>
      <c r="L1598" s="27">
        <v>0.75862068965517238</v>
      </c>
      <c r="M1598" s="26">
        <v>0.73972602739726023</v>
      </c>
      <c r="N1598" s="28">
        <v>0.9</v>
      </c>
      <c r="O1598" s="26">
        <v>0.45214045214045212</v>
      </c>
      <c r="P1598" s="26">
        <v>0.83713942307692313</v>
      </c>
      <c r="Q1598" s="26">
        <v>0.79315628192032683</v>
      </c>
      <c r="R1598" s="26">
        <v>0.63350487702710789</v>
      </c>
      <c r="S1598" s="28">
        <v>0.9</v>
      </c>
      <c r="T1598" s="26">
        <v>0.47931697931697931</v>
      </c>
      <c r="U1598" s="26">
        <v>0.62099358974358976</v>
      </c>
      <c r="V1598" s="26">
        <v>0.57150153217568944</v>
      </c>
      <c r="W1598" s="26">
        <v>0.54338459697205432</v>
      </c>
      <c r="X1598" s="28">
        <v>0.92</v>
      </c>
      <c r="Y1598" s="28">
        <v>0</v>
      </c>
      <c r="Z1598" s="28">
        <v>0</v>
      </c>
      <c r="AA1598" s="28">
        <v>0</v>
      </c>
      <c r="AB1598" s="28">
        <v>0.44444444444444442</v>
      </c>
      <c r="AC1598" s="28">
        <v>0.92</v>
      </c>
      <c r="AD1598" s="26">
        <v>1</v>
      </c>
      <c r="AE1598" s="26">
        <v>0.97222222222222221</v>
      </c>
      <c r="AF1598" s="26">
        <v>0.93548387096774188</v>
      </c>
      <c r="AG1598" s="26">
        <v>0.97151898734177211</v>
      </c>
      <c r="AH1598" s="28">
        <v>0.92</v>
      </c>
      <c r="AI1598" s="26">
        <v>0.81374669550588796</v>
      </c>
      <c r="AJ1598" s="26">
        <v>0.87642699779691569</v>
      </c>
      <c r="AK1598" s="26">
        <v>0.91445352400408575</v>
      </c>
      <c r="AL1598" s="26">
        <v>0.8852861116927403</v>
      </c>
      <c r="AM1598" s="25">
        <v>0.99</v>
      </c>
      <c r="AN1598" s="30">
        <v>0</v>
      </c>
      <c r="AO1598" s="30">
        <v>0</v>
      </c>
      <c r="AP1598" s="30">
        <v>0</v>
      </c>
      <c r="AQ1598" s="30">
        <v>0</v>
      </c>
      <c r="AR1598" s="50">
        <v>0.110069253262963</v>
      </c>
      <c r="AS1598" s="34">
        <v>0.13333333333333333</v>
      </c>
      <c r="AT1598" s="34">
        <v>8.6956521739130432E-2</v>
      </c>
      <c r="AU1598" s="34">
        <v>0</v>
      </c>
      <c r="AV1598" s="34">
        <v>8.7499999999999994E-2</v>
      </c>
      <c r="AW1598" s="10"/>
      <c r="AX1598" s="8"/>
    </row>
    <row r="1599" spans="1:50">
      <c r="A1599" s="7"/>
      <c r="B1599" s="10"/>
      <c r="C1599" s="45" t="s">
        <v>1468</v>
      </c>
      <c r="D1599" s="23" t="s">
        <v>27</v>
      </c>
      <c r="E1599" s="61" t="s">
        <v>1643</v>
      </c>
      <c r="F1599" s="61" t="s">
        <v>1643</v>
      </c>
      <c r="G1599" s="61" t="s">
        <v>1643</v>
      </c>
      <c r="H1599" s="61" t="s">
        <v>1643</v>
      </c>
      <c r="I1599" s="25">
        <v>0.9</v>
      </c>
      <c r="J1599" s="26">
        <v>0</v>
      </c>
      <c r="K1599" s="26">
        <v>0</v>
      </c>
      <c r="L1599" s="27">
        <v>0</v>
      </c>
      <c r="M1599" s="26">
        <v>0</v>
      </c>
      <c r="N1599" s="28">
        <v>0.9</v>
      </c>
      <c r="O1599" s="26">
        <v>0</v>
      </c>
      <c r="P1599" s="26">
        <v>0</v>
      </c>
      <c r="Q1599" s="26">
        <v>0</v>
      </c>
      <c r="R1599" s="26">
        <v>0</v>
      </c>
      <c r="S1599" s="28">
        <v>0.9</v>
      </c>
      <c r="T1599" s="26">
        <v>0</v>
      </c>
      <c r="U1599" s="26">
        <v>0</v>
      </c>
      <c r="V1599" s="26">
        <v>0</v>
      </c>
      <c r="W1599" s="26">
        <v>0</v>
      </c>
      <c r="X1599" s="28">
        <v>0.92</v>
      </c>
      <c r="Y1599" s="28">
        <v>0</v>
      </c>
      <c r="Z1599" s="28">
        <v>0</v>
      </c>
      <c r="AA1599" s="28">
        <v>0</v>
      </c>
      <c r="AB1599" s="28">
        <v>0</v>
      </c>
      <c r="AC1599" s="28">
        <v>0.92</v>
      </c>
      <c r="AD1599" s="26">
        <v>1</v>
      </c>
      <c r="AE1599" s="26">
        <v>0.89423076923076927</v>
      </c>
      <c r="AF1599" s="26">
        <v>1</v>
      </c>
      <c r="AG1599" s="26">
        <v>0.85170857511283038</v>
      </c>
      <c r="AH1599" s="28">
        <v>0.92</v>
      </c>
      <c r="AI1599" s="26">
        <v>0</v>
      </c>
      <c r="AJ1599" s="26">
        <v>0</v>
      </c>
      <c r="AK1599" s="26">
        <v>0</v>
      </c>
      <c r="AL1599" s="26">
        <v>0</v>
      </c>
      <c r="AM1599" s="25">
        <v>0.99</v>
      </c>
      <c r="AN1599" s="30">
        <v>1</v>
      </c>
      <c r="AO1599" s="30">
        <v>1</v>
      </c>
      <c r="AP1599" s="30">
        <v>1</v>
      </c>
      <c r="AQ1599" s="30">
        <v>1</v>
      </c>
      <c r="AR1599" s="50">
        <v>0.110069253262963</v>
      </c>
      <c r="AS1599" s="34">
        <v>0</v>
      </c>
      <c r="AT1599" s="34">
        <v>0</v>
      </c>
      <c r="AU1599" s="34">
        <v>0</v>
      </c>
      <c r="AV1599" s="34">
        <v>0</v>
      </c>
      <c r="AW1599" s="10"/>
      <c r="AX1599" s="8"/>
    </row>
    <row r="1600" spans="1:50">
      <c r="A1600" s="7"/>
      <c r="B1600" s="10"/>
      <c r="C1600" s="45" t="s">
        <v>1468</v>
      </c>
      <c r="D1600" s="23" t="s">
        <v>27</v>
      </c>
      <c r="E1600" s="61" t="s">
        <v>1644</v>
      </c>
      <c r="F1600" s="61" t="s">
        <v>1644</v>
      </c>
      <c r="G1600" s="61" t="s">
        <v>1644</v>
      </c>
      <c r="H1600" s="61" t="s">
        <v>1644</v>
      </c>
      <c r="I1600" s="25">
        <v>0.9</v>
      </c>
      <c r="J1600" s="26">
        <v>0</v>
      </c>
      <c r="K1600" s="26">
        <v>0</v>
      </c>
      <c r="L1600" s="27">
        <v>0</v>
      </c>
      <c r="M1600" s="26">
        <v>0</v>
      </c>
      <c r="N1600" s="28">
        <v>0.9</v>
      </c>
      <c r="O1600" s="26">
        <v>0</v>
      </c>
      <c r="P1600" s="26">
        <v>0</v>
      </c>
      <c r="Q1600" s="26">
        <v>0</v>
      </c>
      <c r="R1600" s="26">
        <v>0</v>
      </c>
      <c r="S1600" s="28">
        <v>0.9</v>
      </c>
      <c r="T1600" s="26">
        <v>0</v>
      </c>
      <c r="U1600" s="26">
        <v>0</v>
      </c>
      <c r="V1600" s="26">
        <v>0</v>
      </c>
      <c r="W1600" s="26">
        <v>0</v>
      </c>
      <c r="X1600" s="28">
        <v>0.92</v>
      </c>
      <c r="Y1600" s="28">
        <v>0</v>
      </c>
      <c r="Z1600" s="28">
        <v>0</v>
      </c>
      <c r="AA1600" s="28">
        <v>0</v>
      </c>
      <c r="AB1600" s="28">
        <v>0</v>
      </c>
      <c r="AC1600" s="28">
        <v>0.92</v>
      </c>
      <c r="AD1600" s="26">
        <v>1</v>
      </c>
      <c r="AE1600" s="26">
        <v>0.94146341463414629</v>
      </c>
      <c r="AF1600" s="26">
        <v>1</v>
      </c>
      <c r="AG1600" s="26">
        <v>0.96334527069728249</v>
      </c>
      <c r="AH1600" s="28">
        <v>0.92</v>
      </c>
      <c r="AI1600" s="26">
        <v>0</v>
      </c>
      <c r="AJ1600" s="26">
        <v>0</v>
      </c>
      <c r="AK1600" s="26">
        <v>0</v>
      </c>
      <c r="AL1600" s="26">
        <v>0.5</v>
      </c>
      <c r="AM1600" s="25">
        <v>0.99</v>
      </c>
      <c r="AN1600" s="30">
        <v>1</v>
      </c>
      <c r="AO1600" s="30">
        <v>1</v>
      </c>
      <c r="AP1600" s="30">
        <v>1</v>
      </c>
      <c r="AQ1600" s="30">
        <v>1</v>
      </c>
      <c r="AR1600" s="50">
        <v>0.110069253262963</v>
      </c>
      <c r="AS1600" s="34">
        <v>0</v>
      </c>
      <c r="AT1600" s="34">
        <v>0</v>
      </c>
      <c r="AU1600" s="34">
        <v>0</v>
      </c>
      <c r="AV1600" s="34">
        <v>0</v>
      </c>
      <c r="AW1600" s="10"/>
      <c r="AX1600" s="8"/>
    </row>
    <row r="1601" spans="1:50">
      <c r="A1601" s="7"/>
      <c r="B1601" s="10"/>
      <c r="C1601" s="45" t="s">
        <v>1468</v>
      </c>
      <c r="D1601" s="23" t="s">
        <v>27</v>
      </c>
      <c r="E1601" s="61" t="s">
        <v>1645</v>
      </c>
      <c r="F1601" s="61" t="s">
        <v>1645</v>
      </c>
      <c r="G1601" s="61" t="s">
        <v>1645</v>
      </c>
      <c r="H1601" s="61" t="s">
        <v>1645</v>
      </c>
      <c r="I1601" s="25">
        <v>0.9</v>
      </c>
      <c r="J1601" s="26">
        <v>0</v>
      </c>
      <c r="K1601" s="26">
        <v>0</v>
      </c>
      <c r="L1601" s="27">
        <v>0</v>
      </c>
      <c r="M1601" s="26">
        <v>0</v>
      </c>
      <c r="N1601" s="28">
        <v>0.9</v>
      </c>
      <c r="O1601" s="26">
        <v>0</v>
      </c>
      <c r="P1601" s="26">
        <v>0</v>
      </c>
      <c r="Q1601" s="26">
        <v>0</v>
      </c>
      <c r="R1601" s="26">
        <v>0</v>
      </c>
      <c r="S1601" s="28">
        <v>0.9</v>
      </c>
      <c r="T1601" s="26">
        <v>0</v>
      </c>
      <c r="U1601" s="26">
        <v>0</v>
      </c>
      <c r="V1601" s="26">
        <v>0</v>
      </c>
      <c r="W1601" s="26">
        <v>0</v>
      </c>
      <c r="X1601" s="28">
        <v>0.92</v>
      </c>
      <c r="Y1601" s="28">
        <v>0</v>
      </c>
      <c r="Z1601" s="28">
        <v>0</v>
      </c>
      <c r="AA1601" s="28">
        <v>0</v>
      </c>
      <c r="AB1601" s="28">
        <v>0</v>
      </c>
      <c r="AC1601" s="28">
        <v>0.92</v>
      </c>
      <c r="AD1601" s="26">
        <v>0.53030303030303028</v>
      </c>
      <c r="AE1601" s="26">
        <v>0.745</v>
      </c>
      <c r="AF1601" s="26">
        <v>0.72789115646258506</v>
      </c>
      <c r="AG1601" s="26">
        <v>0.87145152651312263</v>
      </c>
      <c r="AH1601" s="28">
        <v>0.92</v>
      </c>
      <c r="AI1601" s="26">
        <v>0</v>
      </c>
      <c r="AJ1601" s="26">
        <v>0</v>
      </c>
      <c r="AK1601" s="26">
        <v>0</v>
      </c>
      <c r="AL1601" s="26">
        <v>0</v>
      </c>
      <c r="AM1601" s="25">
        <v>0.99</v>
      </c>
      <c r="AN1601" s="30">
        <v>1</v>
      </c>
      <c r="AO1601" s="30">
        <v>1</v>
      </c>
      <c r="AP1601" s="30">
        <v>1</v>
      </c>
      <c r="AQ1601" s="30">
        <v>1</v>
      </c>
      <c r="AR1601" s="50">
        <v>0.110069253262963</v>
      </c>
      <c r="AS1601" s="34">
        <v>0</v>
      </c>
      <c r="AT1601" s="34">
        <v>0</v>
      </c>
      <c r="AU1601" s="34">
        <v>0</v>
      </c>
      <c r="AV1601" s="34">
        <v>0</v>
      </c>
      <c r="AW1601" s="10"/>
      <c r="AX1601" s="8"/>
    </row>
    <row r="1602" spans="1:50">
      <c r="A1602" s="7"/>
      <c r="B1602" s="10"/>
      <c r="C1602" s="45" t="s">
        <v>1468</v>
      </c>
      <c r="D1602" s="23" t="s">
        <v>27</v>
      </c>
      <c r="E1602" s="61" t="s">
        <v>1646</v>
      </c>
      <c r="F1602" s="61" t="s">
        <v>1646</v>
      </c>
      <c r="G1602" s="61" t="s">
        <v>1646</v>
      </c>
      <c r="H1602" s="61" t="s">
        <v>1646</v>
      </c>
      <c r="I1602" s="25">
        <v>0.9</v>
      </c>
      <c r="J1602" s="26">
        <v>0</v>
      </c>
      <c r="K1602" s="26">
        <v>0</v>
      </c>
      <c r="L1602" s="27">
        <v>0</v>
      </c>
      <c r="M1602" s="26">
        <v>0</v>
      </c>
      <c r="N1602" s="28">
        <v>0.9</v>
      </c>
      <c r="O1602" s="26">
        <v>0</v>
      </c>
      <c r="P1602" s="26">
        <v>0</v>
      </c>
      <c r="Q1602" s="26">
        <v>0</v>
      </c>
      <c r="R1602" s="26">
        <v>0</v>
      </c>
      <c r="S1602" s="28">
        <v>0.9</v>
      </c>
      <c r="T1602" s="26">
        <v>0</v>
      </c>
      <c r="U1602" s="26">
        <v>0</v>
      </c>
      <c r="V1602" s="26">
        <v>0</v>
      </c>
      <c r="W1602" s="26">
        <v>1</v>
      </c>
      <c r="X1602" s="28">
        <v>0.92</v>
      </c>
      <c r="Y1602" s="28">
        <v>0</v>
      </c>
      <c r="Z1602" s="28">
        <v>0</v>
      </c>
      <c r="AA1602" s="28">
        <v>0</v>
      </c>
      <c r="AB1602" s="28">
        <v>0</v>
      </c>
      <c r="AC1602" s="28">
        <v>0.92</v>
      </c>
      <c r="AD1602" s="26">
        <v>1</v>
      </c>
      <c r="AE1602" s="26">
        <v>0.90173410404624277</v>
      </c>
      <c r="AF1602" s="26">
        <v>0.99356913183279738</v>
      </c>
      <c r="AG1602" s="26">
        <v>0.97484276729559749</v>
      </c>
      <c r="AH1602" s="28">
        <v>0.92</v>
      </c>
      <c r="AI1602" s="26">
        <v>0</v>
      </c>
      <c r="AJ1602" s="26">
        <v>0</v>
      </c>
      <c r="AK1602" s="26">
        <v>0</v>
      </c>
      <c r="AL1602" s="26">
        <v>1</v>
      </c>
      <c r="AM1602" s="25">
        <v>0.99</v>
      </c>
      <c r="AN1602" s="30">
        <v>0</v>
      </c>
      <c r="AO1602" s="30">
        <v>0</v>
      </c>
      <c r="AP1602" s="30">
        <v>0</v>
      </c>
      <c r="AQ1602" s="30">
        <v>1</v>
      </c>
      <c r="AR1602" s="50">
        <v>0.110069253262963</v>
      </c>
      <c r="AS1602" s="34">
        <v>0</v>
      </c>
      <c r="AT1602" s="34">
        <v>0</v>
      </c>
      <c r="AU1602" s="34">
        <v>0</v>
      </c>
      <c r="AV1602" s="34">
        <v>0</v>
      </c>
      <c r="AW1602" s="10"/>
      <c r="AX1602" s="8"/>
    </row>
    <row r="1603" spans="1:50">
      <c r="A1603" s="7"/>
      <c r="B1603" s="10"/>
      <c r="C1603" s="45" t="s">
        <v>1468</v>
      </c>
      <c r="D1603" s="23" t="s">
        <v>27</v>
      </c>
      <c r="E1603" s="61" t="s">
        <v>1647</v>
      </c>
      <c r="F1603" s="61" t="s">
        <v>1647</v>
      </c>
      <c r="G1603" s="61" t="s">
        <v>1647</v>
      </c>
      <c r="H1603" s="61" t="s">
        <v>1647</v>
      </c>
      <c r="I1603" s="25">
        <v>0.9</v>
      </c>
      <c r="J1603" s="26">
        <v>0.97435897435897434</v>
      </c>
      <c r="K1603" s="26">
        <v>0.97435897435897434</v>
      </c>
      <c r="L1603" s="27">
        <v>1</v>
      </c>
      <c r="M1603" s="26">
        <v>0.98355263157894735</v>
      </c>
      <c r="N1603" s="28">
        <v>0.9</v>
      </c>
      <c r="O1603" s="26">
        <v>0.99656357388316152</v>
      </c>
      <c r="P1603" s="26">
        <v>0.99213509137173261</v>
      </c>
      <c r="Q1603" s="26">
        <v>0.97771443379113765</v>
      </c>
      <c r="R1603" s="26">
        <v>0.97790358380926257</v>
      </c>
      <c r="S1603" s="28">
        <v>0.9</v>
      </c>
      <c r="T1603" s="26">
        <v>0.96759941089837997</v>
      </c>
      <c r="U1603" s="26">
        <v>0.97131621559102477</v>
      </c>
      <c r="V1603" s="26">
        <v>0.96294376781549629</v>
      </c>
      <c r="W1603" s="26">
        <v>0.97191809861086864</v>
      </c>
      <c r="X1603" s="28">
        <v>0.92</v>
      </c>
      <c r="Y1603" s="28">
        <v>0</v>
      </c>
      <c r="Z1603" s="28">
        <v>0.2857142857142857</v>
      </c>
      <c r="AA1603" s="28">
        <v>0</v>
      </c>
      <c r="AB1603" s="28">
        <v>0.21052631578947367</v>
      </c>
      <c r="AC1603" s="28">
        <v>0.92</v>
      </c>
      <c r="AD1603" s="26">
        <v>0.98113207547169812</v>
      </c>
      <c r="AE1603" s="26">
        <v>0.93103448275862066</v>
      </c>
      <c r="AF1603" s="26">
        <v>0.94594594594594594</v>
      </c>
      <c r="AG1603" s="26">
        <v>0.94947735191637628</v>
      </c>
      <c r="AH1603" s="28">
        <v>0.92</v>
      </c>
      <c r="AI1603" s="26">
        <v>0.97823596792668954</v>
      </c>
      <c r="AJ1603" s="26">
        <v>0.9893764434180139</v>
      </c>
      <c r="AK1603" s="26">
        <v>0.9756854630108639</v>
      </c>
      <c r="AL1603" s="26">
        <v>0.9859730423300197</v>
      </c>
      <c r="AM1603" s="25">
        <v>0.99</v>
      </c>
      <c r="AN1603" s="30">
        <v>1</v>
      </c>
      <c r="AO1603" s="30">
        <v>1</v>
      </c>
      <c r="AP1603" s="30">
        <v>1</v>
      </c>
      <c r="AQ1603" s="30">
        <v>1</v>
      </c>
      <c r="AR1603" s="50">
        <v>0.110069253262963</v>
      </c>
      <c r="AS1603" s="34">
        <v>3.2258064516129031E-2</v>
      </c>
      <c r="AT1603" s="34">
        <v>0</v>
      </c>
      <c r="AU1603" s="34">
        <v>0</v>
      </c>
      <c r="AV1603" s="34">
        <v>4.2105263157894736E-2</v>
      </c>
      <c r="AW1603" s="10"/>
      <c r="AX1603" s="8"/>
    </row>
    <row r="1604" spans="1:50">
      <c r="A1604" s="7"/>
      <c r="B1604" s="10"/>
      <c r="C1604" s="45" t="s">
        <v>1468</v>
      </c>
      <c r="D1604" s="23" t="s">
        <v>27</v>
      </c>
      <c r="E1604" s="61" t="s">
        <v>1648</v>
      </c>
      <c r="F1604" s="61" t="s">
        <v>1648</v>
      </c>
      <c r="G1604" s="61" t="s">
        <v>1648</v>
      </c>
      <c r="H1604" s="61" t="s">
        <v>1648</v>
      </c>
      <c r="I1604" s="25">
        <v>0.9</v>
      </c>
      <c r="J1604" s="26">
        <v>0</v>
      </c>
      <c r="K1604" s="26">
        <v>0</v>
      </c>
      <c r="L1604" s="27">
        <v>0</v>
      </c>
      <c r="M1604" s="26">
        <v>0</v>
      </c>
      <c r="N1604" s="28">
        <v>0.9</v>
      </c>
      <c r="O1604" s="26">
        <v>0</v>
      </c>
      <c r="P1604" s="26">
        <v>0</v>
      </c>
      <c r="Q1604" s="26">
        <v>0</v>
      </c>
      <c r="R1604" s="26">
        <v>0</v>
      </c>
      <c r="S1604" s="28">
        <v>0.9</v>
      </c>
      <c r="T1604" s="26">
        <v>0</v>
      </c>
      <c r="U1604" s="26">
        <v>0</v>
      </c>
      <c r="V1604" s="26">
        <v>0</v>
      </c>
      <c r="W1604" s="26">
        <v>0</v>
      </c>
      <c r="X1604" s="28">
        <v>0.92</v>
      </c>
      <c r="Y1604" s="28">
        <v>0</v>
      </c>
      <c r="Z1604" s="28">
        <v>0</v>
      </c>
      <c r="AA1604" s="28">
        <v>0</v>
      </c>
      <c r="AB1604" s="28">
        <v>0</v>
      </c>
      <c r="AC1604" s="28">
        <v>0.92</v>
      </c>
      <c r="AD1604" s="26">
        <v>0.99056603773584906</v>
      </c>
      <c r="AE1604" s="26">
        <v>0.99082568807339455</v>
      </c>
      <c r="AF1604" s="26">
        <v>1</v>
      </c>
      <c r="AG1604" s="26">
        <v>0.93447098976109211</v>
      </c>
      <c r="AH1604" s="28">
        <v>0.92</v>
      </c>
      <c r="AI1604" s="26">
        <v>0</v>
      </c>
      <c r="AJ1604" s="26">
        <v>0</v>
      </c>
      <c r="AK1604" s="26">
        <v>0</v>
      </c>
      <c r="AL1604" s="26">
        <v>0</v>
      </c>
      <c r="AM1604" s="25">
        <v>0.99</v>
      </c>
      <c r="AN1604" s="30">
        <v>0</v>
      </c>
      <c r="AO1604" s="30">
        <v>0</v>
      </c>
      <c r="AP1604" s="30">
        <v>0</v>
      </c>
      <c r="AQ1604" s="30">
        <v>1</v>
      </c>
      <c r="AR1604" s="50">
        <v>0.110069253262963</v>
      </c>
      <c r="AS1604" s="34">
        <v>0</v>
      </c>
      <c r="AT1604" s="34">
        <v>0</v>
      </c>
      <c r="AU1604" s="34">
        <v>0</v>
      </c>
      <c r="AV1604" s="34">
        <v>0</v>
      </c>
      <c r="AW1604" s="10"/>
      <c r="AX1604" s="8"/>
    </row>
    <row r="1605" spans="1:50">
      <c r="A1605" s="7"/>
      <c r="B1605" s="10"/>
      <c r="C1605" s="45" t="s">
        <v>1468</v>
      </c>
      <c r="D1605" s="23" t="s">
        <v>27</v>
      </c>
      <c r="E1605" s="61" t="s">
        <v>1649</v>
      </c>
      <c r="F1605" s="61" t="s">
        <v>1649</v>
      </c>
      <c r="G1605" s="61" t="s">
        <v>1649</v>
      </c>
      <c r="H1605" s="61" t="s">
        <v>1649</v>
      </c>
      <c r="I1605" s="25">
        <v>0.9</v>
      </c>
      <c r="J1605" s="26">
        <v>0.93478260869565222</v>
      </c>
      <c r="K1605" s="26">
        <v>0.93617021276595747</v>
      </c>
      <c r="L1605" s="27">
        <v>1</v>
      </c>
      <c r="M1605" s="26">
        <v>0.95478723404255317</v>
      </c>
      <c r="N1605" s="28">
        <v>0.9</v>
      </c>
      <c r="O1605" s="26">
        <v>0.98990654205607476</v>
      </c>
      <c r="P1605" s="26">
        <v>0.9874979704497483</v>
      </c>
      <c r="Q1605" s="26">
        <v>0.98978589668041639</v>
      </c>
      <c r="R1605" s="26">
        <v>0.98928785832207711</v>
      </c>
      <c r="S1605" s="28">
        <v>0.9</v>
      </c>
      <c r="T1605" s="26">
        <v>0.75825545171339559</v>
      </c>
      <c r="U1605" s="26">
        <v>0.80159116739730474</v>
      </c>
      <c r="V1605" s="26">
        <v>0.7548615203299941</v>
      </c>
      <c r="W1605" s="26">
        <v>0.78808344589524237</v>
      </c>
      <c r="X1605" s="28">
        <v>0.92</v>
      </c>
      <c r="Y1605" s="28">
        <v>0</v>
      </c>
      <c r="Z1605" s="28">
        <v>0.5</v>
      </c>
      <c r="AA1605" s="28">
        <v>0</v>
      </c>
      <c r="AB1605" s="28">
        <v>3.7037037037037035E-2</v>
      </c>
      <c r="AC1605" s="28">
        <v>0.92</v>
      </c>
      <c r="AD1605" s="26">
        <v>0.9821428571428571</v>
      </c>
      <c r="AE1605" s="26">
        <v>0.79365079365079361</v>
      </c>
      <c r="AF1605" s="26">
        <v>1</v>
      </c>
      <c r="AG1605" s="26">
        <v>0.94277929155313356</v>
      </c>
      <c r="AH1605" s="28">
        <v>0.92</v>
      </c>
      <c r="AI1605" s="26">
        <v>0.91078993271866437</v>
      </c>
      <c r="AJ1605" s="26">
        <v>0.92890764486284694</v>
      </c>
      <c r="AK1605" s="26">
        <v>0.91089303238469088</v>
      </c>
      <c r="AL1605" s="26">
        <v>0.91641041026025649</v>
      </c>
      <c r="AM1605" s="25">
        <v>0.99</v>
      </c>
      <c r="AN1605" s="30">
        <v>0</v>
      </c>
      <c r="AO1605" s="30">
        <v>0</v>
      </c>
      <c r="AP1605" s="30">
        <v>0</v>
      </c>
      <c r="AQ1605" s="30">
        <v>1</v>
      </c>
      <c r="AR1605" s="50">
        <v>0.110069253262963</v>
      </c>
      <c r="AS1605" s="34">
        <v>1.8867924528301886E-2</v>
      </c>
      <c r="AT1605" s="34">
        <v>5.0847457627118647E-2</v>
      </c>
      <c r="AU1605" s="34">
        <v>0.14634146341463414</v>
      </c>
      <c r="AV1605" s="34">
        <v>5.6872037914691941E-2</v>
      </c>
      <c r="AW1605" s="10"/>
      <c r="AX1605" s="8"/>
    </row>
    <row r="1606" spans="1:50">
      <c r="A1606" s="7"/>
      <c r="B1606" s="10"/>
      <c r="C1606" s="45" t="s">
        <v>1468</v>
      </c>
      <c r="D1606" s="23" t="s">
        <v>27</v>
      </c>
      <c r="E1606" s="61" t="s">
        <v>1650</v>
      </c>
      <c r="F1606" s="61" t="s">
        <v>1650</v>
      </c>
      <c r="G1606" s="61" t="s">
        <v>1650</v>
      </c>
      <c r="H1606" s="61" t="s">
        <v>1650</v>
      </c>
      <c r="I1606" s="25">
        <v>0.9</v>
      </c>
      <c r="J1606" s="26">
        <v>0.94285714285714284</v>
      </c>
      <c r="K1606" s="26">
        <v>0.94117647058823528</v>
      </c>
      <c r="L1606" s="27">
        <v>0.83333333333333337</v>
      </c>
      <c r="M1606" s="26">
        <v>0.91417910447761197</v>
      </c>
      <c r="N1606" s="28">
        <v>0.9</v>
      </c>
      <c r="O1606" s="26">
        <v>0.98540145985401462</v>
      </c>
      <c r="P1606" s="26">
        <v>0.98415584415584412</v>
      </c>
      <c r="Q1606" s="26">
        <v>0.98560955742601142</v>
      </c>
      <c r="R1606" s="26">
        <v>0.9763583729216152</v>
      </c>
      <c r="S1606" s="28">
        <v>0.9</v>
      </c>
      <c r="T1606" s="26">
        <v>0.59822278641701043</v>
      </c>
      <c r="U1606" s="26">
        <v>0.60415584415584411</v>
      </c>
      <c r="V1606" s="26">
        <v>0.66358946510996475</v>
      </c>
      <c r="W1606" s="26">
        <v>0.47231294536817103</v>
      </c>
      <c r="X1606" s="28">
        <v>0.92</v>
      </c>
      <c r="Y1606" s="28">
        <v>0.82099409106708376</v>
      </c>
      <c r="Z1606" s="28">
        <v>0.85929449068569164</v>
      </c>
      <c r="AA1606" s="28">
        <v>0.85589865399841647</v>
      </c>
      <c r="AB1606" s="28">
        <v>0.84067452484349448</v>
      </c>
      <c r="AC1606" s="28">
        <v>0.92</v>
      </c>
      <c r="AD1606" s="26">
        <v>0.9642857142857143</v>
      </c>
      <c r="AE1606" s="26">
        <v>1</v>
      </c>
      <c r="AF1606" s="26">
        <v>1</v>
      </c>
      <c r="AG1606" s="26">
        <v>0.99029126213592233</v>
      </c>
      <c r="AH1606" s="28">
        <v>0.92</v>
      </c>
      <c r="AI1606" s="26">
        <v>0.85804311774461028</v>
      </c>
      <c r="AJ1606" s="26">
        <v>0.89141691511062293</v>
      </c>
      <c r="AK1606" s="26">
        <v>0.89953308645950736</v>
      </c>
      <c r="AL1606" s="26">
        <v>0.87951133287091943</v>
      </c>
      <c r="AM1606" s="25">
        <v>0.99</v>
      </c>
      <c r="AN1606" s="30">
        <v>0</v>
      </c>
      <c r="AO1606" s="30">
        <v>0</v>
      </c>
      <c r="AP1606" s="30">
        <v>1</v>
      </c>
      <c r="AQ1606" s="30">
        <v>1</v>
      </c>
      <c r="AR1606" s="50">
        <v>0.110069253262963</v>
      </c>
      <c r="AS1606" s="34">
        <v>3.0303030303030304E-2</v>
      </c>
      <c r="AT1606" s="34">
        <v>0.13636363636363635</v>
      </c>
      <c r="AU1606" s="34">
        <v>7.1428571428571425E-2</v>
      </c>
      <c r="AV1606" s="34">
        <v>8.0717488789237665E-2</v>
      </c>
      <c r="AW1606" s="10"/>
      <c r="AX1606" s="8"/>
    </row>
    <row r="1607" spans="1:50">
      <c r="A1607" s="7"/>
      <c r="B1607" s="10"/>
      <c r="C1607" s="45" t="s">
        <v>1468</v>
      </c>
      <c r="D1607" s="23" t="s">
        <v>27</v>
      </c>
      <c r="E1607" s="61" t="s">
        <v>1651</v>
      </c>
      <c r="F1607" s="61" t="s">
        <v>1651</v>
      </c>
      <c r="G1607" s="61" t="s">
        <v>1651</v>
      </c>
      <c r="H1607" s="61" t="s">
        <v>1651</v>
      </c>
      <c r="I1607" s="25">
        <v>0.9</v>
      </c>
      <c r="J1607" s="26">
        <v>0</v>
      </c>
      <c r="K1607" s="26">
        <v>0</v>
      </c>
      <c r="L1607" s="27">
        <v>0</v>
      </c>
      <c r="M1607" s="26">
        <v>0</v>
      </c>
      <c r="N1607" s="28">
        <v>0.9</v>
      </c>
      <c r="O1607" s="26">
        <v>0</v>
      </c>
      <c r="P1607" s="26">
        <v>0</v>
      </c>
      <c r="Q1607" s="26">
        <v>0</v>
      </c>
      <c r="R1607" s="26">
        <v>0</v>
      </c>
      <c r="S1607" s="28">
        <v>0.9</v>
      </c>
      <c r="T1607" s="26">
        <v>0</v>
      </c>
      <c r="U1607" s="26">
        <v>0</v>
      </c>
      <c r="V1607" s="26">
        <v>0</v>
      </c>
      <c r="W1607" s="26">
        <v>0</v>
      </c>
      <c r="X1607" s="28">
        <v>0.92</v>
      </c>
      <c r="Y1607" s="28">
        <v>0</v>
      </c>
      <c r="Z1607" s="28">
        <v>0</v>
      </c>
      <c r="AA1607" s="28">
        <v>0</v>
      </c>
      <c r="AB1607" s="28">
        <v>0</v>
      </c>
      <c r="AC1607" s="28">
        <v>0.92</v>
      </c>
      <c r="AD1607" s="26">
        <v>0.85</v>
      </c>
      <c r="AE1607" s="26">
        <v>0.88321167883211682</v>
      </c>
      <c r="AF1607" s="26">
        <v>1</v>
      </c>
      <c r="AG1607" s="26">
        <v>0.9652432969215492</v>
      </c>
      <c r="AH1607" s="28">
        <v>0.92</v>
      </c>
      <c r="AI1607" s="26">
        <v>0</v>
      </c>
      <c r="AJ1607" s="26">
        <v>0</v>
      </c>
      <c r="AK1607" s="26">
        <v>0</v>
      </c>
      <c r="AL1607" s="26">
        <v>0</v>
      </c>
      <c r="AM1607" s="25">
        <v>0.99</v>
      </c>
      <c r="AN1607" s="30">
        <v>1</v>
      </c>
      <c r="AO1607" s="30">
        <v>1</v>
      </c>
      <c r="AP1607" s="30">
        <v>1</v>
      </c>
      <c r="AQ1607" s="30">
        <v>1</v>
      </c>
      <c r="AR1607" s="50">
        <v>0.110069253262963</v>
      </c>
      <c r="AS1607" s="34">
        <v>0</v>
      </c>
      <c r="AT1607" s="34">
        <v>0</v>
      </c>
      <c r="AU1607" s="34">
        <v>0</v>
      </c>
      <c r="AV1607" s="34">
        <v>0</v>
      </c>
      <c r="AW1607" s="10"/>
      <c r="AX1607" s="8"/>
    </row>
    <row r="1608" spans="1:50">
      <c r="A1608" s="7"/>
      <c r="B1608" s="10"/>
      <c r="C1608" s="45" t="s">
        <v>1468</v>
      </c>
      <c r="D1608" s="23" t="s">
        <v>27</v>
      </c>
      <c r="E1608" s="61" t="s">
        <v>1652</v>
      </c>
      <c r="F1608" s="61" t="s">
        <v>1652</v>
      </c>
      <c r="G1608" s="61" t="s">
        <v>1652</v>
      </c>
      <c r="H1608" s="61" t="s">
        <v>1652</v>
      </c>
      <c r="I1608" s="25">
        <v>0.9</v>
      </c>
      <c r="J1608" s="26">
        <v>0</v>
      </c>
      <c r="K1608" s="26">
        <v>0</v>
      </c>
      <c r="L1608" s="27">
        <v>0</v>
      </c>
      <c r="M1608" s="26">
        <v>0</v>
      </c>
      <c r="N1608" s="28">
        <v>0.9</v>
      </c>
      <c r="O1608" s="26">
        <v>0</v>
      </c>
      <c r="P1608" s="26">
        <v>0</v>
      </c>
      <c r="Q1608" s="26">
        <v>0</v>
      </c>
      <c r="R1608" s="26">
        <v>0</v>
      </c>
      <c r="S1608" s="28">
        <v>0.9</v>
      </c>
      <c r="T1608" s="26">
        <v>0</v>
      </c>
      <c r="U1608" s="26">
        <v>1</v>
      </c>
      <c r="V1608" s="26">
        <v>0</v>
      </c>
      <c r="W1608" s="26">
        <v>1</v>
      </c>
      <c r="X1608" s="28">
        <v>0.92</v>
      </c>
      <c r="Y1608" s="28">
        <v>0</v>
      </c>
      <c r="Z1608" s="28">
        <v>0</v>
      </c>
      <c r="AA1608" s="28">
        <v>0</v>
      </c>
      <c r="AB1608" s="28">
        <v>0</v>
      </c>
      <c r="AC1608" s="28">
        <v>0.92</v>
      </c>
      <c r="AD1608" s="26">
        <v>0.54752851711026618</v>
      </c>
      <c r="AE1608" s="26">
        <v>0.28374233128834359</v>
      </c>
      <c r="AF1608" s="26">
        <v>1</v>
      </c>
      <c r="AG1608" s="26">
        <v>0.71904090267983078</v>
      </c>
      <c r="AH1608" s="28">
        <v>0.92</v>
      </c>
      <c r="AI1608" s="26">
        <v>0</v>
      </c>
      <c r="AJ1608" s="26">
        <v>1</v>
      </c>
      <c r="AK1608" s="26">
        <v>0</v>
      </c>
      <c r="AL1608" s="26">
        <v>1</v>
      </c>
      <c r="AM1608" s="25">
        <v>0.99</v>
      </c>
      <c r="AN1608" s="30">
        <v>1</v>
      </c>
      <c r="AO1608" s="30">
        <v>1</v>
      </c>
      <c r="AP1608" s="30">
        <v>1</v>
      </c>
      <c r="AQ1608" s="30">
        <v>1</v>
      </c>
      <c r="AR1608" s="50">
        <v>0.110069253262963</v>
      </c>
      <c r="AS1608" s="34">
        <v>0</v>
      </c>
      <c r="AT1608" s="34">
        <v>0</v>
      </c>
      <c r="AU1608" s="34">
        <v>0</v>
      </c>
      <c r="AV1608" s="34">
        <v>0</v>
      </c>
      <c r="AW1608" s="10"/>
      <c r="AX1608" s="8"/>
    </row>
    <row r="1609" spans="1:50">
      <c r="A1609" s="7"/>
      <c r="B1609" s="10"/>
      <c r="C1609" s="45" t="s">
        <v>1468</v>
      </c>
      <c r="D1609" s="23" t="s">
        <v>27</v>
      </c>
      <c r="E1609" s="61" t="s">
        <v>1653</v>
      </c>
      <c r="F1609" s="61" t="s">
        <v>1653</v>
      </c>
      <c r="G1609" s="61" t="s">
        <v>1653</v>
      </c>
      <c r="H1609" s="61" t="s">
        <v>1653</v>
      </c>
      <c r="I1609" s="25">
        <v>0.9</v>
      </c>
      <c r="J1609" s="26">
        <v>0.94871794871794868</v>
      </c>
      <c r="K1609" s="26">
        <v>1</v>
      </c>
      <c r="L1609" s="27">
        <v>0.98113207547169812</v>
      </c>
      <c r="M1609" s="26">
        <v>0.98404255319148937</v>
      </c>
      <c r="N1609" s="28">
        <v>0.9</v>
      </c>
      <c r="O1609" s="26">
        <v>0.95948683322079675</v>
      </c>
      <c r="P1609" s="26">
        <v>0.94404883011190233</v>
      </c>
      <c r="Q1609" s="26">
        <v>0.93756449948400411</v>
      </c>
      <c r="R1609" s="26">
        <v>0.9486607142857143</v>
      </c>
      <c r="S1609" s="28">
        <v>0.9</v>
      </c>
      <c r="T1609" s="26">
        <v>0.85752869682646859</v>
      </c>
      <c r="U1609" s="26">
        <v>0.87792472024415058</v>
      </c>
      <c r="V1609" s="26">
        <v>0.90402476780185759</v>
      </c>
      <c r="W1609" s="26">
        <v>0.83437499999999998</v>
      </c>
      <c r="X1609" s="28">
        <v>0.92</v>
      </c>
      <c r="Y1609" s="28">
        <v>0.87884494664155677</v>
      </c>
      <c r="Z1609" s="28">
        <v>0.93444909344490934</v>
      </c>
      <c r="AA1609" s="28">
        <v>0.95582586427656846</v>
      </c>
      <c r="AB1609" s="28">
        <v>0.92329970104633785</v>
      </c>
      <c r="AC1609" s="28">
        <v>0.92</v>
      </c>
      <c r="AD1609" s="26">
        <v>0.99009900990099009</v>
      </c>
      <c r="AE1609" s="26">
        <v>0.967741935483871</v>
      </c>
      <c r="AF1609" s="26">
        <v>1</v>
      </c>
      <c r="AG1609" s="26">
        <v>0.99243379571248425</v>
      </c>
      <c r="AH1609" s="28">
        <v>0.92</v>
      </c>
      <c r="AI1609" s="26">
        <v>0.9134677944046844</v>
      </c>
      <c r="AJ1609" s="26">
        <v>0.9500587544065805</v>
      </c>
      <c r="AK1609" s="26">
        <v>0.96630496858937753</v>
      </c>
      <c r="AL1609" s="26">
        <v>0.94365847604864728</v>
      </c>
      <c r="AM1609" s="25">
        <v>0.99</v>
      </c>
      <c r="AN1609" s="30">
        <v>1</v>
      </c>
      <c r="AO1609" s="30">
        <v>0</v>
      </c>
      <c r="AP1609" s="30">
        <v>1</v>
      </c>
      <c r="AQ1609" s="30">
        <v>1</v>
      </c>
      <c r="AR1609" s="50">
        <v>0.110069253262963</v>
      </c>
      <c r="AS1609" s="34">
        <v>0</v>
      </c>
      <c r="AT1609" s="34">
        <v>5.5555555555555552E-2</v>
      </c>
      <c r="AU1609" s="34">
        <v>0</v>
      </c>
      <c r="AV1609" s="34">
        <v>0.05</v>
      </c>
      <c r="AW1609" s="10"/>
      <c r="AX1609" s="8"/>
    </row>
    <row r="1610" spans="1:50">
      <c r="A1610" s="7"/>
      <c r="B1610" s="10"/>
      <c r="C1610" s="45" t="s">
        <v>1468</v>
      </c>
      <c r="D1610" s="23" t="s">
        <v>27</v>
      </c>
      <c r="E1610" s="61" t="s">
        <v>1654</v>
      </c>
      <c r="F1610" s="61" t="s">
        <v>1654</v>
      </c>
      <c r="G1610" s="61" t="s">
        <v>1654</v>
      </c>
      <c r="H1610" s="61" t="s">
        <v>1654</v>
      </c>
      <c r="I1610" s="25">
        <v>0.9</v>
      </c>
      <c r="J1610" s="26">
        <v>0</v>
      </c>
      <c r="K1610" s="26">
        <v>0</v>
      </c>
      <c r="L1610" s="27">
        <v>0</v>
      </c>
      <c r="M1610" s="26">
        <v>0</v>
      </c>
      <c r="N1610" s="28">
        <v>0.9</v>
      </c>
      <c r="O1610" s="26">
        <v>0</v>
      </c>
      <c r="P1610" s="26">
        <v>0</v>
      </c>
      <c r="Q1610" s="26">
        <v>0</v>
      </c>
      <c r="R1610" s="26">
        <v>0</v>
      </c>
      <c r="S1610" s="28">
        <v>0.9</v>
      </c>
      <c r="T1610" s="26">
        <v>1</v>
      </c>
      <c r="U1610" s="26">
        <v>1</v>
      </c>
      <c r="V1610" s="26">
        <v>0</v>
      </c>
      <c r="W1610" s="26">
        <v>0.8</v>
      </c>
      <c r="X1610" s="28">
        <v>0.92</v>
      </c>
      <c r="Y1610" s="28">
        <v>0</v>
      </c>
      <c r="Z1610" s="28">
        <v>0</v>
      </c>
      <c r="AA1610" s="28">
        <v>0</v>
      </c>
      <c r="AB1610" s="28">
        <v>0</v>
      </c>
      <c r="AC1610" s="28">
        <v>0.92</v>
      </c>
      <c r="AD1610" s="26">
        <v>0.88926174496644295</v>
      </c>
      <c r="AE1610" s="26">
        <v>0.94654788418708236</v>
      </c>
      <c r="AF1610" s="26">
        <v>0.97856242118537196</v>
      </c>
      <c r="AG1610" s="26">
        <v>0.97186111568208</v>
      </c>
      <c r="AH1610" s="28">
        <v>0.92</v>
      </c>
      <c r="AI1610" s="26">
        <v>1</v>
      </c>
      <c r="AJ1610" s="26">
        <v>1</v>
      </c>
      <c r="AK1610" s="26">
        <v>0.5</v>
      </c>
      <c r="AL1610" s="26">
        <v>0.9</v>
      </c>
      <c r="AM1610" s="25">
        <v>0.99</v>
      </c>
      <c r="AN1610" s="30">
        <v>1</v>
      </c>
      <c r="AO1610" s="30">
        <v>1</v>
      </c>
      <c r="AP1610" s="30">
        <v>1</v>
      </c>
      <c r="AQ1610" s="30">
        <v>1</v>
      </c>
      <c r="AR1610" s="50">
        <v>0.110069253262963</v>
      </c>
      <c r="AS1610" s="34">
        <v>0</v>
      </c>
      <c r="AT1610" s="34">
        <v>0</v>
      </c>
      <c r="AU1610" s="34">
        <v>0</v>
      </c>
      <c r="AV1610" s="34">
        <v>0</v>
      </c>
      <c r="AW1610" s="10"/>
      <c r="AX1610" s="8"/>
    </row>
    <row r="1611" spans="1:50">
      <c r="A1611" s="7"/>
      <c r="B1611" s="10"/>
      <c r="C1611" s="45" t="s">
        <v>1468</v>
      </c>
      <c r="D1611" s="23" t="s">
        <v>27</v>
      </c>
      <c r="E1611" s="61" t="s">
        <v>1655</v>
      </c>
      <c r="F1611" s="61" t="s">
        <v>1655</v>
      </c>
      <c r="G1611" s="61" t="s">
        <v>1655</v>
      </c>
      <c r="H1611" s="61" t="s">
        <v>1655</v>
      </c>
      <c r="I1611" s="25">
        <v>0.9</v>
      </c>
      <c r="J1611" s="26">
        <v>0</v>
      </c>
      <c r="K1611" s="26">
        <v>0</v>
      </c>
      <c r="L1611" s="27">
        <v>0</v>
      </c>
      <c r="M1611" s="26">
        <v>0</v>
      </c>
      <c r="N1611" s="28">
        <v>0.9</v>
      </c>
      <c r="O1611" s="26">
        <v>0</v>
      </c>
      <c r="P1611" s="26">
        <v>0</v>
      </c>
      <c r="Q1611" s="26">
        <v>0</v>
      </c>
      <c r="R1611" s="26">
        <v>0</v>
      </c>
      <c r="S1611" s="28">
        <v>0.9</v>
      </c>
      <c r="T1611" s="26">
        <v>0</v>
      </c>
      <c r="U1611" s="26">
        <v>0</v>
      </c>
      <c r="V1611" s="26">
        <v>0</v>
      </c>
      <c r="W1611" s="26">
        <v>0</v>
      </c>
      <c r="X1611" s="28">
        <v>0.92</v>
      </c>
      <c r="Y1611" s="28">
        <v>0</v>
      </c>
      <c r="Z1611" s="28">
        <v>0</v>
      </c>
      <c r="AA1611" s="28">
        <v>0</v>
      </c>
      <c r="AB1611" s="28">
        <v>0</v>
      </c>
      <c r="AC1611" s="28">
        <v>0.92</v>
      </c>
      <c r="AD1611" s="26">
        <v>0.88537549407114624</v>
      </c>
      <c r="AE1611" s="26">
        <v>0.83137254901960789</v>
      </c>
      <c r="AF1611" s="26">
        <v>0.93536121673003803</v>
      </c>
      <c r="AG1611" s="26">
        <v>0.91666666666666663</v>
      </c>
      <c r="AH1611" s="28">
        <v>0.92</v>
      </c>
      <c r="AI1611" s="26">
        <v>0</v>
      </c>
      <c r="AJ1611" s="26">
        <v>0</v>
      </c>
      <c r="AK1611" s="26">
        <v>0</v>
      </c>
      <c r="AL1611" s="26">
        <v>0</v>
      </c>
      <c r="AM1611" s="25">
        <v>0.99</v>
      </c>
      <c r="AN1611" s="30">
        <v>1</v>
      </c>
      <c r="AO1611" s="30">
        <v>1</v>
      </c>
      <c r="AP1611" s="30">
        <v>1</v>
      </c>
      <c r="AQ1611" s="30">
        <v>1</v>
      </c>
      <c r="AR1611" s="50">
        <v>0.110069253262963</v>
      </c>
      <c r="AS1611" s="34">
        <v>0</v>
      </c>
      <c r="AT1611" s="34">
        <v>0</v>
      </c>
      <c r="AU1611" s="34">
        <v>0</v>
      </c>
      <c r="AV1611" s="34">
        <v>0</v>
      </c>
      <c r="AW1611" s="10"/>
      <c r="AX1611" s="8"/>
    </row>
    <row r="1612" spans="1:50">
      <c r="A1612" s="7"/>
      <c r="B1612" s="10"/>
      <c r="C1612" s="45" t="s">
        <v>1468</v>
      </c>
      <c r="D1612" s="23" t="s">
        <v>27</v>
      </c>
      <c r="E1612" s="61" t="s">
        <v>1656</v>
      </c>
      <c r="F1612" s="61" t="s">
        <v>1656</v>
      </c>
      <c r="G1612" s="61" t="s">
        <v>1656</v>
      </c>
      <c r="H1612" s="61" t="s">
        <v>1656</v>
      </c>
      <c r="I1612" s="25">
        <v>0.9</v>
      </c>
      <c r="J1612" s="26">
        <v>0</v>
      </c>
      <c r="K1612" s="26">
        <v>0</v>
      </c>
      <c r="L1612" s="27">
        <v>0</v>
      </c>
      <c r="M1612" s="26">
        <v>0</v>
      </c>
      <c r="N1612" s="28">
        <v>0.9</v>
      </c>
      <c r="O1612" s="26">
        <v>0</v>
      </c>
      <c r="P1612" s="26">
        <v>0</v>
      </c>
      <c r="Q1612" s="26">
        <v>0</v>
      </c>
      <c r="R1612" s="26">
        <v>0</v>
      </c>
      <c r="S1612" s="28">
        <v>0.9</v>
      </c>
      <c r="T1612" s="26">
        <v>0</v>
      </c>
      <c r="U1612" s="26">
        <v>0</v>
      </c>
      <c r="V1612" s="26">
        <v>0</v>
      </c>
      <c r="W1612" s="26">
        <v>0</v>
      </c>
      <c r="X1612" s="28">
        <v>0.92</v>
      </c>
      <c r="Y1612" s="28">
        <v>0</v>
      </c>
      <c r="Z1612" s="28">
        <v>0</v>
      </c>
      <c r="AA1612" s="28">
        <v>0</v>
      </c>
      <c r="AB1612" s="28">
        <v>0</v>
      </c>
      <c r="AC1612" s="28">
        <v>0.92</v>
      </c>
      <c r="AD1612" s="26">
        <v>1</v>
      </c>
      <c r="AE1612" s="26">
        <v>1</v>
      </c>
      <c r="AF1612" s="26">
        <v>1</v>
      </c>
      <c r="AG1612" s="26">
        <v>0.99541809851088203</v>
      </c>
      <c r="AH1612" s="28">
        <v>0.92</v>
      </c>
      <c r="AI1612" s="26">
        <v>0</v>
      </c>
      <c r="AJ1612" s="26">
        <v>0</v>
      </c>
      <c r="AK1612" s="26">
        <v>0</v>
      </c>
      <c r="AL1612" s="26">
        <v>0</v>
      </c>
      <c r="AM1612" s="25">
        <v>0.99</v>
      </c>
      <c r="AN1612" s="30">
        <v>0</v>
      </c>
      <c r="AO1612" s="30">
        <v>1</v>
      </c>
      <c r="AP1612" s="30">
        <v>1</v>
      </c>
      <c r="AQ1612" s="30">
        <v>1</v>
      </c>
      <c r="AR1612" s="50">
        <v>0.110069253262963</v>
      </c>
      <c r="AS1612" s="34">
        <v>0</v>
      </c>
      <c r="AT1612" s="34">
        <v>0</v>
      </c>
      <c r="AU1612" s="34">
        <v>0</v>
      </c>
      <c r="AV1612" s="34">
        <v>0</v>
      </c>
      <c r="AW1612" s="10"/>
      <c r="AX1612" s="8"/>
    </row>
    <row r="1613" spans="1:50">
      <c r="A1613" s="7"/>
      <c r="B1613" s="10"/>
      <c r="C1613" s="45" t="s">
        <v>1468</v>
      </c>
      <c r="D1613" s="23" t="s">
        <v>27</v>
      </c>
      <c r="E1613" s="61" t="s">
        <v>1657</v>
      </c>
      <c r="F1613" s="61" t="s">
        <v>1657</v>
      </c>
      <c r="G1613" s="61" t="s">
        <v>1657</v>
      </c>
      <c r="H1613" s="61" t="s">
        <v>1657</v>
      </c>
      <c r="I1613" s="25">
        <v>0.9</v>
      </c>
      <c r="J1613" s="26">
        <v>0</v>
      </c>
      <c r="K1613" s="26">
        <v>0</v>
      </c>
      <c r="L1613" s="27">
        <v>0</v>
      </c>
      <c r="M1613" s="26">
        <v>0</v>
      </c>
      <c r="N1613" s="28">
        <v>0.9</v>
      </c>
      <c r="O1613" s="26">
        <v>0</v>
      </c>
      <c r="P1613" s="26">
        <v>0</v>
      </c>
      <c r="Q1613" s="26">
        <v>0</v>
      </c>
      <c r="R1613" s="26">
        <v>0</v>
      </c>
      <c r="S1613" s="28">
        <v>0.9</v>
      </c>
      <c r="T1613" s="26">
        <v>0</v>
      </c>
      <c r="U1613" s="26">
        <v>0</v>
      </c>
      <c r="V1613" s="26">
        <v>0</v>
      </c>
      <c r="W1613" s="26">
        <v>1</v>
      </c>
      <c r="X1613" s="28">
        <v>0.92</v>
      </c>
      <c r="Y1613" s="28">
        <v>0</v>
      </c>
      <c r="Z1613" s="28">
        <v>0</v>
      </c>
      <c r="AA1613" s="28">
        <v>0</v>
      </c>
      <c r="AB1613" s="28">
        <v>0</v>
      </c>
      <c r="AC1613" s="28">
        <v>0.92</v>
      </c>
      <c r="AD1613" s="26">
        <v>0.94748358862144422</v>
      </c>
      <c r="AE1613" s="26">
        <v>0.9336016096579477</v>
      </c>
      <c r="AF1613" s="26">
        <v>0.98601398601398604</v>
      </c>
      <c r="AG1613" s="26">
        <v>0.94376098418277676</v>
      </c>
      <c r="AH1613" s="28">
        <v>0.92</v>
      </c>
      <c r="AI1613" s="26">
        <v>0</v>
      </c>
      <c r="AJ1613" s="26">
        <v>1</v>
      </c>
      <c r="AK1613" s="26">
        <v>0</v>
      </c>
      <c r="AL1613" s="26">
        <v>1</v>
      </c>
      <c r="AM1613" s="25">
        <v>0.99</v>
      </c>
      <c r="AN1613" s="30">
        <v>1</v>
      </c>
      <c r="AO1613" s="30">
        <v>1</v>
      </c>
      <c r="AP1613" s="30">
        <v>1</v>
      </c>
      <c r="AQ1613" s="30">
        <v>1</v>
      </c>
      <c r="AR1613" s="50">
        <v>0.110069253262963</v>
      </c>
      <c r="AS1613" s="34">
        <v>0</v>
      </c>
      <c r="AT1613" s="34">
        <v>0</v>
      </c>
      <c r="AU1613" s="34">
        <v>0</v>
      </c>
      <c r="AV1613" s="34">
        <v>0</v>
      </c>
      <c r="AW1613" s="10"/>
      <c r="AX1613" s="8"/>
    </row>
    <row r="1614" spans="1:50">
      <c r="A1614" s="7"/>
      <c r="B1614" s="10"/>
      <c r="C1614" s="45" t="s">
        <v>1468</v>
      </c>
      <c r="D1614" s="23" t="s">
        <v>27</v>
      </c>
      <c r="E1614" s="61" t="s">
        <v>1658</v>
      </c>
      <c r="F1614" s="61" t="s">
        <v>1658</v>
      </c>
      <c r="G1614" s="61" t="s">
        <v>1658</v>
      </c>
      <c r="H1614" s="61" t="s">
        <v>1658</v>
      </c>
      <c r="I1614" s="25">
        <v>0.9</v>
      </c>
      <c r="J1614" s="26">
        <v>0</v>
      </c>
      <c r="K1614" s="26">
        <v>0</v>
      </c>
      <c r="L1614" s="27">
        <v>0</v>
      </c>
      <c r="M1614" s="26">
        <v>0</v>
      </c>
      <c r="N1614" s="28">
        <v>0.9</v>
      </c>
      <c r="O1614" s="26">
        <v>0</v>
      </c>
      <c r="P1614" s="26">
        <v>0</v>
      </c>
      <c r="Q1614" s="26">
        <v>0</v>
      </c>
      <c r="R1614" s="26">
        <v>0</v>
      </c>
      <c r="S1614" s="28">
        <v>0.9</v>
      </c>
      <c r="T1614" s="26">
        <v>0</v>
      </c>
      <c r="U1614" s="26">
        <v>0</v>
      </c>
      <c r="V1614" s="26">
        <v>0</v>
      </c>
      <c r="W1614" s="26">
        <v>0</v>
      </c>
      <c r="X1614" s="28">
        <v>0.92</v>
      </c>
      <c r="Y1614" s="28">
        <v>0</v>
      </c>
      <c r="Z1614" s="28">
        <v>0</v>
      </c>
      <c r="AA1614" s="28">
        <v>0</v>
      </c>
      <c r="AB1614" s="28">
        <v>0</v>
      </c>
      <c r="AC1614" s="28">
        <v>0.92</v>
      </c>
      <c r="AD1614" s="26">
        <v>0.94989979959919835</v>
      </c>
      <c r="AE1614" s="26">
        <v>0.87103594080338265</v>
      </c>
      <c r="AF1614" s="26">
        <v>0.9982905982905983</v>
      </c>
      <c r="AG1614" s="26">
        <v>0.74523868414543659</v>
      </c>
      <c r="AH1614" s="28">
        <v>0.92</v>
      </c>
      <c r="AI1614" s="26">
        <v>0</v>
      </c>
      <c r="AJ1614" s="26">
        <v>0</v>
      </c>
      <c r="AK1614" s="26">
        <v>0</v>
      </c>
      <c r="AL1614" s="26">
        <v>0</v>
      </c>
      <c r="AM1614" s="25">
        <v>0.99</v>
      </c>
      <c r="AN1614" s="30">
        <v>1</v>
      </c>
      <c r="AO1614" s="30">
        <v>1</v>
      </c>
      <c r="AP1614" s="30">
        <v>1</v>
      </c>
      <c r="AQ1614" s="30">
        <v>1</v>
      </c>
      <c r="AR1614" s="50">
        <v>0.110069253262963</v>
      </c>
      <c r="AS1614" s="34">
        <v>0</v>
      </c>
      <c r="AT1614" s="34">
        <v>0</v>
      </c>
      <c r="AU1614" s="34">
        <v>0</v>
      </c>
      <c r="AV1614" s="34">
        <v>0</v>
      </c>
      <c r="AW1614" s="10"/>
      <c r="AX1614" s="8"/>
    </row>
    <row r="1615" spans="1:50">
      <c r="A1615" s="7"/>
      <c r="B1615" s="10"/>
      <c r="C1615" s="45" t="s">
        <v>1468</v>
      </c>
      <c r="D1615" s="23" t="s">
        <v>27</v>
      </c>
      <c r="E1615" s="61" t="s">
        <v>1659</v>
      </c>
      <c r="F1615" s="61" t="s">
        <v>1659</v>
      </c>
      <c r="G1615" s="61" t="s">
        <v>1659</v>
      </c>
      <c r="H1615" s="61" t="s">
        <v>1659</v>
      </c>
      <c r="I1615" s="25">
        <v>0.9</v>
      </c>
      <c r="J1615" s="26">
        <v>0</v>
      </c>
      <c r="K1615" s="26">
        <v>0</v>
      </c>
      <c r="L1615" s="27">
        <v>0</v>
      </c>
      <c r="M1615" s="26">
        <v>0</v>
      </c>
      <c r="N1615" s="28">
        <v>0.9</v>
      </c>
      <c r="O1615" s="26">
        <v>0</v>
      </c>
      <c r="P1615" s="26">
        <v>0</v>
      </c>
      <c r="Q1615" s="26">
        <v>0</v>
      </c>
      <c r="R1615" s="26">
        <v>0</v>
      </c>
      <c r="S1615" s="28">
        <v>0.9</v>
      </c>
      <c r="T1615" s="26">
        <v>0</v>
      </c>
      <c r="U1615" s="26">
        <v>0</v>
      </c>
      <c r="V1615" s="26">
        <v>0</v>
      </c>
      <c r="W1615" s="26">
        <v>0</v>
      </c>
      <c r="X1615" s="28">
        <v>0.92</v>
      </c>
      <c r="Y1615" s="28">
        <v>0</v>
      </c>
      <c r="Z1615" s="28">
        <v>0</v>
      </c>
      <c r="AA1615" s="28">
        <v>0</v>
      </c>
      <c r="AB1615" s="28">
        <v>0</v>
      </c>
      <c r="AC1615" s="28">
        <v>0.92</v>
      </c>
      <c r="AD1615" s="26">
        <v>1</v>
      </c>
      <c r="AE1615" s="26">
        <v>1</v>
      </c>
      <c r="AF1615" s="26">
        <v>1</v>
      </c>
      <c r="AG1615" s="26">
        <v>0.99902865468674118</v>
      </c>
      <c r="AH1615" s="28">
        <v>0.92</v>
      </c>
      <c r="AI1615" s="26">
        <v>1</v>
      </c>
      <c r="AJ1615" s="26">
        <v>0</v>
      </c>
      <c r="AK1615" s="26">
        <v>0</v>
      </c>
      <c r="AL1615" s="26">
        <v>1</v>
      </c>
      <c r="AM1615" s="25">
        <v>0.99</v>
      </c>
      <c r="AN1615" s="30">
        <v>1</v>
      </c>
      <c r="AO1615" s="30">
        <v>0</v>
      </c>
      <c r="AP1615" s="30">
        <v>0</v>
      </c>
      <c r="AQ1615" s="30">
        <v>1</v>
      </c>
      <c r="AR1615" s="50">
        <v>0.110069253262963</v>
      </c>
      <c r="AS1615" s="34">
        <v>0</v>
      </c>
      <c r="AT1615" s="34">
        <v>0</v>
      </c>
      <c r="AU1615" s="34">
        <v>0</v>
      </c>
      <c r="AV1615" s="34">
        <v>0</v>
      </c>
      <c r="AW1615" s="10"/>
      <c r="AX1615" s="8"/>
    </row>
    <row r="1616" spans="1:50">
      <c r="A1616" s="7"/>
      <c r="B1616" s="10"/>
      <c r="C1616" s="45" t="s">
        <v>1468</v>
      </c>
      <c r="D1616" s="23" t="s">
        <v>27</v>
      </c>
      <c r="E1616" s="61" t="s">
        <v>1660</v>
      </c>
      <c r="F1616" s="61" t="s">
        <v>1660</v>
      </c>
      <c r="G1616" s="61" t="s">
        <v>1660</v>
      </c>
      <c r="H1616" s="61" t="s">
        <v>1660</v>
      </c>
      <c r="I1616" s="25">
        <v>0.9</v>
      </c>
      <c r="J1616" s="26">
        <v>0</v>
      </c>
      <c r="K1616" s="26">
        <v>0</v>
      </c>
      <c r="L1616" s="27">
        <v>0</v>
      </c>
      <c r="M1616" s="26">
        <v>0</v>
      </c>
      <c r="N1616" s="28">
        <v>0.9</v>
      </c>
      <c r="O1616" s="26">
        <v>0</v>
      </c>
      <c r="P1616" s="26">
        <v>0</v>
      </c>
      <c r="Q1616" s="26">
        <v>0</v>
      </c>
      <c r="R1616" s="26">
        <v>0</v>
      </c>
      <c r="S1616" s="28">
        <v>0.9</v>
      </c>
      <c r="T1616" s="26">
        <v>0</v>
      </c>
      <c r="U1616" s="26">
        <v>0</v>
      </c>
      <c r="V1616" s="26">
        <v>0</v>
      </c>
      <c r="W1616" s="26">
        <v>0</v>
      </c>
      <c r="X1616" s="28">
        <v>0.92</v>
      </c>
      <c r="Y1616" s="28">
        <v>0</v>
      </c>
      <c r="Z1616" s="28">
        <v>0</v>
      </c>
      <c r="AA1616" s="28">
        <v>0</v>
      </c>
      <c r="AB1616" s="28">
        <v>0</v>
      </c>
      <c r="AC1616" s="28">
        <v>0.92</v>
      </c>
      <c r="AD1616" s="26">
        <v>1</v>
      </c>
      <c r="AE1616" s="26">
        <v>0.93406593406593408</v>
      </c>
      <c r="AF1616" s="26">
        <v>0.62148337595907932</v>
      </c>
      <c r="AG1616" s="26">
        <v>0.85615251299826689</v>
      </c>
      <c r="AH1616" s="28">
        <v>0.92</v>
      </c>
      <c r="AI1616" s="26">
        <v>0</v>
      </c>
      <c r="AJ1616" s="26">
        <v>0</v>
      </c>
      <c r="AK1616" s="26">
        <v>0</v>
      </c>
      <c r="AL1616" s="26">
        <v>0</v>
      </c>
      <c r="AM1616" s="25">
        <v>0.99</v>
      </c>
      <c r="AN1616" s="30">
        <v>1</v>
      </c>
      <c r="AO1616" s="30">
        <v>1</v>
      </c>
      <c r="AP1616" s="30">
        <v>1</v>
      </c>
      <c r="AQ1616" s="30">
        <v>1</v>
      </c>
      <c r="AR1616" s="50">
        <v>0.110069253262963</v>
      </c>
      <c r="AS1616" s="34">
        <v>0</v>
      </c>
      <c r="AT1616" s="34">
        <v>0</v>
      </c>
      <c r="AU1616" s="34">
        <v>0</v>
      </c>
      <c r="AV1616" s="34">
        <v>0</v>
      </c>
      <c r="AW1616" s="10"/>
      <c r="AX1616" s="8"/>
    </row>
    <row r="1617" spans="1:50">
      <c r="A1617" s="7"/>
      <c r="B1617" s="10"/>
      <c r="C1617" s="45" t="s">
        <v>1468</v>
      </c>
      <c r="D1617" s="23" t="s">
        <v>27</v>
      </c>
      <c r="E1617" s="61" t="s">
        <v>1661</v>
      </c>
      <c r="F1617" s="61" t="s">
        <v>1661</v>
      </c>
      <c r="G1617" s="61" t="s">
        <v>1661</v>
      </c>
      <c r="H1617" s="61" t="s">
        <v>1661</v>
      </c>
      <c r="I1617" s="25">
        <v>0.9</v>
      </c>
      <c r="J1617" s="26">
        <v>0</v>
      </c>
      <c r="K1617" s="26">
        <v>0</v>
      </c>
      <c r="L1617" s="27">
        <v>0</v>
      </c>
      <c r="M1617" s="26">
        <v>0</v>
      </c>
      <c r="N1617" s="28">
        <v>0.9</v>
      </c>
      <c r="O1617" s="26">
        <v>0</v>
      </c>
      <c r="P1617" s="26">
        <v>0</v>
      </c>
      <c r="Q1617" s="26">
        <v>0</v>
      </c>
      <c r="R1617" s="26">
        <v>0</v>
      </c>
      <c r="S1617" s="28">
        <v>0.9</v>
      </c>
      <c r="T1617" s="26">
        <v>0</v>
      </c>
      <c r="U1617" s="26">
        <v>0</v>
      </c>
      <c r="V1617" s="26">
        <v>0</v>
      </c>
      <c r="W1617" s="26">
        <v>0</v>
      </c>
      <c r="X1617" s="28">
        <v>0.92</v>
      </c>
      <c r="Y1617" s="28">
        <v>0</v>
      </c>
      <c r="Z1617" s="28">
        <v>0</v>
      </c>
      <c r="AA1617" s="28">
        <v>0</v>
      </c>
      <c r="AB1617" s="28">
        <v>0</v>
      </c>
      <c r="AC1617" s="28">
        <v>0.92</v>
      </c>
      <c r="AD1617" s="26">
        <v>1</v>
      </c>
      <c r="AE1617" s="26">
        <v>0.98571428571428577</v>
      </c>
      <c r="AF1617" s="26">
        <v>1</v>
      </c>
      <c r="AG1617" s="26">
        <v>0.99778270509977829</v>
      </c>
      <c r="AH1617" s="28">
        <v>0.92</v>
      </c>
      <c r="AI1617" s="26">
        <v>0</v>
      </c>
      <c r="AJ1617" s="26">
        <v>0</v>
      </c>
      <c r="AK1617" s="26">
        <v>0</v>
      </c>
      <c r="AL1617" s="26">
        <v>0</v>
      </c>
      <c r="AM1617" s="25">
        <v>0.99</v>
      </c>
      <c r="AN1617" s="30">
        <v>1</v>
      </c>
      <c r="AO1617" s="30">
        <v>1</v>
      </c>
      <c r="AP1617" s="30">
        <v>1</v>
      </c>
      <c r="AQ1617" s="30">
        <v>1</v>
      </c>
      <c r="AR1617" s="50">
        <v>0.110069253262963</v>
      </c>
      <c r="AS1617" s="34">
        <v>0</v>
      </c>
      <c r="AT1617" s="34">
        <v>0</v>
      </c>
      <c r="AU1617" s="34">
        <v>0</v>
      </c>
      <c r="AV1617" s="34">
        <v>0</v>
      </c>
      <c r="AW1617" s="10"/>
      <c r="AX1617" s="8"/>
    </row>
    <row r="1618" spans="1:50">
      <c r="A1618" s="7"/>
      <c r="B1618" s="10"/>
      <c r="C1618" s="45" t="s">
        <v>1468</v>
      </c>
      <c r="D1618" s="23" t="s">
        <v>27</v>
      </c>
      <c r="E1618" s="61" t="s">
        <v>1662</v>
      </c>
      <c r="F1618" s="61" t="s">
        <v>1662</v>
      </c>
      <c r="G1618" s="61" t="s">
        <v>1662</v>
      </c>
      <c r="H1618" s="61" t="s">
        <v>1662</v>
      </c>
      <c r="I1618" s="25">
        <v>0.9</v>
      </c>
      <c r="J1618" s="26">
        <v>0</v>
      </c>
      <c r="K1618" s="26">
        <v>0</v>
      </c>
      <c r="L1618" s="27">
        <v>0</v>
      </c>
      <c r="M1618" s="26">
        <v>0</v>
      </c>
      <c r="N1618" s="28">
        <v>0.9</v>
      </c>
      <c r="O1618" s="26">
        <v>0</v>
      </c>
      <c r="P1618" s="26">
        <v>0</v>
      </c>
      <c r="Q1618" s="26">
        <v>0</v>
      </c>
      <c r="R1618" s="26">
        <v>0</v>
      </c>
      <c r="S1618" s="28">
        <v>0.9</v>
      </c>
      <c r="T1618" s="26">
        <v>0</v>
      </c>
      <c r="U1618" s="26">
        <v>0</v>
      </c>
      <c r="V1618" s="26">
        <v>0</v>
      </c>
      <c r="W1618" s="26">
        <v>0</v>
      </c>
      <c r="X1618" s="28">
        <v>0.92</v>
      </c>
      <c r="Y1618" s="28">
        <v>0</v>
      </c>
      <c r="Z1618" s="28">
        <v>0</v>
      </c>
      <c r="AA1618" s="28">
        <v>0</v>
      </c>
      <c r="AB1618" s="28">
        <v>0</v>
      </c>
      <c r="AC1618" s="28">
        <v>0.92</v>
      </c>
      <c r="AD1618" s="26">
        <v>0.8729281767955801</v>
      </c>
      <c r="AE1618" s="26">
        <v>0.88284518828451886</v>
      </c>
      <c r="AF1618" s="26">
        <v>1</v>
      </c>
      <c r="AG1618" s="26">
        <v>0.9663892445582587</v>
      </c>
      <c r="AH1618" s="28">
        <v>0.92</v>
      </c>
      <c r="AI1618" s="26">
        <v>0</v>
      </c>
      <c r="AJ1618" s="26">
        <v>0</v>
      </c>
      <c r="AK1618" s="26">
        <v>0</v>
      </c>
      <c r="AL1618" s="26">
        <v>0</v>
      </c>
      <c r="AM1618" s="25">
        <v>0.99</v>
      </c>
      <c r="AN1618" s="30">
        <v>1</v>
      </c>
      <c r="AO1618" s="30">
        <v>1</v>
      </c>
      <c r="AP1618" s="30">
        <v>1</v>
      </c>
      <c r="AQ1618" s="30">
        <v>1</v>
      </c>
      <c r="AR1618" s="50">
        <v>0.110069253262963</v>
      </c>
      <c r="AS1618" s="34">
        <v>0</v>
      </c>
      <c r="AT1618" s="34">
        <v>0</v>
      </c>
      <c r="AU1618" s="34">
        <v>0</v>
      </c>
      <c r="AV1618" s="34">
        <v>0</v>
      </c>
      <c r="AW1618" s="10"/>
      <c r="AX1618" s="8"/>
    </row>
    <row r="1619" spans="1:50">
      <c r="A1619" s="7"/>
      <c r="B1619" s="10"/>
      <c r="C1619" s="45" t="s">
        <v>1468</v>
      </c>
      <c r="D1619" s="23" t="s">
        <v>27</v>
      </c>
      <c r="E1619" s="61" t="s">
        <v>1663</v>
      </c>
      <c r="F1619" s="61" t="s">
        <v>1663</v>
      </c>
      <c r="G1619" s="61" t="s">
        <v>1663</v>
      </c>
      <c r="H1619" s="61" t="s">
        <v>1663</v>
      </c>
      <c r="I1619" s="25">
        <v>0.9</v>
      </c>
      <c r="J1619" s="26">
        <v>0.95454545454545459</v>
      </c>
      <c r="K1619" s="26">
        <v>0.95348837209302328</v>
      </c>
      <c r="L1619" s="27">
        <v>0.97674418604651159</v>
      </c>
      <c r="M1619" s="26">
        <v>0.96901408450704229</v>
      </c>
      <c r="N1619" s="28">
        <v>0.9</v>
      </c>
      <c r="O1619" s="26">
        <v>0.95464061409630152</v>
      </c>
      <c r="P1619" s="26">
        <v>0.95473762745585677</v>
      </c>
      <c r="Q1619" s="26">
        <v>0.96614796614796616</v>
      </c>
      <c r="R1619" s="26">
        <v>0.95103522352679726</v>
      </c>
      <c r="S1619" s="28">
        <v>0.9</v>
      </c>
      <c r="T1619" s="26">
        <v>0.54640614096301465</v>
      </c>
      <c r="U1619" s="26">
        <v>0.53419547376274557</v>
      </c>
      <c r="V1619" s="26">
        <v>0.55364455364455367</v>
      </c>
      <c r="W1619" s="26">
        <v>0.52272306381717837</v>
      </c>
      <c r="X1619" s="28">
        <v>0.92</v>
      </c>
      <c r="Y1619" s="28">
        <v>0.83476054551221057</v>
      </c>
      <c r="Z1619" s="28">
        <v>0.83756534727408516</v>
      </c>
      <c r="AA1619" s="28">
        <v>0.84561983471074376</v>
      </c>
      <c r="AB1619" s="28">
        <v>0.84345031882311594</v>
      </c>
      <c r="AC1619" s="28">
        <v>0.92</v>
      </c>
      <c r="AD1619" s="26">
        <v>1</v>
      </c>
      <c r="AE1619" s="26">
        <v>0.88888888888888884</v>
      </c>
      <c r="AF1619" s="26">
        <v>0.875</v>
      </c>
      <c r="AG1619" s="26">
        <v>0.91666666666666663</v>
      </c>
      <c r="AH1619" s="28">
        <v>0.92</v>
      </c>
      <c r="AI1619" s="26">
        <v>0.87626640093007802</v>
      </c>
      <c r="AJ1619" s="26">
        <v>0.8974473802060009</v>
      </c>
      <c r="AK1619" s="26">
        <v>0.9035874439461884</v>
      </c>
      <c r="AL1619" s="26">
        <v>0.89625415494758376</v>
      </c>
      <c r="AM1619" s="25">
        <v>0.99</v>
      </c>
      <c r="AN1619" s="30">
        <v>0</v>
      </c>
      <c r="AO1619" s="30">
        <v>0</v>
      </c>
      <c r="AP1619" s="30">
        <v>0</v>
      </c>
      <c r="AQ1619" s="30">
        <v>1</v>
      </c>
      <c r="AR1619" s="50">
        <v>0.110069253262963</v>
      </c>
      <c r="AS1619" s="34">
        <v>2.7027027027027029E-2</v>
      </c>
      <c r="AT1619" s="34">
        <v>2.2727272727272728E-2</v>
      </c>
      <c r="AU1619" s="34">
        <v>8.8235294117647065E-2</v>
      </c>
      <c r="AV1619" s="34">
        <v>9.3283582089552244E-2</v>
      </c>
      <c r="AW1619" s="10"/>
      <c r="AX1619" s="8"/>
    </row>
    <row r="1620" spans="1:50">
      <c r="A1620" s="7"/>
      <c r="B1620" s="10"/>
      <c r="C1620" s="45" t="s">
        <v>1468</v>
      </c>
      <c r="D1620" s="23" t="s">
        <v>27</v>
      </c>
      <c r="E1620" s="61" t="s">
        <v>1664</v>
      </c>
      <c r="F1620" s="61" t="s">
        <v>1664</v>
      </c>
      <c r="G1620" s="61" t="s">
        <v>1664</v>
      </c>
      <c r="H1620" s="61" t="s">
        <v>1664</v>
      </c>
      <c r="I1620" s="25">
        <v>0.9</v>
      </c>
      <c r="J1620" s="26">
        <v>0</v>
      </c>
      <c r="K1620" s="26">
        <v>0</v>
      </c>
      <c r="L1620" s="27">
        <v>0</v>
      </c>
      <c r="M1620" s="26">
        <v>0</v>
      </c>
      <c r="N1620" s="28">
        <v>0.9</v>
      </c>
      <c r="O1620" s="26">
        <v>0</v>
      </c>
      <c r="P1620" s="26">
        <v>0</v>
      </c>
      <c r="Q1620" s="26">
        <v>0</v>
      </c>
      <c r="R1620" s="26">
        <v>0</v>
      </c>
      <c r="S1620" s="28">
        <v>0.9</v>
      </c>
      <c r="T1620" s="26">
        <v>0</v>
      </c>
      <c r="U1620" s="26">
        <v>0</v>
      </c>
      <c r="V1620" s="26">
        <v>0</v>
      </c>
      <c r="W1620" s="26">
        <v>1</v>
      </c>
      <c r="X1620" s="28">
        <v>0.92</v>
      </c>
      <c r="Y1620" s="28">
        <v>0</v>
      </c>
      <c r="Z1620" s="28">
        <v>0</v>
      </c>
      <c r="AA1620" s="28">
        <v>0</v>
      </c>
      <c r="AB1620" s="28">
        <v>0</v>
      </c>
      <c r="AC1620" s="28">
        <v>0.92</v>
      </c>
      <c r="AD1620" s="26">
        <v>0.84513274336283184</v>
      </c>
      <c r="AE1620" s="26">
        <v>0.84758364312267653</v>
      </c>
      <c r="AF1620" s="26">
        <v>0.89383561643835618</v>
      </c>
      <c r="AG1620" s="26">
        <v>0.89674952198852775</v>
      </c>
      <c r="AH1620" s="28">
        <v>0.92</v>
      </c>
      <c r="AI1620" s="26">
        <v>0</v>
      </c>
      <c r="AJ1620" s="26">
        <v>0</v>
      </c>
      <c r="AK1620" s="26">
        <v>0</v>
      </c>
      <c r="AL1620" s="26">
        <v>1</v>
      </c>
      <c r="AM1620" s="25">
        <v>0.99</v>
      </c>
      <c r="AN1620" s="30">
        <v>1</v>
      </c>
      <c r="AO1620" s="30">
        <v>1</v>
      </c>
      <c r="AP1620" s="30">
        <v>1</v>
      </c>
      <c r="AQ1620" s="30">
        <v>1</v>
      </c>
      <c r="AR1620" s="50">
        <v>0.110069253262963</v>
      </c>
      <c r="AS1620" s="34">
        <v>0</v>
      </c>
      <c r="AT1620" s="34">
        <v>0</v>
      </c>
      <c r="AU1620" s="34">
        <v>0</v>
      </c>
      <c r="AV1620" s="34">
        <v>0</v>
      </c>
      <c r="AW1620" s="10"/>
      <c r="AX1620" s="8"/>
    </row>
    <row r="1621" spans="1:50">
      <c r="A1621" s="7"/>
      <c r="B1621" s="10"/>
      <c r="C1621" s="45" t="s">
        <v>1468</v>
      </c>
      <c r="D1621" s="23" t="s">
        <v>27</v>
      </c>
      <c r="E1621" s="61" t="s">
        <v>1665</v>
      </c>
      <c r="F1621" s="61" t="s">
        <v>1665</v>
      </c>
      <c r="G1621" s="61" t="s">
        <v>1665</v>
      </c>
      <c r="H1621" s="61" t="s">
        <v>1665</v>
      </c>
      <c r="I1621" s="25">
        <v>0.9</v>
      </c>
      <c r="J1621" s="26">
        <v>0</v>
      </c>
      <c r="K1621" s="26">
        <v>0</v>
      </c>
      <c r="L1621" s="27">
        <v>0</v>
      </c>
      <c r="M1621" s="26">
        <v>0</v>
      </c>
      <c r="N1621" s="28">
        <v>0.9</v>
      </c>
      <c r="O1621" s="26">
        <v>0</v>
      </c>
      <c r="P1621" s="26">
        <v>0</v>
      </c>
      <c r="Q1621" s="26">
        <v>0</v>
      </c>
      <c r="R1621" s="26">
        <v>0</v>
      </c>
      <c r="S1621" s="28">
        <v>0.9</v>
      </c>
      <c r="T1621" s="26">
        <v>0</v>
      </c>
      <c r="U1621" s="26">
        <v>0</v>
      </c>
      <c r="V1621" s="26">
        <v>0</v>
      </c>
      <c r="W1621" s="26">
        <v>0</v>
      </c>
      <c r="X1621" s="28">
        <v>0.92</v>
      </c>
      <c r="Y1621" s="28">
        <v>0</v>
      </c>
      <c r="Z1621" s="28">
        <v>0</v>
      </c>
      <c r="AA1621" s="28">
        <v>0</v>
      </c>
      <c r="AB1621" s="28">
        <v>0</v>
      </c>
      <c r="AC1621" s="28">
        <v>0.92</v>
      </c>
      <c r="AD1621" s="26">
        <v>0.99532710280373837</v>
      </c>
      <c r="AE1621" s="26">
        <v>1</v>
      </c>
      <c r="AF1621" s="26">
        <v>0.99543378995433784</v>
      </c>
      <c r="AG1621" s="26">
        <v>0.99824561403508771</v>
      </c>
      <c r="AH1621" s="28">
        <v>0.92</v>
      </c>
      <c r="AI1621" s="26">
        <v>0</v>
      </c>
      <c r="AJ1621" s="26">
        <v>0</v>
      </c>
      <c r="AK1621" s="26">
        <v>0</v>
      </c>
      <c r="AL1621" s="26">
        <v>0</v>
      </c>
      <c r="AM1621" s="25">
        <v>0.99</v>
      </c>
      <c r="AN1621" s="30">
        <v>1</v>
      </c>
      <c r="AO1621" s="30">
        <v>1</v>
      </c>
      <c r="AP1621" s="30">
        <v>1</v>
      </c>
      <c r="AQ1621" s="30">
        <v>1</v>
      </c>
      <c r="AR1621" s="50">
        <v>0.110069253262963</v>
      </c>
      <c r="AS1621" s="34">
        <v>0</v>
      </c>
      <c r="AT1621" s="34">
        <v>0</v>
      </c>
      <c r="AU1621" s="34">
        <v>0</v>
      </c>
      <c r="AV1621" s="34">
        <v>0</v>
      </c>
      <c r="AW1621" s="10"/>
      <c r="AX1621" s="8"/>
    </row>
    <row r="1622" spans="1:50">
      <c r="A1622" s="7"/>
      <c r="B1622" s="10"/>
      <c r="C1622" s="45" t="s">
        <v>1468</v>
      </c>
      <c r="D1622" s="23" t="s">
        <v>27</v>
      </c>
      <c r="E1622" s="61" t="s">
        <v>1666</v>
      </c>
      <c r="F1622" s="61" t="s">
        <v>1666</v>
      </c>
      <c r="G1622" s="61" t="s">
        <v>1666</v>
      </c>
      <c r="H1622" s="61" t="s">
        <v>1666</v>
      </c>
      <c r="I1622" s="25">
        <v>0.9</v>
      </c>
      <c r="J1622" s="26">
        <v>0</v>
      </c>
      <c r="K1622" s="26">
        <v>0</v>
      </c>
      <c r="L1622" s="27">
        <v>0</v>
      </c>
      <c r="M1622" s="26">
        <v>0</v>
      </c>
      <c r="N1622" s="28">
        <v>0.9</v>
      </c>
      <c r="O1622" s="26">
        <v>0</v>
      </c>
      <c r="P1622" s="26">
        <v>0</v>
      </c>
      <c r="Q1622" s="26">
        <v>0</v>
      </c>
      <c r="R1622" s="26">
        <v>0</v>
      </c>
      <c r="S1622" s="28">
        <v>0.9</v>
      </c>
      <c r="T1622" s="26">
        <v>1</v>
      </c>
      <c r="U1622" s="26">
        <v>1</v>
      </c>
      <c r="V1622" s="26">
        <v>1</v>
      </c>
      <c r="W1622" s="26">
        <v>1</v>
      </c>
      <c r="X1622" s="28">
        <v>0.92</v>
      </c>
      <c r="Y1622" s="28">
        <v>0</v>
      </c>
      <c r="Z1622" s="28">
        <v>0</v>
      </c>
      <c r="AA1622" s="28">
        <v>0</v>
      </c>
      <c r="AB1622" s="28">
        <v>0.5</v>
      </c>
      <c r="AC1622" s="28">
        <v>0.92</v>
      </c>
      <c r="AD1622" s="26">
        <v>0.99837133550488599</v>
      </c>
      <c r="AE1622" s="26">
        <v>0.99672667757774136</v>
      </c>
      <c r="AF1622" s="26">
        <v>1</v>
      </c>
      <c r="AG1622" s="26">
        <v>0.99809050983387437</v>
      </c>
      <c r="AH1622" s="28">
        <v>0.92</v>
      </c>
      <c r="AI1622" s="26">
        <v>1</v>
      </c>
      <c r="AJ1622" s="26">
        <v>1</v>
      </c>
      <c r="AK1622" s="26">
        <v>0.83333333333333337</v>
      </c>
      <c r="AL1622" s="26">
        <v>0.95833333333333337</v>
      </c>
      <c r="AM1622" s="25">
        <v>0.99</v>
      </c>
      <c r="AN1622" s="30">
        <v>1</v>
      </c>
      <c r="AO1622" s="30">
        <v>1</v>
      </c>
      <c r="AP1622" s="30">
        <v>1</v>
      </c>
      <c r="AQ1622" s="30">
        <v>1</v>
      </c>
      <c r="AR1622" s="50">
        <v>0.110069253262963</v>
      </c>
      <c r="AS1622" s="34">
        <v>0</v>
      </c>
      <c r="AT1622" s="34">
        <v>0</v>
      </c>
      <c r="AU1622" s="34">
        <v>0</v>
      </c>
      <c r="AV1622" s="34">
        <v>0</v>
      </c>
      <c r="AW1622" s="10"/>
      <c r="AX1622" s="8"/>
    </row>
    <row r="1623" spans="1:50">
      <c r="A1623" s="7"/>
      <c r="B1623" s="10"/>
      <c r="C1623" s="45" t="s">
        <v>1468</v>
      </c>
      <c r="D1623" s="23" t="s">
        <v>27</v>
      </c>
      <c r="E1623" s="61" t="s">
        <v>1667</v>
      </c>
      <c r="F1623" s="61" t="s">
        <v>1667</v>
      </c>
      <c r="G1623" s="61" t="s">
        <v>1667</v>
      </c>
      <c r="H1623" s="61" t="s">
        <v>1667</v>
      </c>
      <c r="I1623" s="25">
        <v>0.9</v>
      </c>
      <c r="J1623" s="26">
        <v>0.97058823529411764</v>
      </c>
      <c r="K1623" s="26">
        <v>1</v>
      </c>
      <c r="L1623" s="27">
        <v>1</v>
      </c>
      <c r="M1623" s="26">
        <v>0.97535211267605637</v>
      </c>
      <c r="N1623" s="28">
        <v>0.9</v>
      </c>
      <c r="O1623" s="26">
        <v>0.86730859558478157</v>
      </c>
      <c r="P1623" s="26">
        <v>0.9046366326866162</v>
      </c>
      <c r="Q1623" s="26">
        <v>0.85393013100436677</v>
      </c>
      <c r="R1623" s="26">
        <v>0.885272481609368</v>
      </c>
      <c r="S1623" s="28">
        <v>0.9</v>
      </c>
      <c r="T1623" s="26">
        <v>0.98755284170972291</v>
      </c>
      <c r="U1623" s="26">
        <v>0.98322920092074972</v>
      </c>
      <c r="V1623" s="26">
        <v>0.98973799126637552</v>
      </c>
      <c r="W1623" s="26">
        <v>0.99117249662212881</v>
      </c>
      <c r="X1623" s="28">
        <v>0.92</v>
      </c>
      <c r="Y1623" s="28">
        <v>0.11538461538461539</v>
      </c>
      <c r="Z1623" s="28">
        <v>0.2857142857142857</v>
      </c>
      <c r="AA1623" s="28">
        <v>0.5</v>
      </c>
      <c r="AB1623" s="28">
        <v>0.35526315789473684</v>
      </c>
      <c r="AC1623" s="28">
        <v>0.92</v>
      </c>
      <c r="AD1623" s="26">
        <v>1</v>
      </c>
      <c r="AE1623" s="26">
        <v>1</v>
      </c>
      <c r="AF1623" s="26">
        <v>1</v>
      </c>
      <c r="AG1623" s="26">
        <v>0.95833333333333337</v>
      </c>
      <c r="AH1623" s="28">
        <v>0.92</v>
      </c>
      <c r="AI1623" s="26">
        <v>0.98833138856476077</v>
      </c>
      <c r="AJ1623" s="26">
        <v>0.99179790026246717</v>
      </c>
      <c r="AK1623" s="26">
        <v>0.99150511871052061</v>
      </c>
      <c r="AL1623" s="26">
        <v>0.9936500329479423</v>
      </c>
      <c r="AM1623" s="25">
        <v>0.99</v>
      </c>
      <c r="AN1623" s="30">
        <v>1</v>
      </c>
      <c r="AO1623" s="30">
        <v>1</v>
      </c>
      <c r="AP1623" s="30">
        <v>0</v>
      </c>
      <c r="AQ1623" s="30">
        <v>1</v>
      </c>
      <c r="AR1623" s="50">
        <v>0.110069253262963</v>
      </c>
      <c r="AS1623" s="34">
        <v>0</v>
      </c>
      <c r="AT1623" s="34">
        <v>0.17142857142857143</v>
      </c>
      <c r="AU1623" s="34">
        <v>0</v>
      </c>
      <c r="AV1623" s="34">
        <v>6.640625E-2</v>
      </c>
      <c r="AW1623" s="10"/>
      <c r="AX1623" s="8"/>
    </row>
    <row r="1624" spans="1:50">
      <c r="A1624" s="7"/>
      <c r="B1624" s="10"/>
      <c r="C1624" s="45" t="s">
        <v>1468</v>
      </c>
      <c r="D1624" s="23" t="s">
        <v>27</v>
      </c>
      <c r="E1624" s="61" t="s">
        <v>1668</v>
      </c>
      <c r="F1624" s="61" t="s">
        <v>1668</v>
      </c>
      <c r="G1624" s="61" t="s">
        <v>1668</v>
      </c>
      <c r="H1624" s="61" t="s">
        <v>1668</v>
      </c>
      <c r="I1624" s="25">
        <v>0.9</v>
      </c>
      <c r="J1624" s="26">
        <v>0</v>
      </c>
      <c r="K1624" s="26">
        <v>0</v>
      </c>
      <c r="L1624" s="27">
        <v>0</v>
      </c>
      <c r="M1624" s="26">
        <v>0</v>
      </c>
      <c r="N1624" s="28">
        <v>0.9</v>
      </c>
      <c r="O1624" s="26">
        <v>0</v>
      </c>
      <c r="P1624" s="26">
        <v>0</v>
      </c>
      <c r="Q1624" s="26">
        <v>0</v>
      </c>
      <c r="R1624" s="26">
        <v>0</v>
      </c>
      <c r="S1624" s="28">
        <v>0.9</v>
      </c>
      <c r="T1624" s="26">
        <v>0</v>
      </c>
      <c r="U1624" s="26">
        <v>1</v>
      </c>
      <c r="V1624" s="26">
        <v>0</v>
      </c>
      <c r="W1624" s="26">
        <v>1</v>
      </c>
      <c r="X1624" s="28">
        <v>0.92</v>
      </c>
      <c r="Y1624" s="28">
        <v>0</v>
      </c>
      <c r="Z1624" s="28">
        <v>0</v>
      </c>
      <c r="AA1624" s="28">
        <v>0</v>
      </c>
      <c r="AB1624" s="28">
        <v>0</v>
      </c>
      <c r="AC1624" s="28">
        <v>0.92</v>
      </c>
      <c r="AD1624" s="26">
        <v>1</v>
      </c>
      <c r="AE1624" s="26">
        <v>0.85942492012779548</v>
      </c>
      <c r="AF1624" s="26">
        <v>0.93495934959349591</v>
      </c>
      <c r="AG1624" s="26">
        <v>0.96632265073329715</v>
      </c>
      <c r="AH1624" s="28">
        <v>0.92</v>
      </c>
      <c r="AI1624" s="26">
        <v>0</v>
      </c>
      <c r="AJ1624" s="26">
        <v>1</v>
      </c>
      <c r="AK1624" s="26">
        <v>1</v>
      </c>
      <c r="AL1624" s="26">
        <v>1</v>
      </c>
      <c r="AM1624" s="25">
        <v>0.99</v>
      </c>
      <c r="AN1624" s="30">
        <v>1</v>
      </c>
      <c r="AO1624" s="30">
        <v>1</v>
      </c>
      <c r="AP1624" s="30">
        <v>1</v>
      </c>
      <c r="AQ1624" s="30">
        <v>1</v>
      </c>
      <c r="AR1624" s="50">
        <v>0.110069253262963</v>
      </c>
      <c r="AS1624" s="34">
        <v>0</v>
      </c>
      <c r="AT1624" s="34">
        <v>0</v>
      </c>
      <c r="AU1624" s="34">
        <v>0</v>
      </c>
      <c r="AV1624" s="34">
        <v>0</v>
      </c>
      <c r="AW1624" s="10"/>
      <c r="AX1624" s="8"/>
    </row>
    <row r="1625" spans="1:50">
      <c r="A1625" s="7"/>
      <c r="B1625" s="10"/>
      <c r="C1625" s="45" t="s">
        <v>1468</v>
      </c>
      <c r="D1625" s="23" t="s">
        <v>27</v>
      </c>
      <c r="E1625" s="61" t="s">
        <v>1669</v>
      </c>
      <c r="F1625" s="61" t="s">
        <v>1669</v>
      </c>
      <c r="G1625" s="61" t="s">
        <v>1669</v>
      </c>
      <c r="H1625" s="61" t="s">
        <v>1669</v>
      </c>
      <c r="I1625" s="25">
        <v>0.9</v>
      </c>
      <c r="J1625" s="26">
        <v>0</v>
      </c>
      <c r="K1625" s="26">
        <v>0</v>
      </c>
      <c r="L1625" s="27">
        <v>0</v>
      </c>
      <c r="M1625" s="26">
        <v>0</v>
      </c>
      <c r="N1625" s="28">
        <v>0.9</v>
      </c>
      <c r="O1625" s="26">
        <v>0</v>
      </c>
      <c r="P1625" s="26">
        <v>0</v>
      </c>
      <c r="Q1625" s="26">
        <v>0</v>
      </c>
      <c r="R1625" s="26">
        <v>0</v>
      </c>
      <c r="S1625" s="28">
        <v>0.9</v>
      </c>
      <c r="T1625" s="26">
        <v>0</v>
      </c>
      <c r="U1625" s="26">
        <v>0</v>
      </c>
      <c r="V1625" s="26">
        <v>0</v>
      </c>
      <c r="W1625" s="26">
        <v>1</v>
      </c>
      <c r="X1625" s="28">
        <v>0.92</v>
      </c>
      <c r="Y1625" s="28">
        <v>0</v>
      </c>
      <c r="Z1625" s="28">
        <v>0</v>
      </c>
      <c r="AA1625" s="28">
        <v>0</v>
      </c>
      <c r="AB1625" s="28">
        <v>0</v>
      </c>
      <c r="AC1625" s="28">
        <v>0.92</v>
      </c>
      <c r="AD1625" s="26">
        <v>0.8582677165354331</v>
      </c>
      <c r="AE1625" s="26">
        <v>0.99328859060402686</v>
      </c>
      <c r="AF1625" s="26">
        <v>1</v>
      </c>
      <c r="AG1625" s="26">
        <v>0.98022717711400931</v>
      </c>
      <c r="AH1625" s="28">
        <v>0.92</v>
      </c>
      <c r="AI1625" s="26">
        <v>0</v>
      </c>
      <c r="AJ1625" s="26">
        <v>0</v>
      </c>
      <c r="AK1625" s="26">
        <v>0</v>
      </c>
      <c r="AL1625" s="26">
        <v>1</v>
      </c>
      <c r="AM1625" s="25">
        <v>0.99</v>
      </c>
      <c r="AN1625" s="30">
        <v>1</v>
      </c>
      <c r="AO1625" s="30">
        <v>1</v>
      </c>
      <c r="AP1625" s="30">
        <v>1</v>
      </c>
      <c r="AQ1625" s="30">
        <v>1</v>
      </c>
      <c r="AR1625" s="50">
        <v>0.110069253262963</v>
      </c>
      <c r="AS1625" s="34">
        <v>0</v>
      </c>
      <c r="AT1625" s="34">
        <v>0</v>
      </c>
      <c r="AU1625" s="34">
        <v>0</v>
      </c>
      <c r="AV1625" s="34">
        <v>0</v>
      </c>
      <c r="AW1625" s="10"/>
      <c r="AX1625" s="8"/>
    </row>
    <row r="1626" spans="1:50">
      <c r="A1626" s="7"/>
      <c r="B1626" s="10"/>
      <c r="C1626" s="45" t="s">
        <v>1468</v>
      </c>
      <c r="D1626" s="23" t="s">
        <v>27</v>
      </c>
      <c r="E1626" s="61" t="s">
        <v>1670</v>
      </c>
      <c r="F1626" s="61" t="s">
        <v>1670</v>
      </c>
      <c r="G1626" s="61" t="s">
        <v>1670</v>
      </c>
      <c r="H1626" s="61" t="s">
        <v>1670</v>
      </c>
      <c r="I1626" s="25">
        <v>0.9</v>
      </c>
      <c r="J1626" s="26">
        <v>0</v>
      </c>
      <c r="K1626" s="26">
        <v>0</v>
      </c>
      <c r="L1626" s="27">
        <v>0</v>
      </c>
      <c r="M1626" s="26">
        <v>0</v>
      </c>
      <c r="N1626" s="28">
        <v>0.9</v>
      </c>
      <c r="O1626" s="26">
        <v>0</v>
      </c>
      <c r="P1626" s="26">
        <v>0</v>
      </c>
      <c r="Q1626" s="26">
        <v>0</v>
      </c>
      <c r="R1626" s="26">
        <v>0</v>
      </c>
      <c r="S1626" s="28">
        <v>0.9</v>
      </c>
      <c r="T1626" s="26">
        <v>0</v>
      </c>
      <c r="U1626" s="26">
        <v>0</v>
      </c>
      <c r="V1626" s="26">
        <v>0</v>
      </c>
      <c r="W1626" s="26">
        <v>0</v>
      </c>
      <c r="X1626" s="28">
        <v>0.92</v>
      </c>
      <c r="Y1626" s="28">
        <v>0</v>
      </c>
      <c r="Z1626" s="28">
        <v>0</v>
      </c>
      <c r="AA1626" s="28">
        <v>0</v>
      </c>
      <c r="AB1626" s="28">
        <v>0</v>
      </c>
      <c r="AC1626" s="28">
        <v>0.92</v>
      </c>
      <c r="AD1626" s="26">
        <v>0.92491467576791808</v>
      </c>
      <c r="AE1626" s="26">
        <v>0.91304347826086951</v>
      </c>
      <c r="AF1626" s="26">
        <v>1</v>
      </c>
      <c r="AG1626" s="26">
        <v>0.9781518624641834</v>
      </c>
      <c r="AH1626" s="28">
        <v>0.92</v>
      </c>
      <c r="AI1626" s="26">
        <v>0</v>
      </c>
      <c r="AJ1626" s="26">
        <v>0</v>
      </c>
      <c r="AK1626" s="26">
        <v>0</v>
      </c>
      <c r="AL1626" s="26">
        <v>0.66666666666666663</v>
      </c>
      <c r="AM1626" s="25">
        <v>0.99</v>
      </c>
      <c r="AN1626" s="30">
        <v>1</v>
      </c>
      <c r="AO1626" s="30">
        <v>1</v>
      </c>
      <c r="AP1626" s="30">
        <v>1</v>
      </c>
      <c r="AQ1626" s="30">
        <v>1</v>
      </c>
      <c r="AR1626" s="50">
        <v>0.110069253262963</v>
      </c>
      <c r="AS1626" s="34">
        <v>0</v>
      </c>
      <c r="AT1626" s="34">
        <v>0</v>
      </c>
      <c r="AU1626" s="34">
        <v>0</v>
      </c>
      <c r="AV1626" s="34">
        <v>0</v>
      </c>
      <c r="AW1626" s="10"/>
      <c r="AX1626" s="8"/>
    </row>
    <row r="1627" spans="1:50">
      <c r="A1627" s="7"/>
      <c r="B1627" s="10"/>
      <c r="C1627" s="45" t="s">
        <v>1468</v>
      </c>
      <c r="D1627" s="23" t="s">
        <v>27</v>
      </c>
      <c r="E1627" s="61" t="s">
        <v>1671</v>
      </c>
      <c r="F1627" s="61" t="s">
        <v>1671</v>
      </c>
      <c r="G1627" s="61" t="s">
        <v>1671</v>
      </c>
      <c r="H1627" s="61" t="s">
        <v>1671</v>
      </c>
      <c r="I1627" s="25">
        <v>0.9</v>
      </c>
      <c r="J1627" s="26">
        <v>0</v>
      </c>
      <c r="K1627" s="26">
        <v>0</v>
      </c>
      <c r="L1627" s="27">
        <v>0</v>
      </c>
      <c r="M1627" s="26">
        <v>0</v>
      </c>
      <c r="N1627" s="28">
        <v>0.9</v>
      </c>
      <c r="O1627" s="26">
        <v>0</v>
      </c>
      <c r="P1627" s="26">
        <v>0</v>
      </c>
      <c r="Q1627" s="26">
        <v>0</v>
      </c>
      <c r="R1627" s="26">
        <v>0</v>
      </c>
      <c r="S1627" s="28">
        <v>0.9</v>
      </c>
      <c r="T1627" s="26">
        <v>0</v>
      </c>
      <c r="U1627" s="26">
        <v>0</v>
      </c>
      <c r="V1627" s="26">
        <v>0</v>
      </c>
      <c r="W1627" s="26">
        <v>0</v>
      </c>
      <c r="X1627" s="28">
        <v>0.92</v>
      </c>
      <c r="Y1627" s="28">
        <v>0</v>
      </c>
      <c r="Z1627" s="28">
        <v>0</v>
      </c>
      <c r="AA1627" s="28">
        <v>0</v>
      </c>
      <c r="AB1627" s="28">
        <v>0</v>
      </c>
      <c r="AC1627" s="28">
        <v>0.92</v>
      </c>
      <c r="AD1627" s="26">
        <v>0.99225806451612908</v>
      </c>
      <c r="AE1627" s="26">
        <v>0.9775967413441955</v>
      </c>
      <c r="AF1627" s="26">
        <v>1</v>
      </c>
      <c r="AG1627" s="26">
        <v>0.99517332163229488</v>
      </c>
      <c r="AH1627" s="28">
        <v>0.92</v>
      </c>
      <c r="AI1627" s="26">
        <v>0</v>
      </c>
      <c r="AJ1627" s="26">
        <v>0</v>
      </c>
      <c r="AK1627" s="26">
        <v>0</v>
      </c>
      <c r="AL1627" s="26">
        <v>0</v>
      </c>
      <c r="AM1627" s="25">
        <v>0.99</v>
      </c>
      <c r="AN1627" s="30">
        <v>1</v>
      </c>
      <c r="AO1627" s="30">
        <v>0</v>
      </c>
      <c r="AP1627" s="30">
        <v>1</v>
      </c>
      <c r="AQ1627" s="30">
        <v>1</v>
      </c>
      <c r="AR1627" s="50">
        <v>0.110069253262963</v>
      </c>
      <c r="AS1627" s="34">
        <v>0</v>
      </c>
      <c r="AT1627" s="34">
        <v>0</v>
      </c>
      <c r="AU1627" s="34">
        <v>0</v>
      </c>
      <c r="AV1627" s="34">
        <v>0</v>
      </c>
      <c r="AW1627" s="10"/>
      <c r="AX1627" s="8"/>
    </row>
    <row r="1628" spans="1:50">
      <c r="A1628" s="7"/>
      <c r="B1628" s="10"/>
      <c r="C1628" s="45" t="s">
        <v>1468</v>
      </c>
      <c r="D1628" s="23" t="s">
        <v>27</v>
      </c>
      <c r="E1628" s="61" t="s">
        <v>1672</v>
      </c>
      <c r="F1628" s="61" t="s">
        <v>1672</v>
      </c>
      <c r="G1628" s="61" t="s">
        <v>1672</v>
      </c>
      <c r="H1628" s="61" t="s">
        <v>1672</v>
      </c>
      <c r="I1628" s="25">
        <v>0.9</v>
      </c>
      <c r="J1628" s="26">
        <v>0</v>
      </c>
      <c r="K1628" s="26">
        <v>0</v>
      </c>
      <c r="L1628" s="27">
        <v>0</v>
      </c>
      <c r="M1628" s="26">
        <v>0</v>
      </c>
      <c r="N1628" s="28">
        <v>0.9</v>
      </c>
      <c r="O1628" s="26">
        <v>0</v>
      </c>
      <c r="P1628" s="26">
        <v>0</v>
      </c>
      <c r="Q1628" s="26">
        <v>0</v>
      </c>
      <c r="R1628" s="26">
        <v>0</v>
      </c>
      <c r="S1628" s="28">
        <v>0.9</v>
      </c>
      <c r="T1628" s="26">
        <v>0</v>
      </c>
      <c r="U1628" s="26">
        <v>0</v>
      </c>
      <c r="V1628" s="26">
        <v>1</v>
      </c>
      <c r="W1628" s="26">
        <v>1</v>
      </c>
      <c r="X1628" s="28">
        <v>0.92</v>
      </c>
      <c r="Y1628" s="28">
        <v>0</v>
      </c>
      <c r="Z1628" s="28">
        <v>0</v>
      </c>
      <c r="AA1628" s="28">
        <v>0</v>
      </c>
      <c r="AB1628" s="28">
        <v>0</v>
      </c>
      <c r="AC1628" s="28">
        <v>0.92</v>
      </c>
      <c r="AD1628" s="26">
        <v>0.92723492723492729</v>
      </c>
      <c r="AE1628" s="26">
        <v>0.90355329949238583</v>
      </c>
      <c r="AF1628" s="26">
        <v>0.89525691699604748</v>
      </c>
      <c r="AG1628" s="26">
        <v>0.94724091520861375</v>
      </c>
      <c r="AH1628" s="28">
        <v>0.92</v>
      </c>
      <c r="AI1628" s="26">
        <v>0</v>
      </c>
      <c r="AJ1628" s="26">
        <v>0</v>
      </c>
      <c r="AK1628" s="26">
        <v>1</v>
      </c>
      <c r="AL1628" s="26">
        <v>0.8</v>
      </c>
      <c r="AM1628" s="25">
        <v>0.99</v>
      </c>
      <c r="AN1628" s="30">
        <v>1</v>
      </c>
      <c r="AO1628" s="30">
        <v>1</v>
      </c>
      <c r="AP1628" s="30">
        <v>1</v>
      </c>
      <c r="AQ1628" s="30">
        <v>1</v>
      </c>
      <c r="AR1628" s="50">
        <v>0.110069253262963</v>
      </c>
      <c r="AS1628" s="34">
        <v>0</v>
      </c>
      <c r="AT1628" s="34">
        <v>0</v>
      </c>
      <c r="AU1628" s="34">
        <v>0</v>
      </c>
      <c r="AV1628" s="34">
        <v>0</v>
      </c>
      <c r="AW1628" s="10"/>
      <c r="AX1628" s="8"/>
    </row>
    <row r="1629" spans="1:50">
      <c r="A1629" s="7"/>
      <c r="B1629" s="10"/>
      <c r="C1629" s="45" t="s">
        <v>1468</v>
      </c>
      <c r="D1629" s="23" t="s">
        <v>27</v>
      </c>
      <c r="E1629" s="61" t="s">
        <v>1673</v>
      </c>
      <c r="F1629" s="61" t="s">
        <v>1673</v>
      </c>
      <c r="G1629" s="61" t="s">
        <v>1673</v>
      </c>
      <c r="H1629" s="61" t="s">
        <v>1673</v>
      </c>
      <c r="I1629" s="25">
        <v>0.9</v>
      </c>
      <c r="J1629" s="26">
        <v>0.70967741935483875</v>
      </c>
      <c r="K1629" s="26">
        <v>0.72413793103448276</v>
      </c>
      <c r="L1629" s="27">
        <v>0.74193548387096775</v>
      </c>
      <c r="M1629" s="26">
        <v>0.76763485477178428</v>
      </c>
      <c r="N1629" s="28">
        <v>0.9</v>
      </c>
      <c r="O1629" s="26">
        <v>0.98565691336775674</v>
      </c>
      <c r="P1629" s="26">
        <v>0.97651991614255762</v>
      </c>
      <c r="Q1629" s="26">
        <v>0.97026187305814471</v>
      </c>
      <c r="R1629" s="26">
        <v>0.97925981122702432</v>
      </c>
      <c r="S1629" s="28">
        <v>0.9</v>
      </c>
      <c r="T1629" s="26">
        <v>0.42168674698795183</v>
      </c>
      <c r="U1629" s="26">
        <v>0.39287211740041927</v>
      </c>
      <c r="V1629" s="26">
        <v>0.48158011540168666</v>
      </c>
      <c r="W1629" s="26">
        <v>0.37971932439145556</v>
      </c>
      <c r="X1629" s="28">
        <v>0.92</v>
      </c>
      <c r="Y1629" s="28">
        <v>0.52532928064842954</v>
      </c>
      <c r="Z1629" s="28">
        <v>0.54844606946983543</v>
      </c>
      <c r="AA1629" s="28">
        <v>0.65706940874035991</v>
      </c>
      <c r="AB1629" s="28">
        <v>0.61312422616591</v>
      </c>
      <c r="AC1629" s="28">
        <v>0.92</v>
      </c>
      <c r="AD1629" s="26">
        <v>0.99473684210526314</v>
      </c>
      <c r="AE1629" s="26">
        <v>0.14925373134328357</v>
      </c>
      <c r="AF1629" s="26">
        <v>1</v>
      </c>
      <c r="AG1629" s="26">
        <v>0.80204241948153965</v>
      </c>
      <c r="AH1629" s="28">
        <v>0.92</v>
      </c>
      <c r="AI1629" s="26">
        <v>0.63868711326338445</v>
      </c>
      <c r="AJ1629" s="26">
        <v>0.66103799354358084</v>
      </c>
      <c r="AK1629" s="26">
        <v>0.72701286326822301</v>
      </c>
      <c r="AL1629" s="26">
        <v>0.69410597903088689</v>
      </c>
      <c r="AM1629" s="25">
        <v>0.99</v>
      </c>
      <c r="AN1629" s="30">
        <v>0</v>
      </c>
      <c r="AO1629" s="30">
        <v>1</v>
      </c>
      <c r="AP1629" s="30">
        <v>0</v>
      </c>
      <c r="AQ1629" s="30">
        <v>1</v>
      </c>
      <c r="AR1629" s="50">
        <v>0.110069253262963</v>
      </c>
      <c r="AS1629" s="34">
        <v>8.8235294117647065E-2</v>
      </c>
      <c r="AT1629" s="34">
        <v>0.125</v>
      </c>
      <c r="AU1629" s="34">
        <v>0.125</v>
      </c>
      <c r="AV1629" s="34">
        <v>0.1417624521072797</v>
      </c>
      <c r="AW1629" s="10"/>
      <c r="AX1629" s="8"/>
    </row>
    <row r="1630" spans="1:50">
      <c r="A1630" s="7"/>
      <c r="B1630" s="10"/>
      <c r="C1630" s="45" t="s">
        <v>1468</v>
      </c>
      <c r="D1630" s="23" t="s">
        <v>27</v>
      </c>
      <c r="E1630" s="61" t="s">
        <v>1674</v>
      </c>
      <c r="F1630" s="61" t="s">
        <v>1674</v>
      </c>
      <c r="G1630" s="61" t="s">
        <v>1674</v>
      </c>
      <c r="H1630" s="61" t="s">
        <v>1674</v>
      </c>
      <c r="I1630" s="25">
        <v>0.9</v>
      </c>
      <c r="J1630" s="26">
        <v>0</v>
      </c>
      <c r="K1630" s="26">
        <v>0</v>
      </c>
      <c r="L1630" s="27">
        <v>0</v>
      </c>
      <c r="M1630" s="26">
        <v>0</v>
      </c>
      <c r="N1630" s="28">
        <v>0.9</v>
      </c>
      <c r="O1630" s="26">
        <v>0</v>
      </c>
      <c r="P1630" s="26">
        <v>0</v>
      </c>
      <c r="Q1630" s="26">
        <v>0</v>
      </c>
      <c r="R1630" s="26">
        <v>0</v>
      </c>
      <c r="S1630" s="28">
        <v>0.9</v>
      </c>
      <c r="T1630" s="26">
        <v>0.66666666666666663</v>
      </c>
      <c r="U1630" s="26">
        <v>0</v>
      </c>
      <c r="V1630" s="26">
        <v>0</v>
      </c>
      <c r="W1630" s="26">
        <v>0.83333333333333337</v>
      </c>
      <c r="X1630" s="28">
        <v>0.92</v>
      </c>
      <c r="Y1630" s="28">
        <v>0</v>
      </c>
      <c r="Z1630" s="28">
        <v>0</v>
      </c>
      <c r="AA1630" s="28">
        <v>0</v>
      </c>
      <c r="AB1630" s="28">
        <v>0</v>
      </c>
      <c r="AC1630" s="28">
        <v>0.92</v>
      </c>
      <c r="AD1630" s="26">
        <v>1</v>
      </c>
      <c r="AE1630" s="26">
        <v>0.98279569892473118</v>
      </c>
      <c r="AF1630" s="26">
        <v>1</v>
      </c>
      <c r="AG1630" s="26">
        <v>0.99768919699595604</v>
      </c>
      <c r="AH1630" s="28">
        <v>0.92</v>
      </c>
      <c r="AI1630" s="26">
        <v>0.66666666666666663</v>
      </c>
      <c r="AJ1630" s="26">
        <v>0</v>
      </c>
      <c r="AK1630" s="26">
        <v>0</v>
      </c>
      <c r="AL1630" s="26">
        <v>0.83333333333333337</v>
      </c>
      <c r="AM1630" s="25">
        <v>0.99</v>
      </c>
      <c r="AN1630" s="30">
        <v>0</v>
      </c>
      <c r="AO1630" s="30">
        <v>1</v>
      </c>
      <c r="AP1630" s="30">
        <v>1</v>
      </c>
      <c r="AQ1630" s="30">
        <v>1</v>
      </c>
      <c r="AR1630" s="50">
        <v>0.110069253262963</v>
      </c>
      <c r="AS1630" s="34">
        <v>0</v>
      </c>
      <c r="AT1630" s="34">
        <v>0</v>
      </c>
      <c r="AU1630" s="34">
        <v>0</v>
      </c>
      <c r="AV1630" s="34">
        <v>0</v>
      </c>
      <c r="AW1630" s="10"/>
      <c r="AX1630" s="8"/>
    </row>
    <row r="1631" spans="1:50">
      <c r="A1631" s="7"/>
      <c r="B1631" s="10"/>
      <c r="C1631" s="45" t="s">
        <v>1468</v>
      </c>
      <c r="D1631" s="23" t="s">
        <v>27</v>
      </c>
      <c r="E1631" s="61" t="s">
        <v>1675</v>
      </c>
      <c r="F1631" s="61" t="s">
        <v>1675</v>
      </c>
      <c r="G1631" s="61" t="s">
        <v>1675</v>
      </c>
      <c r="H1631" s="61" t="s">
        <v>1675</v>
      </c>
      <c r="I1631" s="25">
        <v>0.9</v>
      </c>
      <c r="J1631" s="26">
        <v>1</v>
      </c>
      <c r="K1631" s="26">
        <v>0.92307692307692313</v>
      </c>
      <c r="L1631" s="27">
        <v>1</v>
      </c>
      <c r="M1631" s="26">
        <v>0.96907216494845361</v>
      </c>
      <c r="N1631" s="28">
        <v>0.9</v>
      </c>
      <c r="O1631" s="26">
        <v>0.98890942698706097</v>
      </c>
      <c r="P1631" s="26">
        <v>0.98801369863013699</v>
      </c>
      <c r="Q1631" s="26">
        <v>0.99700299700299699</v>
      </c>
      <c r="R1631" s="26">
        <v>0.97453550881825901</v>
      </c>
      <c r="S1631" s="28">
        <v>0.9</v>
      </c>
      <c r="T1631" s="26">
        <v>0.89155884165126309</v>
      </c>
      <c r="U1631" s="26">
        <v>0.91352739726027399</v>
      </c>
      <c r="V1631" s="26">
        <v>0.93606393606393601</v>
      </c>
      <c r="W1631" s="26">
        <v>0.90417806281241153</v>
      </c>
      <c r="X1631" s="28">
        <v>0.92</v>
      </c>
      <c r="Y1631" s="28">
        <v>0</v>
      </c>
      <c r="Z1631" s="28">
        <v>0</v>
      </c>
      <c r="AA1631" s="28">
        <v>0</v>
      </c>
      <c r="AB1631" s="28">
        <v>0</v>
      </c>
      <c r="AC1631" s="28">
        <v>0.92</v>
      </c>
      <c r="AD1631" s="26">
        <v>1</v>
      </c>
      <c r="AE1631" s="26">
        <v>1</v>
      </c>
      <c r="AF1631" s="26">
        <v>1</v>
      </c>
      <c r="AG1631" s="26">
        <v>0.97816593886462877</v>
      </c>
      <c r="AH1631" s="28">
        <v>0.92</v>
      </c>
      <c r="AI1631" s="26">
        <v>0.94393099199014174</v>
      </c>
      <c r="AJ1631" s="26">
        <v>0.97517123287671237</v>
      </c>
      <c r="AK1631" s="26">
        <v>0.981018981018981</v>
      </c>
      <c r="AL1631" s="26">
        <v>0.97048005281524097</v>
      </c>
      <c r="AM1631" s="25">
        <v>0.99</v>
      </c>
      <c r="AN1631" s="30">
        <v>0</v>
      </c>
      <c r="AO1631" s="30">
        <v>0</v>
      </c>
      <c r="AP1631" s="30">
        <v>1</v>
      </c>
      <c r="AQ1631" s="30">
        <v>1</v>
      </c>
      <c r="AR1631" s="50">
        <v>0.110069253262963</v>
      </c>
      <c r="AS1631" s="34">
        <v>0</v>
      </c>
      <c r="AT1631" s="34">
        <v>0</v>
      </c>
      <c r="AU1631" s="34">
        <v>0.08</v>
      </c>
      <c r="AV1631" s="34">
        <v>6.1046511627906974E-2</v>
      </c>
      <c r="AW1631" s="10"/>
      <c r="AX1631" s="8"/>
    </row>
    <row r="1632" spans="1:50">
      <c r="A1632" s="7"/>
      <c r="B1632" s="10"/>
      <c r="C1632" s="45" t="s">
        <v>1468</v>
      </c>
      <c r="D1632" s="23" t="s">
        <v>27</v>
      </c>
      <c r="E1632" s="61" t="s">
        <v>1676</v>
      </c>
      <c r="F1632" s="61" t="s">
        <v>1676</v>
      </c>
      <c r="G1632" s="61" t="s">
        <v>1676</v>
      </c>
      <c r="H1632" s="61" t="s">
        <v>1676</v>
      </c>
      <c r="I1632" s="25">
        <v>0.9</v>
      </c>
      <c r="J1632" s="26">
        <v>0.96</v>
      </c>
      <c r="K1632" s="26">
        <v>1</v>
      </c>
      <c r="L1632" s="27">
        <v>0.92</v>
      </c>
      <c r="M1632" s="26">
        <v>0.94472361809045224</v>
      </c>
      <c r="N1632" s="28">
        <v>0.9</v>
      </c>
      <c r="O1632" s="26">
        <v>0.97740112994350281</v>
      </c>
      <c r="P1632" s="26">
        <v>0.944935691318328</v>
      </c>
      <c r="Q1632" s="26">
        <v>0.9809966216216216</v>
      </c>
      <c r="R1632" s="26">
        <v>0.96464706582549697</v>
      </c>
      <c r="S1632" s="28">
        <v>0.9</v>
      </c>
      <c r="T1632" s="26">
        <v>0.49152542372881358</v>
      </c>
      <c r="U1632" s="26">
        <v>0.49638263665594856</v>
      </c>
      <c r="V1632" s="26">
        <v>0.49704391891891891</v>
      </c>
      <c r="W1632" s="26">
        <v>0.44738721580764196</v>
      </c>
      <c r="X1632" s="28">
        <v>0.92</v>
      </c>
      <c r="Y1632" s="28">
        <v>0.67657992565055758</v>
      </c>
      <c r="Z1632" s="28">
        <v>0.66709021601016516</v>
      </c>
      <c r="AA1632" s="28">
        <v>0.73406088454910967</v>
      </c>
      <c r="AB1632" s="28">
        <v>0.68206914125541496</v>
      </c>
      <c r="AC1632" s="28">
        <v>0.92</v>
      </c>
      <c r="AD1632" s="26">
        <v>1</v>
      </c>
      <c r="AE1632" s="26">
        <v>0.59090909090909094</v>
      </c>
      <c r="AF1632" s="26">
        <v>1</v>
      </c>
      <c r="AG1632" s="26">
        <v>0.91156462585034015</v>
      </c>
      <c r="AH1632" s="28">
        <v>0.92</v>
      </c>
      <c r="AI1632" s="26">
        <v>0.78078817733990147</v>
      </c>
      <c r="AJ1632" s="26">
        <v>0.79202559684961849</v>
      </c>
      <c r="AK1632" s="26">
        <v>0.82433090024330902</v>
      </c>
      <c r="AL1632" s="26">
        <v>0.79478838754809378</v>
      </c>
      <c r="AM1632" s="25">
        <v>0.99</v>
      </c>
      <c r="AN1632" s="30">
        <v>0</v>
      </c>
      <c r="AO1632" s="30">
        <v>1</v>
      </c>
      <c r="AP1632" s="30">
        <v>1</v>
      </c>
      <c r="AQ1632" s="30">
        <v>1</v>
      </c>
      <c r="AR1632" s="50">
        <v>0.110069253262963</v>
      </c>
      <c r="AS1632" s="34">
        <v>0.3</v>
      </c>
      <c r="AT1632" s="34">
        <v>0</v>
      </c>
      <c r="AU1632" s="34">
        <v>0</v>
      </c>
      <c r="AV1632" s="34">
        <v>9.6491228070175433E-2</v>
      </c>
      <c r="AW1632" s="10"/>
      <c r="AX1632" s="8"/>
    </row>
    <row r="1633" spans="1:50">
      <c r="A1633" s="7"/>
      <c r="B1633" s="10"/>
      <c r="C1633" s="45" t="s">
        <v>1468</v>
      </c>
      <c r="D1633" s="23" t="s">
        <v>27</v>
      </c>
      <c r="E1633" s="61" t="s">
        <v>1677</v>
      </c>
      <c r="F1633" s="61" t="s">
        <v>1677</v>
      </c>
      <c r="G1633" s="61" t="s">
        <v>1677</v>
      </c>
      <c r="H1633" s="61" t="s">
        <v>1677</v>
      </c>
      <c r="I1633" s="25">
        <v>0.9</v>
      </c>
      <c r="J1633" s="26">
        <v>0.96875</v>
      </c>
      <c r="K1633" s="26">
        <v>0.93333333333333335</v>
      </c>
      <c r="L1633" s="27">
        <v>0.8928571428571429</v>
      </c>
      <c r="M1633" s="26">
        <v>0.9642857142857143</v>
      </c>
      <c r="N1633" s="28">
        <v>0.9</v>
      </c>
      <c r="O1633" s="26">
        <v>0.93648763853367434</v>
      </c>
      <c r="P1633" s="26">
        <v>0.82964388835418668</v>
      </c>
      <c r="Q1633" s="26">
        <v>0.81029658645775038</v>
      </c>
      <c r="R1633" s="26">
        <v>0.87222914072229141</v>
      </c>
      <c r="S1633" s="28">
        <v>0.9</v>
      </c>
      <c r="T1633" s="26">
        <v>0.91474850809889174</v>
      </c>
      <c r="U1633" s="26">
        <v>0.88354186717998073</v>
      </c>
      <c r="V1633" s="26">
        <v>0.86233911583659761</v>
      </c>
      <c r="W1633" s="26">
        <v>0.89701120797011213</v>
      </c>
      <c r="X1633" s="28">
        <v>0.92</v>
      </c>
      <c r="Y1633" s="28">
        <v>0.92463092463092467</v>
      </c>
      <c r="Z1633" s="28">
        <v>0.77603885590933619</v>
      </c>
      <c r="AA1633" s="28">
        <v>0.72746113989637307</v>
      </c>
      <c r="AB1633" s="28">
        <v>0.80748142907675979</v>
      </c>
      <c r="AC1633" s="28">
        <v>0.92</v>
      </c>
      <c r="AD1633" s="26">
        <v>6.6666666666666666E-2</v>
      </c>
      <c r="AE1633" s="26">
        <v>0.6271186440677966</v>
      </c>
      <c r="AF1633" s="26">
        <v>0.97058823529411764</v>
      </c>
      <c r="AG1633" s="26">
        <v>0.86651053864168615</v>
      </c>
      <c r="AH1633" s="28">
        <v>0.92</v>
      </c>
      <c r="AI1633" s="26">
        <v>0.95378266850068771</v>
      </c>
      <c r="AJ1633" s="26">
        <v>0.8794199949122361</v>
      </c>
      <c r="AK1633" s="26">
        <v>0.88408430232558144</v>
      </c>
      <c r="AL1633" s="26">
        <v>0.90355107409031121</v>
      </c>
      <c r="AM1633" s="25">
        <v>0.99</v>
      </c>
      <c r="AN1633" s="30">
        <v>1</v>
      </c>
      <c r="AO1633" s="30">
        <v>0</v>
      </c>
      <c r="AP1633" s="30">
        <v>1</v>
      </c>
      <c r="AQ1633" s="30">
        <v>1</v>
      </c>
      <c r="AR1633" s="50">
        <v>0.110069253262963</v>
      </c>
      <c r="AS1633" s="34">
        <v>3.3333333333333333E-2</v>
      </c>
      <c r="AT1633" s="34">
        <v>0</v>
      </c>
      <c r="AU1633" s="34">
        <v>7.1428571428571425E-2</v>
      </c>
      <c r="AV1633" s="34">
        <v>4.2372881355932202E-2</v>
      </c>
      <c r="AW1633" s="10"/>
      <c r="AX1633" s="8"/>
    </row>
    <row r="1634" spans="1:50">
      <c r="A1634" s="7"/>
      <c r="B1634" s="10"/>
      <c r="C1634" s="45" t="s">
        <v>1468</v>
      </c>
      <c r="D1634" s="23" t="s">
        <v>27</v>
      </c>
      <c r="E1634" s="61" t="s">
        <v>1678</v>
      </c>
      <c r="F1634" s="61" t="s">
        <v>1678</v>
      </c>
      <c r="G1634" s="61" t="s">
        <v>1678</v>
      </c>
      <c r="H1634" s="61" t="s">
        <v>1678</v>
      </c>
      <c r="I1634" s="25">
        <v>0.9</v>
      </c>
      <c r="J1634" s="26">
        <v>0.96153846153846156</v>
      </c>
      <c r="K1634" s="26">
        <v>0.92307692307692313</v>
      </c>
      <c r="L1634" s="27">
        <v>1</v>
      </c>
      <c r="M1634" s="26">
        <v>0.91981132075471694</v>
      </c>
      <c r="N1634" s="28">
        <v>0.9</v>
      </c>
      <c r="O1634" s="26">
        <v>0.97578425976884975</v>
      </c>
      <c r="P1634" s="26">
        <v>0.98412112259970463</v>
      </c>
      <c r="Q1634" s="26">
        <v>0.96402877697841727</v>
      </c>
      <c r="R1634" s="26">
        <v>0.9732195162775128</v>
      </c>
      <c r="S1634" s="28">
        <v>0.9</v>
      </c>
      <c r="T1634" s="26">
        <v>0.88497523390203636</v>
      </c>
      <c r="U1634" s="26">
        <v>0.91432791728212703</v>
      </c>
      <c r="V1634" s="26">
        <v>0.91276978417266186</v>
      </c>
      <c r="W1634" s="26">
        <v>0.90827684325048119</v>
      </c>
      <c r="X1634" s="28">
        <v>0.92</v>
      </c>
      <c r="Y1634" s="28">
        <v>0</v>
      </c>
      <c r="Z1634" s="28">
        <v>0</v>
      </c>
      <c r="AA1634" s="28">
        <v>0</v>
      </c>
      <c r="AB1634" s="28">
        <v>0</v>
      </c>
      <c r="AC1634" s="28">
        <v>0.92</v>
      </c>
      <c r="AD1634" s="26">
        <v>1</v>
      </c>
      <c r="AE1634" s="26">
        <v>0.95862068965517244</v>
      </c>
      <c r="AF1634" s="26">
        <v>0.80808080808080807</v>
      </c>
      <c r="AG1634" s="26">
        <v>0.93786982248520712</v>
      </c>
      <c r="AH1634" s="28">
        <v>0.92</v>
      </c>
      <c r="AI1634" s="26">
        <v>0.95129334067143645</v>
      </c>
      <c r="AJ1634" s="26">
        <v>0.96011816838995567</v>
      </c>
      <c r="AK1634" s="26">
        <v>0.96539325842696633</v>
      </c>
      <c r="AL1634" s="26">
        <v>0.96421404682274248</v>
      </c>
      <c r="AM1634" s="25">
        <v>0.99</v>
      </c>
      <c r="AN1634" s="30">
        <v>1</v>
      </c>
      <c r="AO1634" s="30">
        <v>1</v>
      </c>
      <c r="AP1634" s="30">
        <v>0</v>
      </c>
      <c r="AQ1634" s="30">
        <v>1</v>
      </c>
      <c r="AR1634" s="50">
        <v>0.110069253262963</v>
      </c>
      <c r="AS1634" s="34">
        <v>0</v>
      </c>
      <c r="AT1634" s="34">
        <v>0</v>
      </c>
      <c r="AU1634" s="34">
        <v>5.2631578947368418E-2</v>
      </c>
      <c r="AV1634" s="34">
        <v>5.0561797752808987E-2</v>
      </c>
      <c r="AW1634" s="10"/>
      <c r="AX1634" s="8"/>
    </row>
    <row r="1635" spans="1:50">
      <c r="A1635" s="7"/>
      <c r="B1635" s="10"/>
      <c r="C1635" s="45" t="s">
        <v>1468</v>
      </c>
      <c r="D1635" s="23" t="s">
        <v>27</v>
      </c>
      <c r="E1635" s="61" t="s">
        <v>1679</v>
      </c>
      <c r="F1635" s="61" t="s">
        <v>1679</v>
      </c>
      <c r="G1635" s="61" t="s">
        <v>1679</v>
      </c>
      <c r="H1635" s="61" t="s">
        <v>1679</v>
      </c>
      <c r="I1635" s="25">
        <v>0.9</v>
      </c>
      <c r="J1635" s="26">
        <v>0.83333333333333337</v>
      </c>
      <c r="K1635" s="26">
        <v>0.93023255813953487</v>
      </c>
      <c r="L1635" s="27">
        <v>0.92307692307692313</v>
      </c>
      <c r="M1635" s="26">
        <v>0.89634146341463417</v>
      </c>
      <c r="N1635" s="28">
        <v>0.9</v>
      </c>
      <c r="O1635" s="26">
        <v>0.98446170921198672</v>
      </c>
      <c r="P1635" s="26">
        <v>0.97217347706192025</v>
      </c>
      <c r="Q1635" s="26">
        <v>0.98454283468692694</v>
      </c>
      <c r="R1635" s="26">
        <v>0.97183762446238142</v>
      </c>
      <c r="S1635" s="28">
        <v>0.9</v>
      </c>
      <c r="T1635" s="26">
        <v>0.9611542730299667</v>
      </c>
      <c r="U1635" s="26">
        <v>0.94259212835297068</v>
      </c>
      <c r="V1635" s="26">
        <v>0.94838878700550167</v>
      </c>
      <c r="W1635" s="26">
        <v>0.95551758675543508</v>
      </c>
      <c r="X1635" s="28">
        <v>0.92</v>
      </c>
      <c r="Y1635" s="28">
        <v>0</v>
      </c>
      <c r="Z1635" s="28">
        <v>0</v>
      </c>
      <c r="AA1635" s="28">
        <v>0</v>
      </c>
      <c r="AB1635" s="28">
        <v>0</v>
      </c>
      <c r="AC1635" s="28">
        <v>0.92</v>
      </c>
      <c r="AD1635" s="26">
        <v>0.53333333333333333</v>
      </c>
      <c r="AE1635" s="26">
        <v>0.66666666666666663</v>
      </c>
      <c r="AF1635" s="26">
        <v>0.9</v>
      </c>
      <c r="AG1635" s="26">
        <v>0.86805555555555558</v>
      </c>
      <c r="AH1635" s="28">
        <v>0.92</v>
      </c>
      <c r="AI1635" s="26">
        <v>0.97362588652482274</v>
      </c>
      <c r="AJ1635" s="26">
        <v>0.97243107769423553</v>
      </c>
      <c r="AK1635" s="26">
        <v>0.96464117338920896</v>
      </c>
      <c r="AL1635" s="26">
        <v>0.97582307556393189</v>
      </c>
      <c r="AM1635" s="25">
        <v>0.99</v>
      </c>
      <c r="AN1635" s="30">
        <v>1</v>
      </c>
      <c r="AO1635" s="30">
        <v>1</v>
      </c>
      <c r="AP1635" s="30">
        <v>1</v>
      </c>
      <c r="AQ1635" s="30">
        <v>1</v>
      </c>
      <c r="AR1635" s="50">
        <v>0.110069253262963</v>
      </c>
      <c r="AS1635" s="34">
        <v>0</v>
      </c>
      <c r="AT1635" s="34">
        <v>0.1</v>
      </c>
      <c r="AU1635" s="34">
        <v>3.3333333333333333E-2</v>
      </c>
      <c r="AV1635" s="34">
        <v>6.637168141592921E-2</v>
      </c>
      <c r="AW1635" s="10"/>
      <c r="AX1635" s="8"/>
    </row>
    <row r="1636" spans="1:50">
      <c r="A1636" s="7"/>
      <c r="B1636" s="10"/>
      <c r="C1636" s="45" t="s">
        <v>1468</v>
      </c>
      <c r="D1636" s="23" t="s">
        <v>27</v>
      </c>
      <c r="E1636" s="61" t="s">
        <v>1680</v>
      </c>
      <c r="F1636" s="61" t="s">
        <v>1680</v>
      </c>
      <c r="G1636" s="61" t="s">
        <v>1680</v>
      </c>
      <c r="H1636" s="61" t="s">
        <v>1680</v>
      </c>
      <c r="I1636" s="25">
        <v>0.9</v>
      </c>
      <c r="J1636" s="26">
        <v>1</v>
      </c>
      <c r="K1636" s="26">
        <v>1</v>
      </c>
      <c r="L1636" s="27">
        <v>1</v>
      </c>
      <c r="M1636" s="26">
        <v>1</v>
      </c>
      <c r="N1636" s="28">
        <v>0.9</v>
      </c>
      <c r="O1636" s="26">
        <v>0.95854922279792742</v>
      </c>
      <c r="P1636" s="26">
        <v>0.92912975508077122</v>
      </c>
      <c r="Q1636" s="26">
        <v>0.92264053635894794</v>
      </c>
      <c r="R1636" s="26">
        <v>0.94553114655431836</v>
      </c>
      <c r="S1636" s="28">
        <v>0.9</v>
      </c>
      <c r="T1636" s="26">
        <v>0.7727609178386381</v>
      </c>
      <c r="U1636" s="26">
        <v>0.72850442939030746</v>
      </c>
      <c r="V1636" s="26">
        <v>0.76585869004641571</v>
      </c>
      <c r="W1636" s="26">
        <v>0.75022569966897379</v>
      </c>
      <c r="X1636" s="28">
        <v>0.92</v>
      </c>
      <c r="Y1636" s="28">
        <v>0.83090024330900247</v>
      </c>
      <c r="Z1636" s="28">
        <v>0.80826799714896647</v>
      </c>
      <c r="AA1636" s="28">
        <v>0.89330682571239228</v>
      </c>
      <c r="AB1636" s="28">
        <v>0.85103903670615655</v>
      </c>
      <c r="AC1636" s="28">
        <v>0.92</v>
      </c>
      <c r="AD1636" s="26">
        <v>1</v>
      </c>
      <c r="AE1636" s="26">
        <v>1</v>
      </c>
      <c r="AF1636" s="26">
        <v>1</v>
      </c>
      <c r="AG1636" s="26">
        <v>0.99897119341563789</v>
      </c>
      <c r="AH1636" s="28">
        <v>0.92</v>
      </c>
      <c r="AI1636" s="26">
        <v>0.86310517529215358</v>
      </c>
      <c r="AJ1636" s="26">
        <v>0.87718242022877779</v>
      </c>
      <c r="AK1636" s="26">
        <v>0.91707741374311391</v>
      </c>
      <c r="AL1636" s="26">
        <v>0.89243939650788273</v>
      </c>
      <c r="AM1636" s="25">
        <v>0.99</v>
      </c>
      <c r="AN1636" s="30">
        <v>0</v>
      </c>
      <c r="AO1636" s="30">
        <v>1</v>
      </c>
      <c r="AP1636" s="30">
        <v>1</v>
      </c>
      <c r="AQ1636" s="30">
        <v>1</v>
      </c>
      <c r="AR1636" s="50">
        <v>0.110069253262963</v>
      </c>
      <c r="AS1636" s="34">
        <v>5.8823529411764705E-2</v>
      </c>
      <c r="AT1636" s="34">
        <v>3.7037037037037035E-2</v>
      </c>
      <c r="AU1636" s="34">
        <v>0</v>
      </c>
      <c r="AV1636" s="34">
        <v>5.6910569105691054E-2</v>
      </c>
      <c r="AW1636" s="10"/>
      <c r="AX1636" s="8"/>
    </row>
    <row r="1637" spans="1:50">
      <c r="A1637" s="7"/>
      <c r="B1637" s="10"/>
      <c r="C1637" s="45" t="s">
        <v>1468</v>
      </c>
      <c r="D1637" s="23" t="s">
        <v>27</v>
      </c>
      <c r="E1637" s="61" t="s">
        <v>1681</v>
      </c>
      <c r="F1637" s="61" t="s">
        <v>1681</v>
      </c>
      <c r="G1637" s="61" t="s">
        <v>1681</v>
      </c>
      <c r="H1637" s="61" t="s">
        <v>1681</v>
      </c>
      <c r="I1637" s="25">
        <v>0.9</v>
      </c>
      <c r="J1637" s="26">
        <v>0.91666666666666663</v>
      </c>
      <c r="K1637" s="26">
        <v>1</v>
      </c>
      <c r="L1637" s="27">
        <v>0.96</v>
      </c>
      <c r="M1637" s="26">
        <v>0.98522167487684731</v>
      </c>
      <c r="N1637" s="28">
        <v>0.9</v>
      </c>
      <c r="O1637" s="26">
        <v>0.91360363774156883</v>
      </c>
      <c r="P1637" s="26">
        <v>0.89711684370257971</v>
      </c>
      <c r="Q1637" s="26">
        <v>0.8822483102098897</v>
      </c>
      <c r="R1637" s="26">
        <v>0.88279599522366126</v>
      </c>
      <c r="S1637" s="28">
        <v>0.9</v>
      </c>
      <c r="T1637" s="26">
        <v>0.85600606290261461</v>
      </c>
      <c r="U1637" s="26">
        <v>0.88163884673748105</v>
      </c>
      <c r="V1637" s="26">
        <v>0.8708644610458911</v>
      </c>
      <c r="W1637" s="26">
        <v>0.84449343253421516</v>
      </c>
      <c r="X1637" s="28">
        <v>0.92</v>
      </c>
      <c r="Y1637" s="28">
        <v>1</v>
      </c>
      <c r="Z1637" s="28">
        <v>0.8</v>
      </c>
      <c r="AA1637" s="28">
        <v>0.4</v>
      </c>
      <c r="AB1637" s="28">
        <v>0.54545454545454541</v>
      </c>
      <c r="AC1637" s="28">
        <v>0.92</v>
      </c>
      <c r="AD1637" s="26">
        <v>1</v>
      </c>
      <c r="AE1637" s="26">
        <v>1</v>
      </c>
      <c r="AF1637" s="26">
        <v>0.88</v>
      </c>
      <c r="AG1637" s="26">
        <v>0.92340425531914894</v>
      </c>
      <c r="AH1637" s="28">
        <v>0.92</v>
      </c>
      <c r="AI1637" s="26">
        <v>0.95912187736563215</v>
      </c>
      <c r="AJ1637" s="26">
        <v>0.97242424242424241</v>
      </c>
      <c r="AK1637" s="26">
        <v>0.96982605608803696</v>
      </c>
      <c r="AL1637" s="26">
        <v>0.95770323526716161</v>
      </c>
      <c r="AM1637" s="25">
        <v>0.99</v>
      </c>
      <c r="AN1637" s="30">
        <v>0</v>
      </c>
      <c r="AO1637" s="30">
        <v>0</v>
      </c>
      <c r="AP1637" s="30">
        <v>0</v>
      </c>
      <c r="AQ1637" s="30">
        <v>0</v>
      </c>
      <c r="AR1637" s="50">
        <v>0.110069253262963</v>
      </c>
      <c r="AS1637" s="34">
        <v>5.5555555555555552E-2</v>
      </c>
      <c r="AT1637" s="34">
        <v>0</v>
      </c>
      <c r="AU1637" s="34">
        <v>0</v>
      </c>
      <c r="AV1637" s="34">
        <v>5.6737588652482268E-2</v>
      </c>
      <c r="AW1637" s="10"/>
      <c r="AX1637" s="8"/>
    </row>
    <row r="1638" spans="1:50">
      <c r="A1638" s="7"/>
      <c r="B1638" s="10"/>
      <c r="C1638" s="45" t="s">
        <v>1468</v>
      </c>
      <c r="D1638" s="23" t="s">
        <v>27</v>
      </c>
      <c r="E1638" s="61" t="s">
        <v>1682</v>
      </c>
      <c r="F1638" s="61" t="s">
        <v>1682</v>
      </c>
      <c r="G1638" s="61" t="s">
        <v>1682</v>
      </c>
      <c r="H1638" s="61" t="s">
        <v>1682</v>
      </c>
      <c r="I1638" s="25">
        <v>0.9</v>
      </c>
      <c r="J1638" s="26">
        <v>1</v>
      </c>
      <c r="K1638" s="26">
        <v>1</v>
      </c>
      <c r="L1638" s="27">
        <v>1</v>
      </c>
      <c r="M1638" s="26">
        <v>0.9885057471264368</v>
      </c>
      <c r="N1638" s="28">
        <v>0.9</v>
      </c>
      <c r="O1638" s="26">
        <v>0.99566891241578437</v>
      </c>
      <c r="P1638" s="26">
        <v>0.99770642201834858</v>
      </c>
      <c r="Q1638" s="26">
        <v>0.99933949801849409</v>
      </c>
      <c r="R1638" s="26">
        <v>0.9903998940677966</v>
      </c>
      <c r="S1638" s="28">
        <v>0.9</v>
      </c>
      <c r="T1638" s="26">
        <v>0.94417709335899902</v>
      </c>
      <c r="U1638" s="26">
        <v>0.94896788990825687</v>
      </c>
      <c r="V1638" s="26">
        <v>0.92338177014531042</v>
      </c>
      <c r="W1638" s="26">
        <v>0.93326271186440679</v>
      </c>
      <c r="X1638" s="28">
        <v>0.92</v>
      </c>
      <c r="Y1638" s="28">
        <v>0</v>
      </c>
      <c r="Z1638" s="28">
        <v>0</v>
      </c>
      <c r="AA1638" s="28">
        <v>0</v>
      </c>
      <c r="AB1638" s="28">
        <v>0</v>
      </c>
      <c r="AC1638" s="28">
        <v>0.92</v>
      </c>
      <c r="AD1638" s="26">
        <v>1</v>
      </c>
      <c r="AE1638" s="26">
        <v>1</v>
      </c>
      <c r="AF1638" s="26">
        <v>0.89130434782608692</v>
      </c>
      <c r="AG1638" s="26">
        <v>0.97341513292433535</v>
      </c>
      <c r="AH1638" s="28">
        <v>0.92</v>
      </c>
      <c r="AI1638" s="26">
        <v>0.96871992300288734</v>
      </c>
      <c r="AJ1638" s="26">
        <v>0.98222477064220182</v>
      </c>
      <c r="AK1638" s="26">
        <v>0.97556142668428003</v>
      </c>
      <c r="AL1638" s="26">
        <v>0.97404661016949157</v>
      </c>
      <c r="AM1638" s="25">
        <v>0.99</v>
      </c>
      <c r="AN1638" s="30">
        <v>1</v>
      </c>
      <c r="AO1638" s="30">
        <v>1</v>
      </c>
      <c r="AP1638" s="30">
        <v>1</v>
      </c>
      <c r="AQ1638" s="30">
        <v>1</v>
      </c>
      <c r="AR1638" s="50">
        <v>0.110069253262963</v>
      </c>
      <c r="AS1638" s="34">
        <v>0.15</v>
      </c>
      <c r="AT1638" s="34">
        <v>8.6956521739130432E-2</v>
      </c>
      <c r="AU1638" s="34">
        <v>4.7619047619047616E-2</v>
      </c>
      <c r="AV1638" s="34">
        <v>5.8394160583941604E-2</v>
      </c>
      <c r="AW1638" s="10"/>
      <c r="AX1638" s="8"/>
    </row>
    <row r="1639" spans="1:50">
      <c r="A1639" s="7"/>
      <c r="B1639" s="10"/>
      <c r="C1639" s="45" t="s">
        <v>1468</v>
      </c>
      <c r="D1639" s="23" t="s">
        <v>27</v>
      </c>
      <c r="E1639" s="61" t="s">
        <v>1683</v>
      </c>
      <c r="F1639" s="61" t="s">
        <v>1683</v>
      </c>
      <c r="G1639" s="61" t="s">
        <v>1683</v>
      </c>
      <c r="H1639" s="61" t="s">
        <v>1683</v>
      </c>
      <c r="I1639" s="25">
        <v>0.9</v>
      </c>
      <c r="J1639" s="26">
        <v>1</v>
      </c>
      <c r="K1639" s="26">
        <v>0.94</v>
      </c>
      <c r="L1639" s="27">
        <v>0.95833333333333337</v>
      </c>
      <c r="M1639" s="26">
        <v>0.97606382978723405</v>
      </c>
      <c r="N1639" s="28">
        <v>0.9</v>
      </c>
      <c r="O1639" s="26">
        <v>0.96077294685990333</v>
      </c>
      <c r="P1639" s="26">
        <v>0.97847600197921825</v>
      </c>
      <c r="Q1639" s="26">
        <v>0.93885714285714283</v>
      </c>
      <c r="R1639" s="26">
        <v>0.93431646749724551</v>
      </c>
      <c r="S1639" s="28">
        <v>0.9</v>
      </c>
      <c r="T1639" s="26">
        <v>0.89874396135265699</v>
      </c>
      <c r="U1639" s="26">
        <v>0.88792676892627409</v>
      </c>
      <c r="V1639" s="26">
        <v>0.85885714285714287</v>
      </c>
      <c r="W1639" s="26">
        <v>0.88513150831991416</v>
      </c>
      <c r="X1639" s="28">
        <v>0.92</v>
      </c>
      <c r="Y1639" s="28">
        <v>0</v>
      </c>
      <c r="Z1639" s="28">
        <v>0</v>
      </c>
      <c r="AA1639" s="28">
        <v>0</v>
      </c>
      <c r="AB1639" s="28">
        <v>1</v>
      </c>
      <c r="AC1639" s="28">
        <v>0.92</v>
      </c>
      <c r="AD1639" s="26">
        <v>0.93625498007968122</v>
      </c>
      <c r="AE1639" s="26">
        <v>0.97959183673469385</v>
      </c>
      <c r="AF1639" s="26">
        <v>0.78435517970401691</v>
      </c>
      <c r="AG1639" s="26">
        <v>0.93545133635905198</v>
      </c>
      <c r="AH1639" s="28">
        <v>0.92</v>
      </c>
      <c r="AI1639" s="26">
        <v>0.92695652173913046</v>
      </c>
      <c r="AJ1639" s="26">
        <v>0.94235526966848093</v>
      </c>
      <c r="AK1639" s="26">
        <v>0.9245714285714286</v>
      </c>
      <c r="AL1639" s="26">
        <v>0.93765184473699081</v>
      </c>
      <c r="AM1639" s="25">
        <v>0.99</v>
      </c>
      <c r="AN1639" s="30">
        <v>1</v>
      </c>
      <c r="AO1639" s="30">
        <v>1</v>
      </c>
      <c r="AP1639" s="30">
        <v>1</v>
      </c>
      <c r="AQ1639" s="30">
        <v>1</v>
      </c>
      <c r="AR1639" s="50">
        <v>0.110069253262963</v>
      </c>
      <c r="AS1639" s="34">
        <v>0</v>
      </c>
      <c r="AT1639" s="34">
        <v>4.5454545454545456E-2</v>
      </c>
      <c r="AU1639" s="34">
        <v>3.2258064516129031E-2</v>
      </c>
      <c r="AV1639" s="34">
        <v>4.6511627906976744E-2</v>
      </c>
      <c r="AW1639" s="10"/>
      <c r="AX1639" s="8"/>
    </row>
    <row r="1640" spans="1:50">
      <c r="A1640" s="7"/>
      <c r="B1640" s="10"/>
      <c r="C1640" s="45" t="s">
        <v>1468</v>
      </c>
      <c r="D1640" s="23" t="s">
        <v>27</v>
      </c>
      <c r="E1640" s="61" t="s">
        <v>1684</v>
      </c>
      <c r="F1640" s="61" t="s">
        <v>1684</v>
      </c>
      <c r="G1640" s="61" t="s">
        <v>1684</v>
      </c>
      <c r="H1640" s="61" t="s">
        <v>1684</v>
      </c>
      <c r="I1640" s="25">
        <v>0.9</v>
      </c>
      <c r="J1640" s="26">
        <v>1</v>
      </c>
      <c r="K1640" s="26">
        <v>0.96969696969696972</v>
      </c>
      <c r="L1640" s="27">
        <v>1</v>
      </c>
      <c r="M1640" s="26">
        <v>0.94420600858369097</v>
      </c>
      <c r="N1640" s="28">
        <v>0.9</v>
      </c>
      <c r="O1640" s="26">
        <v>0.91605392156862742</v>
      </c>
      <c r="P1640" s="26">
        <v>0.94912790697674421</v>
      </c>
      <c r="Q1640" s="26">
        <v>0.91709361900326036</v>
      </c>
      <c r="R1640" s="26">
        <v>0.91520867304217535</v>
      </c>
      <c r="S1640" s="28">
        <v>0.9</v>
      </c>
      <c r="T1640" s="26">
        <v>0.82873774509803921</v>
      </c>
      <c r="U1640" s="26">
        <v>0.86228197674418605</v>
      </c>
      <c r="V1640" s="26">
        <v>0.80018630647415001</v>
      </c>
      <c r="W1640" s="26">
        <v>0.83861442862809044</v>
      </c>
      <c r="X1640" s="28">
        <v>0.92</v>
      </c>
      <c r="Y1640" s="28">
        <v>0</v>
      </c>
      <c r="Z1640" s="28">
        <v>0</v>
      </c>
      <c r="AA1640" s="28">
        <v>0</v>
      </c>
      <c r="AB1640" s="28">
        <v>0</v>
      </c>
      <c r="AC1640" s="28">
        <v>0.92</v>
      </c>
      <c r="AD1640" s="26">
        <v>0.9285714285714286</v>
      </c>
      <c r="AE1640" s="26">
        <v>0.98684210526315785</v>
      </c>
      <c r="AF1640" s="26">
        <v>1</v>
      </c>
      <c r="AG1640" s="26">
        <v>0.96913946587537092</v>
      </c>
      <c r="AH1640" s="28">
        <v>0.92</v>
      </c>
      <c r="AI1640" s="26">
        <v>0.92095588235294112</v>
      </c>
      <c r="AJ1640" s="26">
        <v>0.91061046511627908</v>
      </c>
      <c r="AK1640" s="26">
        <v>0.9091755938518864</v>
      </c>
      <c r="AL1640" s="26">
        <v>0.90947952932880882</v>
      </c>
      <c r="AM1640" s="25">
        <v>0.99</v>
      </c>
      <c r="AN1640" s="30">
        <v>1</v>
      </c>
      <c r="AO1640" s="30">
        <v>1</v>
      </c>
      <c r="AP1640" s="30">
        <v>1</v>
      </c>
      <c r="AQ1640" s="30">
        <v>1</v>
      </c>
      <c r="AR1640" s="50">
        <v>0.110069253262963</v>
      </c>
      <c r="AS1640" s="34">
        <v>5.8823529411764705E-2</v>
      </c>
      <c r="AT1640" s="34">
        <v>0.21428571428571427</v>
      </c>
      <c r="AU1640" s="34">
        <v>0</v>
      </c>
      <c r="AV1640" s="34">
        <v>7.2368421052631582E-2</v>
      </c>
      <c r="AW1640" s="10"/>
      <c r="AX1640" s="8"/>
    </row>
    <row r="1641" spans="1:50">
      <c r="A1641" s="7"/>
      <c r="B1641" s="10"/>
      <c r="C1641" s="45" t="s">
        <v>1468</v>
      </c>
      <c r="D1641" s="23" t="s">
        <v>27</v>
      </c>
      <c r="E1641" s="61" t="s">
        <v>1685</v>
      </c>
      <c r="F1641" s="61" t="s">
        <v>1685</v>
      </c>
      <c r="G1641" s="61" t="s">
        <v>1685</v>
      </c>
      <c r="H1641" s="61" t="s">
        <v>1685</v>
      </c>
      <c r="I1641" s="25">
        <v>0.9</v>
      </c>
      <c r="J1641" s="26">
        <v>0.92307692307692313</v>
      </c>
      <c r="K1641" s="26">
        <v>0.91666666666666663</v>
      </c>
      <c r="L1641" s="27">
        <v>1</v>
      </c>
      <c r="M1641" s="26">
        <v>0.95238095238095233</v>
      </c>
      <c r="N1641" s="28">
        <v>0.9</v>
      </c>
      <c r="O1641" s="26">
        <v>0.95690413368513627</v>
      </c>
      <c r="P1641" s="26">
        <v>0.9425654116145501</v>
      </c>
      <c r="Q1641" s="26">
        <v>0.927862342819325</v>
      </c>
      <c r="R1641" s="26">
        <v>0.92564986490263668</v>
      </c>
      <c r="S1641" s="28">
        <v>0.9</v>
      </c>
      <c r="T1641" s="26">
        <v>0.7801231310466139</v>
      </c>
      <c r="U1641" s="26">
        <v>0.70899808551372046</v>
      </c>
      <c r="V1641" s="26">
        <v>0.71409662475182001</v>
      </c>
      <c r="W1641" s="26">
        <v>0.69840678281934221</v>
      </c>
      <c r="X1641" s="28">
        <v>0.92</v>
      </c>
      <c r="Y1641" s="28">
        <v>0.84442782348541512</v>
      </c>
      <c r="Z1641" s="28">
        <v>0.85020920502092046</v>
      </c>
      <c r="AA1641" s="28">
        <v>0.84720121028744322</v>
      </c>
      <c r="AB1641" s="28">
        <v>0.86682561307901906</v>
      </c>
      <c r="AC1641" s="28">
        <v>0.92</v>
      </c>
      <c r="AD1641" s="26">
        <v>0.97142857142857142</v>
      </c>
      <c r="AE1641" s="26">
        <v>1</v>
      </c>
      <c r="AF1641" s="26">
        <v>1</v>
      </c>
      <c r="AG1641" s="26">
        <v>0.9878419452887538</v>
      </c>
      <c r="AH1641" s="28">
        <v>0.92</v>
      </c>
      <c r="AI1641" s="26">
        <v>0.87590945836701695</v>
      </c>
      <c r="AJ1641" s="26">
        <v>0.88531114327062232</v>
      </c>
      <c r="AK1641" s="26">
        <v>0.88888888888888884</v>
      </c>
      <c r="AL1641" s="26">
        <v>0.89597674774361324</v>
      </c>
      <c r="AM1641" s="25">
        <v>0.99</v>
      </c>
      <c r="AN1641" s="30">
        <v>1</v>
      </c>
      <c r="AO1641" s="30">
        <v>1</v>
      </c>
      <c r="AP1641" s="30">
        <v>0</v>
      </c>
      <c r="AQ1641" s="30">
        <v>1</v>
      </c>
      <c r="AR1641" s="50">
        <v>0.110069253262963</v>
      </c>
      <c r="AS1641" s="34">
        <v>0</v>
      </c>
      <c r="AT1641" s="34">
        <v>6.4516129032258063E-2</v>
      </c>
      <c r="AU1641" s="34">
        <v>5.5555555555555552E-2</v>
      </c>
      <c r="AV1641" s="34">
        <v>5.8823529411764705E-2</v>
      </c>
      <c r="AW1641" s="10"/>
      <c r="AX1641" s="8"/>
    </row>
    <row r="1642" spans="1:50">
      <c r="A1642" s="7"/>
      <c r="B1642" s="10"/>
      <c r="C1642" s="45" t="s">
        <v>1468</v>
      </c>
      <c r="D1642" s="23" t="s">
        <v>27</v>
      </c>
      <c r="E1642" s="61" t="s">
        <v>1686</v>
      </c>
      <c r="F1642" s="61" t="s">
        <v>1686</v>
      </c>
      <c r="G1642" s="61" t="s">
        <v>1686</v>
      </c>
      <c r="H1642" s="61" t="s">
        <v>1686</v>
      </c>
      <c r="I1642" s="25">
        <v>0.9</v>
      </c>
      <c r="J1642" s="26">
        <v>0.93939393939393945</v>
      </c>
      <c r="K1642" s="26">
        <v>0.94285714285714284</v>
      </c>
      <c r="L1642" s="27">
        <v>1</v>
      </c>
      <c r="M1642" s="26">
        <v>0.97080291970802923</v>
      </c>
      <c r="N1642" s="28">
        <v>0.9</v>
      </c>
      <c r="O1642" s="26">
        <v>0.72977041776439588</v>
      </c>
      <c r="P1642" s="26">
        <v>0.74432989690721651</v>
      </c>
      <c r="Q1642" s="26">
        <v>0.84805653710247353</v>
      </c>
      <c r="R1642" s="26">
        <v>0.80650655765627666</v>
      </c>
      <c r="S1642" s="28">
        <v>0.9</v>
      </c>
      <c r="T1642" s="26">
        <v>0.56492284531426418</v>
      </c>
      <c r="U1642" s="26">
        <v>0.64771723122238589</v>
      </c>
      <c r="V1642" s="26">
        <v>0.71056858336010276</v>
      </c>
      <c r="W1642" s="26">
        <v>0.63221768012263668</v>
      </c>
      <c r="X1642" s="28">
        <v>0.92</v>
      </c>
      <c r="Y1642" s="28">
        <v>0.69248826291079812</v>
      </c>
      <c r="Z1642" s="28">
        <v>0.74286967968407192</v>
      </c>
      <c r="AA1642" s="28">
        <v>0.85769395627946854</v>
      </c>
      <c r="AB1642" s="28">
        <v>0.76479328165374671</v>
      </c>
      <c r="AC1642" s="28">
        <v>0.92</v>
      </c>
      <c r="AD1642" s="26">
        <v>1</v>
      </c>
      <c r="AE1642" s="26">
        <v>0.53846153846153844</v>
      </c>
      <c r="AF1642" s="26">
        <v>0.97222222222222221</v>
      </c>
      <c r="AG1642" s="26">
        <v>0.9463414634146341</v>
      </c>
      <c r="AH1642" s="28">
        <v>0.92</v>
      </c>
      <c r="AI1642" s="26">
        <v>0.77210819106080952</v>
      </c>
      <c r="AJ1642" s="26">
        <v>0.83362707084948895</v>
      </c>
      <c r="AK1642" s="26">
        <v>0.90517241379310343</v>
      </c>
      <c r="AL1642" s="26">
        <v>0.84327860441251923</v>
      </c>
      <c r="AM1642" s="25">
        <v>0.99</v>
      </c>
      <c r="AN1642" s="30">
        <v>0</v>
      </c>
      <c r="AO1642" s="30">
        <v>0</v>
      </c>
      <c r="AP1642" s="30">
        <v>1</v>
      </c>
      <c r="AQ1642" s="30">
        <v>1</v>
      </c>
      <c r="AR1642" s="50">
        <v>0.110069253262963</v>
      </c>
      <c r="AS1642" s="34">
        <v>9.6774193548387094E-2</v>
      </c>
      <c r="AT1642" s="34">
        <v>3.4482758620689655E-2</v>
      </c>
      <c r="AU1642" s="34">
        <v>0.18518518518518517</v>
      </c>
      <c r="AV1642" s="34">
        <v>0.14594594594594595</v>
      </c>
      <c r="AW1642" s="10"/>
      <c r="AX1642" s="8"/>
    </row>
    <row r="1643" spans="1:50">
      <c r="A1643" s="7"/>
      <c r="B1643" s="10"/>
      <c r="C1643" s="45" t="s">
        <v>1468</v>
      </c>
      <c r="D1643" s="23" t="s">
        <v>27</v>
      </c>
      <c r="E1643" s="61" t="s">
        <v>1687</v>
      </c>
      <c r="F1643" s="61" t="s">
        <v>1687</v>
      </c>
      <c r="G1643" s="61" t="s">
        <v>1687</v>
      </c>
      <c r="H1643" s="61" t="s">
        <v>1687</v>
      </c>
      <c r="I1643" s="25">
        <v>0.9</v>
      </c>
      <c r="J1643" s="26">
        <v>0.967741935483871</v>
      </c>
      <c r="K1643" s="26">
        <v>0.93939393939393945</v>
      </c>
      <c r="L1643" s="27">
        <v>1</v>
      </c>
      <c r="M1643" s="26">
        <v>0.97744360902255634</v>
      </c>
      <c r="N1643" s="28">
        <v>0.9</v>
      </c>
      <c r="O1643" s="26">
        <v>0.87306570980040366</v>
      </c>
      <c r="P1643" s="26">
        <v>0.94653729071537296</v>
      </c>
      <c r="Q1643" s="26">
        <v>0.9008484848484849</v>
      </c>
      <c r="R1643" s="26">
        <v>0.90871511246685865</v>
      </c>
      <c r="S1643" s="28">
        <v>0.9</v>
      </c>
      <c r="T1643" s="26">
        <v>0.77551020408163263</v>
      </c>
      <c r="U1643" s="26">
        <v>0.81525875190258756</v>
      </c>
      <c r="V1643" s="26">
        <v>0.85866666666666669</v>
      </c>
      <c r="W1643" s="26">
        <v>0.79855745930381727</v>
      </c>
      <c r="X1643" s="28">
        <v>0.92</v>
      </c>
      <c r="Y1643" s="28">
        <v>5.8823529411764705E-2</v>
      </c>
      <c r="Z1643" s="28">
        <v>0</v>
      </c>
      <c r="AA1643" s="28">
        <v>9.0909090909090912E-2</v>
      </c>
      <c r="AB1643" s="28">
        <v>7.3770491803278687E-2</v>
      </c>
      <c r="AC1643" s="28">
        <v>0.92</v>
      </c>
      <c r="AD1643" s="26">
        <v>0.9642857142857143</v>
      </c>
      <c r="AE1643" s="26">
        <v>0.875</v>
      </c>
      <c r="AF1643" s="26">
        <v>1</v>
      </c>
      <c r="AG1643" s="26">
        <v>0.94941634241245132</v>
      </c>
      <c r="AH1643" s="28">
        <v>0.92</v>
      </c>
      <c r="AI1643" s="26">
        <v>0.93968957871396896</v>
      </c>
      <c r="AJ1643" s="26">
        <v>0.94650986342943855</v>
      </c>
      <c r="AK1643" s="26">
        <v>0.9599033816425121</v>
      </c>
      <c r="AL1643" s="26">
        <v>0.95558710776657674</v>
      </c>
      <c r="AM1643" s="25">
        <v>0.99</v>
      </c>
      <c r="AN1643" s="30">
        <v>1</v>
      </c>
      <c r="AO1643" s="30">
        <v>1</v>
      </c>
      <c r="AP1643" s="30">
        <v>1</v>
      </c>
      <c r="AQ1643" s="30">
        <v>1</v>
      </c>
      <c r="AR1643" s="50">
        <v>0.110069253262963</v>
      </c>
      <c r="AS1643" s="34">
        <v>0</v>
      </c>
      <c r="AT1643" s="34">
        <v>0.05</v>
      </c>
      <c r="AU1643" s="34">
        <v>0.125</v>
      </c>
      <c r="AV1643" s="34">
        <v>8.3798882681564241E-2</v>
      </c>
      <c r="AW1643" s="10"/>
      <c r="AX1643" s="8"/>
    </row>
    <row r="1644" spans="1:50">
      <c r="A1644" s="7"/>
      <c r="B1644" s="10"/>
      <c r="C1644" s="45" t="s">
        <v>1468</v>
      </c>
      <c r="D1644" s="23" t="s">
        <v>27</v>
      </c>
      <c r="E1644" s="61" t="s">
        <v>1688</v>
      </c>
      <c r="F1644" s="61" t="s">
        <v>1688</v>
      </c>
      <c r="G1644" s="61" t="s">
        <v>1688</v>
      </c>
      <c r="H1644" s="61" t="s">
        <v>1688</v>
      </c>
      <c r="I1644" s="25">
        <v>0.9</v>
      </c>
      <c r="J1644" s="26">
        <v>0.90909090909090906</v>
      </c>
      <c r="K1644" s="26">
        <v>0.91111111111111109</v>
      </c>
      <c r="L1644" s="27">
        <v>0.91111111111111109</v>
      </c>
      <c r="M1644" s="26">
        <v>0.90028490028490027</v>
      </c>
      <c r="N1644" s="28">
        <v>0.9</v>
      </c>
      <c r="O1644" s="26">
        <v>0.87591986917416187</v>
      </c>
      <c r="P1644" s="26">
        <v>0.90428882965834745</v>
      </c>
      <c r="Q1644" s="26">
        <v>0.85025610123531181</v>
      </c>
      <c r="R1644" s="26">
        <v>0.8000986880297225</v>
      </c>
      <c r="S1644" s="28">
        <v>0.9</v>
      </c>
      <c r="T1644" s="26">
        <v>0.76226492232215859</v>
      </c>
      <c r="U1644" s="26">
        <v>0.77489701962684754</v>
      </c>
      <c r="V1644" s="26">
        <v>0.68665260620668878</v>
      </c>
      <c r="W1644" s="26">
        <v>0.71435620573551606</v>
      </c>
      <c r="X1644" s="28">
        <v>0.92</v>
      </c>
      <c r="Y1644" s="28">
        <v>0</v>
      </c>
      <c r="Z1644" s="28">
        <v>0</v>
      </c>
      <c r="AA1644" s="28">
        <v>0</v>
      </c>
      <c r="AB1644" s="28">
        <v>0</v>
      </c>
      <c r="AC1644" s="28">
        <v>0.92</v>
      </c>
      <c r="AD1644" s="26">
        <v>0.99457994579945797</v>
      </c>
      <c r="AE1644" s="26">
        <v>0.96822033898305082</v>
      </c>
      <c r="AF1644" s="26">
        <v>0.99773242630385484</v>
      </c>
      <c r="AG1644" s="26">
        <v>0.98628912071535024</v>
      </c>
      <c r="AH1644" s="28">
        <v>0.92</v>
      </c>
      <c r="AI1644" s="26">
        <v>0.87714636140637781</v>
      </c>
      <c r="AJ1644" s="26">
        <v>0.88878119699539615</v>
      </c>
      <c r="AK1644" s="26">
        <v>0.87225067791503463</v>
      </c>
      <c r="AL1644" s="26">
        <v>0.86505863230001157</v>
      </c>
      <c r="AM1644" s="25">
        <v>0.99</v>
      </c>
      <c r="AN1644" s="30">
        <v>1</v>
      </c>
      <c r="AO1644" s="30">
        <v>1</v>
      </c>
      <c r="AP1644" s="30">
        <v>1</v>
      </c>
      <c r="AQ1644" s="30">
        <v>1</v>
      </c>
      <c r="AR1644" s="50">
        <v>0.110069253262963</v>
      </c>
      <c r="AS1644" s="34">
        <v>0.15151515151515152</v>
      </c>
      <c r="AT1644" s="34">
        <v>0.10714285714285714</v>
      </c>
      <c r="AU1644" s="34">
        <v>0.14285714285714285</v>
      </c>
      <c r="AV1644" s="34">
        <v>9.2165898617511524E-2</v>
      </c>
      <c r="AW1644" s="10"/>
      <c r="AX1644" s="8"/>
    </row>
    <row r="1645" spans="1:50">
      <c r="A1645" s="7"/>
      <c r="B1645" s="10"/>
      <c r="C1645" s="45" t="s">
        <v>1468</v>
      </c>
      <c r="D1645" s="23" t="s">
        <v>27</v>
      </c>
      <c r="E1645" s="61" t="s">
        <v>1689</v>
      </c>
      <c r="F1645" s="61" t="s">
        <v>1689</v>
      </c>
      <c r="G1645" s="61" t="s">
        <v>1689</v>
      </c>
      <c r="H1645" s="61" t="s">
        <v>1689</v>
      </c>
      <c r="I1645" s="25">
        <v>0.9</v>
      </c>
      <c r="J1645" s="26">
        <v>0.96666666666666667</v>
      </c>
      <c r="K1645" s="26">
        <v>1</v>
      </c>
      <c r="L1645" s="27">
        <v>0.9642857142857143</v>
      </c>
      <c r="M1645" s="26">
        <v>0.96803652968036524</v>
      </c>
      <c r="N1645" s="28">
        <v>0.9</v>
      </c>
      <c r="O1645" s="26">
        <v>0.86920478968375803</v>
      </c>
      <c r="P1645" s="26">
        <v>0.79874067164179108</v>
      </c>
      <c r="Q1645" s="26">
        <v>0.85486443381180222</v>
      </c>
      <c r="R1645" s="26">
        <v>0.81826880612395114</v>
      </c>
      <c r="S1645" s="28">
        <v>0.9</v>
      </c>
      <c r="T1645" s="26">
        <v>0.87780165796745468</v>
      </c>
      <c r="U1645" s="26">
        <v>0.81786380597014929</v>
      </c>
      <c r="V1645" s="26">
        <v>0.78819776714513556</v>
      </c>
      <c r="W1645" s="26">
        <v>0.79217576917414989</v>
      </c>
      <c r="X1645" s="28">
        <v>0.92</v>
      </c>
      <c r="Y1645" s="28">
        <v>0</v>
      </c>
      <c r="Z1645" s="28">
        <v>0.33333333333333331</v>
      </c>
      <c r="AA1645" s="28">
        <v>0.33333333333333331</v>
      </c>
      <c r="AB1645" s="28">
        <v>0.24074074074074073</v>
      </c>
      <c r="AC1645" s="28">
        <v>0.92</v>
      </c>
      <c r="AD1645" s="26">
        <v>1</v>
      </c>
      <c r="AE1645" s="26">
        <v>1</v>
      </c>
      <c r="AF1645" s="26">
        <v>1</v>
      </c>
      <c r="AG1645" s="26">
        <v>0.98847926267281105</v>
      </c>
      <c r="AH1645" s="28">
        <v>0.92</v>
      </c>
      <c r="AI1645" s="26">
        <v>0.96868283696653357</v>
      </c>
      <c r="AJ1645" s="26">
        <v>0.9715882626921285</v>
      </c>
      <c r="AK1645" s="26">
        <v>0.96155068319033998</v>
      </c>
      <c r="AL1645" s="26">
        <v>0.96246786632390746</v>
      </c>
      <c r="AM1645" s="25">
        <v>0.99</v>
      </c>
      <c r="AN1645" s="30">
        <v>1</v>
      </c>
      <c r="AO1645" s="30">
        <v>1</v>
      </c>
      <c r="AP1645" s="30">
        <v>1</v>
      </c>
      <c r="AQ1645" s="30">
        <v>1</v>
      </c>
      <c r="AR1645" s="50">
        <v>0.110069253262963</v>
      </c>
      <c r="AS1645" s="34">
        <v>0</v>
      </c>
      <c r="AT1645" s="34">
        <v>0</v>
      </c>
      <c r="AU1645" s="34">
        <v>0</v>
      </c>
      <c r="AV1645" s="34">
        <v>2.4691358024691357E-2</v>
      </c>
      <c r="AW1645" s="10"/>
      <c r="AX1645" s="8"/>
    </row>
    <row r="1646" spans="1:50">
      <c r="A1646" s="7"/>
      <c r="B1646" s="10"/>
      <c r="C1646" s="45" t="s">
        <v>1468</v>
      </c>
      <c r="D1646" s="23" t="s">
        <v>27</v>
      </c>
      <c r="E1646" s="61" t="s">
        <v>1690</v>
      </c>
      <c r="F1646" s="61" t="s">
        <v>1690</v>
      </c>
      <c r="G1646" s="61" t="s">
        <v>1690</v>
      </c>
      <c r="H1646" s="61" t="s">
        <v>1690</v>
      </c>
      <c r="I1646" s="25">
        <v>0.9</v>
      </c>
      <c r="J1646" s="26">
        <v>0.92307692307692313</v>
      </c>
      <c r="K1646" s="26">
        <v>0.96153846153846156</v>
      </c>
      <c r="L1646" s="27">
        <v>0.96153846153846156</v>
      </c>
      <c r="M1646" s="26">
        <v>0.94088669950738912</v>
      </c>
      <c r="N1646" s="28">
        <v>0.9</v>
      </c>
      <c r="O1646" s="26">
        <v>0.98496835443037978</v>
      </c>
      <c r="P1646" s="26">
        <v>0.96199143468950754</v>
      </c>
      <c r="Q1646" s="26">
        <v>0.91176470588235292</v>
      </c>
      <c r="R1646" s="26">
        <v>0.94602272727272729</v>
      </c>
      <c r="S1646" s="28">
        <v>0.9</v>
      </c>
      <c r="T1646" s="26">
        <v>0.85759493670886078</v>
      </c>
      <c r="U1646" s="26">
        <v>0.80192719486081365</v>
      </c>
      <c r="V1646" s="26">
        <v>0.86332179930795849</v>
      </c>
      <c r="W1646" s="26">
        <v>0.67279411764705888</v>
      </c>
      <c r="X1646" s="28">
        <v>0.92</v>
      </c>
      <c r="Y1646" s="28">
        <v>0.83483691880638444</v>
      </c>
      <c r="Z1646" s="28">
        <v>0.84943820224719102</v>
      </c>
      <c r="AA1646" s="28">
        <v>0.86680053547523428</v>
      </c>
      <c r="AB1646" s="28">
        <v>0.85763224181360198</v>
      </c>
      <c r="AC1646" s="28">
        <v>0.92</v>
      </c>
      <c r="AD1646" s="26">
        <v>0.625</v>
      </c>
      <c r="AE1646" s="26">
        <v>1</v>
      </c>
      <c r="AF1646" s="26">
        <v>1</v>
      </c>
      <c r="AG1646" s="26">
        <v>0.9</v>
      </c>
      <c r="AH1646" s="28">
        <v>0.92</v>
      </c>
      <c r="AI1646" s="26">
        <v>0.8817442719881744</v>
      </c>
      <c r="AJ1646" s="26">
        <v>0.90605493133583026</v>
      </c>
      <c r="AK1646" s="26">
        <v>0.92200557103064062</v>
      </c>
      <c r="AL1646" s="26">
        <v>0.90555961292678477</v>
      </c>
      <c r="AM1646" s="25">
        <v>0.99</v>
      </c>
      <c r="AN1646" s="30">
        <v>0</v>
      </c>
      <c r="AO1646" s="30">
        <v>1</v>
      </c>
      <c r="AP1646" s="30">
        <v>1</v>
      </c>
      <c r="AQ1646" s="30">
        <v>1</v>
      </c>
      <c r="AR1646" s="50">
        <v>0.110069253262963</v>
      </c>
      <c r="AS1646" s="34">
        <v>6.6666666666666666E-2</v>
      </c>
      <c r="AT1646" s="34">
        <v>7.1428571428571425E-2</v>
      </c>
      <c r="AU1646" s="34">
        <v>0</v>
      </c>
      <c r="AV1646" s="34">
        <v>5.6250000000000001E-2</v>
      </c>
      <c r="AW1646" s="10"/>
      <c r="AX1646" s="8"/>
    </row>
    <row r="1647" spans="1:50">
      <c r="A1647" s="7"/>
      <c r="B1647" s="10"/>
      <c r="C1647" s="45" t="s">
        <v>1468</v>
      </c>
      <c r="D1647" s="23" t="s">
        <v>27</v>
      </c>
      <c r="E1647" s="61" t="s">
        <v>1691</v>
      </c>
      <c r="F1647" s="61" t="s">
        <v>1691</v>
      </c>
      <c r="G1647" s="61" t="s">
        <v>1691</v>
      </c>
      <c r="H1647" s="61" t="s">
        <v>1691</v>
      </c>
      <c r="I1647" s="25">
        <v>0.9</v>
      </c>
      <c r="J1647" s="26">
        <v>0.9285714285714286</v>
      </c>
      <c r="K1647" s="26">
        <v>1</v>
      </c>
      <c r="L1647" s="27">
        <v>1</v>
      </c>
      <c r="M1647" s="26">
        <v>0.96035242290748901</v>
      </c>
      <c r="N1647" s="28">
        <v>0.9</v>
      </c>
      <c r="O1647" s="26">
        <v>0.97306176084099871</v>
      </c>
      <c r="P1647" s="26">
        <v>0.96578690127077227</v>
      </c>
      <c r="Q1647" s="26">
        <v>0.9656007751937985</v>
      </c>
      <c r="R1647" s="26">
        <v>0.96756451840361024</v>
      </c>
      <c r="S1647" s="28">
        <v>0.9</v>
      </c>
      <c r="T1647" s="26">
        <v>0.63929040735873854</v>
      </c>
      <c r="U1647" s="26">
        <v>0.65542521994134895</v>
      </c>
      <c r="V1647" s="26">
        <v>0.65455426356589153</v>
      </c>
      <c r="W1647" s="26">
        <v>0.60203074319560002</v>
      </c>
      <c r="X1647" s="28">
        <v>0.92</v>
      </c>
      <c r="Y1647" s="28">
        <v>0.78947368421052633</v>
      </c>
      <c r="Z1647" s="28">
        <v>0.78671096345514946</v>
      </c>
      <c r="AA1647" s="28">
        <v>0.7615384615384615</v>
      </c>
      <c r="AB1647" s="28">
        <v>0.74822792966952034</v>
      </c>
      <c r="AC1647" s="28">
        <v>0.92</v>
      </c>
      <c r="AD1647" s="26">
        <v>0.77142857142857146</v>
      </c>
      <c r="AE1647" s="26">
        <v>0.16666666666666666</v>
      </c>
      <c r="AF1647" s="26">
        <v>0.61904761904761907</v>
      </c>
      <c r="AG1647" s="26">
        <v>0.71276595744680848</v>
      </c>
      <c r="AH1647" s="28">
        <v>0.92</v>
      </c>
      <c r="AI1647" s="26">
        <v>0.82881734140898944</v>
      </c>
      <c r="AJ1647" s="26">
        <v>0.8586313714446635</v>
      </c>
      <c r="AK1647" s="26">
        <v>0.83471302428256067</v>
      </c>
      <c r="AL1647" s="26">
        <v>0.82034804821585372</v>
      </c>
      <c r="AM1647" s="25">
        <v>0.99</v>
      </c>
      <c r="AN1647" s="30">
        <v>1</v>
      </c>
      <c r="AO1647" s="30">
        <v>1</v>
      </c>
      <c r="AP1647" s="30">
        <v>1</v>
      </c>
      <c r="AQ1647" s="30">
        <v>1</v>
      </c>
      <c r="AR1647" s="50">
        <v>0.110069253262963</v>
      </c>
      <c r="AS1647" s="34">
        <v>5.2631578947368418E-2</v>
      </c>
      <c r="AT1647" s="34">
        <v>0.12</v>
      </c>
      <c r="AU1647" s="34">
        <v>4.3478260869565216E-2</v>
      </c>
      <c r="AV1647" s="34">
        <v>5.1428571428571428E-2</v>
      </c>
      <c r="AW1647" s="10"/>
      <c r="AX1647" s="8"/>
    </row>
    <row r="1648" spans="1:50">
      <c r="A1648" s="7"/>
      <c r="B1648" s="10"/>
      <c r="C1648" s="45" t="s">
        <v>1468</v>
      </c>
      <c r="D1648" s="23" t="s">
        <v>27</v>
      </c>
      <c r="E1648" s="61" t="s">
        <v>1692</v>
      </c>
      <c r="F1648" s="61" t="s">
        <v>1692</v>
      </c>
      <c r="G1648" s="61" t="s">
        <v>1692</v>
      </c>
      <c r="H1648" s="61" t="s">
        <v>1692</v>
      </c>
      <c r="I1648" s="25">
        <v>0.9</v>
      </c>
      <c r="J1648" s="26">
        <v>0.84</v>
      </c>
      <c r="K1648" s="26">
        <v>0.92592592592592593</v>
      </c>
      <c r="L1648" s="27">
        <v>0.96551724137931039</v>
      </c>
      <c r="M1648" s="26">
        <v>0.94090909090909092</v>
      </c>
      <c r="N1648" s="28">
        <v>0.9</v>
      </c>
      <c r="O1648" s="26">
        <v>0.7542238648363252</v>
      </c>
      <c r="P1648" s="26">
        <v>0.80131467345207807</v>
      </c>
      <c r="Q1648" s="26">
        <v>0.86232279171210469</v>
      </c>
      <c r="R1648" s="26">
        <v>0.79697217161882028</v>
      </c>
      <c r="S1648" s="28">
        <v>0.9</v>
      </c>
      <c r="T1648" s="26">
        <v>0.65285110876451957</v>
      </c>
      <c r="U1648" s="26">
        <v>0.66836301950805765</v>
      </c>
      <c r="V1648" s="26">
        <v>0.64394765539803711</v>
      </c>
      <c r="W1648" s="26">
        <v>0.62535335134116465</v>
      </c>
      <c r="X1648" s="28">
        <v>0.92</v>
      </c>
      <c r="Y1648" s="28">
        <v>0</v>
      </c>
      <c r="Z1648" s="28">
        <v>0</v>
      </c>
      <c r="AA1648" s="28">
        <v>0</v>
      </c>
      <c r="AB1648" s="28">
        <v>0</v>
      </c>
      <c r="AC1648" s="28">
        <v>0.92</v>
      </c>
      <c r="AD1648" s="26">
        <v>0.83783783783783783</v>
      </c>
      <c r="AE1648" s="26">
        <v>1</v>
      </c>
      <c r="AF1648" s="26">
        <v>1</v>
      </c>
      <c r="AG1648" s="26">
        <v>0.96794871794871795</v>
      </c>
      <c r="AH1648" s="28">
        <v>0.92</v>
      </c>
      <c r="AI1648" s="26">
        <v>0.87754024808656639</v>
      </c>
      <c r="AJ1648" s="26">
        <v>0.90213937725058246</v>
      </c>
      <c r="AK1648" s="26">
        <v>0.8923913043478261</v>
      </c>
      <c r="AL1648" s="26">
        <v>0.88366623812360856</v>
      </c>
      <c r="AM1648" s="25">
        <v>0.99</v>
      </c>
      <c r="AN1648" s="30">
        <v>1</v>
      </c>
      <c r="AO1648" s="30">
        <v>1</v>
      </c>
      <c r="AP1648" s="30">
        <v>0</v>
      </c>
      <c r="AQ1648" s="30">
        <v>1</v>
      </c>
      <c r="AR1648" s="50">
        <v>0.110069253262963</v>
      </c>
      <c r="AS1648" s="34">
        <v>0.13793103448275862</v>
      </c>
      <c r="AT1648" s="34">
        <v>0.05</v>
      </c>
      <c r="AU1648" s="34">
        <v>0</v>
      </c>
      <c r="AV1648" s="34">
        <v>9.036144578313253E-2</v>
      </c>
      <c r="AW1648" s="10"/>
      <c r="AX1648" s="8"/>
    </row>
    <row r="1649" spans="1:50">
      <c r="A1649" s="7"/>
      <c r="B1649" s="10"/>
      <c r="C1649" s="45" t="s">
        <v>1468</v>
      </c>
      <c r="D1649" s="23" t="s">
        <v>27</v>
      </c>
      <c r="E1649" s="61" t="s">
        <v>1693</v>
      </c>
      <c r="F1649" s="61" t="s">
        <v>1693</v>
      </c>
      <c r="G1649" s="61" t="s">
        <v>1693</v>
      </c>
      <c r="H1649" s="61" t="s">
        <v>1693</v>
      </c>
      <c r="I1649" s="25">
        <v>0.9</v>
      </c>
      <c r="J1649" s="26">
        <v>0.97435897435897434</v>
      </c>
      <c r="K1649" s="26">
        <v>0.94594594594594594</v>
      </c>
      <c r="L1649" s="27">
        <v>0.94117647058823528</v>
      </c>
      <c r="M1649" s="26">
        <v>0.95155709342560557</v>
      </c>
      <c r="N1649" s="28">
        <v>0.9</v>
      </c>
      <c r="O1649" s="26">
        <v>0.9588182632050134</v>
      </c>
      <c r="P1649" s="26">
        <v>0.96642764015645377</v>
      </c>
      <c r="Q1649" s="26">
        <v>0.84780278670953912</v>
      </c>
      <c r="R1649" s="26">
        <v>0.94361565225680377</v>
      </c>
      <c r="S1649" s="28">
        <v>0.9</v>
      </c>
      <c r="T1649" s="26">
        <v>0.4991047448522829</v>
      </c>
      <c r="U1649" s="26">
        <v>0.53943937418513688</v>
      </c>
      <c r="V1649" s="26">
        <v>0.51089674883887104</v>
      </c>
      <c r="W1649" s="26">
        <v>0.44063676659835088</v>
      </c>
      <c r="X1649" s="28">
        <v>0.92</v>
      </c>
      <c r="Y1649" s="28">
        <v>0.71891670086171522</v>
      </c>
      <c r="Z1649" s="28">
        <v>0.76104310803618946</v>
      </c>
      <c r="AA1649" s="28">
        <v>0.6422478675363773</v>
      </c>
      <c r="AB1649" s="28">
        <v>0.66857830642877369</v>
      </c>
      <c r="AC1649" s="28">
        <v>0.92</v>
      </c>
      <c r="AD1649" s="26">
        <v>1</v>
      </c>
      <c r="AE1649" s="26">
        <v>0.8571428571428571</v>
      </c>
      <c r="AF1649" s="26">
        <v>0.93103448275862066</v>
      </c>
      <c r="AG1649" s="26">
        <v>0.90419161676646709</v>
      </c>
      <c r="AH1649" s="28">
        <v>0.92</v>
      </c>
      <c r="AI1649" s="26">
        <v>0.77627916934275321</v>
      </c>
      <c r="AJ1649" s="26">
        <v>0.8403717922812689</v>
      </c>
      <c r="AK1649" s="26">
        <v>0.74343476448520218</v>
      </c>
      <c r="AL1649" s="26">
        <v>0.77182545330335028</v>
      </c>
      <c r="AM1649" s="25">
        <v>0.99</v>
      </c>
      <c r="AN1649" s="30">
        <v>0</v>
      </c>
      <c r="AO1649" s="30">
        <v>0</v>
      </c>
      <c r="AP1649" s="30">
        <v>0</v>
      </c>
      <c r="AQ1649" s="30">
        <v>1</v>
      </c>
      <c r="AR1649" s="50">
        <v>0.110069253262963</v>
      </c>
      <c r="AS1649" s="34">
        <v>2.9411764705882353E-2</v>
      </c>
      <c r="AT1649" s="34">
        <v>6.8965517241379309E-2</v>
      </c>
      <c r="AU1649" s="34">
        <v>0</v>
      </c>
      <c r="AV1649" s="34">
        <v>7.8048780487804878E-2</v>
      </c>
      <c r="AW1649" s="10"/>
      <c r="AX1649" s="8"/>
    </row>
    <row r="1650" spans="1:50">
      <c r="A1650" s="7"/>
      <c r="B1650" s="10"/>
      <c r="C1650" s="45" t="s">
        <v>1468</v>
      </c>
      <c r="D1650" s="23" t="s">
        <v>27</v>
      </c>
      <c r="E1650" s="61" t="s">
        <v>1694</v>
      </c>
      <c r="F1650" s="61" t="s">
        <v>1694</v>
      </c>
      <c r="G1650" s="61" t="s">
        <v>1694</v>
      </c>
      <c r="H1650" s="61" t="s">
        <v>1694</v>
      </c>
      <c r="I1650" s="25">
        <v>0.9</v>
      </c>
      <c r="J1650" s="26">
        <v>0.91176470588235292</v>
      </c>
      <c r="K1650" s="26">
        <v>0.92105263157894735</v>
      </c>
      <c r="L1650" s="27">
        <v>0.89473684210526316</v>
      </c>
      <c r="M1650" s="26">
        <v>0.8716216216216216</v>
      </c>
      <c r="N1650" s="28">
        <v>0.9</v>
      </c>
      <c r="O1650" s="26">
        <v>0.97624229234675375</v>
      </c>
      <c r="P1650" s="26">
        <v>0.85333699533095309</v>
      </c>
      <c r="Q1650" s="26">
        <v>0.90471569959247045</v>
      </c>
      <c r="R1650" s="26">
        <v>0.90040783551338677</v>
      </c>
      <c r="S1650" s="28">
        <v>0.9</v>
      </c>
      <c r="T1650" s="26">
        <v>0.76459920203119336</v>
      </c>
      <c r="U1650" s="26">
        <v>0.79318868442735513</v>
      </c>
      <c r="V1650" s="26">
        <v>0.70560838346594212</v>
      </c>
      <c r="W1650" s="26">
        <v>0.73306848678232572</v>
      </c>
      <c r="X1650" s="28">
        <v>0.92</v>
      </c>
      <c r="Y1650" s="28">
        <v>0</v>
      </c>
      <c r="Z1650" s="28">
        <v>0</v>
      </c>
      <c r="AA1650" s="28">
        <v>0</v>
      </c>
      <c r="AB1650" s="28">
        <v>0</v>
      </c>
      <c r="AC1650" s="28">
        <v>0.92</v>
      </c>
      <c r="AD1650" s="26">
        <v>1</v>
      </c>
      <c r="AE1650" s="26">
        <v>0.97297297297297303</v>
      </c>
      <c r="AF1650" s="26">
        <v>1</v>
      </c>
      <c r="AG1650" s="26">
        <v>0.93865030674846628</v>
      </c>
      <c r="AH1650" s="28">
        <v>0.92</v>
      </c>
      <c r="AI1650" s="26">
        <v>0.91097008159564818</v>
      </c>
      <c r="AJ1650" s="26">
        <v>0.92556989837956605</v>
      </c>
      <c r="AK1650" s="26">
        <v>0.96002328740539489</v>
      </c>
      <c r="AL1650" s="26">
        <v>0.94518984934603922</v>
      </c>
      <c r="AM1650" s="25">
        <v>0.99</v>
      </c>
      <c r="AN1650" s="30">
        <v>0</v>
      </c>
      <c r="AO1650" s="30">
        <v>1</v>
      </c>
      <c r="AP1650" s="30">
        <v>1</v>
      </c>
      <c r="AQ1650" s="30">
        <v>1</v>
      </c>
      <c r="AR1650" s="50">
        <v>0.110069253262963</v>
      </c>
      <c r="AS1650" s="34">
        <v>5.8823529411764705E-2</v>
      </c>
      <c r="AT1650" s="34">
        <v>5.5555555555555552E-2</v>
      </c>
      <c r="AU1650" s="34">
        <v>0.14285714285714285</v>
      </c>
      <c r="AV1650" s="34">
        <v>9.0163934426229511E-2</v>
      </c>
      <c r="AW1650" s="10"/>
      <c r="AX1650" s="8"/>
    </row>
    <row r="1651" spans="1:50">
      <c r="A1651" s="7"/>
      <c r="B1651" s="10"/>
      <c r="C1651" s="45" t="s">
        <v>1468</v>
      </c>
      <c r="D1651" s="23" t="s">
        <v>27</v>
      </c>
      <c r="E1651" s="61" t="s">
        <v>1695</v>
      </c>
      <c r="F1651" s="61" t="s">
        <v>1695</v>
      </c>
      <c r="G1651" s="61" t="s">
        <v>1695</v>
      </c>
      <c r="H1651" s="61" t="s">
        <v>1695</v>
      </c>
      <c r="I1651" s="25">
        <v>0.9</v>
      </c>
      <c r="J1651" s="26">
        <v>0.75</v>
      </c>
      <c r="K1651" s="26">
        <v>0.85</v>
      </c>
      <c r="L1651" s="27">
        <v>0.82051282051282048</v>
      </c>
      <c r="M1651" s="26">
        <v>0.828125</v>
      </c>
      <c r="N1651" s="28">
        <v>0.9</v>
      </c>
      <c r="O1651" s="26">
        <v>0.97745979485880718</v>
      </c>
      <c r="P1651" s="26">
        <v>0.98190591073582634</v>
      </c>
      <c r="Q1651" s="26">
        <v>0.98853927901646177</v>
      </c>
      <c r="R1651" s="26">
        <v>0.98478176149649255</v>
      </c>
      <c r="S1651" s="28">
        <v>0.9</v>
      </c>
      <c r="T1651" s="26">
        <v>0.85551475243763453</v>
      </c>
      <c r="U1651" s="26">
        <v>0.88316388075133556</v>
      </c>
      <c r="V1651" s="26">
        <v>0.91810793915399036</v>
      </c>
      <c r="W1651" s="26">
        <v>0.89220576773187843</v>
      </c>
      <c r="X1651" s="28">
        <v>0.92</v>
      </c>
      <c r="Y1651" s="28">
        <v>0</v>
      </c>
      <c r="Z1651" s="28">
        <v>0</v>
      </c>
      <c r="AA1651" s="28">
        <v>0</v>
      </c>
      <c r="AB1651" s="28">
        <v>0</v>
      </c>
      <c r="AC1651" s="28">
        <v>0.92</v>
      </c>
      <c r="AD1651" s="26">
        <v>1</v>
      </c>
      <c r="AE1651" s="26">
        <v>0.4</v>
      </c>
      <c r="AF1651" s="26">
        <v>1</v>
      </c>
      <c r="AG1651" s="26">
        <v>0.95238095238095233</v>
      </c>
      <c r="AH1651" s="28">
        <v>0.92</v>
      </c>
      <c r="AI1651" s="26">
        <v>0.92744080030391285</v>
      </c>
      <c r="AJ1651" s="26">
        <v>0.95556321047192561</v>
      </c>
      <c r="AK1651" s="26">
        <v>0.97166076265888723</v>
      </c>
      <c r="AL1651" s="26">
        <v>0.95838447600678001</v>
      </c>
      <c r="AM1651" s="25">
        <v>0.99</v>
      </c>
      <c r="AN1651" s="30">
        <v>0</v>
      </c>
      <c r="AO1651" s="30">
        <v>0</v>
      </c>
      <c r="AP1651" s="30">
        <v>0</v>
      </c>
      <c r="AQ1651" s="30">
        <v>0</v>
      </c>
      <c r="AR1651" s="50">
        <v>0.110069253262963</v>
      </c>
      <c r="AS1651" s="34">
        <v>2.7027027027027029E-2</v>
      </c>
      <c r="AT1651" s="34">
        <v>7.4999999999999997E-2</v>
      </c>
      <c r="AU1651" s="34">
        <v>0.125</v>
      </c>
      <c r="AV1651" s="34">
        <v>6.0377358490566038E-2</v>
      </c>
      <c r="AW1651" s="10"/>
      <c r="AX1651" s="8"/>
    </row>
    <row r="1652" spans="1:50">
      <c r="A1652" s="7"/>
      <c r="B1652" s="10"/>
      <c r="C1652" s="45" t="s">
        <v>1468</v>
      </c>
      <c r="D1652" s="23" t="s">
        <v>27</v>
      </c>
      <c r="E1652" s="61" t="s">
        <v>1696</v>
      </c>
      <c r="F1652" s="61" t="s">
        <v>1696</v>
      </c>
      <c r="G1652" s="61" t="s">
        <v>1696</v>
      </c>
      <c r="H1652" s="61" t="s">
        <v>1696</v>
      </c>
      <c r="I1652" s="25">
        <v>0.9</v>
      </c>
      <c r="J1652" s="26">
        <v>0.93939393939393945</v>
      </c>
      <c r="K1652" s="26">
        <v>0.97142857142857142</v>
      </c>
      <c r="L1652" s="27">
        <v>1</v>
      </c>
      <c r="M1652" s="26">
        <v>0.93771626297577859</v>
      </c>
      <c r="N1652" s="28">
        <v>0.9</v>
      </c>
      <c r="O1652" s="26">
        <v>0.97433316557624561</v>
      </c>
      <c r="P1652" s="26">
        <v>0.97399783315276278</v>
      </c>
      <c r="Q1652" s="26">
        <v>0.98002261590652096</v>
      </c>
      <c r="R1652" s="26">
        <v>0.97050671965695756</v>
      </c>
      <c r="S1652" s="28">
        <v>0.9</v>
      </c>
      <c r="T1652" s="26">
        <v>0.79718168092601915</v>
      </c>
      <c r="U1652" s="26">
        <v>0.78945467677862047</v>
      </c>
      <c r="V1652" s="26">
        <v>0.81417263475310964</v>
      </c>
      <c r="W1652" s="26">
        <v>0.73215499660095174</v>
      </c>
      <c r="X1652" s="28">
        <v>0.92</v>
      </c>
      <c r="Y1652" s="28">
        <v>0.9050305594734368</v>
      </c>
      <c r="Z1652" s="28">
        <v>0.90259067357512957</v>
      </c>
      <c r="AA1652" s="28">
        <v>0.9541015625</v>
      </c>
      <c r="AB1652" s="28">
        <v>0.91379937440896197</v>
      </c>
      <c r="AC1652" s="28">
        <v>0.92</v>
      </c>
      <c r="AD1652" s="26">
        <v>1</v>
      </c>
      <c r="AE1652" s="26">
        <v>0.94827586206896552</v>
      </c>
      <c r="AF1652" s="26">
        <v>1</v>
      </c>
      <c r="AG1652" s="26">
        <v>0.99795081967213117</v>
      </c>
      <c r="AH1652" s="28">
        <v>0.92</v>
      </c>
      <c r="AI1652" s="26">
        <v>0.92588092345078976</v>
      </c>
      <c r="AJ1652" s="26">
        <v>0.93381570546924875</v>
      </c>
      <c r="AK1652" s="26">
        <v>0.96256911952360702</v>
      </c>
      <c r="AL1652" s="26">
        <v>0.9342073244920307</v>
      </c>
      <c r="AM1652" s="25">
        <v>0.99</v>
      </c>
      <c r="AN1652" s="30">
        <v>0</v>
      </c>
      <c r="AO1652" s="30">
        <v>0</v>
      </c>
      <c r="AP1652" s="30">
        <v>1</v>
      </c>
      <c r="AQ1652" s="30">
        <v>1</v>
      </c>
      <c r="AR1652" s="50">
        <v>0.110069253262963</v>
      </c>
      <c r="AS1652" s="34">
        <v>2.7777777777777776E-2</v>
      </c>
      <c r="AT1652" s="34">
        <v>9.375E-2</v>
      </c>
      <c r="AU1652" s="34">
        <v>9.6774193548387094E-2</v>
      </c>
      <c r="AV1652" s="34">
        <v>9.9137931034482762E-2</v>
      </c>
      <c r="AW1652" s="10"/>
      <c r="AX1652" s="8"/>
    </row>
    <row r="1653" spans="1:50">
      <c r="A1653" s="7"/>
      <c r="B1653" s="10"/>
      <c r="C1653" s="45" t="s">
        <v>1468</v>
      </c>
      <c r="D1653" s="23" t="s">
        <v>27</v>
      </c>
      <c r="E1653" s="61" t="s">
        <v>1697</v>
      </c>
      <c r="F1653" s="61" t="s">
        <v>1697</v>
      </c>
      <c r="G1653" s="61" t="s">
        <v>1697</v>
      </c>
      <c r="H1653" s="61" t="s">
        <v>1697</v>
      </c>
      <c r="I1653" s="25">
        <v>0.9</v>
      </c>
      <c r="J1653" s="26">
        <v>1</v>
      </c>
      <c r="K1653" s="26">
        <v>1</v>
      </c>
      <c r="L1653" s="27">
        <v>1</v>
      </c>
      <c r="M1653" s="26">
        <v>0.98697068403908794</v>
      </c>
      <c r="N1653" s="28">
        <v>0.9</v>
      </c>
      <c r="O1653" s="26">
        <v>0.99705014749262533</v>
      </c>
      <c r="P1653" s="26">
        <v>0.98929845422116525</v>
      </c>
      <c r="Q1653" s="26">
        <v>0.99174989144594006</v>
      </c>
      <c r="R1653" s="26">
        <v>0.99266535690897184</v>
      </c>
      <c r="S1653" s="28">
        <v>0.9</v>
      </c>
      <c r="T1653" s="26">
        <v>0.96804326450344147</v>
      </c>
      <c r="U1653" s="26">
        <v>0.93043995243757427</v>
      </c>
      <c r="V1653" s="26">
        <v>0.94094659140251846</v>
      </c>
      <c r="W1653" s="26">
        <v>0.94826457105435491</v>
      </c>
      <c r="X1653" s="28">
        <v>0.92</v>
      </c>
      <c r="Y1653" s="28">
        <v>0.95078834209268992</v>
      </c>
      <c r="Z1653" s="28">
        <v>0.93787878787878787</v>
      </c>
      <c r="AA1653" s="28">
        <v>0.94901675163874721</v>
      </c>
      <c r="AB1653" s="28">
        <v>0.94822550021907404</v>
      </c>
      <c r="AC1653" s="28">
        <v>0.92</v>
      </c>
      <c r="AD1653" s="26">
        <v>1</v>
      </c>
      <c r="AE1653" s="26">
        <v>1</v>
      </c>
      <c r="AF1653" s="26">
        <v>1</v>
      </c>
      <c r="AG1653" s="26">
        <v>1</v>
      </c>
      <c r="AH1653" s="28">
        <v>0.92</v>
      </c>
      <c r="AI1653" s="26">
        <v>0.96729651162790697</v>
      </c>
      <c r="AJ1653" s="26">
        <v>0.9550299800133244</v>
      </c>
      <c r="AK1653" s="26">
        <v>0.96790862115855314</v>
      </c>
      <c r="AL1653" s="26">
        <v>0.96482325324495999</v>
      </c>
      <c r="AM1653" s="25">
        <v>0.99</v>
      </c>
      <c r="AN1653" s="30">
        <v>1</v>
      </c>
      <c r="AO1653" s="30">
        <v>1</v>
      </c>
      <c r="AP1653" s="30">
        <v>1</v>
      </c>
      <c r="AQ1653" s="30">
        <v>1</v>
      </c>
      <c r="AR1653" s="50">
        <v>0.110069253262963</v>
      </c>
      <c r="AS1653" s="34">
        <v>0</v>
      </c>
      <c r="AT1653" s="34">
        <v>0.13513513513513514</v>
      </c>
      <c r="AU1653" s="34">
        <v>3.2258064516129031E-2</v>
      </c>
      <c r="AV1653" s="34">
        <v>8.1632653061224483E-2</v>
      </c>
      <c r="AW1653" s="10"/>
      <c r="AX1653" s="8"/>
    </row>
    <row r="1654" spans="1:50">
      <c r="A1654" s="7"/>
      <c r="B1654" s="10"/>
      <c r="C1654" s="45" t="s">
        <v>1468</v>
      </c>
      <c r="D1654" s="23" t="s">
        <v>27</v>
      </c>
      <c r="E1654" s="61" t="s">
        <v>1698</v>
      </c>
      <c r="F1654" s="61" t="s">
        <v>1698</v>
      </c>
      <c r="G1654" s="61" t="s">
        <v>1698</v>
      </c>
      <c r="H1654" s="61" t="s">
        <v>1698</v>
      </c>
      <c r="I1654" s="25">
        <v>0.9</v>
      </c>
      <c r="J1654" s="26">
        <v>0</v>
      </c>
      <c r="K1654" s="26">
        <v>0</v>
      </c>
      <c r="L1654" s="27">
        <v>0</v>
      </c>
      <c r="M1654" s="26">
        <v>0</v>
      </c>
      <c r="N1654" s="28">
        <v>0.9</v>
      </c>
      <c r="O1654" s="26">
        <v>0</v>
      </c>
      <c r="P1654" s="26">
        <v>0</v>
      </c>
      <c r="Q1654" s="26">
        <v>0</v>
      </c>
      <c r="R1654" s="26">
        <v>0</v>
      </c>
      <c r="S1654" s="28">
        <v>0.9</v>
      </c>
      <c r="T1654" s="26">
        <v>0</v>
      </c>
      <c r="U1654" s="26">
        <v>0</v>
      </c>
      <c r="V1654" s="26">
        <v>0</v>
      </c>
      <c r="W1654" s="26">
        <v>0</v>
      </c>
      <c r="X1654" s="28">
        <v>0.92</v>
      </c>
      <c r="Y1654" s="28">
        <v>0</v>
      </c>
      <c r="Z1654" s="28">
        <v>0</v>
      </c>
      <c r="AA1654" s="28">
        <v>0</v>
      </c>
      <c r="AB1654" s="28">
        <v>0</v>
      </c>
      <c r="AC1654" s="28">
        <v>0.92</v>
      </c>
      <c r="AD1654" s="26">
        <v>0</v>
      </c>
      <c r="AE1654" s="26">
        <v>0</v>
      </c>
      <c r="AF1654" s="26">
        <v>0</v>
      </c>
      <c r="AG1654" s="26">
        <v>0</v>
      </c>
      <c r="AH1654" s="28">
        <v>0.92</v>
      </c>
      <c r="AI1654" s="26">
        <v>0</v>
      </c>
      <c r="AJ1654" s="26">
        <v>0</v>
      </c>
      <c r="AK1654" s="26">
        <v>0</v>
      </c>
      <c r="AL1654" s="26">
        <v>0</v>
      </c>
      <c r="AM1654" s="25">
        <v>0.99</v>
      </c>
      <c r="AN1654" s="30">
        <v>0</v>
      </c>
      <c r="AO1654" s="30">
        <v>0</v>
      </c>
      <c r="AP1654" s="30">
        <v>0</v>
      </c>
      <c r="AQ1654" s="30">
        <v>0</v>
      </c>
      <c r="AR1654" s="50">
        <v>0.110069253262963</v>
      </c>
      <c r="AS1654" s="34">
        <v>0</v>
      </c>
      <c r="AT1654" s="34">
        <v>0</v>
      </c>
      <c r="AU1654" s="34">
        <v>0</v>
      </c>
      <c r="AV1654" s="34">
        <v>0</v>
      </c>
      <c r="AW1654" s="10"/>
      <c r="AX1654" s="8"/>
    </row>
    <row r="1655" spans="1:50">
      <c r="A1655" s="7"/>
      <c r="B1655" s="10"/>
      <c r="C1655" s="45" t="s">
        <v>1468</v>
      </c>
      <c r="D1655" s="23" t="s">
        <v>27</v>
      </c>
      <c r="E1655" s="61" t="s">
        <v>1699</v>
      </c>
      <c r="F1655" s="61" t="s">
        <v>1699</v>
      </c>
      <c r="G1655" s="61" t="s">
        <v>1699</v>
      </c>
      <c r="H1655" s="61" t="s">
        <v>1699</v>
      </c>
      <c r="I1655" s="25">
        <v>0.9</v>
      </c>
      <c r="J1655" s="26">
        <v>0</v>
      </c>
      <c r="K1655" s="26">
        <v>0</v>
      </c>
      <c r="L1655" s="27">
        <v>0</v>
      </c>
      <c r="M1655" s="26">
        <v>0</v>
      </c>
      <c r="N1655" s="28">
        <v>0.9</v>
      </c>
      <c r="O1655" s="26">
        <v>0</v>
      </c>
      <c r="P1655" s="26">
        <v>0</v>
      </c>
      <c r="Q1655" s="26">
        <v>0</v>
      </c>
      <c r="R1655" s="26">
        <v>0</v>
      </c>
      <c r="S1655" s="28">
        <v>0.9</v>
      </c>
      <c r="T1655" s="26">
        <v>0</v>
      </c>
      <c r="U1655" s="26">
        <v>0</v>
      </c>
      <c r="V1655" s="26">
        <v>0</v>
      </c>
      <c r="W1655" s="26">
        <v>0</v>
      </c>
      <c r="X1655" s="28">
        <v>0.92</v>
      </c>
      <c r="Y1655" s="28">
        <v>0</v>
      </c>
      <c r="Z1655" s="28">
        <v>0</v>
      </c>
      <c r="AA1655" s="28">
        <v>0</v>
      </c>
      <c r="AB1655" s="28">
        <v>0</v>
      </c>
      <c r="AC1655" s="28">
        <v>0.92</v>
      </c>
      <c r="AD1655" s="26">
        <v>0</v>
      </c>
      <c r="AE1655" s="26">
        <v>0</v>
      </c>
      <c r="AF1655" s="26">
        <v>0</v>
      </c>
      <c r="AG1655" s="26">
        <v>0</v>
      </c>
      <c r="AH1655" s="28">
        <v>0.92</v>
      </c>
      <c r="AI1655" s="26">
        <v>0</v>
      </c>
      <c r="AJ1655" s="26">
        <v>0</v>
      </c>
      <c r="AK1655" s="26">
        <v>0</v>
      </c>
      <c r="AL1655" s="26">
        <v>0</v>
      </c>
      <c r="AM1655" s="25">
        <v>0.99</v>
      </c>
      <c r="AN1655" s="30">
        <v>0</v>
      </c>
      <c r="AO1655" s="30">
        <v>0</v>
      </c>
      <c r="AP1655" s="30">
        <v>0</v>
      </c>
      <c r="AQ1655" s="30">
        <v>0</v>
      </c>
      <c r="AR1655" s="50">
        <v>0.110069253262963</v>
      </c>
      <c r="AS1655" s="34">
        <v>0</v>
      </c>
      <c r="AT1655" s="34">
        <v>0</v>
      </c>
      <c r="AU1655" s="34">
        <v>0</v>
      </c>
      <c r="AV1655" s="34">
        <v>0</v>
      </c>
      <c r="AW1655" s="10"/>
      <c r="AX1655" s="8"/>
    </row>
    <row r="1656" spans="1:50">
      <c r="A1656" s="7"/>
      <c r="B1656" s="10"/>
      <c r="C1656" s="45" t="s">
        <v>1468</v>
      </c>
      <c r="D1656" s="23" t="s">
        <v>27</v>
      </c>
      <c r="E1656" s="61" t="s">
        <v>1700</v>
      </c>
      <c r="F1656" s="61" t="s">
        <v>1700</v>
      </c>
      <c r="G1656" s="61" t="s">
        <v>1700</v>
      </c>
      <c r="H1656" s="61" t="s">
        <v>1700</v>
      </c>
      <c r="I1656" s="25">
        <v>0.9</v>
      </c>
      <c r="J1656" s="26">
        <v>0</v>
      </c>
      <c r="K1656" s="26">
        <v>0</v>
      </c>
      <c r="L1656" s="27">
        <v>0</v>
      </c>
      <c r="M1656" s="26">
        <v>0</v>
      </c>
      <c r="N1656" s="28">
        <v>0.9</v>
      </c>
      <c r="O1656" s="26">
        <v>0</v>
      </c>
      <c r="P1656" s="26">
        <v>0</v>
      </c>
      <c r="Q1656" s="26">
        <v>0</v>
      </c>
      <c r="R1656" s="26">
        <v>0</v>
      </c>
      <c r="S1656" s="28">
        <v>0.9</v>
      </c>
      <c r="T1656" s="26">
        <v>0</v>
      </c>
      <c r="U1656" s="26">
        <v>0</v>
      </c>
      <c r="V1656" s="26">
        <v>0</v>
      </c>
      <c r="W1656" s="26">
        <v>0</v>
      </c>
      <c r="X1656" s="28">
        <v>0.92</v>
      </c>
      <c r="Y1656" s="28">
        <v>0</v>
      </c>
      <c r="Z1656" s="28">
        <v>0</v>
      </c>
      <c r="AA1656" s="28">
        <v>0</v>
      </c>
      <c r="AB1656" s="28">
        <v>0</v>
      </c>
      <c r="AC1656" s="28">
        <v>0.92</v>
      </c>
      <c r="AD1656" s="26">
        <v>0</v>
      </c>
      <c r="AE1656" s="26">
        <v>0</v>
      </c>
      <c r="AF1656" s="26">
        <v>0</v>
      </c>
      <c r="AG1656" s="26">
        <v>0</v>
      </c>
      <c r="AH1656" s="28">
        <v>0.92</v>
      </c>
      <c r="AI1656" s="26">
        <v>0</v>
      </c>
      <c r="AJ1656" s="26">
        <v>0</v>
      </c>
      <c r="AK1656" s="26">
        <v>0</v>
      </c>
      <c r="AL1656" s="26">
        <v>0</v>
      </c>
      <c r="AM1656" s="25">
        <v>0.99</v>
      </c>
      <c r="AN1656" s="30">
        <v>0</v>
      </c>
      <c r="AO1656" s="30">
        <v>0</v>
      </c>
      <c r="AP1656" s="30">
        <v>0</v>
      </c>
      <c r="AQ1656" s="30">
        <v>0</v>
      </c>
      <c r="AR1656" s="50">
        <v>0.110069253262963</v>
      </c>
      <c r="AS1656" s="34">
        <v>0</v>
      </c>
      <c r="AT1656" s="34">
        <v>0</v>
      </c>
      <c r="AU1656" s="34">
        <v>0</v>
      </c>
      <c r="AV1656" s="34">
        <v>0</v>
      </c>
      <c r="AW1656" s="10"/>
      <c r="AX1656" s="8"/>
    </row>
    <row r="1657" spans="1:50">
      <c r="A1657" s="7"/>
      <c r="B1657" s="10"/>
      <c r="C1657" s="45" t="s">
        <v>1468</v>
      </c>
      <c r="D1657" s="23" t="s">
        <v>27</v>
      </c>
      <c r="E1657" s="61" t="s">
        <v>1701</v>
      </c>
      <c r="F1657" s="61" t="s">
        <v>1701</v>
      </c>
      <c r="G1657" s="61" t="s">
        <v>1701</v>
      </c>
      <c r="H1657" s="61" t="s">
        <v>1701</v>
      </c>
      <c r="I1657" s="25">
        <v>0.9</v>
      </c>
      <c r="J1657" s="26">
        <v>0.90476190476190477</v>
      </c>
      <c r="K1657" s="26">
        <v>0.95652173913043481</v>
      </c>
      <c r="L1657" s="27">
        <v>1</v>
      </c>
      <c r="M1657" s="26">
        <v>0.9042553191489362</v>
      </c>
      <c r="N1657" s="28">
        <v>0.9</v>
      </c>
      <c r="O1657" s="26">
        <v>0.96880967536600893</v>
      </c>
      <c r="P1657" s="26">
        <v>0.95980985306828004</v>
      </c>
      <c r="Q1657" s="26">
        <v>0.95735707591377694</v>
      </c>
      <c r="R1657" s="26">
        <v>0.96773773903993754</v>
      </c>
      <c r="S1657" s="28">
        <v>0.9</v>
      </c>
      <c r="T1657" s="26">
        <v>0.66963717377466581</v>
      </c>
      <c r="U1657" s="26">
        <v>0.70872947277441656</v>
      </c>
      <c r="V1657" s="26">
        <v>0.67666354264292405</v>
      </c>
      <c r="W1657" s="26">
        <v>0.65714843241836862</v>
      </c>
      <c r="X1657" s="28">
        <v>0.92</v>
      </c>
      <c r="Y1657" s="28">
        <v>0.88913899831176135</v>
      </c>
      <c r="Z1657" s="28">
        <v>0.9041278295605859</v>
      </c>
      <c r="AA1657" s="28">
        <v>0.92085499711149621</v>
      </c>
      <c r="AB1657" s="28">
        <v>0.90352941176470591</v>
      </c>
      <c r="AC1657" s="28">
        <v>0.92</v>
      </c>
      <c r="AD1657" s="26">
        <v>1</v>
      </c>
      <c r="AE1657" s="26">
        <v>1</v>
      </c>
      <c r="AF1657" s="26">
        <v>0.90243902439024393</v>
      </c>
      <c r="AG1657" s="26">
        <v>0.97916666666666663</v>
      </c>
      <c r="AH1657" s="28">
        <v>0.92</v>
      </c>
      <c r="AI1657" s="26">
        <v>0.91101821439235597</v>
      </c>
      <c r="AJ1657" s="26">
        <v>0.92321802935010477</v>
      </c>
      <c r="AK1657" s="26">
        <v>0.94411384217335059</v>
      </c>
      <c r="AL1657" s="26">
        <v>0.92672574279544273</v>
      </c>
      <c r="AM1657" s="25">
        <v>0.99</v>
      </c>
      <c r="AN1657" s="30">
        <v>1</v>
      </c>
      <c r="AO1657" s="30">
        <v>1</v>
      </c>
      <c r="AP1657" s="30">
        <v>1</v>
      </c>
      <c r="AQ1657" s="30">
        <v>1</v>
      </c>
      <c r="AR1657" s="50">
        <v>0.110069253262963</v>
      </c>
      <c r="AS1657" s="34">
        <v>6.25E-2</v>
      </c>
      <c r="AT1657" s="34">
        <v>0</v>
      </c>
      <c r="AU1657" s="34">
        <v>4.7619047619047616E-2</v>
      </c>
      <c r="AV1657" s="34">
        <v>0.10152284263959391</v>
      </c>
      <c r="AW1657" s="10"/>
      <c r="AX1657" s="8"/>
    </row>
    <row r="1658" spans="1:50">
      <c r="A1658" s="7"/>
      <c r="B1658" s="10"/>
      <c r="C1658" s="45" t="s">
        <v>1468</v>
      </c>
      <c r="D1658" s="23" t="s">
        <v>27</v>
      </c>
      <c r="E1658" s="61" t="s">
        <v>1702</v>
      </c>
      <c r="F1658" s="61" t="s">
        <v>1702</v>
      </c>
      <c r="G1658" s="61" t="s">
        <v>1702</v>
      </c>
      <c r="H1658" s="61" t="s">
        <v>1702</v>
      </c>
      <c r="I1658" s="25">
        <v>0.9</v>
      </c>
      <c r="J1658" s="26">
        <v>0</v>
      </c>
      <c r="K1658" s="26">
        <v>0</v>
      </c>
      <c r="L1658" s="27">
        <v>0</v>
      </c>
      <c r="M1658" s="26">
        <v>0</v>
      </c>
      <c r="N1658" s="28">
        <v>0.9</v>
      </c>
      <c r="O1658" s="26">
        <v>0</v>
      </c>
      <c r="P1658" s="26">
        <v>0</v>
      </c>
      <c r="Q1658" s="26">
        <v>0</v>
      </c>
      <c r="R1658" s="26">
        <v>0</v>
      </c>
      <c r="S1658" s="28">
        <v>0.9</v>
      </c>
      <c r="T1658" s="26">
        <v>0</v>
      </c>
      <c r="U1658" s="26">
        <v>0</v>
      </c>
      <c r="V1658" s="26">
        <v>0</v>
      </c>
      <c r="W1658" s="26">
        <v>0</v>
      </c>
      <c r="X1658" s="28">
        <v>0.92</v>
      </c>
      <c r="Y1658" s="28">
        <v>0</v>
      </c>
      <c r="Z1658" s="28">
        <v>0</v>
      </c>
      <c r="AA1658" s="28">
        <v>0</v>
      </c>
      <c r="AB1658" s="28">
        <v>0</v>
      </c>
      <c r="AC1658" s="28">
        <v>0.92</v>
      </c>
      <c r="AD1658" s="26">
        <v>1</v>
      </c>
      <c r="AE1658" s="26">
        <v>1</v>
      </c>
      <c r="AF1658" s="26">
        <v>0.99120234604105573</v>
      </c>
      <c r="AG1658" s="26">
        <v>0.99802371541501977</v>
      </c>
      <c r="AH1658" s="28">
        <v>0.92</v>
      </c>
      <c r="AI1658" s="26">
        <v>0</v>
      </c>
      <c r="AJ1658" s="26">
        <v>0</v>
      </c>
      <c r="AK1658" s="26">
        <v>0</v>
      </c>
      <c r="AL1658" s="26">
        <v>0</v>
      </c>
      <c r="AM1658" s="25">
        <v>0.99</v>
      </c>
      <c r="AN1658" s="30">
        <v>1</v>
      </c>
      <c r="AO1658" s="30">
        <v>1</v>
      </c>
      <c r="AP1658" s="30">
        <v>1</v>
      </c>
      <c r="AQ1658" s="30">
        <v>1</v>
      </c>
      <c r="AR1658" s="50">
        <v>0.110069253262963</v>
      </c>
      <c r="AS1658" s="34">
        <v>0</v>
      </c>
      <c r="AT1658" s="34">
        <v>0</v>
      </c>
      <c r="AU1658" s="34">
        <v>0</v>
      </c>
      <c r="AV1658" s="34">
        <v>0</v>
      </c>
      <c r="AW1658" s="10"/>
      <c r="AX1658" s="8"/>
    </row>
    <row r="1659" spans="1:50">
      <c r="A1659" s="7"/>
      <c r="B1659" s="10"/>
      <c r="C1659" s="45" t="s">
        <v>1468</v>
      </c>
      <c r="D1659" s="23" t="s">
        <v>27</v>
      </c>
      <c r="E1659" s="61" t="s">
        <v>1703</v>
      </c>
      <c r="F1659" s="61" t="s">
        <v>1703</v>
      </c>
      <c r="G1659" s="61" t="s">
        <v>1703</v>
      </c>
      <c r="H1659" s="61" t="s">
        <v>1703</v>
      </c>
      <c r="I1659" s="25">
        <v>0.9</v>
      </c>
      <c r="J1659" s="26">
        <v>0.75757575757575757</v>
      </c>
      <c r="K1659" s="26">
        <v>0.79411764705882348</v>
      </c>
      <c r="L1659" s="27">
        <v>0.8529411764705882</v>
      </c>
      <c r="M1659" s="26">
        <v>0.77358490566037741</v>
      </c>
      <c r="N1659" s="28">
        <v>0.9</v>
      </c>
      <c r="O1659" s="26">
        <v>0.97728848821081826</v>
      </c>
      <c r="P1659" s="26">
        <v>0.96647780925401316</v>
      </c>
      <c r="Q1659" s="26">
        <v>0.99028602266594712</v>
      </c>
      <c r="R1659" s="26">
        <v>0.98648120653278115</v>
      </c>
      <c r="S1659" s="28">
        <v>0.9</v>
      </c>
      <c r="T1659" s="26">
        <v>0.75398751733703195</v>
      </c>
      <c r="U1659" s="26">
        <v>0.77455146364494809</v>
      </c>
      <c r="V1659" s="26">
        <v>0.79087965461413923</v>
      </c>
      <c r="W1659" s="26">
        <v>0.77216014169987757</v>
      </c>
      <c r="X1659" s="28">
        <v>0.92</v>
      </c>
      <c r="Y1659" s="28">
        <v>0</v>
      </c>
      <c r="Z1659" s="28">
        <v>0</v>
      </c>
      <c r="AA1659" s="28">
        <v>0.16666666666666666</v>
      </c>
      <c r="AB1659" s="28">
        <v>9.0909090909090912E-2</v>
      </c>
      <c r="AC1659" s="28">
        <v>0.92</v>
      </c>
      <c r="AD1659" s="26">
        <v>0.94444444444444442</v>
      </c>
      <c r="AE1659" s="26">
        <v>0.9</v>
      </c>
      <c r="AF1659" s="26">
        <v>0.63265306122448983</v>
      </c>
      <c r="AG1659" s="26">
        <v>0.77314814814814814</v>
      </c>
      <c r="AH1659" s="28">
        <v>0.92</v>
      </c>
      <c r="AI1659" s="26">
        <v>0.85036369934187739</v>
      </c>
      <c r="AJ1659" s="26">
        <v>0.85475123791558594</v>
      </c>
      <c r="AK1659" s="26">
        <v>0.8966074313408724</v>
      </c>
      <c r="AL1659" s="26">
        <v>0.86836214077467722</v>
      </c>
      <c r="AM1659" s="25">
        <v>0.99</v>
      </c>
      <c r="AN1659" s="30">
        <v>0</v>
      </c>
      <c r="AO1659" s="30">
        <v>0</v>
      </c>
      <c r="AP1659" s="30">
        <v>1</v>
      </c>
      <c r="AQ1659" s="30">
        <v>1</v>
      </c>
      <c r="AR1659" s="50">
        <v>0.110069253262963</v>
      </c>
      <c r="AS1659" s="34">
        <v>0.24242424242424243</v>
      </c>
      <c r="AT1659" s="34">
        <v>0</v>
      </c>
      <c r="AU1659" s="34">
        <v>0</v>
      </c>
      <c r="AV1659" s="34">
        <v>8.9473684210526316E-2</v>
      </c>
      <c r="AW1659" s="10"/>
      <c r="AX1659" s="8"/>
    </row>
    <row r="1660" spans="1:50">
      <c r="A1660" s="7"/>
      <c r="B1660" s="10"/>
      <c r="C1660" s="45" t="s">
        <v>1468</v>
      </c>
      <c r="D1660" s="23" t="s">
        <v>27</v>
      </c>
      <c r="E1660" s="61" t="s">
        <v>1704</v>
      </c>
      <c r="F1660" s="61" t="s">
        <v>1704</v>
      </c>
      <c r="G1660" s="61" t="s">
        <v>1704</v>
      </c>
      <c r="H1660" s="61" t="s">
        <v>1704</v>
      </c>
      <c r="I1660" s="25">
        <v>0.9</v>
      </c>
      <c r="J1660" s="26">
        <v>1</v>
      </c>
      <c r="K1660" s="26">
        <v>1</v>
      </c>
      <c r="L1660" s="27">
        <v>1</v>
      </c>
      <c r="M1660" s="26">
        <v>0.99386503067484666</v>
      </c>
      <c r="N1660" s="28">
        <v>0.9</v>
      </c>
      <c r="O1660" s="26">
        <v>0.9905325443786982</v>
      </c>
      <c r="P1660" s="26">
        <v>0.94985465116279066</v>
      </c>
      <c r="Q1660" s="26">
        <v>0.93704850361197112</v>
      </c>
      <c r="R1660" s="26">
        <v>0.96568589395233284</v>
      </c>
      <c r="S1660" s="28">
        <v>0.9</v>
      </c>
      <c r="T1660" s="26">
        <v>0.96331360946745559</v>
      </c>
      <c r="U1660" s="26">
        <v>0.89098837209302328</v>
      </c>
      <c r="V1660" s="26">
        <v>0.92414860681114552</v>
      </c>
      <c r="W1660" s="26">
        <v>0.93106125300830678</v>
      </c>
      <c r="X1660" s="28">
        <v>0.92</v>
      </c>
      <c r="Y1660" s="28">
        <v>0.95877502944640758</v>
      </c>
      <c r="Z1660" s="28">
        <v>0.9552093476144109</v>
      </c>
      <c r="AA1660" s="28">
        <v>0.94854368932038835</v>
      </c>
      <c r="AB1660" s="28">
        <v>0.95519236066476909</v>
      </c>
      <c r="AC1660" s="28">
        <v>0.92</v>
      </c>
      <c r="AD1660" s="26">
        <v>1</v>
      </c>
      <c r="AE1660" s="26">
        <v>1</v>
      </c>
      <c r="AF1660" s="26">
        <v>0.75</v>
      </c>
      <c r="AG1660" s="26">
        <v>0.96721311475409832</v>
      </c>
      <c r="AH1660" s="28">
        <v>0.92</v>
      </c>
      <c r="AI1660" s="26">
        <v>0.97491145218417941</v>
      </c>
      <c r="AJ1660" s="26">
        <v>0.96004993757802748</v>
      </c>
      <c r="AK1660" s="26">
        <v>0.97304582210242585</v>
      </c>
      <c r="AL1660" s="26">
        <v>0.96841883936080742</v>
      </c>
      <c r="AM1660" s="25">
        <v>0.99</v>
      </c>
      <c r="AN1660" s="30">
        <v>0</v>
      </c>
      <c r="AO1660" s="30">
        <v>1</v>
      </c>
      <c r="AP1660" s="30">
        <v>0</v>
      </c>
      <c r="AQ1660" s="30">
        <v>1</v>
      </c>
      <c r="AR1660" s="50">
        <v>0.110069253262963</v>
      </c>
      <c r="AS1660" s="34">
        <v>5.8823529411764705E-2</v>
      </c>
      <c r="AT1660" s="34">
        <v>8.6956521739130432E-2</v>
      </c>
      <c r="AU1660" s="34">
        <v>7.1428571428571425E-2</v>
      </c>
      <c r="AV1660" s="34">
        <v>6.7039106145251395E-2</v>
      </c>
      <c r="AW1660" s="10"/>
      <c r="AX1660" s="8"/>
    </row>
    <row r="1661" spans="1:50">
      <c r="A1661" s="7"/>
      <c r="B1661" s="10"/>
      <c r="C1661" s="45" t="s">
        <v>1468</v>
      </c>
      <c r="D1661" s="23" t="s">
        <v>27</v>
      </c>
      <c r="E1661" s="61" t="s">
        <v>1705</v>
      </c>
      <c r="F1661" s="61" t="s">
        <v>1705</v>
      </c>
      <c r="G1661" s="61" t="s">
        <v>1705</v>
      </c>
      <c r="H1661" s="61" t="s">
        <v>1705</v>
      </c>
      <c r="I1661" s="25">
        <v>0.9</v>
      </c>
      <c r="J1661" s="26">
        <v>0</v>
      </c>
      <c r="K1661" s="26">
        <v>0</v>
      </c>
      <c r="L1661" s="27">
        <v>0</v>
      </c>
      <c r="M1661" s="26">
        <v>0</v>
      </c>
      <c r="N1661" s="28">
        <v>0.9</v>
      </c>
      <c r="O1661" s="26">
        <v>0</v>
      </c>
      <c r="P1661" s="26">
        <v>0</v>
      </c>
      <c r="Q1661" s="26">
        <v>0</v>
      </c>
      <c r="R1661" s="26">
        <v>0</v>
      </c>
      <c r="S1661" s="28">
        <v>0.9</v>
      </c>
      <c r="T1661" s="26">
        <v>0</v>
      </c>
      <c r="U1661" s="26">
        <v>0</v>
      </c>
      <c r="V1661" s="26">
        <v>0</v>
      </c>
      <c r="W1661" s="26">
        <v>0</v>
      </c>
      <c r="X1661" s="28">
        <v>0.92</v>
      </c>
      <c r="Y1661" s="28">
        <v>0</v>
      </c>
      <c r="Z1661" s="28">
        <v>0</v>
      </c>
      <c r="AA1661" s="28">
        <v>0</v>
      </c>
      <c r="AB1661" s="28">
        <v>0</v>
      </c>
      <c r="AC1661" s="28">
        <v>0.92</v>
      </c>
      <c r="AD1661" s="26">
        <v>1</v>
      </c>
      <c r="AE1661" s="26">
        <v>1</v>
      </c>
      <c r="AF1661" s="26">
        <v>1</v>
      </c>
      <c r="AG1661" s="26">
        <v>0.94476141078838172</v>
      </c>
      <c r="AH1661" s="28">
        <v>0.92</v>
      </c>
      <c r="AI1661" s="26">
        <v>0</v>
      </c>
      <c r="AJ1661" s="26">
        <v>0</v>
      </c>
      <c r="AK1661" s="26">
        <v>0</v>
      </c>
      <c r="AL1661" s="26">
        <v>0</v>
      </c>
      <c r="AM1661" s="25">
        <v>0.99</v>
      </c>
      <c r="AN1661" s="30">
        <v>0</v>
      </c>
      <c r="AO1661" s="30">
        <v>0</v>
      </c>
      <c r="AP1661" s="30">
        <v>0</v>
      </c>
      <c r="AQ1661" s="30">
        <v>1</v>
      </c>
      <c r="AR1661" s="50">
        <v>0.110069253262963</v>
      </c>
      <c r="AS1661" s="34">
        <v>0</v>
      </c>
      <c r="AT1661" s="34">
        <v>0</v>
      </c>
      <c r="AU1661" s="34">
        <v>0</v>
      </c>
      <c r="AV1661" s="34">
        <v>0</v>
      </c>
      <c r="AW1661" s="10"/>
      <c r="AX1661" s="8"/>
    </row>
    <row r="1662" spans="1:50">
      <c r="A1662" s="7"/>
      <c r="B1662" s="10"/>
      <c r="C1662" s="45" t="s">
        <v>1468</v>
      </c>
      <c r="D1662" s="23" t="s">
        <v>27</v>
      </c>
      <c r="E1662" s="61" t="s">
        <v>1706</v>
      </c>
      <c r="F1662" s="61" t="s">
        <v>1706</v>
      </c>
      <c r="G1662" s="61" t="s">
        <v>1706</v>
      </c>
      <c r="H1662" s="61" t="s">
        <v>1706</v>
      </c>
      <c r="I1662" s="25">
        <v>0.9</v>
      </c>
      <c r="J1662" s="26">
        <v>0</v>
      </c>
      <c r="K1662" s="26">
        <v>0</v>
      </c>
      <c r="L1662" s="27">
        <v>0</v>
      </c>
      <c r="M1662" s="26">
        <v>0</v>
      </c>
      <c r="N1662" s="28">
        <v>0.9</v>
      </c>
      <c r="O1662" s="26">
        <v>0</v>
      </c>
      <c r="P1662" s="26">
        <v>0</v>
      </c>
      <c r="Q1662" s="26">
        <v>0</v>
      </c>
      <c r="R1662" s="26">
        <v>0</v>
      </c>
      <c r="S1662" s="28">
        <v>0.9</v>
      </c>
      <c r="T1662" s="26">
        <v>0</v>
      </c>
      <c r="U1662" s="26">
        <v>0</v>
      </c>
      <c r="V1662" s="26">
        <v>0</v>
      </c>
      <c r="W1662" s="26">
        <v>0</v>
      </c>
      <c r="X1662" s="28">
        <v>0.92</v>
      </c>
      <c r="Y1662" s="28">
        <v>0</v>
      </c>
      <c r="Z1662" s="28">
        <v>0</v>
      </c>
      <c r="AA1662" s="28">
        <v>0</v>
      </c>
      <c r="AB1662" s="28">
        <v>0</v>
      </c>
      <c r="AC1662" s="28">
        <v>0.92</v>
      </c>
      <c r="AD1662" s="26">
        <v>0.99952015355086377</v>
      </c>
      <c r="AE1662" s="26">
        <v>0.99949824385348718</v>
      </c>
      <c r="AF1662" s="26">
        <v>1</v>
      </c>
      <c r="AG1662" s="26">
        <v>0.9976420150053591</v>
      </c>
      <c r="AH1662" s="28">
        <v>0.92</v>
      </c>
      <c r="AI1662" s="26">
        <v>0</v>
      </c>
      <c r="AJ1662" s="26">
        <v>0</v>
      </c>
      <c r="AK1662" s="26">
        <v>0</v>
      </c>
      <c r="AL1662" s="26">
        <v>0</v>
      </c>
      <c r="AM1662" s="25">
        <v>0.99</v>
      </c>
      <c r="AN1662" s="30">
        <v>1</v>
      </c>
      <c r="AO1662" s="30">
        <v>1</v>
      </c>
      <c r="AP1662" s="30">
        <v>0</v>
      </c>
      <c r="AQ1662" s="30">
        <v>1</v>
      </c>
      <c r="AR1662" s="50">
        <v>0.110069253262963</v>
      </c>
      <c r="AS1662" s="34">
        <v>0</v>
      </c>
      <c r="AT1662" s="34">
        <v>0</v>
      </c>
      <c r="AU1662" s="34">
        <v>0</v>
      </c>
      <c r="AV1662" s="34">
        <v>0</v>
      </c>
      <c r="AW1662" s="10"/>
      <c r="AX1662" s="8"/>
    </row>
    <row r="1663" spans="1:50">
      <c r="A1663" s="7"/>
      <c r="B1663" s="10"/>
      <c r="C1663" s="45" t="s">
        <v>1468</v>
      </c>
      <c r="D1663" s="23" t="s">
        <v>27</v>
      </c>
      <c r="E1663" s="61" t="s">
        <v>1707</v>
      </c>
      <c r="F1663" s="61" t="s">
        <v>1707</v>
      </c>
      <c r="G1663" s="61" t="s">
        <v>1707</v>
      </c>
      <c r="H1663" s="61" t="s">
        <v>1707</v>
      </c>
      <c r="I1663" s="25">
        <v>0.9</v>
      </c>
      <c r="J1663" s="26">
        <v>0.88235294117647056</v>
      </c>
      <c r="K1663" s="26">
        <v>0.64516129032258063</v>
      </c>
      <c r="L1663" s="27">
        <v>0.66666666666666663</v>
      </c>
      <c r="M1663" s="26">
        <v>0.64262295081967213</v>
      </c>
      <c r="N1663" s="28">
        <v>0.9</v>
      </c>
      <c r="O1663" s="26">
        <v>0.72980547312891531</v>
      </c>
      <c r="P1663" s="26">
        <v>0.83295557570262924</v>
      </c>
      <c r="Q1663" s="26">
        <v>0.92160961588711787</v>
      </c>
      <c r="R1663" s="26">
        <v>0.84929991704582586</v>
      </c>
      <c r="S1663" s="28">
        <v>0.9</v>
      </c>
      <c r="T1663" s="26">
        <v>0.63006923837784368</v>
      </c>
      <c r="U1663" s="26">
        <v>0.73572076155938348</v>
      </c>
      <c r="V1663" s="26">
        <v>0.75620590540893651</v>
      </c>
      <c r="W1663" s="26">
        <v>0.72622608783087406</v>
      </c>
      <c r="X1663" s="28">
        <v>0.92</v>
      </c>
      <c r="Y1663" s="28">
        <v>1</v>
      </c>
      <c r="Z1663" s="28">
        <v>0.55555555555555558</v>
      </c>
      <c r="AA1663" s="28">
        <v>0.2</v>
      </c>
      <c r="AB1663" s="28">
        <v>0.27777777777777779</v>
      </c>
      <c r="AC1663" s="28">
        <v>0.92</v>
      </c>
      <c r="AD1663" s="26">
        <v>0.6428571428571429</v>
      </c>
      <c r="AE1663" s="26">
        <v>0.79069767441860461</v>
      </c>
      <c r="AF1663" s="26">
        <v>0.6216216216216216</v>
      </c>
      <c r="AG1663" s="26">
        <v>0.80215827338129497</v>
      </c>
      <c r="AH1663" s="28">
        <v>0.92</v>
      </c>
      <c r="AI1663" s="26">
        <v>0.75646729279947278</v>
      </c>
      <c r="AJ1663" s="26">
        <v>0.81610495363040036</v>
      </c>
      <c r="AK1663" s="26">
        <v>0.85255741127348639</v>
      </c>
      <c r="AL1663" s="26">
        <v>0.85531669094379426</v>
      </c>
      <c r="AM1663" s="25">
        <v>0.99</v>
      </c>
      <c r="AN1663" s="30">
        <v>1</v>
      </c>
      <c r="AO1663" s="30">
        <v>1</v>
      </c>
      <c r="AP1663" s="30">
        <v>1</v>
      </c>
      <c r="AQ1663" s="30">
        <v>1</v>
      </c>
      <c r="AR1663" s="50">
        <v>0.110069253262963</v>
      </c>
      <c r="AS1663" s="34">
        <v>5.128205128205128E-2</v>
      </c>
      <c r="AT1663" s="34">
        <v>6.8965517241379309E-2</v>
      </c>
      <c r="AU1663" s="34">
        <v>0.12903225806451613</v>
      </c>
      <c r="AV1663" s="34">
        <v>4.3333333333333335E-2</v>
      </c>
      <c r="AW1663" s="10"/>
      <c r="AX1663" s="8"/>
    </row>
    <row r="1664" spans="1:50">
      <c r="A1664" s="7"/>
      <c r="B1664" s="10"/>
      <c r="C1664" s="45" t="s">
        <v>1468</v>
      </c>
      <c r="D1664" s="23" t="s">
        <v>27</v>
      </c>
      <c r="E1664" s="61" t="s">
        <v>1708</v>
      </c>
      <c r="F1664" s="61" t="s">
        <v>1708</v>
      </c>
      <c r="G1664" s="61" t="s">
        <v>1708</v>
      </c>
      <c r="H1664" s="61" t="s">
        <v>1708</v>
      </c>
      <c r="I1664" s="25">
        <v>0.9</v>
      </c>
      <c r="J1664" s="26">
        <v>0</v>
      </c>
      <c r="K1664" s="26">
        <v>0</v>
      </c>
      <c r="L1664" s="27">
        <v>0</v>
      </c>
      <c r="M1664" s="26">
        <v>0</v>
      </c>
      <c r="N1664" s="28">
        <v>0.9</v>
      </c>
      <c r="O1664" s="26">
        <v>0</v>
      </c>
      <c r="P1664" s="26">
        <v>0</v>
      </c>
      <c r="Q1664" s="26">
        <v>0</v>
      </c>
      <c r="R1664" s="26">
        <v>0</v>
      </c>
      <c r="S1664" s="28">
        <v>0.9</v>
      </c>
      <c r="T1664" s="26">
        <v>0</v>
      </c>
      <c r="U1664" s="26">
        <v>0</v>
      </c>
      <c r="V1664" s="26">
        <v>0</v>
      </c>
      <c r="W1664" s="26">
        <v>0</v>
      </c>
      <c r="X1664" s="28">
        <v>0.92</v>
      </c>
      <c r="Y1664" s="28">
        <v>0</v>
      </c>
      <c r="Z1664" s="28">
        <v>0</v>
      </c>
      <c r="AA1664" s="28">
        <v>0</v>
      </c>
      <c r="AB1664" s="28">
        <v>0</v>
      </c>
      <c r="AC1664" s="28">
        <v>0.92</v>
      </c>
      <c r="AD1664" s="26">
        <v>0.740506329113924</v>
      </c>
      <c r="AE1664" s="26">
        <v>0.82511210762331844</v>
      </c>
      <c r="AF1664" s="26">
        <v>0.98734177215189878</v>
      </c>
      <c r="AG1664" s="26">
        <v>0.94271481942714819</v>
      </c>
      <c r="AH1664" s="28">
        <v>0.92</v>
      </c>
      <c r="AI1664" s="26">
        <v>0</v>
      </c>
      <c r="AJ1664" s="26">
        <v>0</v>
      </c>
      <c r="AK1664" s="26">
        <v>0</v>
      </c>
      <c r="AL1664" s="26">
        <v>0</v>
      </c>
      <c r="AM1664" s="25">
        <v>0.99</v>
      </c>
      <c r="AN1664" s="30">
        <v>1</v>
      </c>
      <c r="AO1664" s="30">
        <v>1</v>
      </c>
      <c r="AP1664" s="30">
        <v>1</v>
      </c>
      <c r="AQ1664" s="30">
        <v>1</v>
      </c>
      <c r="AR1664" s="50">
        <v>0.110069253262963</v>
      </c>
      <c r="AS1664" s="34">
        <v>0</v>
      </c>
      <c r="AT1664" s="34">
        <v>0</v>
      </c>
      <c r="AU1664" s="34">
        <v>0</v>
      </c>
      <c r="AV1664" s="34">
        <v>0</v>
      </c>
      <c r="AW1664" s="10"/>
      <c r="AX1664" s="8"/>
    </row>
    <row r="1665" spans="1:50">
      <c r="A1665" s="7"/>
      <c r="B1665" s="10"/>
      <c r="C1665" s="45" t="s">
        <v>1468</v>
      </c>
      <c r="D1665" s="23" t="s">
        <v>27</v>
      </c>
      <c r="E1665" s="61" t="s">
        <v>1709</v>
      </c>
      <c r="F1665" s="61" t="s">
        <v>1709</v>
      </c>
      <c r="G1665" s="61" t="s">
        <v>1709</v>
      </c>
      <c r="H1665" s="61" t="s">
        <v>1709</v>
      </c>
      <c r="I1665" s="25">
        <v>0.9</v>
      </c>
      <c r="J1665" s="26">
        <v>0</v>
      </c>
      <c r="K1665" s="26">
        <v>0</v>
      </c>
      <c r="L1665" s="27">
        <v>0</v>
      </c>
      <c r="M1665" s="26">
        <v>0</v>
      </c>
      <c r="N1665" s="28">
        <v>0.9</v>
      </c>
      <c r="O1665" s="26">
        <v>0</v>
      </c>
      <c r="P1665" s="26">
        <v>0</v>
      </c>
      <c r="Q1665" s="26">
        <v>0</v>
      </c>
      <c r="R1665" s="26">
        <v>0</v>
      </c>
      <c r="S1665" s="28">
        <v>0.9</v>
      </c>
      <c r="T1665" s="26">
        <v>0</v>
      </c>
      <c r="U1665" s="26">
        <v>0</v>
      </c>
      <c r="V1665" s="26">
        <v>0</v>
      </c>
      <c r="W1665" s="26">
        <v>0.75</v>
      </c>
      <c r="X1665" s="28">
        <v>0.92</v>
      </c>
      <c r="Y1665" s="28">
        <v>0</v>
      </c>
      <c r="Z1665" s="28">
        <v>0</v>
      </c>
      <c r="AA1665" s="28">
        <v>0</v>
      </c>
      <c r="AB1665" s="28">
        <v>0</v>
      </c>
      <c r="AC1665" s="28">
        <v>0.92</v>
      </c>
      <c r="AD1665" s="26">
        <v>1</v>
      </c>
      <c r="AE1665" s="26">
        <v>0.97727272727272729</v>
      </c>
      <c r="AF1665" s="26">
        <v>1</v>
      </c>
      <c r="AG1665" s="26">
        <v>0.99738903394255873</v>
      </c>
      <c r="AH1665" s="28">
        <v>0.92</v>
      </c>
      <c r="AI1665" s="26">
        <v>0</v>
      </c>
      <c r="AJ1665" s="26">
        <v>1</v>
      </c>
      <c r="AK1665" s="26">
        <v>0</v>
      </c>
      <c r="AL1665" s="26">
        <v>1</v>
      </c>
      <c r="AM1665" s="25">
        <v>0.99</v>
      </c>
      <c r="AN1665" s="30">
        <v>1</v>
      </c>
      <c r="AO1665" s="30">
        <v>1</v>
      </c>
      <c r="AP1665" s="30">
        <v>1</v>
      </c>
      <c r="AQ1665" s="30">
        <v>1</v>
      </c>
      <c r="AR1665" s="50">
        <v>0.110069253262963</v>
      </c>
      <c r="AS1665" s="34">
        <v>0</v>
      </c>
      <c r="AT1665" s="34">
        <v>0</v>
      </c>
      <c r="AU1665" s="34">
        <v>0</v>
      </c>
      <c r="AV1665" s="34">
        <v>0</v>
      </c>
      <c r="AW1665" s="10"/>
      <c r="AX1665" s="8"/>
    </row>
    <row r="1666" spans="1:50">
      <c r="A1666" s="7"/>
      <c r="B1666" s="10"/>
      <c r="C1666" s="45" t="s">
        <v>1468</v>
      </c>
      <c r="D1666" s="23" t="s">
        <v>27</v>
      </c>
      <c r="E1666" s="61" t="s">
        <v>1710</v>
      </c>
      <c r="F1666" s="61" t="s">
        <v>1710</v>
      </c>
      <c r="G1666" s="61" t="s">
        <v>1710</v>
      </c>
      <c r="H1666" s="61" t="s">
        <v>1710</v>
      </c>
      <c r="I1666" s="25">
        <v>0.9</v>
      </c>
      <c r="J1666" s="26">
        <v>0</v>
      </c>
      <c r="K1666" s="26">
        <v>0</v>
      </c>
      <c r="L1666" s="27">
        <v>0</v>
      </c>
      <c r="M1666" s="26">
        <v>0</v>
      </c>
      <c r="N1666" s="28">
        <v>0.9</v>
      </c>
      <c r="O1666" s="26">
        <v>0</v>
      </c>
      <c r="P1666" s="26">
        <v>0</v>
      </c>
      <c r="Q1666" s="26">
        <v>0</v>
      </c>
      <c r="R1666" s="26">
        <v>0</v>
      </c>
      <c r="S1666" s="28">
        <v>0.9</v>
      </c>
      <c r="T1666" s="26">
        <v>0</v>
      </c>
      <c r="U1666" s="26">
        <v>0</v>
      </c>
      <c r="V1666" s="26">
        <v>0</v>
      </c>
      <c r="W1666" s="26">
        <v>1</v>
      </c>
      <c r="X1666" s="28">
        <v>0.92</v>
      </c>
      <c r="Y1666" s="28">
        <v>0</v>
      </c>
      <c r="Z1666" s="28">
        <v>0</v>
      </c>
      <c r="AA1666" s="28">
        <v>0</v>
      </c>
      <c r="AB1666" s="28">
        <v>0</v>
      </c>
      <c r="AC1666" s="28">
        <v>0.92</v>
      </c>
      <c r="AD1666" s="26">
        <v>1</v>
      </c>
      <c r="AE1666" s="26">
        <v>1</v>
      </c>
      <c r="AF1666" s="26">
        <v>0.44494720965309198</v>
      </c>
      <c r="AG1666" s="26">
        <v>0.8777139208173691</v>
      </c>
      <c r="AH1666" s="28">
        <v>0.92</v>
      </c>
      <c r="AI1666" s="26">
        <v>0</v>
      </c>
      <c r="AJ1666" s="26">
        <v>0</v>
      </c>
      <c r="AK1666" s="26">
        <v>0</v>
      </c>
      <c r="AL1666" s="26">
        <v>0.5</v>
      </c>
      <c r="AM1666" s="25">
        <v>0.99</v>
      </c>
      <c r="AN1666" s="30">
        <v>1</v>
      </c>
      <c r="AO1666" s="30">
        <v>1</v>
      </c>
      <c r="AP1666" s="30">
        <v>1</v>
      </c>
      <c r="AQ1666" s="30">
        <v>1</v>
      </c>
      <c r="AR1666" s="50">
        <v>0.110069253262963</v>
      </c>
      <c r="AS1666" s="34">
        <v>0</v>
      </c>
      <c r="AT1666" s="34">
        <v>0</v>
      </c>
      <c r="AU1666" s="34">
        <v>0</v>
      </c>
      <c r="AV1666" s="34">
        <v>0</v>
      </c>
      <c r="AW1666" s="10"/>
      <c r="AX1666" s="8"/>
    </row>
    <row r="1667" spans="1:50">
      <c r="A1667" s="7"/>
      <c r="B1667" s="10"/>
      <c r="C1667" s="45" t="s">
        <v>1468</v>
      </c>
      <c r="D1667" s="23" t="s">
        <v>27</v>
      </c>
      <c r="E1667" s="61" t="s">
        <v>1711</v>
      </c>
      <c r="F1667" s="61" t="s">
        <v>1711</v>
      </c>
      <c r="G1667" s="61" t="s">
        <v>1711</v>
      </c>
      <c r="H1667" s="61" t="s">
        <v>1711</v>
      </c>
      <c r="I1667" s="25">
        <v>0.9</v>
      </c>
      <c r="J1667" s="26">
        <v>1</v>
      </c>
      <c r="K1667" s="26">
        <v>0.9</v>
      </c>
      <c r="L1667" s="27">
        <v>1</v>
      </c>
      <c r="M1667" s="26">
        <v>0.93939393939393945</v>
      </c>
      <c r="N1667" s="28">
        <v>0.9</v>
      </c>
      <c r="O1667" s="26">
        <v>0.35807860262008734</v>
      </c>
      <c r="P1667" s="26">
        <v>0.19979716024340771</v>
      </c>
      <c r="Q1667" s="26">
        <v>0.20518867924528303</v>
      </c>
      <c r="R1667" s="26">
        <v>0.2191832858499525</v>
      </c>
      <c r="S1667" s="28">
        <v>0.9</v>
      </c>
      <c r="T1667" s="26">
        <v>0.28384279475982532</v>
      </c>
      <c r="U1667" s="26">
        <v>0.15212981744421908</v>
      </c>
      <c r="V1667" s="26">
        <v>0.13561320754716982</v>
      </c>
      <c r="W1667" s="26">
        <v>0.12592592592592591</v>
      </c>
      <c r="X1667" s="28">
        <v>0.92</v>
      </c>
      <c r="Y1667" s="28">
        <v>0</v>
      </c>
      <c r="Z1667" s="28">
        <v>0</v>
      </c>
      <c r="AA1667" s="28">
        <v>0</v>
      </c>
      <c r="AB1667" s="28">
        <v>0</v>
      </c>
      <c r="AC1667" s="28">
        <v>0.92</v>
      </c>
      <c r="AD1667" s="26">
        <v>0.83333333333333337</v>
      </c>
      <c r="AE1667" s="26">
        <v>0</v>
      </c>
      <c r="AF1667" s="26">
        <v>0</v>
      </c>
      <c r="AG1667" s="26">
        <v>0.5625</v>
      </c>
      <c r="AH1667" s="28">
        <v>0.92</v>
      </c>
      <c r="AI1667" s="26">
        <v>0.38177874186550975</v>
      </c>
      <c r="AJ1667" s="26">
        <v>0.20077594568380214</v>
      </c>
      <c r="AK1667" s="26">
        <v>0.1993006993006993</v>
      </c>
      <c r="AL1667" s="26">
        <v>0.26186456574751454</v>
      </c>
      <c r="AM1667" s="25">
        <v>0.99</v>
      </c>
      <c r="AN1667" s="30">
        <v>0</v>
      </c>
      <c r="AO1667" s="30">
        <v>0</v>
      </c>
      <c r="AP1667" s="30">
        <v>0</v>
      </c>
      <c r="AQ1667" s="30">
        <v>0</v>
      </c>
      <c r="AR1667" s="50">
        <v>0.110069253262963</v>
      </c>
      <c r="AS1667" s="34">
        <v>0</v>
      </c>
      <c r="AT1667" s="34">
        <v>6.0606060606060608E-2</v>
      </c>
      <c r="AU1667" s="34">
        <v>7.6923076923076927E-2</v>
      </c>
      <c r="AV1667" s="34">
        <v>5.5E-2</v>
      </c>
      <c r="AW1667" s="10"/>
      <c r="AX1667" s="8"/>
    </row>
    <row r="1668" spans="1:50">
      <c r="A1668" s="7"/>
      <c r="B1668" s="10"/>
      <c r="C1668" s="45" t="s">
        <v>1468</v>
      </c>
      <c r="D1668" s="23" t="s">
        <v>27</v>
      </c>
      <c r="E1668" s="61" t="s">
        <v>1712</v>
      </c>
      <c r="F1668" s="61" t="s">
        <v>1712</v>
      </c>
      <c r="G1668" s="61" t="s">
        <v>1712</v>
      </c>
      <c r="H1668" s="61" t="s">
        <v>1712</v>
      </c>
      <c r="I1668" s="25">
        <v>0.9</v>
      </c>
      <c r="J1668" s="26">
        <v>1</v>
      </c>
      <c r="K1668" s="26">
        <v>0.90625</v>
      </c>
      <c r="L1668" s="27">
        <v>1</v>
      </c>
      <c r="M1668" s="26">
        <v>0.96250000000000002</v>
      </c>
      <c r="N1668" s="28">
        <v>0.9</v>
      </c>
      <c r="O1668" s="26">
        <v>0.98737483674357862</v>
      </c>
      <c r="P1668" s="26">
        <v>0.97401247401247404</v>
      </c>
      <c r="Q1668" s="26">
        <v>0.97906855049712194</v>
      </c>
      <c r="R1668" s="26">
        <v>0.96467308446225553</v>
      </c>
      <c r="S1668" s="28">
        <v>0.9</v>
      </c>
      <c r="T1668" s="26">
        <v>0.60644318676534614</v>
      </c>
      <c r="U1668" s="26">
        <v>0.49818087318087317</v>
      </c>
      <c r="V1668" s="26">
        <v>0.68655154369440086</v>
      </c>
      <c r="W1668" s="26">
        <v>0.53543581478416169</v>
      </c>
      <c r="X1668" s="28">
        <v>0.92</v>
      </c>
      <c r="Y1668" s="28">
        <v>0</v>
      </c>
      <c r="Z1668" s="28">
        <v>0</v>
      </c>
      <c r="AA1668" s="28">
        <v>0</v>
      </c>
      <c r="AB1668" s="28">
        <v>0</v>
      </c>
      <c r="AC1668" s="28">
        <v>0.92</v>
      </c>
      <c r="AD1668" s="26">
        <v>1</v>
      </c>
      <c r="AE1668" s="26">
        <v>1</v>
      </c>
      <c r="AF1668" s="26">
        <v>1</v>
      </c>
      <c r="AG1668" s="26">
        <v>1</v>
      </c>
      <c r="AH1668" s="28">
        <v>0.92</v>
      </c>
      <c r="AI1668" s="26">
        <v>0.90683500217675228</v>
      </c>
      <c r="AJ1668" s="26">
        <v>0.91190228690228692</v>
      </c>
      <c r="AK1668" s="26">
        <v>0.90476190476190477</v>
      </c>
      <c r="AL1668" s="26">
        <v>0.91187872979918982</v>
      </c>
      <c r="AM1668" s="25">
        <v>0.99</v>
      </c>
      <c r="AN1668" s="30">
        <v>1</v>
      </c>
      <c r="AO1668" s="30">
        <v>1</v>
      </c>
      <c r="AP1668" s="30">
        <v>1</v>
      </c>
      <c r="AQ1668" s="30">
        <v>1</v>
      </c>
      <c r="AR1668" s="50">
        <v>0.110069253262963</v>
      </c>
      <c r="AS1668" s="34">
        <v>0.13333333333333333</v>
      </c>
      <c r="AT1668" s="34">
        <v>5.5555555555555552E-2</v>
      </c>
      <c r="AU1668" s="34">
        <v>4.7619047619047616E-2</v>
      </c>
      <c r="AV1668" s="34">
        <v>8.7999999999999995E-2</v>
      </c>
      <c r="AW1668" s="10"/>
      <c r="AX1668" s="8"/>
    </row>
    <row r="1669" spans="1:50">
      <c r="A1669" s="7"/>
      <c r="B1669" s="10"/>
      <c r="C1669" s="45" t="s">
        <v>1468</v>
      </c>
      <c r="D1669" s="23" t="s">
        <v>27</v>
      </c>
      <c r="E1669" s="61" t="s">
        <v>1713</v>
      </c>
      <c r="F1669" s="61" t="s">
        <v>1713</v>
      </c>
      <c r="G1669" s="61" t="s">
        <v>1713</v>
      </c>
      <c r="H1669" s="61" t="s">
        <v>1713</v>
      </c>
      <c r="I1669" s="25">
        <v>0.9</v>
      </c>
      <c r="J1669" s="26">
        <v>0</v>
      </c>
      <c r="K1669" s="26">
        <v>0</v>
      </c>
      <c r="L1669" s="27">
        <v>0</v>
      </c>
      <c r="M1669" s="26">
        <v>0</v>
      </c>
      <c r="N1669" s="28">
        <v>0.9</v>
      </c>
      <c r="O1669" s="26">
        <v>0</v>
      </c>
      <c r="P1669" s="26">
        <v>0</v>
      </c>
      <c r="Q1669" s="26">
        <v>0</v>
      </c>
      <c r="R1669" s="26">
        <v>0</v>
      </c>
      <c r="S1669" s="28">
        <v>0.9</v>
      </c>
      <c r="T1669" s="26">
        <v>0</v>
      </c>
      <c r="U1669" s="26">
        <v>0</v>
      </c>
      <c r="V1669" s="26">
        <v>0</v>
      </c>
      <c r="W1669" s="26">
        <v>0</v>
      </c>
      <c r="X1669" s="28">
        <v>0.92</v>
      </c>
      <c r="Y1669" s="28">
        <v>0</v>
      </c>
      <c r="Z1669" s="28">
        <v>0</v>
      </c>
      <c r="AA1669" s="28">
        <v>0</v>
      </c>
      <c r="AB1669" s="28">
        <v>0</v>
      </c>
      <c r="AC1669" s="28">
        <v>0.92</v>
      </c>
      <c r="AD1669" s="26">
        <v>0</v>
      </c>
      <c r="AE1669" s="26">
        <v>0</v>
      </c>
      <c r="AF1669" s="26">
        <v>0</v>
      </c>
      <c r="AG1669" s="26">
        <v>0</v>
      </c>
      <c r="AH1669" s="28">
        <v>0.92</v>
      </c>
      <c r="AI1669" s="26">
        <v>0</v>
      </c>
      <c r="AJ1669" s="26">
        <v>0</v>
      </c>
      <c r="AK1669" s="26">
        <v>0</v>
      </c>
      <c r="AL1669" s="26">
        <v>0</v>
      </c>
      <c r="AM1669" s="25">
        <v>0.99</v>
      </c>
      <c r="AN1669" s="30">
        <v>0</v>
      </c>
      <c r="AO1669" s="30">
        <v>0</v>
      </c>
      <c r="AP1669" s="30">
        <v>0</v>
      </c>
      <c r="AQ1669" s="30">
        <v>0</v>
      </c>
      <c r="AR1669" s="50">
        <v>0.110069253262963</v>
      </c>
      <c r="AS1669" s="34">
        <v>0</v>
      </c>
      <c r="AT1669" s="34">
        <v>0</v>
      </c>
      <c r="AU1669" s="34">
        <v>0</v>
      </c>
      <c r="AV1669" s="34">
        <v>0</v>
      </c>
      <c r="AW1669" s="10"/>
      <c r="AX1669" s="8"/>
    </row>
    <row r="1670" spans="1:50">
      <c r="A1670" s="7"/>
      <c r="B1670" s="10"/>
      <c r="C1670" s="45" t="s">
        <v>1468</v>
      </c>
      <c r="D1670" s="23" t="s">
        <v>27</v>
      </c>
      <c r="E1670" s="61" t="s">
        <v>1714</v>
      </c>
      <c r="F1670" s="61" t="s">
        <v>1714</v>
      </c>
      <c r="G1670" s="61" t="s">
        <v>1714</v>
      </c>
      <c r="H1670" s="61" t="s">
        <v>1714</v>
      </c>
      <c r="I1670" s="25">
        <v>0.9</v>
      </c>
      <c r="J1670" s="26">
        <v>0</v>
      </c>
      <c r="K1670" s="26">
        <v>0</v>
      </c>
      <c r="L1670" s="27">
        <v>0</v>
      </c>
      <c r="M1670" s="26">
        <v>0</v>
      </c>
      <c r="N1670" s="28">
        <v>0.9</v>
      </c>
      <c r="O1670" s="26">
        <v>0</v>
      </c>
      <c r="P1670" s="26">
        <v>0</v>
      </c>
      <c r="Q1670" s="26">
        <v>0</v>
      </c>
      <c r="R1670" s="26">
        <v>0</v>
      </c>
      <c r="S1670" s="28">
        <v>0.9</v>
      </c>
      <c r="T1670" s="26">
        <v>0</v>
      </c>
      <c r="U1670" s="26">
        <v>0</v>
      </c>
      <c r="V1670" s="26">
        <v>0</v>
      </c>
      <c r="W1670" s="26">
        <v>0</v>
      </c>
      <c r="X1670" s="28">
        <v>0.92</v>
      </c>
      <c r="Y1670" s="28">
        <v>0</v>
      </c>
      <c r="Z1670" s="28">
        <v>0</v>
      </c>
      <c r="AA1670" s="28">
        <v>0</v>
      </c>
      <c r="AB1670" s="28">
        <v>0</v>
      </c>
      <c r="AC1670" s="28">
        <v>0.92</v>
      </c>
      <c r="AD1670" s="26">
        <v>0</v>
      </c>
      <c r="AE1670" s="26">
        <v>0</v>
      </c>
      <c r="AF1670" s="26">
        <v>0</v>
      </c>
      <c r="AG1670" s="26">
        <v>0</v>
      </c>
      <c r="AH1670" s="28">
        <v>0.92</v>
      </c>
      <c r="AI1670" s="26">
        <v>0</v>
      </c>
      <c r="AJ1670" s="26">
        <v>0</v>
      </c>
      <c r="AK1670" s="26">
        <v>0</v>
      </c>
      <c r="AL1670" s="26">
        <v>0</v>
      </c>
      <c r="AM1670" s="25">
        <v>0.99</v>
      </c>
      <c r="AN1670" s="30">
        <v>0</v>
      </c>
      <c r="AO1670" s="30">
        <v>0</v>
      </c>
      <c r="AP1670" s="30">
        <v>0</v>
      </c>
      <c r="AQ1670" s="30">
        <v>0</v>
      </c>
      <c r="AR1670" s="50">
        <v>0.110069253262963</v>
      </c>
      <c r="AS1670" s="34">
        <v>0</v>
      </c>
      <c r="AT1670" s="34">
        <v>0</v>
      </c>
      <c r="AU1670" s="34">
        <v>0</v>
      </c>
      <c r="AV1670" s="34">
        <v>0</v>
      </c>
      <c r="AW1670" s="10"/>
      <c r="AX1670" s="8"/>
    </row>
    <row r="1671" spans="1:50">
      <c r="A1671" s="7"/>
      <c r="B1671" s="10"/>
      <c r="C1671" s="45" t="s">
        <v>1468</v>
      </c>
      <c r="D1671" s="23" t="s">
        <v>27</v>
      </c>
      <c r="E1671" s="61" t="s">
        <v>1715</v>
      </c>
      <c r="F1671" s="61" t="s">
        <v>1715</v>
      </c>
      <c r="G1671" s="61" t="s">
        <v>1715</v>
      </c>
      <c r="H1671" s="61" t="s">
        <v>1715</v>
      </c>
      <c r="I1671" s="25">
        <v>0.9</v>
      </c>
      <c r="J1671" s="26">
        <v>0</v>
      </c>
      <c r="K1671" s="26">
        <v>0</v>
      </c>
      <c r="L1671" s="27">
        <v>0</v>
      </c>
      <c r="M1671" s="26">
        <v>0</v>
      </c>
      <c r="N1671" s="28">
        <v>0.9</v>
      </c>
      <c r="O1671" s="26">
        <v>0</v>
      </c>
      <c r="P1671" s="26">
        <v>0</v>
      </c>
      <c r="Q1671" s="26">
        <v>0</v>
      </c>
      <c r="R1671" s="26">
        <v>0</v>
      </c>
      <c r="S1671" s="28">
        <v>0.9</v>
      </c>
      <c r="T1671" s="26">
        <v>0</v>
      </c>
      <c r="U1671" s="26">
        <v>0</v>
      </c>
      <c r="V1671" s="26">
        <v>0</v>
      </c>
      <c r="W1671" s="26">
        <v>0</v>
      </c>
      <c r="X1671" s="28">
        <v>0.92</v>
      </c>
      <c r="Y1671" s="28">
        <v>0</v>
      </c>
      <c r="Z1671" s="28">
        <v>0</v>
      </c>
      <c r="AA1671" s="28">
        <v>0</v>
      </c>
      <c r="AB1671" s="28">
        <v>0</v>
      </c>
      <c r="AC1671" s="28">
        <v>0.92</v>
      </c>
      <c r="AD1671" s="26">
        <v>0.97854077253218885</v>
      </c>
      <c r="AE1671" s="26">
        <v>0.99689922480620152</v>
      </c>
      <c r="AF1671" s="26">
        <v>0.9910873440285205</v>
      </c>
      <c r="AG1671" s="26">
        <v>0.98184670551322273</v>
      </c>
      <c r="AH1671" s="28">
        <v>0.92</v>
      </c>
      <c r="AI1671" s="26">
        <v>0</v>
      </c>
      <c r="AJ1671" s="26">
        <v>0</v>
      </c>
      <c r="AK1671" s="26">
        <v>0</v>
      </c>
      <c r="AL1671" s="26">
        <v>0</v>
      </c>
      <c r="AM1671" s="25">
        <v>0.99</v>
      </c>
      <c r="AN1671" s="30">
        <v>1</v>
      </c>
      <c r="AO1671" s="30">
        <v>1</v>
      </c>
      <c r="AP1671" s="30">
        <v>1</v>
      </c>
      <c r="AQ1671" s="30">
        <v>1</v>
      </c>
      <c r="AR1671" s="50">
        <v>0.110069253262963</v>
      </c>
      <c r="AS1671" s="34">
        <v>0</v>
      </c>
      <c r="AT1671" s="34">
        <v>0</v>
      </c>
      <c r="AU1671" s="34">
        <v>0</v>
      </c>
      <c r="AV1671" s="34">
        <v>0</v>
      </c>
      <c r="AW1671" s="10"/>
      <c r="AX1671" s="8"/>
    </row>
    <row r="1672" spans="1:50">
      <c r="A1672" s="7"/>
      <c r="B1672" s="10"/>
      <c r="C1672" s="45" t="s">
        <v>1468</v>
      </c>
      <c r="D1672" s="23" t="s">
        <v>27</v>
      </c>
      <c r="E1672" s="61" t="s">
        <v>1716</v>
      </c>
      <c r="F1672" s="61" t="s">
        <v>1716</v>
      </c>
      <c r="G1672" s="61" t="s">
        <v>1716</v>
      </c>
      <c r="H1672" s="61" t="s">
        <v>1716</v>
      </c>
      <c r="I1672" s="25">
        <v>0.9</v>
      </c>
      <c r="J1672" s="26">
        <v>0</v>
      </c>
      <c r="K1672" s="26">
        <v>0</v>
      </c>
      <c r="L1672" s="27">
        <v>0</v>
      </c>
      <c r="M1672" s="26">
        <v>0</v>
      </c>
      <c r="N1672" s="28">
        <v>0.9</v>
      </c>
      <c r="O1672" s="26">
        <v>0</v>
      </c>
      <c r="P1672" s="26">
        <v>0</v>
      </c>
      <c r="Q1672" s="26">
        <v>0</v>
      </c>
      <c r="R1672" s="26">
        <v>0</v>
      </c>
      <c r="S1672" s="28">
        <v>0.9</v>
      </c>
      <c r="T1672" s="26">
        <v>0</v>
      </c>
      <c r="U1672" s="26">
        <v>0</v>
      </c>
      <c r="V1672" s="26">
        <v>0</v>
      </c>
      <c r="W1672" s="26">
        <v>0</v>
      </c>
      <c r="X1672" s="28">
        <v>0.92</v>
      </c>
      <c r="Y1672" s="28">
        <v>0</v>
      </c>
      <c r="Z1672" s="28">
        <v>0</v>
      </c>
      <c r="AA1672" s="28">
        <v>0</v>
      </c>
      <c r="AB1672" s="28">
        <v>0</v>
      </c>
      <c r="AC1672" s="28">
        <v>0.92</v>
      </c>
      <c r="AD1672" s="26">
        <v>0.98639455782312924</v>
      </c>
      <c r="AE1672" s="26">
        <v>0.9978858350951374</v>
      </c>
      <c r="AF1672" s="26">
        <v>1</v>
      </c>
      <c r="AG1672" s="26">
        <v>0.99176470588235299</v>
      </c>
      <c r="AH1672" s="28">
        <v>0.92</v>
      </c>
      <c r="AI1672" s="26">
        <v>0</v>
      </c>
      <c r="AJ1672" s="26">
        <v>0</v>
      </c>
      <c r="AK1672" s="26">
        <v>0</v>
      </c>
      <c r="AL1672" s="26">
        <v>0</v>
      </c>
      <c r="AM1672" s="25">
        <v>0.99</v>
      </c>
      <c r="AN1672" s="30">
        <v>1</v>
      </c>
      <c r="AO1672" s="30">
        <v>1</v>
      </c>
      <c r="AP1672" s="30">
        <v>1</v>
      </c>
      <c r="AQ1672" s="30">
        <v>1</v>
      </c>
      <c r="AR1672" s="50">
        <v>0.110069253262963</v>
      </c>
      <c r="AS1672" s="34">
        <v>0</v>
      </c>
      <c r="AT1672" s="34">
        <v>0</v>
      </c>
      <c r="AU1672" s="34">
        <v>0</v>
      </c>
      <c r="AV1672" s="34">
        <v>0</v>
      </c>
      <c r="AW1672" s="10"/>
      <c r="AX1672" s="8"/>
    </row>
    <row r="1673" spans="1:50">
      <c r="A1673" s="7"/>
      <c r="B1673" s="10"/>
      <c r="C1673" s="45" t="s">
        <v>1468</v>
      </c>
      <c r="D1673" s="23" t="s">
        <v>27</v>
      </c>
      <c r="E1673" s="61" t="s">
        <v>1717</v>
      </c>
      <c r="F1673" s="61" t="s">
        <v>1717</v>
      </c>
      <c r="G1673" s="61" t="s">
        <v>1717</v>
      </c>
      <c r="H1673" s="61" t="s">
        <v>1717</v>
      </c>
      <c r="I1673" s="25">
        <v>0.9</v>
      </c>
      <c r="J1673" s="26">
        <v>0</v>
      </c>
      <c r="K1673" s="26">
        <v>0</v>
      </c>
      <c r="L1673" s="27">
        <v>0</v>
      </c>
      <c r="M1673" s="26">
        <v>0</v>
      </c>
      <c r="N1673" s="28">
        <v>0.9</v>
      </c>
      <c r="O1673" s="26">
        <v>0</v>
      </c>
      <c r="P1673" s="26">
        <v>0</v>
      </c>
      <c r="Q1673" s="26">
        <v>0</v>
      </c>
      <c r="R1673" s="26">
        <v>0</v>
      </c>
      <c r="S1673" s="28">
        <v>0.9</v>
      </c>
      <c r="T1673" s="26">
        <v>1</v>
      </c>
      <c r="U1673" s="26">
        <v>1</v>
      </c>
      <c r="V1673" s="26">
        <v>0.6</v>
      </c>
      <c r="W1673" s="26">
        <v>0.66666666666666663</v>
      </c>
      <c r="X1673" s="28">
        <v>0.92</v>
      </c>
      <c r="Y1673" s="28">
        <v>0</v>
      </c>
      <c r="Z1673" s="28">
        <v>0</v>
      </c>
      <c r="AA1673" s="28">
        <v>0</v>
      </c>
      <c r="AB1673" s="28">
        <v>0</v>
      </c>
      <c r="AC1673" s="28">
        <v>0.92</v>
      </c>
      <c r="AD1673" s="26">
        <v>0.99738356881214019</v>
      </c>
      <c r="AE1673" s="26">
        <v>0.99235845779784648</v>
      </c>
      <c r="AF1673" s="26">
        <v>0.9964589235127479</v>
      </c>
      <c r="AG1673" s="26">
        <v>0.98675936586661939</v>
      </c>
      <c r="AH1673" s="28">
        <v>0.92</v>
      </c>
      <c r="AI1673" s="26">
        <v>1</v>
      </c>
      <c r="AJ1673" s="26">
        <v>1</v>
      </c>
      <c r="AK1673" s="26">
        <v>0.93333333333333335</v>
      </c>
      <c r="AL1673" s="26">
        <v>0.8125</v>
      </c>
      <c r="AM1673" s="25">
        <v>0.99</v>
      </c>
      <c r="AN1673" s="30">
        <v>1</v>
      </c>
      <c r="AO1673" s="30">
        <v>1</v>
      </c>
      <c r="AP1673" s="30">
        <v>1</v>
      </c>
      <c r="AQ1673" s="30">
        <v>1</v>
      </c>
      <c r="AR1673" s="50">
        <v>0.110069253262963</v>
      </c>
      <c r="AS1673" s="34">
        <v>0</v>
      </c>
      <c r="AT1673" s="34">
        <v>0</v>
      </c>
      <c r="AU1673" s="34">
        <v>0</v>
      </c>
      <c r="AV1673" s="34">
        <v>0</v>
      </c>
      <c r="AW1673" s="10"/>
      <c r="AX1673" s="8"/>
    </row>
    <row r="1674" spans="1:50">
      <c r="A1674" s="7"/>
      <c r="B1674" s="10"/>
      <c r="C1674" s="45" t="s">
        <v>1468</v>
      </c>
      <c r="D1674" s="23" t="s">
        <v>27</v>
      </c>
      <c r="E1674" s="61" t="s">
        <v>1718</v>
      </c>
      <c r="F1674" s="61" t="s">
        <v>1718</v>
      </c>
      <c r="G1674" s="61" t="s">
        <v>1718</v>
      </c>
      <c r="H1674" s="61" t="s">
        <v>1718</v>
      </c>
      <c r="I1674" s="25">
        <v>0.9</v>
      </c>
      <c r="J1674" s="26">
        <v>1</v>
      </c>
      <c r="K1674" s="26">
        <v>1</v>
      </c>
      <c r="L1674" s="27">
        <v>1</v>
      </c>
      <c r="M1674" s="26">
        <v>0.99342105263157898</v>
      </c>
      <c r="N1674" s="28">
        <v>0.9</v>
      </c>
      <c r="O1674" s="26">
        <v>1</v>
      </c>
      <c r="P1674" s="26">
        <v>0.97729852440408627</v>
      </c>
      <c r="Q1674" s="26">
        <v>0.99880952380952381</v>
      </c>
      <c r="R1674" s="26">
        <v>0.96743439682839338</v>
      </c>
      <c r="S1674" s="28">
        <v>0.9</v>
      </c>
      <c r="T1674" s="26">
        <v>0.84383318544809227</v>
      </c>
      <c r="U1674" s="26">
        <v>0.62485811577752559</v>
      </c>
      <c r="V1674" s="26">
        <v>0.919047619047619</v>
      </c>
      <c r="W1674" s="26">
        <v>0.69605437039833873</v>
      </c>
      <c r="X1674" s="28">
        <v>0.92</v>
      </c>
      <c r="Y1674" s="28">
        <v>0</v>
      </c>
      <c r="Z1674" s="28">
        <v>0</v>
      </c>
      <c r="AA1674" s="28">
        <v>0</v>
      </c>
      <c r="AB1674" s="28">
        <v>0</v>
      </c>
      <c r="AC1674" s="28">
        <v>0.92</v>
      </c>
      <c r="AD1674" s="26">
        <v>1</v>
      </c>
      <c r="AE1674" s="26">
        <v>0.9375</v>
      </c>
      <c r="AF1674" s="26">
        <v>1</v>
      </c>
      <c r="AG1674" s="26">
        <v>0.98136645962732916</v>
      </c>
      <c r="AH1674" s="28">
        <v>0.92</v>
      </c>
      <c r="AI1674" s="26">
        <v>0.92990239574090505</v>
      </c>
      <c r="AJ1674" s="26">
        <v>0.94438138479001132</v>
      </c>
      <c r="AK1674" s="26">
        <v>0.9464285714285714</v>
      </c>
      <c r="AL1674" s="26">
        <v>0.91457428733245238</v>
      </c>
      <c r="AM1674" s="25">
        <v>0.99</v>
      </c>
      <c r="AN1674" s="30">
        <v>1</v>
      </c>
      <c r="AO1674" s="30">
        <v>1</v>
      </c>
      <c r="AP1674" s="30">
        <v>1</v>
      </c>
      <c r="AQ1674" s="30">
        <v>1</v>
      </c>
      <c r="AR1674" s="50">
        <v>0.110069253262963</v>
      </c>
      <c r="AS1674" s="34">
        <v>0</v>
      </c>
      <c r="AT1674" s="34">
        <v>0.16666666666666666</v>
      </c>
      <c r="AU1674" s="34">
        <v>0</v>
      </c>
      <c r="AV1674" s="34">
        <v>0.10169491525423729</v>
      </c>
      <c r="AW1674" s="10"/>
      <c r="AX1674" s="8"/>
    </row>
    <row r="1675" spans="1:50">
      <c r="A1675" s="7"/>
      <c r="B1675" s="10"/>
      <c r="C1675" s="45" t="s">
        <v>1468</v>
      </c>
      <c r="D1675" s="23" t="s">
        <v>27</v>
      </c>
      <c r="E1675" s="61" t="s">
        <v>1719</v>
      </c>
      <c r="F1675" s="61" t="s">
        <v>1719</v>
      </c>
      <c r="G1675" s="61" t="s">
        <v>1719</v>
      </c>
      <c r="H1675" s="61" t="s">
        <v>1719</v>
      </c>
      <c r="I1675" s="25">
        <v>0.9</v>
      </c>
      <c r="J1675" s="26">
        <v>0</v>
      </c>
      <c r="K1675" s="26">
        <v>0.5</v>
      </c>
      <c r="L1675" s="27">
        <v>0.14285714285714285</v>
      </c>
      <c r="M1675" s="26">
        <v>0.33333333333333331</v>
      </c>
      <c r="N1675" s="28">
        <v>0.9</v>
      </c>
      <c r="O1675" s="26">
        <v>0</v>
      </c>
      <c r="P1675" s="26">
        <v>0</v>
      </c>
      <c r="Q1675" s="26">
        <v>0</v>
      </c>
      <c r="R1675" s="26">
        <v>1</v>
      </c>
      <c r="S1675" s="28">
        <v>0.9</v>
      </c>
      <c r="T1675" s="26">
        <v>0</v>
      </c>
      <c r="U1675" s="26">
        <v>0</v>
      </c>
      <c r="V1675" s="26">
        <v>0</v>
      </c>
      <c r="W1675" s="26">
        <v>0.66666666666666663</v>
      </c>
      <c r="X1675" s="28">
        <v>0.92</v>
      </c>
      <c r="Y1675" s="28">
        <v>0</v>
      </c>
      <c r="Z1675" s="28">
        <v>0</v>
      </c>
      <c r="AA1675" s="28">
        <v>0</v>
      </c>
      <c r="AB1675" s="28">
        <v>0</v>
      </c>
      <c r="AC1675" s="28">
        <v>0.92</v>
      </c>
      <c r="AD1675" s="26">
        <v>0</v>
      </c>
      <c r="AE1675" s="26">
        <v>0</v>
      </c>
      <c r="AF1675" s="26">
        <v>1</v>
      </c>
      <c r="AG1675" s="26">
        <v>0.25</v>
      </c>
      <c r="AH1675" s="28">
        <v>0.92</v>
      </c>
      <c r="AI1675" s="26">
        <v>1</v>
      </c>
      <c r="AJ1675" s="26">
        <v>0.78232758620689657</v>
      </c>
      <c r="AK1675" s="26">
        <v>0.68699186991869921</v>
      </c>
      <c r="AL1675" s="26">
        <v>0.71625045240680418</v>
      </c>
      <c r="AM1675" s="25">
        <v>0.99</v>
      </c>
      <c r="AN1675" s="30">
        <v>0</v>
      </c>
      <c r="AO1675" s="30">
        <v>0</v>
      </c>
      <c r="AP1675" s="30">
        <v>0</v>
      </c>
      <c r="AQ1675" s="30">
        <v>1</v>
      </c>
      <c r="AR1675" s="50">
        <v>0.110069253262963</v>
      </c>
      <c r="AS1675" s="34">
        <v>0.1111111111111111</v>
      </c>
      <c r="AT1675" s="34">
        <v>0</v>
      </c>
      <c r="AU1675" s="34">
        <v>0.15</v>
      </c>
      <c r="AV1675" s="34">
        <v>7.6190476190476197E-2</v>
      </c>
      <c r="AW1675" s="10"/>
      <c r="AX1675" s="8"/>
    </row>
    <row r="1676" spans="1:50">
      <c r="A1676" s="7"/>
      <c r="B1676" s="10"/>
      <c r="C1676" s="45" t="s">
        <v>1468</v>
      </c>
      <c r="D1676" s="23" t="s">
        <v>27</v>
      </c>
      <c r="E1676" s="61" t="s">
        <v>1720</v>
      </c>
      <c r="F1676" s="61" t="s">
        <v>1720</v>
      </c>
      <c r="G1676" s="61" t="s">
        <v>1720</v>
      </c>
      <c r="H1676" s="61" t="s">
        <v>1720</v>
      </c>
      <c r="I1676" s="25">
        <v>0.9</v>
      </c>
      <c r="J1676" s="26">
        <v>1</v>
      </c>
      <c r="K1676" s="26">
        <v>1</v>
      </c>
      <c r="L1676" s="27">
        <v>1</v>
      </c>
      <c r="M1676" s="26">
        <v>1</v>
      </c>
      <c r="N1676" s="28">
        <v>0.9</v>
      </c>
      <c r="O1676" s="26">
        <v>0.94958481613285883</v>
      </c>
      <c r="P1676" s="26">
        <v>0.99402539208364449</v>
      </c>
      <c r="Q1676" s="26">
        <v>0.99582463465553239</v>
      </c>
      <c r="R1676" s="26">
        <v>0.95131120484137177</v>
      </c>
      <c r="S1676" s="28">
        <v>0.9</v>
      </c>
      <c r="T1676" s="26">
        <v>0.88612099644128117</v>
      </c>
      <c r="U1676" s="26">
        <v>0.98132935026138912</v>
      </c>
      <c r="V1676" s="26">
        <v>0.96972860125260962</v>
      </c>
      <c r="W1676" s="26">
        <v>0.93214744177516962</v>
      </c>
      <c r="X1676" s="28">
        <v>0.92</v>
      </c>
      <c r="Y1676" s="28">
        <v>0</v>
      </c>
      <c r="Z1676" s="28">
        <v>0</v>
      </c>
      <c r="AA1676" s="28">
        <v>0</v>
      </c>
      <c r="AB1676" s="28">
        <v>0</v>
      </c>
      <c r="AC1676" s="28">
        <v>0.92</v>
      </c>
      <c r="AD1676" s="26">
        <v>0.30645161290322581</v>
      </c>
      <c r="AE1676" s="26">
        <v>0.21875</v>
      </c>
      <c r="AF1676" s="26">
        <v>0.36619718309859156</v>
      </c>
      <c r="AG1676" s="26">
        <v>0.28374655647382918</v>
      </c>
      <c r="AH1676" s="28">
        <v>0.92</v>
      </c>
      <c r="AI1676" s="26">
        <v>0.93060498220640564</v>
      </c>
      <c r="AJ1676" s="26">
        <v>0.99551904406273339</v>
      </c>
      <c r="AK1676" s="26">
        <v>0.99269311064718158</v>
      </c>
      <c r="AL1676" s="26">
        <v>0.97946084724005134</v>
      </c>
      <c r="AM1676" s="25">
        <v>0.99</v>
      </c>
      <c r="AN1676" s="30">
        <v>1</v>
      </c>
      <c r="AO1676" s="30">
        <v>1</v>
      </c>
      <c r="AP1676" s="30">
        <v>1</v>
      </c>
      <c r="AQ1676" s="30">
        <v>1</v>
      </c>
      <c r="AR1676" s="50">
        <v>0.110069253262963</v>
      </c>
      <c r="AS1676" s="34">
        <v>8.3333333333333329E-2</v>
      </c>
      <c r="AT1676" s="34">
        <v>0.16666666666666666</v>
      </c>
      <c r="AU1676" s="34">
        <v>5.5555555555555552E-2</v>
      </c>
      <c r="AV1676" s="34">
        <v>0.11304347826086956</v>
      </c>
      <c r="AW1676" s="10"/>
      <c r="AX1676" s="8"/>
    </row>
    <row r="1677" spans="1:50">
      <c r="A1677" s="7"/>
      <c r="B1677" s="10"/>
      <c r="C1677" s="45" t="s">
        <v>1468</v>
      </c>
      <c r="D1677" s="23" t="s">
        <v>27</v>
      </c>
      <c r="E1677" s="61" t="s">
        <v>1721</v>
      </c>
      <c r="F1677" s="61" t="s">
        <v>1721</v>
      </c>
      <c r="G1677" s="61" t="s">
        <v>1721</v>
      </c>
      <c r="H1677" s="61" t="s">
        <v>1721</v>
      </c>
      <c r="I1677" s="25">
        <v>0.9</v>
      </c>
      <c r="J1677" s="26">
        <v>0.94117647058823528</v>
      </c>
      <c r="K1677" s="26">
        <v>0.9</v>
      </c>
      <c r="L1677" s="27">
        <v>1</v>
      </c>
      <c r="M1677" s="26">
        <v>0.95121951219512191</v>
      </c>
      <c r="N1677" s="28">
        <v>0.9</v>
      </c>
      <c r="O1677" s="26">
        <v>0.97271438695960311</v>
      </c>
      <c r="P1677" s="26">
        <v>0.98114754098360657</v>
      </c>
      <c r="Q1677" s="26">
        <v>0.99619771863117867</v>
      </c>
      <c r="R1677" s="26">
        <v>0.96937813290982178</v>
      </c>
      <c r="S1677" s="28">
        <v>0.9</v>
      </c>
      <c r="T1677" s="26">
        <v>0.90786676116229625</v>
      </c>
      <c r="U1677" s="26">
        <v>0.9061475409836065</v>
      </c>
      <c r="V1677" s="26">
        <v>0.937533948940793</v>
      </c>
      <c r="W1677" s="26">
        <v>0.91309742418978612</v>
      </c>
      <c r="X1677" s="28">
        <v>0.92</v>
      </c>
      <c r="Y1677" s="28">
        <v>0</v>
      </c>
      <c r="Z1677" s="28">
        <v>0</v>
      </c>
      <c r="AA1677" s="28">
        <v>0</v>
      </c>
      <c r="AB1677" s="28">
        <v>0</v>
      </c>
      <c r="AC1677" s="28">
        <v>0.92</v>
      </c>
      <c r="AD1677" s="26">
        <v>0.97777777777777775</v>
      </c>
      <c r="AE1677" s="26">
        <v>0.29473684210526313</v>
      </c>
      <c r="AF1677" s="26">
        <v>1</v>
      </c>
      <c r="AG1677" s="26">
        <v>0.91054313099041528</v>
      </c>
      <c r="AH1677" s="28">
        <v>0.92</v>
      </c>
      <c r="AI1677" s="26">
        <v>0.94401133947554927</v>
      </c>
      <c r="AJ1677" s="26">
        <v>0.96147540983606561</v>
      </c>
      <c r="AK1677" s="26">
        <v>0.96089082020640959</v>
      </c>
      <c r="AL1677" s="26">
        <v>0.95374460270981187</v>
      </c>
      <c r="AM1677" s="25">
        <v>0.99</v>
      </c>
      <c r="AN1677" s="30">
        <v>0</v>
      </c>
      <c r="AO1677" s="30">
        <v>1</v>
      </c>
      <c r="AP1677" s="30">
        <v>1</v>
      </c>
      <c r="AQ1677" s="30">
        <v>1</v>
      </c>
      <c r="AR1677" s="50">
        <v>0.110069253262963</v>
      </c>
      <c r="AS1677" s="34">
        <v>0</v>
      </c>
      <c r="AT1677" s="34">
        <v>0.15384615384615385</v>
      </c>
      <c r="AU1677" s="34">
        <v>4.7619047619047616E-2</v>
      </c>
      <c r="AV1677" s="34">
        <v>5.7142857142857141E-2</v>
      </c>
      <c r="AW1677" s="10"/>
      <c r="AX1677" s="8"/>
    </row>
    <row r="1678" spans="1:50">
      <c r="A1678" s="7"/>
      <c r="B1678" s="10"/>
      <c r="C1678" s="45" t="s">
        <v>1468</v>
      </c>
      <c r="D1678" s="23" t="s">
        <v>27</v>
      </c>
      <c r="E1678" s="61" t="s">
        <v>1722</v>
      </c>
      <c r="F1678" s="61" t="s">
        <v>1722</v>
      </c>
      <c r="G1678" s="61" t="s">
        <v>1722</v>
      </c>
      <c r="H1678" s="61" t="s">
        <v>1722</v>
      </c>
      <c r="I1678" s="25">
        <v>0.9</v>
      </c>
      <c r="J1678" s="26">
        <v>0.76190476190476186</v>
      </c>
      <c r="K1678" s="26">
        <v>0.8666666666666667</v>
      </c>
      <c r="L1678" s="27">
        <v>0.88888888888888884</v>
      </c>
      <c r="M1678" s="26">
        <v>0.891156462585034</v>
      </c>
      <c r="N1678" s="28">
        <v>0.9</v>
      </c>
      <c r="O1678" s="26">
        <v>0.68532155130093275</v>
      </c>
      <c r="P1678" s="26">
        <v>0.87006079027355621</v>
      </c>
      <c r="Q1678" s="26">
        <v>0.9081858407079646</v>
      </c>
      <c r="R1678" s="26">
        <v>0.81523965587873826</v>
      </c>
      <c r="S1678" s="28">
        <v>0.9</v>
      </c>
      <c r="T1678" s="26">
        <v>0.48993618065783012</v>
      </c>
      <c r="U1678" s="26">
        <v>0.60258358662613987</v>
      </c>
      <c r="V1678" s="26">
        <v>0.6211283185840708</v>
      </c>
      <c r="W1678" s="26">
        <v>0.5648641267240202</v>
      </c>
      <c r="X1678" s="28">
        <v>0.92</v>
      </c>
      <c r="Y1678" s="28">
        <v>0</v>
      </c>
      <c r="Z1678" s="28">
        <v>0</v>
      </c>
      <c r="AA1678" s="28">
        <v>0</v>
      </c>
      <c r="AB1678" s="28">
        <v>0</v>
      </c>
      <c r="AC1678" s="28">
        <v>0.92</v>
      </c>
      <c r="AD1678" s="26">
        <v>0.40909090909090912</v>
      </c>
      <c r="AE1678" s="26">
        <v>5.2631578947368418E-2</v>
      </c>
      <c r="AF1678" s="26">
        <v>0.36363636363636365</v>
      </c>
      <c r="AG1678" s="26">
        <v>0.3188405797101449</v>
      </c>
      <c r="AH1678" s="28">
        <v>0.92</v>
      </c>
      <c r="AI1678" s="26">
        <v>0.64850270004909183</v>
      </c>
      <c r="AJ1678" s="26">
        <v>0.64085041761579342</v>
      </c>
      <c r="AK1678" s="26">
        <v>0.70796460176991149</v>
      </c>
      <c r="AL1678" s="26">
        <v>0.67604287567419952</v>
      </c>
      <c r="AM1678" s="25">
        <v>0.99</v>
      </c>
      <c r="AN1678" s="30">
        <v>1</v>
      </c>
      <c r="AO1678" s="30">
        <v>0</v>
      </c>
      <c r="AP1678" s="30">
        <v>0</v>
      </c>
      <c r="AQ1678" s="30">
        <v>1</v>
      </c>
      <c r="AR1678" s="50">
        <v>0.110069253262963</v>
      </c>
      <c r="AS1678" s="34">
        <v>0.18604651162790697</v>
      </c>
      <c r="AT1678" s="34">
        <v>0.13043478260869565</v>
      </c>
      <c r="AU1678" s="34">
        <v>6.25E-2</v>
      </c>
      <c r="AV1678" s="34">
        <v>0.10504201680672269</v>
      </c>
      <c r="AW1678" s="10"/>
      <c r="AX1678" s="8"/>
    </row>
    <row r="1679" spans="1:50">
      <c r="A1679" s="7"/>
      <c r="B1679" s="10"/>
      <c r="C1679" s="45" t="s">
        <v>1468</v>
      </c>
      <c r="D1679" s="23" t="s">
        <v>27</v>
      </c>
      <c r="E1679" s="61" t="s">
        <v>1723</v>
      </c>
      <c r="F1679" s="61" t="s">
        <v>1723</v>
      </c>
      <c r="G1679" s="61" t="s">
        <v>1723</v>
      </c>
      <c r="H1679" s="61" t="s">
        <v>1723</v>
      </c>
      <c r="I1679" s="25">
        <v>0.9</v>
      </c>
      <c r="J1679" s="26">
        <v>0.75</v>
      </c>
      <c r="K1679" s="26">
        <v>1</v>
      </c>
      <c r="L1679" s="27">
        <v>1</v>
      </c>
      <c r="M1679" s="26">
        <v>0.72499999999999998</v>
      </c>
      <c r="N1679" s="28">
        <v>0.9</v>
      </c>
      <c r="O1679" s="26">
        <v>0</v>
      </c>
      <c r="P1679" s="26">
        <v>0</v>
      </c>
      <c r="Q1679" s="26">
        <v>0</v>
      </c>
      <c r="R1679" s="26">
        <v>0</v>
      </c>
      <c r="S1679" s="28">
        <v>0.9</v>
      </c>
      <c r="T1679" s="26">
        <v>0</v>
      </c>
      <c r="U1679" s="26">
        <v>0</v>
      </c>
      <c r="V1679" s="26">
        <v>0</v>
      </c>
      <c r="W1679" s="26">
        <v>0</v>
      </c>
      <c r="X1679" s="28">
        <v>0.92</v>
      </c>
      <c r="Y1679" s="28">
        <v>0</v>
      </c>
      <c r="Z1679" s="28">
        <v>0</v>
      </c>
      <c r="AA1679" s="28">
        <v>0</v>
      </c>
      <c r="AB1679" s="28">
        <v>0</v>
      </c>
      <c r="AC1679" s="28">
        <v>0.92</v>
      </c>
      <c r="AD1679" s="26">
        <v>0</v>
      </c>
      <c r="AE1679" s="26">
        <v>0</v>
      </c>
      <c r="AF1679" s="26">
        <v>0</v>
      </c>
      <c r="AG1679" s="26">
        <v>0.2</v>
      </c>
      <c r="AH1679" s="28">
        <v>0.92</v>
      </c>
      <c r="AI1679" s="26">
        <v>0.89340101522842641</v>
      </c>
      <c r="AJ1679" s="26">
        <v>0.93166666666666664</v>
      </c>
      <c r="AK1679" s="26">
        <v>0.97787610619469023</v>
      </c>
      <c r="AL1679" s="26">
        <v>0.95442571127502629</v>
      </c>
      <c r="AM1679" s="25">
        <v>0.99</v>
      </c>
      <c r="AN1679" s="30">
        <v>0</v>
      </c>
      <c r="AO1679" s="30">
        <v>0</v>
      </c>
      <c r="AP1679" s="30">
        <v>0</v>
      </c>
      <c r="AQ1679" s="30">
        <v>0</v>
      </c>
      <c r="AR1679" s="50">
        <v>0.110069253262963</v>
      </c>
      <c r="AS1679" s="34">
        <v>0.33333333333333331</v>
      </c>
      <c r="AT1679" s="34">
        <v>0</v>
      </c>
      <c r="AU1679" s="34">
        <v>0</v>
      </c>
      <c r="AV1679" s="34">
        <v>9.4339622641509441E-2</v>
      </c>
      <c r="AW1679" s="10"/>
      <c r="AX1679" s="8"/>
    </row>
    <row r="1680" spans="1:50">
      <c r="A1680" s="7"/>
      <c r="B1680" s="10"/>
      <c r="C1680" s="45" t="s">
        <v>1468</v>
      </c>
      <c r="D1680" s="23" t="s">
        <v>27</v>
      </c>
      <c r="E1680" s="61" t="s">
        <v>1724</v>
      </c>
      <c r="F1680" s="61" t="s">
        <v>1724</v>
      </c>
      <c r="G1680" s="61" t="s">
        <v>1724</v>
      </c>
      <c r="H1680" s="61" t="s">
        <v>1724</v>
      </c>
      <c r="I1680" s="25">
        <v>0.9</v>
      </c>
      <c r="J1680" s="26">
        <v>0.9285714285714286</v>
      </c>
      <c r="K1680" s="26">
        <v>0.84615384615384615</v>
      </c>
      <c r="L1680" s="27">
        <v>1</v>
      </c>
      <c r="M1680" s="26">
        <v>0.93333333333333335</v>
      </c>
      <c r="N1680" s="28">
        <v>0.9</v>
      </c>
      <c r="O1680" s="26">
        <v>1</v>
      </c>
      <c r="P1680" s="26">
        <v>0.5</v>
      </c>
      <c r="Q1680" s="26">
        <v>0</v>
      </c>
      <c r="R1680" s="26">
        <v>0.33333333333333331</v>
      </c>
      <c r="S1680" s="28">
        <v>0.9</v>
      </c>
      <c r="T1680" s="26">
        <v>1</v>
      </c>
      <c r="U1680" s="26">
        <v>0</v>
      </c>
      <c r="V1680" s="26">
        <v>0</v>
      </c>
      <c r="W1680" s="26">
        <v>0.33333333333333331</v>
      </c>
      <c r="X1680" s="28">
        <v>0.92</v>
      </c>
      <c r="Y1680" s="28">
        <v>0</v>
      </c>
      <c r="Z1680" s="28">
        <v>0</v>
      </c>
      <c r="AA1680" s="28">
        <v>0</v>
      </c>
      <c r="AB1680" s="28">
        <v>0</v>
      </c>
      <c r="AC1680" s="28">
        <v>0.92</v>
      </c>
      <c r="AD1680" s="26">
        <v>0.33333333333333331</v>
      </c>
      <c r="AE1680" s="26">
        <v>0</v>
      </c>
      <c r="AF1680" s="26">
        <v>0.25</v>
      </c>
      <c r="AG1680" s="26">
        <v>0.14754098360655737</v>
      </c>
      <c r="AH1680" s="28">
        <v>0.92</v>
      </c>
      <c r="AI1680" s="26">
        <v>0.81421319796954317</v>
      </c>
      <c r="AJ1680" s="26">
        <v>0.8685983827493261</v>
      </c>
      <c r="AK1680" s="26">
        <v>0.8768177929854577</v>
      </c>
      <c r="AL1680" s="26">
        <v>0.87962867457452298</v>
      </c>
      <c r="AM1680" s="25">
        <v>0.99</v>
      </c>
      <c r="AN1680" s="30">
        <v>1</v>
      </c>
      <c r="AO1680" s="30">
        <v>1</v>
      </c>
      <c r="AP1680" s="30">
        <v>1</v>
      </c>
      <c r="AQ1680" s="30">
        <v>1</v>
      </c>
      <c r="AR1680" s="50">
        <v>0.110069253262963</v>
      </c>
      <c r="AS1680" s="34">
        <v>7.1428571428571425E-2</v>
      </c>
      <c r="AT1680" s="34">
        <v>0</v>
      </c>
      <c r="AU1680" s="34">
        <v>0.21739130434782608</v>
      </c>
      <c r="AV1680" s="34">
        <v>9.45945945945946E-2</v>
      </c>
      <c r="AW1680" s="10"/>
      <c r="AX1680" s="8"/>
    </row>
    <row r="1681" spans="1:72">
      <c r="A1681" s="7"/>
      <c r="B1681" s="10"/>
      <c r="C1681" s="45" t="s">
        <v>1468</v>
      </c>
      <c r="D1681" s="23" t="s">
        <v>27</v>
      </c>
      <c r="E1681" s="61" t="s">
        <v>1725</v>
      </c>
      <c r="F1681" s="61" t="s">
        <v>1725</v>
      </c>
      <c r="G1681" s="61" t="s">
        <v>1725</v>
      </c>
      <c r="H1681" s="61" t="s">
        <v>1725</v>
      </c>
      <c r="I1681" s="25">
        <v>0.9</v>
      </c>
      <c r="J1681" s="26">
        <v>0.96969696969696972</v>
      </c>
      <c r="K1681" s="26">
        <v>0.97142857142857142</v>
      </c>
      <c r="L1681" s="27">
        <v>0.94871794871794868</v>
      </c>
      <c r="M1681" s="26">
        <v>0.94485294117647056</v>
      </c>
      <c r="N1681" s="28">
        <v>0.9</v>
      </c>
      <c r="O1681" s="26">
        <v>0.47229254571026724</v>
      </c>
      <c r="P1681" s="26">
        <v>3.2768361581920903E-2</v>
      </c>
      <c r="Q1681" s="26">
        <v>0.1161480686695279</v>
      </c>
      <c r="R1681" s="26">
        <v>0.26668198378573538</v>
      </c>
      <c r="S1681" s="28">
        <v>0.9</v>
      </c>
      <c r="T1681" s="26">
        <v>0.42953586497890295</v>
      </c>
      <c r="U1681" s="26">
        <v>0.37853107344632769</v>
      </c>
      <c r="V1681" s="26">
        <v>0.48685622317596566</v>
      </c>
      <c r="W1681" s="26">
        <v>0.45872583450946924</v>
      </c>
      <c r="X1681" s="28">
        <v>0.92</v>
      </c>
      <c r="Y1681" s="28">
        <v>0</v>
      </c>
      <c r="Z1681" s="28">
        <v>0</v>
      </c>
      <c r="AA1681" s="28">
        <v>0</v>
      </c>
      <c r="AB1681" s="28">
        <v>0</v>
      </c>
      <c r="AC1681" s="28">
        <v>0.92</v>
      </c>
      <c r="AD1681" s="26">
        <v>0.99322033898305084</v>
      </c>
      <c r="AE1681" s="26">
        <v>0.81981981981981977</v>
      </c>
      <c r="AF1681" s="26">
        <v>1</v>
      </c>
      <c r="AG1681" s="26">
        <v>0.95754290876242099</v>
      </c>
      <c r="AH1681" s="28">
        <v>0.92</v>
      </c>
      <c r="AI1681" s="26">
        <v>0.79156118143459919</v>
      </c>
      <c r="AJ1681" s="26">
        <v>0.83774011299435025</v>
      </c>
      <c r="AK1681" s="26">
        <v>0.89511802575107291</v>
      </c>
      <c r="AL1681" s="26">
        <v>0.82423605868644767</v>
      </c>
      <c r="AM1681" s="25">
        <v>0.99</v>
      </c>
      <c r="AN1681" s="30">
        <v>1</v>
      </c>
      <c r="AO1681" s="30">
        <v>1</v>
      </c>
      <c r="AP1681" s="30">
        <v>0</v>
      </c>
      <c r="AQ1681" s="30">
        <v>1</v>
      </c>
      <c r="AR1681" s="50">
        <v>0.110069253262963</v>
      </c>
      <c r="AS1681" s="34">
        <v>0.19354838709677419</v>
      </c>
      <c r="AT1681" s="34">
        <v>0.125</v>
      </c>
      <c r="AU1681" s="34">
        <v>0.15384615384615385</v>
      </c>
      <c r="AV1681" s="34">
        <v>0.11483253588516747</v>
      </c>
      <c r="AW1681" s="10"/>
      <c r="AX1681" s="8"/>
    </row>
    <row r="1682" spans="1:72">
      <c r="A1682" s="7"/>
      <c r="B1682" s="10"/>
      <c r="C1682" s="45" t="s">
        <v>1468</v>
      </c>
      <c r="D1682" s="23" t="s">
        <v>27</v>
      </c>
      <c r="E1682" s="61" t="s">
        <v>1726</v>
      </c>
      <c r="F1682" s="61" t="s">
        <v>1726</v>
      </c>
      <c r="G1682" s="61" t="s">
        <v>1726</v>
      </c>
      <c r="H1682" s="61" t="s">
        <v>1726</v>
      </c>
      <c r="I1682" s="25">
        <v>0.9</v>
      </c>
      <c r="J1682" s="26">
        <v>0.91666666666666663</v>
      </c>
      <c r="K1682" s="26">
        <v>0.86956521739130432</v>
      </c>
      <c r="L1682" s="27">
        <v>0.91666666666666663</v>
      </c>
      <c r="M1682" s="26">
        <v>0.91878172588832485</v>
      </c>
      <c r="N1682" s="28">
        <v>0.9</v>
      </c>
      <c r="O1682" s="26">
        <v>0.87909441233140651</v>
      </c>
      <c r="P1682" s="26">
        <v>0.79578025477707004</v>
      </c>
      <c r="Q1682" s="26">
        <v>0.80079155672823221</v>
      </c>
      <c r="R1682" s="26">
        <v>0.81601240902040328</v>
      </c>
      <c r="S1682" s="28">
        <v>0.9</v>
      </c>
      <c r="T1682" s="26">
        <v>0.50722543352601157</v>
      </c>
      <c r="U1682" s="26">
        <v>0.36504777070063693</v>
      </c>
      <c r="V1682" s="26">
        <v>0.49428320140721194</v>
      </c>
      <c r="W1682" s="26">
        <v>0.46474167760410451</v>
      </c>
      <c r="X1682" s="28">
        <v>0.92</v>
      </c>
      <c r="Y1682" s="28">
        <v>0</v>
      </c>
      <c r="Z1682" s="28">
        <v>0</v>
      </c>
      <c r="AA1682" s="28">
        <v>0</v>
      </c>
      <c r="AB1682" s="28">
        <v>0</v>
      </c>
      <c r="AC1682" s="28">
        <v>0.92</v>
      </c>
      <c r="AD1682" s="26">
        <v>0.25</v>
      </c>
      <c r="AE1682" s="26">
        <v>0.18181818181818182</v>
      </c>
      <c r="AF1682" s="26">
        <v>0.1</v>
      </c>
      <c r="AG1682" s="26">
        <v>0.15053763440860216</v>
      </c>
      <c r="AH1682" s="28">
        <v>0.92</v>
      </c>
      <c r="AI1682" s="26">
        <v>0.80394990366088637</v>
      </c>
      <c r="AJ1682" s="26">
        <v>0.81568471337579618</v>
      </c>
      <c r="AK1682" s="26">
        <v>0.85576077396657868</v>
      </c>
      <c r="AL1682" s="26">
        <v>0.83892136976494447</v>
      </c>
      <c r="AM1682" s="25">
        <v>0.99</v>
      </c>
      <c r="AN1682" s="30">
        <v>0</v>
      </c>
      <c r="AO1682" s="30">
        <v>0</v>
      </c>
      <c r="AP1682" s="30">
        <v>1</v>
      </c>
      <c r="AQ1682" s="30">
        <v>1</v>
      </c>
      <c r="AR1682" s="50">
        <v>0.110069253262963</v>
      </c>
      <c r="AS1682" s="34">
        <v>3.5714285714285712E-2</v>
      </c>
      <c r="AT1682" s="34">
        <v>0</v>
      </c>
      <c r="AU1682" s="34">
        <v>5.8823529411764705E-2</v>
      </c>
      <c r="AV1682" s="34">
        <v>4.7872340425531915E-2</v>
      </c>
      <c r="AW1682" s="10"/>
      <c r="AX1682" s="8"/>
    </row>
    <row r="1683" spans="1:72">
      <c r="A1683" s="7"/>
      <c r="B1683" s="10"/>
      <c r="C1683" s="45" t="s">
        <v>1468</v>
      </c>
      <c r="D1683" s="23" t="s">
        <v>27</v>
      </c>
      <c r="E1683" s="61" t="s">
        <v>1727</v>
      </c>
      <c r="F1683" s="61" t="s">
        <v>1727</v>
      </c>
      <c r="G1683" s="61" t="s">
        <v>1727</v>
      </c>
      <c r="H1683" s="61" t="s">
        <v>1727</v>
      </c>
      <c r="I1683" s="25">
        <v>0.9</v>
      </c>
      <c r="J1683" s="26">
        <v>0</v>
      </c>
      <c r="K1683" s="26">
        <v>0</v>
      </c>
      <c r="L1683" s="27">
        <v>0</v>
      </c>
      <c r="M1683" s="26">
        <v>0</v>
      </c>
      <c r="N1683" s="28">
        <v>0.9</v>
      </c>
      <c r="O1683" s="26">
        <v>0</v>
      </c>
      <c r="P1683" s="26">
        <v>0</v>
      </c>
      <c r="Q1683" s="26">
        <v>0</v>
      </c>
      <c r="R1683" s="26">
        <v>0</v>
      </c>
      <c r="S1683" s="28">
        <v>0.9</v>
      </c>
      <c r="T1683" s="26">
        <v>0</v>
      </c>
      <c r="U1683" s="26">
        <v>0</v>
      </c>
      <c r="V1683" s="26">
        <v>0</v>
      </c>
      <c r="W1683" s="26">
        <v>0</v>
      </c>
      <c r="X1683" s="28">
        <v>0.92</v>
      </c>
      <c r="Y1683" s="28">
        <v>0</v>
      </c>
      <c r="Z1683" s="28">
        <v>0</v>
      </c>
      <c r="AA1683" s="28">
        <v>0</v>
      </c>
      <c r="AB1683" s="28">
        <v>0</v>
      </c>
      <c r="AC1683" s="28">
        <v>0.92</v>
      </c>
      <c r="AD1683" s="26">
        <v>0</v>
      </c>
      <c r="AE1683" s="26">
        <v>0</v>
      </c>
      <c r="AF1683" s="26">
        <v>0</v>
      </c>
      <c r="AG1683" s="26">
        <v>0</v>
      </c>
      <c r="AH1683" s="28">
        <v>0.92</v>
      </c>
      <c r="AI1683" s="26">
        <v>0</v>
      </c>
      <c r="AJ1683" s="26">
        <v>0</v>
      </c>
      <c r="AK1683" s="26">
        <v>0</v>
      </c>
      <c r="AL1683" s="26">
        <v>0</v>
      </c>
      <c r="AM1683" s="25">
        <v>0.99</v>
      </c>
      <c r="AN1683" s="30">
        <v>0</v>
      </c>
      <c r="AO1683" s="30">
        <v>0</v>
      </c>
      <c r="AP1683" s="30">
        <v>0</v>
      </c>
      <c r="AQ1683" s="30">
        <v>0</v>
      </c>
      <c r="AR1683" s="50">
        <v>0.110069253262963</v>
      </c>
      <c r="AS1683" s="34">
        <v>0</v>
      </c>
      <c r="AT1683" s="34">
        <v>0</v>
      </c>
      <c r="AU1683" s="34">
        <v>0</v>
      </c>
      <c r="AV1683" s="34">
        <v>0</v>
      </c>
      <c r="AW1683" s="10"/>
      <c r="AX1683" s="8"/>
    </row>
    <row r="1684" spans="1:72" ht="17.25" customHeight="1">
      <c r="A1684" s="7"/>
      <c r="B1684" s="10"/>
      <c r="C1684" s="210" t="s">
        <v>30</v>
      </c>
      <c r="D1684" s="211"/>
      <c r="E1684" s="211"/>
      <c r="F1684" s="211"/>
      <c r="G1684" s="211"/>
      <c r="H1684" s="211"/>
      <c r="I1684" s="91" t="s">
        <v>31</v>
      </c>
      <c r="J1684" s="92">
        <v>0.92419718481506308</v>
      </c>
      <c r="K1684" s="92">
        <v>0.92835938756708536</v>
      </c>
      <c r="L1684" s="92">
        <v>0.93531674497168249</v>
      </c>
      <c r="M1684" s="92">
        <v>0.9246701566344212</v>
      </c>
      <c r="N1684" s="91" t="s">
        <v>31</v>
      </c>
      <c r="O1684" s="93">
        <v>0.94453238356183478</v>
      </c>
      <c r="P1684" s="93">
        <v>0.94534627508851876</v>
      </c>
      <c r="Q1684" s="93">
        <v>0.94114144616198603</v>
      </c>
      <c r="R1684" s="92">
        <v>0.93802358471767688</v>
      </c>
      <c r="S1684" s="91" t="s">
        <v>31</v>
      </c>
      <c r="T1684" s="93">
        <v>0.87901604764301877</v>
      </c>
      <c r="U1684" s="93">
        <v>0.88857725470198168</v>
      </c>
      <c r="V1684" s="93">
        <v>0.88644027735189956</v>
      </c>
      <c r="W1684" s="94">
        <v>0.8776159568332198</v>
      </c>
      <c r="X1684" s="91" t="s">
        <v>31</v>
      </c>
      <c r="Y1684" s="95">
        <v>0.91702295920040555</v>
      </c>
      <c r="Z1684" s="95">
        <v>0.93554089411707242</v>
      </c>
      <c r="AA1684" s="95">
        <v>0.94073782834517472</v>
      </c>
      <c r="AB1684" s="95">
        <v>0.93135893175694406</v>
      </c>
      <c r="AC1684" s="91" t="s">
        <v>31</v>
      </c>
      <c r="AD1684" s="93">
        <v>0.98310278165482134</v>
      </c>
      <c r="AE1684" s="93">
        <v>0.96915468385615267</v>
      </c>
      <c r="AF1684" s="93">
        <v>0.97799470663851518</v>
      </c>
      <c r="AG1684" s="94">
        <v>0.96994544593630394</v>
      </c>
      <c r="AH1684" s="91" t="s">
        <v>31</v>
      </c>
      <c r="AI1684" s="93">
        <v>0.94351803648585764</v>
      </c>
      <c r="AJ1684" s="93">
        <v>0.95704894466743329</v>
      </c>
      <c r="AK1684" s="93">
        <v>0.9631178545815019</v>
      </c>
      <c r="AL1684" s="94">
        <v>0.95539966559298262</v>
      </c>
      <c r="AM1684" s="91" t="s">
        <v>31</v>
      </c>
      <c r="AN1684" s="94">
        <v>0.98415930950836317</v>
      </c>
      <c r="AO1684" s="94">
        <v>0.9909063559009349</v>
      </c>
      <c r="AP1684" s="94">
        <v>0.99423953584749269</v>
      </c>
      <c r="AQ1684" s="94">
        <v>0.99115831618751038</v>
      </c>
      <c r="AR1684" s="91" t="s">
        <v>31</v>
      </c>
      <c r="AS1684" s="94">
        <v>5.1219029861287679E-2</v>
      </c>
      <c r="AT1684" s="94">
        <v>5.1287731930213236E-2</v>
      </c>
      <c r="AU1684" s="94">
        <v>4.5781783276450515E-2</v>
      </c>
      <c r="AV1684" s="94">
        <v>5.0098803553442789E-2</v>
      </c>
      <c r="AW1684" s="10"/>
      <c r="AX1684" s="8"/>
    </row>
    <row r="1685" spans="1:72" ht="24" customHeight="1">
      <c r="A1685" s="7"/>
      <c r="B1685" s="10"/>
      <c r="C1685" s="96"/>
      <c r="D1685" s="96"/>
      <c r="E1685" s="96"/>
      <c r="F1685" s="96"/>
      <c r="G1685" s="96"/>
      <c r="H1685" s="96"/>
      <c r="I1685" s="97"/>
      <c r="J1685" s="97"/>
      <c r="K1685" s="97"/>
      <c r="L1685" s="97"/>
      <c r="M1685" s="97"/>
      <c r="N1685" s="97"/>
      <c r="O1685" s="97"/>
      <c r="P1685" s="97"/>
      <c r="Q1685" s="97"/>
      <c r="R1685" s="97"/>
      <c r="S1685" s="97"/>
      <c r="T1685" s="98"/>
      <c r="U1685" s="97"/>
      <c r="V1685" s="97"/>
      <c r="W1685" s="97"/>
      <c r="X1685" s="97"/>
      <c r="Y1685" s="97"/>
      <c r="Z1685" s="97"/>
      <c r="AA1685" s="97"/>
      <c r="AB1685" s="97"/>
      <c r="AC1685" s="97"/>
      <c r="AD1685" s="97"/>
      <c r="AE1685" s="97"/>
      <c r="AF1685" s="97"/>
      <c r="AG1685" s="97"/>
      <c r="AH1685" s="97"/>
      <c r="AI1685" s="97"/>
      <c r="AJ1685" s="97"/>
      <c r="AK1685" s="97"/>
      <c r="AL1685" s="97"/>
      <c r="AM1685" s="97"/>
      <c r="AN1685" s="97"/>
      <c r="AO1685" s="97"/>
      <c r="AP1685" s="97"/>
      <c r="AQ1685" s="97"/>
      <c r="AR1685" s="97"/>
      <c r="AS1685" s="97"/>
      <c r="AT1685" s="97"/>
      <c r="AU1685" s="97"/>
      <c r="AV1685" s="97"/>
      <c r="AW1685" s="10"/>
      <c r="AX1685" s="8"/>
    </row>
    <row r="1686" spans="1:72" ht="10.5" customHeight="1">
      <c r="A1686" s="8" t="s">
        <v>1733</v>
      </c>
      <c r="B1686" s="8"/>
      <c r="C1686" s="99"/>
      <c r="D1686" s="99"/>
      <c r="E1686" s="99"/>
      <c r="F1686" s="99"/>
      <c r="G1686" s="99"/>
      <c r="H1686" s="100"/>
      <c r="I1686" s="101"/>
      <c r="J1686" s="101"/>
      <c r="K1686" s="101"/>
      <c r="L1686" s="101"/>
      <c r="M1686" s="101"/>
      <c r="N1686" s="101"/>
      <c r="O1686" s="101"/>
      <c r="P1686" s="101"/>
      <c r="Q1686" s="101"/>
      <c r="R1686" s="101"/>
      <c r="S1686" s="101"/>
      <c r="T1686" s="101"/>
      <c r="U1686" s="101"/>
      <c r="V1686" s="101"/>
      <c r="W1686" s="101"/>
      <c r="X1686" s="101"/>
      <c r="Y1686" s="101"/>
      <c r="Z1686" s="101"/>
      <c r="AA1686" s="101"/>
      <c r="AB1686" s="101"/>
      <c r="AC1686" s="101"/>
      <c r="AD1686" s="101"/>
      <c r="AE1686" s="101"/>
      <c r="AF1686" s="101"/>
      <c r="AG1686" s="101"/>
      <c r="AH1686" s="101"/>
      <c r="AI1686" s="101"/>
      <c r="AJ1686" s="101"/>
      <c r="AK1686" s="101"/>
      <c r="AL1686" s="101"/>
      <c r="AM1686" s="101"/>
      <c r="AN1686" s="101"/>
      <c r="AO1686" s="101"/>
      <c r="AP1686" s="101"/>
      <c r="AQ1686" s="101"/>
      <c r="AR1686" s="102"/>
      <c r="AS1686" s="101"/>
      <c r="AT1686" s="101"/>
      <c r="AU1686" s="101"/>
      <c r="AV1686" s="101"/>
      <c r="AW1686" s="8"/>
      <c r="AX1686" s="8"/>
    </row>
    <row r="1687" spans="1:72" ht="409.5" hidden="1" customHeight="1">
      <c r="C1687" s="201" t="s">
        <v>1734</v>
      </c>
      <c r="D1687" s="202"/>
      <c r="E1687" s="202"/>
      <c r="F1687" s="202"/>
      <c r="G1687" s="202"/>
      <c r="H1687" s="202"/>
      <c r="I1687" s="202"/>
      <c r="J1687" s="202"/>
      <c r="K1687" s="202"/>
      <c r="L1687" s="202"/>
      <c r="M1687" s="202"/>
      <c r="N1687" s="202"/>
      <c r="O1687" s="202"/>
      <c r="P1687" s="202"/>
      <c r="Q1687" s="202"/>
      <c r="R1687" s="202"/>
      <c r="S1687" s="103"/>
      <c r="T1687" s="202" t="s">
        <v>1735</v>
      </c>
      <c r="U1687" s="202"/>
      <c r="V1687" s="202"/>
      <c r="W1687" s="202"/>
      <c r="X1687" s="202"/>
      <c r="Y1687" s="202"/>
      <c r="Z1687" s="202"/>
      <c r="AA1687" s="202"/>
      <c r="AB1687" s="202"/>
      <c r="AC1687" s="202"/>
      <c r="AD1687" s="202"/>
      <c r="AE1687" s="202"/>
      <c r="AF1687" s="202"/>
      <c r="AG1687" s="202"/>
      <c r="AH1687" s="202"/>
      <c r="AI1687" s="202"/>
      <c r="AJ1687" s="202"/>
      <c r="AK1687" s="202"/>
      <c r="AL1687" s="202"/>
      <c r="AM1687" s="202"/>
      <c r="AN1687" s="202"/>
      <c r="AO1687" s="202"/>
      <c r="AP1687" s="202"/>
      <c r="AQ1687" s="202"/>
      <c r="AR1687" s="202"/>
      <c r="AS1687" s="202"/>
      <c r="AT1687" s="202"/>
      <c r="AU1687" s="202"/>
      <c r="AV1687" s="202"/>
      <c r="AW1687" s="202"/>
      <c r="BD1687" s="203" t="s">
        <v>1736</v>
      </c>
      <c r="BE1687" s="204"/>
      <c r="BF1687" s="204"/>
      <c r="BG1687" s="204"/>
      <c r="BH1687" s="204"/>
      <c r="BI1687" s="204"/>
      <c r="BJ1687" s="204"/>
      <c r="BK1687" s="204"/>
      <c r="BL1687" s="204"/>
      <c r="BM1687" s="204"/>
      <c r="BN1687" s="204"/>
      <c r="BO1687" s="204"/>
      <c r="BP1687" s="204"/>
      <c r="BQ1687" s="204"/>
      <c r="BR1687" s="204"/>
      <c r="BS1687" s="204"/>
      <c r="BT1687" s="205"/>
    </row>
    <row r="1688" spans="1:72" ht="327" hidden="1" customHeight="1">
      <c r="C1688" s="201"/>
      <c r="D1688" s="202"/>
      <c r="E1688" s="202"/>
      <c r="F1688" s="202"/>
      <c r="G1688" s="202"/>
      <c r="H1688" s="202"/>
      <c r="I1688" s="202"/>
      <c r="J1688" s="202"/>
      <c r="K1688" s="202"/>
      <c r="L1688" s="202"/>
      <c r="M1688" s="202"/>
      <c r="N1688" s="202"/>
      <c r="O1688" s="202"/>
      <c r="P1688" s="202"/>
      <c r="Q1688" s="202"/>
      <c r="R1688" s="202"/>
      <c r="S1688" s="103"/>
      <c r="T1688" s="202"/>
      <c r="U1688" s="202"/>
      <c r="V1688" s="202"/>
      <c r="W1688" s="202"/>
      <c r="X1688" s="202"/>
      <c r="Y1688" s="202"/>
      <c r="Z1688" s="202"/>
      <c r="AA1688" s="202"/>
      <c r="AB1688" s="202"/>
      <c r="AC1688" s="202"/>
      <c r="AD1688" s="202"/>
      <c r="AE1688" s="202"/>
      <c r="AF1688" s="202"/>
      <c r="AG1688" s="202"/>
      <c r="AH1688" s="202"/>
      <c r="AI1688" s="202"/>
      <c r="AJ1688" s="202"/>
      <c r="AK1688" s="202"/>
      <c r="AL1688" s="202"/>
      <c r="AM1688" s="202"/>
      <c r="AN1688" s="202"/>
      <c r="AO1688" s="202"/>
      <c r="AP1688" s="202"/>
      <c r="AQ1688" s="202"/>
      <c r="AR1688" s="202"/>
      <c r="AS1688" s="202"/>
      <c r="AT1688" s="202"/>
      <c r="AU1688" s="202"/>
      <c r="AV1688" s="202"/>
      <c r="AW1688" s="202"/>
      <c r="BD1688" s="206"/>
      <c r="BE1688" s="207"/>
      <c r="BF1688" s="207"/>
      <c r="BG1688" s="207"/>
      <c r="BH1688" s="207"/>
      <c r="BI1688" s="207"/>
      <c r="BJ1688" s="207"/>
      <c r="BK1688" s="207"/>
      <c r="BL1688" s="207"/>
      <c r="BM1688" s="207"/>
      <c r="BN1688" s="207"/>
      <c r="BO1688" s="207"/>
      <c r="BP1688" s="207"/>
      <c r="BQ1688" s="207"/>
      <c r="BR1688" s="207"/>
      <c r="BS1688" s="207"/>
      <c r="BT1688" s="208"/>
    </row>
  </sheetData>
  <autoFilter ref="C8:AV1684" xr:uid="{00000000-0009-0000-0000-00000D000000}"/>
  <mergeCells count="24">
    <mergeCell ref="B1:AW2"/>
    <mergeCell ref="C1687:R1688"/>
    <mergeCell ref="T1687:AW1688"/>
    <mergeCell ref="BD1687:BT1688"/>
    <mergeCell ref="AH7:AL7"/>
    <mergeCell ref="AM7:AQ7"/>
    <mergeCell ref="AR7:AV7"/>
    <mergeCell ref="C1684:H1684"/>
    <mergeCell ref="C6:C8"/>
    <mergeCell ref="D6:D8"/>
    <mergeCell ref="E6:E8"/>
    <mergeCell ref="F6:F8"/>
    <mergeCell ref="H6:H8"/>
    <mergeCell ref="I7:M7"/>
    <mergeCell ref="N7:R7"/>
    <mergeCell ref="S7:W7"/>
    <mergeCell ref="X7:AB7"/>
    <mergeCell ref="AC7:AG7"/>
    <mergeCell ref="C4:R4"/>
    <mergeCell ref="T4:AV4"/>
    <mergeCell ref="I6:W6"/>
    <mergeCell ref="X6:AB6"/>
    <mergeCell ref="AC6:AL6"/>
    <mergeCell ref="AM6:AV6"/>
  </mergeCells>
  <conditionalFormatting sqref="E368:E372">
    <cfRule type="duplicateValues" dxfId="192" priority="242"/>
  </conditionalFormatting>
  <conditionalFormatting sqref="E370:E372">
    <cfRule type="duplicateValues" dxfId="191" priority="243"/>
  </conditionalFormatting>
  <conditionalFormatting sqref="E372">
    <cfRule type="duplicateValues" dxfId="190" priority="244"/>
  </conditionalFormatting>
  <conditionalFormatting sqref="E380:E384">
    <cfRule type="duplicateValues" dxfId="189" priority="245"/>
  </conditionalFormatting>
  <conditionalFormatting sqref="E402">
    <cfRule type="duplicateValues" dxfId="188" priority="241"/>
  </conditionalFormatting>
  <conditionalFormatting sqref="E461">
    <cfRule type="duplicateValues" dxfId="187" priority="238"/>
  </conditionalFormatting>
  <conditionalFormatting sqref="E470:E472">
    <cfRule type="duplicateValues" dxfId="186" priority="239"/>
  </conditionalFormatting>
  <conditionalFormatting sqref="E473">
    <cfRule type="duplicateValues" dxfId="185" priority="237"/>
  </conditionalFormatting>
  <conditionalFormatting sqref="E480:E481">
    <cfRule type="duplicateValues" dxfId="184" priority="236"/>
  </conditionalFormatting>
  <conditionalFormatting sqref="E482:E483">
    <cfRule type="duplicateValues" dxfId="183" priority="235"/>
  </conditionalFormatting>
  <conditionalFormatting sqref="E484:E485">
    <cfRule type="duplicateValues" dxfId="182" priority="234"/>
  </conditionalFormatting>
  <conditionalFormatting sqref="E486">
    <cfRule type="duplicateValues" dxfId="181" priority="233"/>
  </conditionalFormatting>
  <conditionalFormatting sqref="E506">
    <cfRule type="duplicateValues" dxfId="180" priority="231"/>
  </conditionalFormatting>
  <conditionalFormatting sqref="E515:E519">
    <cfRule type="duplicateValues" dxfId="179" priority="229"/>
  </conditionalFormatting>
  <conditionalFormatting sqref="E518:E519">
    <cfRule type="duplicateValues" dxfId="178" priority="230"/>
  </conditionalFormatting>
  <conditionalFormatting sqref="E537:E538">
    <cfRule type="duplicateValues" dxfId="177" priority="228"/>
  </conditionalFormatting>
  <conditionalFormatting sqref="E549">
    <cfRule type="duplicateValues" dxfId="176" priority="227"/>
  </conditionalFormatting>
  <conditionalFormatting sqref="E550:E551">
    <cfRule type="duplicateValues" dxfId="175" priority="226"/>
  </conditionalFormatting>
  <conditionalFormatting sqref="E552">
    <cfRule type="duplicateValues" dxfId="174" priority="225"/>
  </conditionalFormatting>
  <conditionalFormatting sqref="E585:E587">
    <cfRule type="duplicateValues" dxfId="173" priority="224"/>
  </conditionalFormatting>
  <conditionalFormatting sqref="E596">
    <cfRule type="duplicateValues" dxfId="172" priority="223"/>
  </conditionalFormatting>
  <conditionalFormatting sqref="E598:E601">
    <cfRule type="duplicateValues" dxfId="171" priority="222"/>
  </conditionalFormatting>
  <conditionalFormatting sqref="E602:E605">
    <cfRule type="duplicateValues" dxfId="170" priority="221"/>
  </conditionalFormatting>
  <conditionalFormatting sqref="E602:E609">
    <cfRule type="duplicateValues" dxfId="169" priority="232"/>
  </conditionalFormatting>
  <conditionalFormatting sqref="E622">
    <cfRule type="duplicateValues" dxfId="168" priority="220"/>
  </conditionalFormatting>
  <conditionalFormatting sqref="E623">
    <cfRule type="duplicateValues" dxfId="167" priority="219"/>
  </conditionalFormatting>
  <conditionalFormatting sqref="E624:E625">
    <cfRule type="duplicateValues" dxfId="166" priority="218"/>
  </conditionalFormatting>
  <conditionalFormatting sqref="E637">
    <cfRule type="duplicateValues" dxfId="165" priority="217"/>
  </conditionalFormatting>
  <conditionalFormatting sqref="E639">
    <cfRule type="duplicateValues" dxfId="164" priority="216"/>
  </conditionalFormatting>
  <conditionalFormatting sqref="E641">
    <cfRule type="duplicateValues" dxfId="163" priority="215"/>
  </conditionalFormatting>
  <conditionalFormatting sqref="E643:E898">
    <cfRule type="duplicateValues" dxfId="162" priority="119"/>
  </conditionalFormatting>
  <conditionalFormatting sqref="F368:F372">
    <cfRule type="duplicateValues" dxfId="161" priority="211"/>
  </conditionalFormatting>
  <conditionalFormatting sqref="F370:F372">
    <cfRule type="duplicateValues" dxfId="160" priority="212"/>
  </conditionalFormatting>
  <conditionalFormatting sqref="F372">
    <cfRule type="duplicateValues" dxfId="159" priority="213"/>
  </conditionalFormatting>
  <conditionalFormatting sqref="F380:F384">
    <cfRule type="duplicateValues" dxfId="158" priority="214"/>
  </conditionalFormatting>
  <conditionalFormatting sqref="F402">
    <cfRule type="duplicateValues" dxfId="157" priority="210"/>
  </conditionalFormatting>
  <conditionalFormatting sqref="F461">
    <cfRule type="duplicateValues" dxfId="156" priority="207"/>
  </conditionalFormatting>
  <conditionalFormatting sqref="F470:F472">
    <cfRule type="duplicateValues" dxfId="155" priority="208"/>
  </conditionalFormatting>
  <conditionalFormatting sqref="F473">
    <cfRule type="duplicateValues" dxfId="154" priority="206"/>
  </conditionalFormatting>
  <conditionalFormatting sqref="F480:F481">
    <cfRule type="duplicateValues" dxfId="153" priority="205"/>
  </conditionalFormatting>
  <conditionalFormatting sqref="F482:F483">
    <cfRule type="duplicateValues" dxfId="152" priority="204"/>
  </conditionalFormatting>
  <conditionalFormatting sqref="F484:F485">
    <cfRule type="duplicateValues" dxfId="151" priority="203"/>
  </conditionalFormatting>
  <conditionalFormatting sqref="F486">
    <cfRule type="duplicateValues" dxfId="150" priority="202"/>
  </conditionalFormatting>
  <conditionalFormatting sqref="F506">
    <cfRule type="duplicateValues" dxfId="149" priority="200"/>
  </conditionalFormatting>
  <conditionalFormatting sqref="F515:F519">
    <cfRule type="duplicateValues" dxfId="148" priority="198"/>
  </conditionalFormatting>
  <conditionalFormatting sqref="F518:F519">
    <cfRule type="duplicateValues" dxfId="147" priority="199"/>
  </conditionalFormatting>
  <conditionalFormatting sqref="F537:F538">
    <cfRule type="duplicateValues" dxfId="146" priority="197"/>
  </conditionalFormatting>
  <conditionalFormatting sqref="F549">
    <cfRule type="duplicateValues" dxfId="145" priority="196"/>
  </conditionalFormatting>
  <conditionalFormatting sqref="F550:F551">
    <cfRule type="duplicateValues" dxfId="144" priority="195"/>
  </conditionalFormatting>
  <conditionalFormatting sqref="F552">
    <cfRule type="duplicateValues" dxfId="143" priority="194"/>
  </conditionalFormatting>
  <conditionalFormatting sqref="F585:F587">
    <cfRule type="duplicateValues" dxfId="142" priority="193"/>
  </conditionalFormatting>
  <conditionalFormatting sqref="F596">
    <cfRule type="duplicateValues" dxfId="141" priority="192"/>
  </conditionalFormatting>
  <conditionalFormatting sqref="F598:F601">
    <cfRule type="duplicateValues" dxfId="140" priority="191"/>
  </conditionalFormatting>
  <conditionalFormatting sqref="F602:F605">
    <cfRule type="duplicateValues" dxfId="139" priority="190"/>
  </conditionalFormatting>
  <conditionalFormatting sqref="F602:F609">
    <cfRule type="duplicateValues" dxfId="138" priority="201"/>
  </conditionalFormatting>
  <conditionalFormatting sqref="F622">
    <cfRule type="duplicateValues" dxfId="137" priority="189"/>
  </conditionalFormatting>
  <conditionalFormatting sqref="F623">
    <cfRule type="duplicateValues" dxfId="136" priority="188"/>
  </conditionalFormatting>
  <conditionalFormatting sqref="F624:F625">
    <cfRule type="duplicateValues" dxfId="135" priority="187"/>
  </conditionalFormatting>
  <conditionalFormatting sqref="F637">
    <cfRule type="duplicateValues" dxfId="134" priority="186"/>
  </conditionalFormatting>
  <conditionalFormatting sqref="F639">
    <cfRule type="duplicateValues" dxfId="133" priority="185"/>
  </conditionalFormatting>
  <conditionalFormatting sqref="F641">
    <cfRule type="duplicateValues" dxfId="132" priority="184"/>
  </conditionalFormatting>
  <conditionalFormatting sqref="F643:F898">
    <cfRule type="duplicateValues" dxfId="131" priority="118"/>
  </conditionalFormatting>
  <conditionalFormatting sqref="G368:G372">
    <cfRule type="duplicateValues" dxfId="130" priority="180"/>
  </conditionalFormatting>
  <conditionalFormatting sqref="G370:G372">
    <cfRule type="duplicateValues" dxfId="129" priority="181"/>
  </conditionalFormatting>
  <conditionalFormatting sqref="G372">
    <cfRule type="duplicateValues" dxfId="128" priority="182"/>
  </conditionalFormatting>
  <conditionalFormatting sqref="G380:G384">
    <cfRule type="duplicateValues" dxfId="127" priority="183"/>
  </conditionalFormatting>
  <conditionalFormatting sqref="G402">
    <cfRule type="duplicateValues" dxfId="126" priority="179"/>
  </conditionalFormatting>
  <conditionalFormatting sqref="G461">
    <cfRule type="duplicateValues" dxfId="125" priority="176"/>
  </conditionalFormatting>
  <conditionalFormatting sqref="G470:G472">
    <cfRule type="duplicateValues" dxfId="124" priority="177"/>
  </conditionalFormatting>
  <conditionalFormatting sqref="G473">
    <cfRule type="duplicateValues" dxfId="123" priority="175"/>
  </conditionalFormatting>
  <conditionalFormatting sqref="G480:G481">
    <cfRule type="duplicateValues" dxfId="122" priority="174"/>
  </conditionalFormatting>
  <conditionalFormatting sqref="G482:G483">
    <cfRule type="duplicateValues" dxfId="121" priority="173"/>
  </conditionalFormatting>
  <conditionalFormatting sqref="G484:G485">
    <cfRule type="duplicateValues" dxfId="120" priority="172"/>
  </conditionalFormatting>
  <conditionalFormatting sqref="G486">
    <cfRule type="duplicateValues" dxfId="119" priority="171"/>
  </conditionalFormatting>
  <conditionalFormatting sqref="G506">
    <cfRule type="duplicateValues" dxfId="118" priority="169"/>
  </conditionalFormatting>
  <conditionalFormatting sqref="G515:G519">
    <cfRule type="duplicateValues" dxfId="117" priority="167"/>
  </conditionalFormatting>
  <conditionalFormatting sqref="G518:G519">
    <cfRule type="duplicateValues" dxfId="116" priority="168"/>
  </conditionalFormatting>
  <conditionalFormatting sqref="G537:G538">
    <cfRule type="duplicateValues" dxfId="115" priority="166"/>
  </conditionalFormatting>
  <conditionalFormatting sqref="G549">
    <cfRule type="duplicateValues" dxfId="114" priority="165"/>
  </conditionalFormatting>
  <conditionalFormatting sqref="G550:G551">
    <cfRule type="duplicateValues" dxfId="113" priority="164"/>
  </conditionalFormatting>
  <conditionalFormatting sqref="G552">
    <cfRule type="duplicateValues" dxfId="112" priority="163"/>
  </conditionalFormatting>
  <conditionalFormatting sqref="G585:G587">
    <cfRule type="duplicateValues" dxfId="111" priority="162"/>
  </conditionalFormatting>
  <conditionalFormatting sqref="G596">
    <cfRule type="duplicateValues" dxfId="110" priority="161"/>
  </conditionalFormatting>
  <conditionalFormatting sqref="G598:G601">
    <cfRule type="duplicateValues" dxfId="109" priority="160"/>
  </conditionalFormatting>
  <conditionalFormatting sqref="G602:G605">
    <cfRule type="duplicateValues" dxfId="108" priority="159"/>
  </conditionalFormatting>
  <conditionalFormatting sqref="G602:G609">
    <cfRule type="duplicateValues" dxfId="107" priority="170"/>
  </conditionalFormatting>
  <conditionalFormatting sqref="G622">
    <cfRule type="duplicateValues" dxfId="106" priority="158"/>
  </conditionalFormatting>
  <conditionalFormatting sqref="G623">
    <cfRule type="duplicateValues" dxfId="105" priority="157"/>
  </conditionalFormatting>
  <conditionalFormatting sqref="G624:G625">
    <cfRule type="duplicateValues" dxfId="104" priority="156"/>
  </conditionalFormatting>
  <conditionalFormatting sqref="G637">
    <cfRule type="duplicateValues" dxfId="103" priority="155"/>
  </conditionalFormatting>
  <conditionalFormatting sqref="G639">
    <cfRule type="duplicateValues" dxfId="102" priority="154"/>
  </conditionalFormatting>
  <conditionalFormatting sqref="G641">
    <cfRule type="duplicateValues" dxfId="101" priority="153"/>
  </conditionalFormatting>
  <conditionalFormatting sqref="G643:G898">
    <cfRule type="duplicateValues" dxfId="100" priority="117"/>
  </conditionalFormatting>
  <conditionalFormatting sqref="H368:H372">
    <cfRule type="duplicateValues" dxfId="99" priority="149"/>
  </conditionalFormatting>
  <conditionalFormatting sqref="H370:H372">
    <cfRule type="duplicateValues" dxfId="98" priority="150"/>
  </conditionalFormatting>
  <conditionalFormatting sqref="H372">
    <cfRule type="duplicateValues" dxfId="97" priority="151"/>
  </conditionalFormatting>
  <conditionalFormatting sqref="H380:H384">
    <cfRule type="duplicateValues" dxfId="96" priority="152"/>
  </conditionalFormatting>
  <conditionalFormatting sqref="H402">
    <cfRule type="duplicateValues" dxfId="95" priority="148"/>
  </conditionalFormatting>
  <conditionalFormatting sqref="H461">
    <cfRule type="duplicateValues" dxfId="94" priority="145"/>
  </conditionalFormatting>
  <conditionalFormatting sqref="H470:H472">
    <cfRule type="duplicateValues" dxfId="93" priority="146"/>
  </conditionalFormatting>
  <conditionalFormatting sqref="H473">
    <cfRule type="duplicateValues" dxfId="92" priority="144"/>
  </conditionalFormatting>
  <conditionalFormatting sqref="H480:H481">
    <cfRule type="duplicateValues" dxfId="91" priority="143"/>
  </conditionalFormatting>
  <conditionalFormatting sqref="H482:H483">
    <cfRule type="duplicateValues" dxfId="90" priority="142"/>
  </conditionalFormatting>
  <conditionalFormatting sqref="H484:H485">
    <cfRule type="duplicateValues" dxfId="89" priority="141"/>
  </conditionalFormatting>
  <conditionalFormatting sqref="H486">
    <cfRule type="duplicateValues" dxfId="88" priority="140"/>
  </conditionalFormatting>
  <conditionalFormatting sqref="H506">
    <cfRule type="duplicateValues" dxfId="87" priority="138"/>
  </conditionalFormatting>
  <conditionalFormatting sqref="H515:H519">
    <cfRule type="duplicateValues" dxfId="86" priority="136"/>
  </conditionalFormatting>
  <conditionalFormatting sqref="H518:H519">
    <cfRule type="duplicateValues" dxfId="85" priority="137"/>
  </conditionalFormatting>
  <conditionalFormatting sqref="H537:H538">
    <cfRule type="duplicateValues" dxfId="84" priority="135"/>
  </conditionalFormatting>
  <conditionalFormatting sqref="H549">
    <cfRule type="duplicateValues" dxfId="83" priority="134"/>
  </conditionalFormatting>
  <conditionalFormatting sqref="H550:H551">
    <cfRule type="duplicateValues" dxfId="82" priority="133"/>
  </conditionalFormatting>
  <conditionalFormatting sqref="H552">
    <cfRule type="duplicateValues" dxfId="81" priority="132"/>
  </conditionalFormatting>
  <conditionalFormatting sqref="H585:H587">
    <cfRule type="duplicateValues" dxfId="80" priority="131"/>
  </conditionalFormatting>
  <conditionalFormatting sqref="H596">
    <cfRule type="duplicateValues" dxfId="79" priority="130"/>
  </conditionalFormatting>
  <conditionalFormatting sqref="H598:H601">
    <cfRule type="duplicateValues" dxfId="78" priority="129"/>
  </conditionalFormatting>
  <conditionalFormatting sqref="H602:H605">
    <cfRule type="duplicateValues" dxfId="77" priority="128"/>
  </conditionalFormatting>
  <conditionalFormatting sqref="H602:H609">
    <cfRule type="duplicateValues" dxfId="76" priority="139"/>
  </conditionalFormatting>
  <conditionalFormatting sqref="H622">
    <cfRule type="duplicateValues" dxfId="75" priority="127"/>
  </conditionalFormatting>
  <conditionalFormatting sqref="H623">
    <cfRule type="duplicateValues" dxfId="74" priority="126"/>
  </conditionalFormatting>
  <conditionalFormatting sqref="H624:H625">
    <cfRule type="duplicateValues" dxfId="73" priority="125"/>
  </conditionalFormatting>
  <conditionalFormatting sqref="H637">
    <cfRule type="duplicateValues" dxfId="72" priority="124"/>
  </conditionalFormatting>
  <conditionalFormatting sqref="H639">
    <cfRule type="duplicateValues" dxfId="71" priority="123"/>
  </conditionalFormatting>
  <conditionalFormatting sqref="H641">
    <cfRule type="duplicateValues" dxfId="70" priority="122"/>
  </conditionalFormatting>
  <conditionalFormatting sqref="H643:H898">
    <cfRule type="duplicateValues" dxfId="69" priority="116"/>
  </conditionalFormatting>
  <conditionalFormatting sqref="I80:I187">
    <cfRule type="cellIs" dxfId="68" priority="113" operator="greaterThan">
      <formula>0.97</formula>
    </cfRule>
  </conditionalFormatting>
  <conditionalFormatting sqref="I189:I236">
    <cfRule type="cellIs" dxfId="67" priority="112" operator="greaterThan">
      <formula>0.97</formula>
    </cfRule>
  </conditionalFormatting>
  <conditionalFormatting sqref="I238:I325">
    <cfRule type="cellIs" dxfId="66" priority="111" operator="greaterThan">
      <formula>0.97</formula>
    </cfRule>
  </conditionalFormatting>
  <conditionalFormatting sqref="I327:I349">
    <cfRule type="cellIs" dxfId="65" priority="107" operator="greaterThan">
      <formula>0.96</formula>
    </cfRule>
    <cfRule type="cellIs" dxfId="64" priority="108" operator="greaterThan">
      <formula>0.97</formula>
    </cfRule>
  </conditionalFormatting>
  <conditionalFormatting sqref="I351:I641">
    <cfRule type="cellIs" dxfId="63" priority="121" operator="greaterThan">
      <formula>0.97</formula>
    </cfRule>
  </conditionalFormatting>
  <conditionalFormatting sqref="I643:I898">
    <cfRule type="cellIs" dxfId="62" priority="115" operator="greaterThan">
      <formula>0.97</formula>
    </cfRule>
  </conditionalFormatting>
  <conditionalFormatting sqref="I900:I1055">
    <cfRule type="cellIs" dxfId="61" priority="120" operator="greaterThan">
      <formula>0.97</formula>
    </cfRule>
  </conditionalFormatting>
  <conditionalFormatting sqref="I1057:I1423">
    <cfRule type="cellIs" dxfId="60" priority="110" operator="greaterThan">
      <formula>0.97</formula>
    </cfRule>
  </conditionalFormatting>
  <conditionalFormatting sqref="I1425:I1683">
    <cfRule type="cellIs" dxfId="59" priority="109" operator="greaterThan">
      <formula>0.97</formula>
    </cfRule>
  </conditionalFormatting>
  <conditionalFormatting sqref="I1686:AQ1686">
    <cfRule type="cellIs" dxfId="58" priority="246" operator="greaterThan">
      <formula>0.97</formula>
    </cfRule>
  </conditionalFormatting>
  <conditionalFormatting sqref="J9:M1683">
    <cfRule type="cellIs" dxfId="57" priority="59" operator="lessThan">
      <formula>0.9</formula>
    </cfRule>
    <cfRule type="cellIs" dxfId="56" priority="60" operator="greaterThan">
      <formula>0.9</formula>
    </cfRule>
  </conditionalFormatting>
  <conditionalFormatting sqref="N80:N1683">
    <cfRule type="cellIs" dxfId="55" priority="106" operator="greaterThan">
      <formula>0.97</formula>
    </cfRule>
    <cfRule type="cellIs" dxfId="54" priority="105" operator="greaterThan">
      <formula>0.96</formula>
    </cfRule>
  </conditionalFormatting>
  <conditionalFormatting sqref="O9:R1683">
    <cfRule type="cellIs" dxfId="53" priority="58" operator="greaterThan">
      <formula>0.9</formula>
    </cfRule>
    <cfRule type="cellIs" dxfId="52" priority="57" operator="lessThan">
      <formula>0.9</formula>
    </cfRule>
  </conditionalFormatting>
  <conditionalFormatting sqref="T9:W1683">
    <cfRule type="cellIs" dxfId="51" priority="24" operator="greaterThan">
      <formula>0.9</formula>
    </cfRule>
    <cfRule type="cellIs" dxfId="50" priority="23" operator="lessThan">
      <formula>0.9</formula>
    </cfRule>
  </conditionalFormatting>
  <conditionalFormatting sqref="X9:X1683">
    <cfRule type="cellIs" dxfId="49" priority="28" operator="greaterThan">
      <formula>0.97</formula>
    </cfRule>
    <cfRule type="cellIs" dxfId="48" priority="27" operator="greaterThan">
      <formula>0.96</formula>
    </cfRule>
  </conditionalFormatting>
  <conditionalFormatting sqref="Y9:AB1683">
    <cfRule type="cellIs" dxfId="47" priority="21" operator="lessThan">
      <formula>0.9</formula>
    </cfRule>
    <cfRule type="cellIs" dxfId="46" priority="22" operator="greaterThan">
      <formula>0.9</formula>
    </cfRule>
  </conditionalFormatting>
  <conditionalFormatting sqref="AC9:AC78">
    <cfRule type="cellIs" dxfId="45" priority="104" operator="greaterThan">
      <formula>0.97</formula>
    </cfRule>
    <cfRule type="cellIs" dxfId="44" priority="103" operator="greaterThan">
      <formula>0.96</formula>
    </cfRule>
  </conditionalFormatting>
  <conditionalFormatting sqref="AC80:AC325">
    <cfRule type="cellIs" dxfId="43" priority="102" operator="greaterThan">
      <formula>0.97</formula>
    </cfRule>
    <cfRule type="cellIs" dxfId="42" priority="101" operator="greaterThan">
      <formula>0.96</formula>
    </cfRule>
  </conditionalFormatting>
  <conditionalFormatting sqref="AC327:AC349">
    <cfRule type="cellIs" dxfId="41" priority="62" operator="greaterThan">
      <formula>0.97</formula>
    </cfRule>
    <cfRule type="cellIs" dxfId="40" priority="61" operator="greaterThan">
      <formula>0.96</formula>
    </cfRule>
  </conditionalFormatting>
  <conditionalFormatting sqref="AC351:AC641">
    <cfRule type="cellIs" dxfId="39" priority="100" operator="greaterThan">
      <formula>0.97</formula>
    </cfRule>
    <cfRule type="cellIs" dxfId="38" priority="99" operator="greaterThan">
      <formula>0.96</formula>
    </cfRule>
  </conditionalFormatting>
  <conditionalFormatting sqref="AC643:AC898">
    <cfRule type="cellIs" dxfId="37" priority="98" operator="greaterThan">
      <formula>0.97</formula>
    </cfRule>
    <cfRule type="cellIs" dxfId="36" priority="97" operator="greaterThan">
      <formula>0.96</formula>
    </cfRule>
  </conditionalFormatting>
  <conditionalFormatting sqref="AC900:AC1055">
    <cfRule type="cellIs" dxfId="35" priority="96" operator="greaterThan">
      <formula>0.97</formula>
    </cfRule>
    <cfRule type="cellIs" dxfId="34" priority="95" operator="greaterThan">
      <formula>0.96</formula>
    </cfRule>
  </conditionalFormatting>
  <conditionalFormatting sqref="AC1057:AC1423">
    <cfRule type="cellIs" dxfId="33" priority="94" operator="greaterThan">
      <formula>0.97</formula>
    </cfRule>
    <cfRule type="cellIs" dxfId="32" priority="93" operator="greaterThan">
      <formula>0.96</formula>
    </cfRule>
  </conditionalFormatting>
  <conditionalFormatting sqref="AC1425:AC1683">
    <cfRule type="cellIs" dxfId="31" priority="92" operator="greaterThan">
      <formula>0.97</formula>
    </cfRule>
    <cfRule type="cellIs" dxfId="30" priority="91" operator="greaterThan">
      <formula>0.96</formula>
    </cfRule>
  </conditionalFormatting>
  <conditionalFormatting sqref="AD9:AG1683">
    <cfRule type="cellIs" dxfId="29" priority="54" operator="greaterThan">
      <formula>0.92</formula>
    </cfRule>
    <cfRule type="cellIs" dxfId="28" priority="53" operator="lessThan">
      <formula>0.92</formula>
    </cfRule>
  </conditionalFormatting>
  <conditionalFormatting sqref="AH9:AH325">
    <cfRule type="cellIs" dxfId="27" priority="90" operator="greaterThan">
      <formula>0.97</formula>
    </cfRule>
    <cfRule type="cellIs" dxfId="26" priority="89" operator="greaterThan">
      <formula>0.96</formula>
    </cfRule>
  </conditionalFormatting>
  <conditionalFormatting sqref="AH327:AH349">
    <cfRule type="cellIs" dxfId="25" priority="84" operator="greaterThan">
      <formula>0.97</formula>
    </cfRule>
    <cfRule type="cellIs" dxfId="24" priority="83" operator="greaterThan">
      <formula>0.96</formula>
    </cfRule>
  </conditionalFormatting>
  <conditionalFormatting sqref="AI9:AL1683">
    <cfRule type="cellIs" dxfId="23" priority="52" operator="greaterThan">
      <formula>0.92</formula>
    </cfRule>
    <cfRule type="cellIs" dxfId="22" priority="51" operator="lessThan">
      <formula>0.92</formula>
    </cfRule>
  </conditionalFormatting>
  <conditionalFormatting sqref="AN9:AQ1683">
    <cfRule type="cellIs" dxfId="21" priority="50" operator="greaterThan">
      <formula>0.99</formula>
    </cfRule>
    <cfRule type="cellIs" dxfId="20" priority="49" operator="lessThan">
      <formula>0.99</formula>
    </cfRule>
  </conditionalFormatting>
  <conditionalFormatting sqref="AS9:AV78">
    <cfRule type="cellIs" dxfId="19" priority="20" operator="greaterThan">
      <formula>$AR$9</formula>
    </cfRule>
    <cfRule type="cellIs" dxfId="18" priority="19" operator="lessThan">
      <formula>$AR$9</formula>
    </cfRule>
  </conditionalFormatting>
  <conditionalFormatting sqref="AS80:AV187">
    <cfRule type="cellIs" dxfId="17" priority="18" operator="greaterThan">
      <formula>$AR$80</formula>
    </cfRule>
    <cfRule type="cellIs" dxfId="16" priority="17" operator="lessThan">
      <formula>$AR$80</formula>
    </cfRule>
  </conditionalFormatting>
  <conditionalFormatting sqref="AS189:AV236">
    <cfRule type="cellIs" dxfId="15" priority="16" operator="greaterThan">
      <formula>$AR$189</formula>
    </cfRule>
    <cfRule type="cellIs" dxfId="14" priority="15" operator="lessThan">
      <formula>$AR$189</formula>
    </cfRule>
  </conditionalFormatting>
  <conditionalFormatting sqref="AS238:AV325">
    <cfRule type="cellIs" dxfId="13" priority="14" operator="greaterThan">
      <formula>$AR$238</formula>
    </cfRule>
    <cfRule type="cellIs" dxfId="12" priority="13" operator="lessThan">
      <formula>$AR$238</formula>
    </cfRule>
  </conditionalFormatting>
  <conditionalFormatting sqref="AS327:AV349">
    <cfRule type="cellIs" dxfId="11" priority="12" operator="greaterThan">
      <formula>$AR$327</formula>
    </cfRule>
    <cfRule type="cellIs" dxfId="10" priority="11" operator="lessThan">
      <formula>$AR$327</formula>
    </cfRule>
  </conditionalFormatting>
  <conditionalFormatting sqref="AS351:AV641">
    <cfRule type="cellIs" dxfId="9" priority="10" operator="greaterThan">
      <formula>$AR$351</formula>
    </cfRule>
    <cfRule type="cellIs" dxfId="8" priority="9" operator="lessThan">
      <formula>$AR$351</formula>
    </cfRule>
  </conditionalFormatting>
  <conditionalFormatting sqref="AS643:AV898">
    <cfRule type="cellIs" dxfId="7" priority="7" operator="lessThan">
      <formula>$AR$643</formula>
    </cfRule>
    <cfRule type="cellIs" dxfId="6" priority="8" operator="greaterThan">
      <formula>$AR$643</formula>
    </cfRule>
  </conditionalFormatting>
  <conditionalFormatting sqref="AS900:AV1055">
    <cfRule type="cellIs" dxfId="5" priority="6" operator="greaterThan">
      <formula>$AR$900</formula>
    </cfRule>
    <cfRule type="cellIs" dxfId="4" priority="5" operator="lessThan">
      <formula>$AR$900</formula>
    </cfRule>
  </conditionalFormatting>
  <conditionalFormatting sqref="AS1057:AV1423">
    <cfRule type="cellIs" dxfId="3" priority="4" operator="greaterThan">
      <formula>$AR$1057</formula>
    </cfRule>
    <cfRule type="cellIs" dxfId="2" priority="3" operator="lessThan">
      <formula>$AR$1057</formula>
    </cfRule>
  </conditionalFormatting>
  <conditionalFormatting sqref="AS1425:AV1683">
    <cfRule type="cellIs" dxfId="1" priority="1" operator="lessThan">
      <formula>$AR$1425</formula>
    </cfRule>
    <cfRule type="cellIs" dxfId="0" priority="2" operator="greaterThan">
      <formula>$AR$1425</formula>
    </cfRule>
  </conditionalFormatting>
  <pageMargins left="0.7" right="0.7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75209A-302E-4D3D-9142-4B65EE14C72D}">
  <dimension ref="B1:E1670"/>
  <sheetViews>
    <sheetView workbookViewId="0">
      <selection activeCell="F11" sqref="F11"/>
    </sheetView>
  </sheetViews>
  <sheetFormatPr defaultRowHeight="14.4"/>
  <cols>
    <col min="2" max="2" width="17.21875" customWidth="1"/>
    <col min="3" max="3" width="18.5546875" customWidth="1"/>
    <col min="4" max="4" width="26.44140625" customWidth="1"/>
    <col min="5" max="5" width="19.5546875" customWidth="1"/>
  </cols>
  <sheetData>
    <row r="1" spans="2:5" ht="15" thickBot="1"/>
    <row r="2" spans="2:5">
      <c r="B2" s="149" t="s">
        <v>40</v>
      </c>
      <c r="C2" s="151" t="s">
        <v>41</v>
      </c>
      <c r="D2" s="154" t="s">
        <v>42</v>
      </c>
      <c r="E2" s="156" t="s">
        <v>1737</v>
      </c>
    </row>
    <row r="3" spans="2:5">
      <c r="B3" s="150"/>
      <c r="C3" s="152"/>
      <c r="D3" s="155"/>
      <c r="E3" s="157"/>
    </row>
    <row r="4" spans="2:5" ht="15" thickBot="1">
      <c r="B4" s="150"/>
      <c r="C4" s="153"/>
      <c r="D4" s="155"/>
      <c r="E4" s="157"/>
    </row>
    <row r="5" spans="2:5">
      <c r="B5" s="137" t="s">
        <v>56</v>
      </c>
      <c r="C5" s="138" t="s">
        <v>29</v>
      </c>
      <c r="D5" s="139" t="s">
        <v>57</v>
      </c>
      <c r="E5" s="140" t="s">
        <v>1738</v>
      </c>
    </row>
    <row r="6" spans="2:5">
      <c r="B6" s="141" t="s">
        <v>56</v>
      </c>
      <c r="C6" s="133" t="s">
        <v>29</v>
      </c>
      <c r="D6" s="134" t="s">
        <v>58</v>
      </c>
      <c r="E6" s="142" t="s">
        <v>1738</v>
      </c>
    </row>
    <row r="7" spans="2:5">
      <c r="B7" s="141" t="s">
        <v>56</v>
      </c>
      <c r="C7" s="133" t="s">
        <v>29</v>
      </c>
      <c r="D7" s="134" t="s">
        <v>59</v>
      </c>
      <c r="E7" s="142" t="s">
        <v>1</v>
      </c>
    </row>
    <row r="8" spans="2:5">
      <c r="B8" s="141" t="s">
        <v>56</v>
      </c>
      <c r="C8" s="133" t="s">
        <v>29</v>
      </c>
      <c r="D8" s="134" t="s">
        <v>60</v>
      </c>
      <c r="E8" s="142" t="s">
        <v>1</v>
      </c>
    </row>
    <row r="9" spans="2:5">
      <c r="B9" s="141" t="s">
        <v>56</v>
      </c>
      <c r="C9" s="133" t="s">
        <v>29</v>
      </c>
      <c r="D9" s="134" t="s">
        <v>61</v>
      </c>
      <c r="E9" s="142" t="s">
        <v>1738</v>
      </c>
    </row>
    <row r="10" spans="2:5">
      <c r="B10" s="141" t="s">
        <v>56</v>
      </c>
      <c r="C10" s="133" t="s">
        <v>29</v>
      </c>
      <c r="D10" s="134" t="s">
        <v>62</v>
      </c>
      <c r="E10" s="142" t="s">
        <v>1738</v>
      </c>
    </row>
    <row r="11" spans="2:5">
      <c r="B11" s="141" t="s">
        <v>56</v>
      </c>
      <c r="C11" s="133" t="s">
        <v>29</v>
      </c>
      <c r="D11" s="134" t="s">
        <v>63</v>
      </c>
      <c r="E11" s="142" t="s">
        <v>1738</v>
      </c>
    </row>
    <row r="12" spans="2:5">
      <c r="B12" s="141" t="s">
        <v>56</v>
      </c>
      <c r="C12" s="133" t="s">
        <v>29</v>
      </c>
      <c r="D12" s="134" t="s">
        <v>64</v>
      </c>
      <c r="E12" s="142" t="s">
        <v>1</v>
      </c>
    </row>
    <row r="13" spans="2:5">
      <c r="B13" s="141" t="s">
        <v>56</v>
      </c>
      <c r="C13" s="133" t="s">
        <v>29</v>
      </c>
      <c r="D13" s="134" t="s">
        <v>65</v>
      </c>
      <c r="E13" s="142" t="s">
        <v>1</v>
      </c>
    </row>
    <row r="14" spans="2:5">
      <c r="B14" s="141" t="s">
        <v>56</v>
      </c>
      <c r="C14" s="133" t="s">
        <v>29</v>
      </c>
      <c r="D14" s="134" t="s">
        <v>66</v>
      </c>
      <c r="E14" s="142" t="s">
        <v>1</v>
      </c>
    </row>
    <row r="15" spans="2:5">
      <c r="B15" s="141" t="s">
        <v>56</v>
      </c>
      <c r="C15" s="133" t="s">
        <v>29</v>
      </c>
      <c r="D15" s="134" t="s">
        <v>67</v>
      </c>
      <c r="E15" s="142" t="s">
        <v>1738</v>
      </c>
    </row>
    <row r="16" spans="2:5">
      <c r="B16" s="141" t="s">
        <v>56</v>
      </c>
      <c r="C16" s="133" t="s">
        <v>29</v>
      </c>
      <c r="D16" s="134" t="s">
        <v>68</v>
      </c>
      <c r="E16" s="142" t="s">
        <v>1</v>
      </c>
    </row>
    <row r="17" spans="2:5">
      <c r="B17" s="141" t="s">
        <v>56</v>
      </c>
      <c r="C17" s="133" t="s">
        <v>29</v>
      </c>
      <c r="D17" s="134" t="s">
        <v>69</v>
      </c>
      <c r="E17" s="142" t="s">
        <v>1738</v>
      </c>
    </row>
    <row r="18" spans="2:5">
      <c r="B18" s="141" t="s">
        <v>56</v>
      </c>
      <c r="C18" s="133" t="s">
        <v>29</v>
      </c>
      <c r="D18" s="134" t="s">
        <v>70</v>
      </c>
      <c r="E18" s="142" t="s">
        <v>1738</v>
      </c>
    </row>
    <row r="19" spans="2:5">
      <c r="B19" s="141" t="s">
        <v>56</v>
      </c>
      <c r="C19" s="133" t="s">
        <v>29</v>
      </c>
      <c r="D19" s="134" t="s">
        <v>71</v>
      </c>
      <c r="E19" s="142" t="s">
        <v>1738</v>
      </c>
    </row>
    <row r="20" spans="2:5">
      <c r="B20" s="141" t="s">
        <v>56</v>
      </c>
      <c r="C20" s="133" t="s">
        <v>29</v>
      </c>
      <c r="D20" s="134" t="s">
        <v>72</v>
      </c>
      <c r="E20" s="142" t="s">
        <v>1</v>
      </c>
    </row>
    <row r="21" spans="2:5">
      <c r="B21" s="141" t="s">
        <v>56</v>
      </c>
      <c r="C21" s="133" t="s">
        <v>29</v>
      </c>
      <c r="D21" s="134" t="s">
        <v>73</v>
      </c>
      <c r="E21" s="142" t="s">
        <v>1738</v>
      </c>
    </row>
    <row r="22" spans="2:5">
      <c r="B22" s="141" t="s">
        <v>56</v>
      </c>
      <c r="C22" s="133" t="s">
        <v>29</v>
      </c>
      <c r="D22" s="134" t="s">
        <v>74</v>
      </c>
      <c r="E22" s="142" t="s">
        <v>1</v>
      </c>
    </row>
    <row r="23" spans="2:5">
      <c r="B23" s="141" t="s">
        <v>56</v>
      </c>
      <c r="C23" s="133" t="s">
        <v>29</v>
      </c>
      <c r="D23" s="134" t="s">
        <v>75</v>
      </c>
      <c r="E23" s="142" t="s">
        <v>1</v>
      </c>
    </row>
    <row r="24" spans="2:5">
      <c r="B24" s="141" t="s">
        <v>56</v>
      </c>
      <c r="C24" s="133" t="s">
        <v>29</v>
      </c>
      <c r="D24" s="134" t="s">
        <v>76</v>
      </c>
      <c r="E24" s="142" t="s">
        <v>1738</v>
      </c>
    </row>
    <row r="25" spans="2:5">
      <c r="B25" s="141" t="s">
        <v>56</v>
      </c>
      <c r="C25" s="133" t="s">
        <v>29</v>
      </c>
      <c r="D25" s="134" t="s">
        <v>77</v>
      </c>
      <c r="E25" s="142" t="s">
        <v>1738</v>
      </c>
    </row>
    <row r="26" spans="2:5">
      <c r="B26" s="141" t="s">
        <v>56</v>
      </c>
      <c r="C26" s="133" t="s">
        <v>29</v>
      </c>
      <c r="D26" s="134" t="s">
        <v>78</v>
      </c>
      <c r="E26" s="142" t="s">
        <v>1</v>
      </c>
    </row>
    <row r="27" spans="2:5">
      <c r="B27" s="141" t="s">
        <v>56</v>
      </c>
      <c r="C27" s="133" t="s">
        <v>29</v>
      </c>
      <c r="D27" s="134" t="s">
        <v>79</v>
      </c>
      <c r="E27" s="142" t="s">
        <v>1</v>
      </c>
    </row>
    <row r="28" spans="2:5">
      <c r="B28" s="141" t="s">
        <v>56</v>
      </c>
      <c r="C28" s="133" t="s">
        <v>29</v>
      </c>
      <c r="D28" s="134" t="s">
        <v>80</v>
      </c>
      <c r="E28" s="142" t="s">
        <v>1</v>
      </c>
    </row>
    <row r="29" spans="2:5">
      <c r="B29" s="141" t="s">
        <v>56</v>
      </c>
      <c r="C29" s="133" t="s">
        <v>29</v>
      </c>
      <c r="D29" s="134" t="s">
        <v>81</v>
      </c>
      <c r="E29" s="142" t="s">
        <v>1738</v>
      </c>
    </row>
    <row r="30" spans="2:5">
      <c r="B30" s="141" t="s">
        <v>56</v>
      </c>
      <c r="C30" s="133" t="s">
        <v>29</v>
      </c>
      <c r="D30" s="134" t="s">
        <v>82</v>
      </c>
      <c r="E30" s="142" t="s">
        <v>1</v>
      </c>
    </row>
    <row r="31" spans="2:5">
      <c r="B31" s="141" t="s">
        <v>56</v>
      </c>
      <c r="C31" s="133" t="s">
        <v>29</v>
      </c>
      <c r="D31" s="134" t="s">
        <v>83</v>
      </c>
      <c r="E31" s="142" t="s">
        <v>1738</v>
      </c>
    </row>
    <row r="32" spans="2:5">
      <c r="B32" s="141" t="s">
        <v>56</v>
      </c>
      <c r="C32" s="133" t="s">
        <v>29</v>
      </c>
      <c r="D32" s="134" t="s">
        <v>84</v>
      </c>
      <c r="E32" s="142" t="s">
        <v>1</v>
      </c>
    </row>
    <row r="33" spans="2:5">
      <c r="B33" s="141" t="s">
        <v>56</v>
      </c>
      <c r="C33" s="133" t="s">
        <v>29</v>
      </c>
      <c r="D33" s="134" t="s">
        <v>85</v>
      </c>
      <c r="E33" s="142" t="s">
        <v>1</v>
      </c>
    </row>
    <row r="34" spans="2:5">
      <c r="B34" s="141" t="s">
        <v>56</v>
      </c>
      <c r="C34" s="133" t="s">
        <v>29</v>
      </c>
      <c r="D34" s="134" t="s">
        <v>86</v>
      </c>
      <c r="E34" s="142" t="s">
        <v>1</v>
      </c>
    </row>
    <row r="35" spans="2:5">
      <c r="B35" s="141" t="s">
        <v>56</v>
      </c>
      <c r="C35" s="133" t="s">
        <v>29</v>
      </c>
      <c r="D35" s="134" t="s">
        <v>87</v>
      </c>
      <c r="E35" s="142" t="s">
        <v>1</v>
      </c>
    </row>
    <row r="36" spans="2:5">
      <c r="B36" s="141" t="s">
        <v>56</v>
      </c>
      <c r="C36" s="133" t="s">
        <v>29</v>
      </c>
      <c r="D36" s="134" t="s">
        <v>88</v>
      </c>
      <c r="E36" s="142" t="s">
        <v>1738</v>
      </c>
    </row>
    <row r="37" spans="2:5">
      <c r="B37" s="141" t="s">
        <v>56</v>
      </c>
      <c r="C37" s="133" t="s">
        <v>29</v>
      </c>
      <c r="D37" s="134" t="s">
        <v>89</v>
      </c>
      <c r="E37" s="142" t="s">
        <v>1</v>
      </c>
    </row>
    <row r="38" spans="2:5">
      <c r="B38" s="141" t="s">
        <v>56</v>
      </c>
      <c r="C38" s="133" t="s">
        <v>29</v>
      </c>
      <c r="D38" s="134" t="s">
        <v>90</v>
      </c>
      <c r="E38" s="142" t="s">
        <v>1</v>
      </c>
    </row>
    <row r="39" spans="2:5">
      <c r="B39" s="141" t="s">
        <v>56</v>
      </c>
      <c r="C39" s="133" t="s">
        <v>29</v>
      </c>
      <c r="D39" s="134" t="s">
        <v>91</v>
      </c>
      <c r="E39" s="142" t="s">
        <v>1</v>
      </c>
    </row>
    <row r="40" spans="2:5">
      <c r="B40" s="141" t="s">
        <v>56</v>
      </c>
      <c r="C40" s="133" t="s">
        <v>29</v>
      </c>
      <c r="D40" s="134" t="s">
        <v>92</v>
      </c>
      <c r="E40" s="142" t="s">
        <v>1</v>
      </c>
    </row>
    <row r="41" spans="2:5">
      <c r="B41" s="141" t="s">
        <v>56</v>
      </c>
      <c r="C41" s="133" t="s">
        <v>29</v>
      </c>
      <c r="D41" s="134" t="s">
        <v>93</v>
      </c>
      <c r="E41" s="142" t="s">
        <v>1738</v>
      </c>
    </row>
    <row r="42" spans="2:5">
      <c r="B42" s="141" t="s">
        <v>56</v>
      </c>
      <c r="C42" s="133" t="s">
        <v>29</v>
      </c>
      <c r="D42" s="134" t="s">
        <v>94</v>
      </c>
      <c r="E42" s="142" t="s">
        <v>1738</v>
      </c>
    </row>
    <row r="43" spans="2:5">
      <c r="B43" s="141" t="s">
        <v>56</v>
      </c>
      <c r="C43" s="133" t="s">
        <v>29</v>
      </c>
      <c r="D43" s="134" t="s">
        <v>95</v>
      </c>
      <c r="E43" s="142" t="s">
        <v>1738</v>
      </c>
    </row>
    <row r="44" spans="2:5">
      <c r="B44" s="141" t="s">
        <v>56</v>
      </c>
      <c r="C44" s="133" t="s">
        <v>29</v>
      </c>
      <c r="D44" s="134" t="s">
        <v>96</v>
      </c>
      <c r="E44" s="142" t="s">
        <v>1738</v>
      </c>
    </row>
    <row r="45" spans="2:5">
      <c r="B45" s="141" t="s">
        <v>56</v>
      </c>
      <c r="C45" s="133" t="s">
        <v>29</v>
      </c>
      <c r="D45" s="134" t="s">
        <v>97</v>
      </c>
      <c r="E45" s="142" t="s">
        <v>1738</v>
      </c>
    </row>
    <row r="46" spans="2:5">
      <c r="B46" s="141" t="s">
        <v>56</v>
      </c>
      <c r="C46" s="133" t="s">
        <v>29</v>
      </c>
      <c r="D46" s="134" t="s">
        <v>98</v>
      </c>
      <c r="E46" s="142" t="s">
        <v>1</v>
      </c>
    </row>
    <row r="47" spans="2:5">
      <c r="B47" s="141" t="s">
        <v>56</v>
      </c>
      <c r="C47" s="133" t="s">
        <v>29</v>
      </c>
      <c r="D47" s="134" t="s">
        <v>99</v>
      </c>
      <c r="E47" s="142" t="s">
        <v>1</v>
      </c>
    </row>
    <row r="48" spans="2:5">
      <c r="B48" s="141" t="s">
        <v>56</v>
      </c>
      <c r="C48" s="133" t="s">
        <v>29</v>
      </c>
      <c r="D48" s="134" t="s">
        <v>100</v>
      </c>
      <c r="E48" s="142" t="s">
        <v>1</v>
      </c>
    </row>
    <row r="49" spans="2:5">
      <c r="B49" s="141" t="s">
        <v>56</v>
      </c>
      <c r="C49" s="133" t="s">
        <v>29</v>
      </c>
      <c r="D49" s="134" t="s">
        <v>101</v>
      </c>
      <c r="E49" s="142" t="s">
        <v>1738</v>
      </c>
    </row>
    <row r="50" spans="2:5">
      <c r="B50" s="141" t="s">
        <v>56</v>
      </c>
      <c r="C50" s="133" t="s">
        <v>29</v>
      </c>
      <c r="D50" s="134" t="s">
        <v>102</v>
      </c>
      <c r="E50" s="142" t="s">
        <v>1738</v>
      </c>
    </row>
    <row r="51" spans="2:5">
      <c r="B51" s="141" t="s">
        <v>56</v>
      </c>
      <c r="C51" s="133" t="s">
        <v>29</v>
      </c>
      <c r="D51" s="134" t="s">
        <v>103</v>
      </c>
      <c r="E51" s="142" t="s">
        <v>1738</v>
      </c>
    </row>
    <row r="52" spans="2:5">
      <c r="B52" s="141" t="s">
        <v>56</v>
      </c>
      <c r="C52" s="133" t="s">
        <v>29</v>
      </c>
      <c r="D52" s="134" t="s">
        <v>104</v>
      </c>
      <c r="E52" s="142" t="s">
        <v>1</v>
      </c>
    </row>
    <row r="53" spans="2:5">
      <c r="B53" s="141" t="s">
        <v>56</v>
      </c>
      <c r="C53" s="133" t="s">
        <v>29</v>
      </c>
      <c r="D53" s="134" t="s">
        <v>105</v>
      </c>
      <c r="E53" s="142" t="s">
        <v>1738</v>
      </c>
    </row>
    <row r="54" spans="2:5">
      <c r="B54" s="141" t="s">
        <v>56</v>
      </c>
      <c r="C54" s="133" t="s">
        <v>29</v>
      </c>
      <c r="D54" s="134" t="s">
        <v>106</v>
      </c>
      <c r="E54" s="142" t="s">
        <v>1738</v>
      </c>
    </row>
    <row r="55" spans="2:5">
      <c r="B55" s="141" t="s">
        <v>56</v>
      </c>
      <c r="C55" s="133" t="s">
        <v>29</v>
      </c>
      <c r="D55" s="134" t="s">
        <v>107</v>
      </c>
      <c r="E55" s="142" t="s">
        <v>1</v>
      </c>
    </row>
    <row r="56" spans="2:5">
      <c r="B56" s="141" t="s">
        <v>56</v>
      </c>
      <c r="C56" s="133" t="s">
        <v>29</v>
      </c>
      <c r="D56" s="134" t="s">
        <v>108</v>
      </c>
      <c r="E56" s="142" t="s">
        <v>1738</v>
      </c>
    </row>
    <row r="57" spans="2:5">
      <c r="B57" s="141" t="s">
        <v>56</v>
      </c>
      <c r="C57" s="133" t="s">
        <v>29</v>
      </c>
      <c r="D57" s="134" t="s">
        <v>109</v>
      </c>
      <c r="E57" s="142" t="s">
        <v>1738</v>
      </c>
    </row>
    <row r="58" spans="2:5">
      <c r="B58" s="141" t="s">
        <v>56</v>
      </c>
      <c r="C58" s="133" t="s">
        <v>29</v>
      </c>
      <c r="D58" s="134" t="s">
        <v>110</v>
      </c>
      <c r="E58" s="142" t="s">
        <v>1</v>
      </c>
    </row>
    <row r="59" spans="2:5">
      <c r="B59" s="141" t="s">
        <v>56</v>
      </c>
      <c r="C59" s="133" t="s">
        <v>29</v>
      </c>
      <c r="D59" s="134" t="s">
        <v>111</v>
      </c>
      <c r="E59" s="142" t="s">
        <v>1</v>
      </c>
    </row>
    <row r="60" spans="2:5">
      <c r="B60" s="141" t="s">
        <v>56</v>
      </c>
      <c r="C60" s="133" t="s">
        <v>29</v>
      </c>
      <c r="D60" s="134" t="s">
        <v>112</v>
      </c>
      <c r="E60" s="142" t="s">
        <v>1738</v>
      </c>
    </row>
    <row r="61" spans="2:5">
      <c r="B61" s="141" t="s">
        <v>56</v>
      </c>
      <c r="C61" s="133" t="s">
        <v>29</v>
      </c>
      <c r="D61" s="134" t="s">
        <v>113</v>
      </c>
      <c r="E61" s="142" t="s">
        <v>1</v>
      </c>
    </row>
    <row r="62" spans="2:5">
      <c r="B62" s="141" t="s">
        <v>56</v>
      </c>
      <c r="C62" s="133" t="s">
        <v>29</v>
      </c>
      <c r="D62" s="134" t="s">
        <v>114</v>
      </c>
      <c r="E62" s="142" t="s">
        <v>1738</v>
      </c>
    </row>
    <row r="63" spans="2:5">
      <c r="B63" s="141" t="s">
        <v>56</v>
      </c>
      <c r="C63" s="133" t="s">
        <v>29</v>
      </c>
      <c r="D63" s="134" t="s">
        <v>115</v>
      </c>
      <c r="E63" s="142" t="s">
        <v>1738</v>
      </c>
    </row>
    <row r="64" spans="2:5">
      <c r="B64" s="141" t="s">
        <v>56</v>
      </c>
      <c r="C64" s="133" t="s">
        <v>29</v>
      </c>
      <c r="D64" s="134" t="s">
        <v>116</v>
      </c>
      <c r="E64" s="142" t="s">
        <v>1</v>
      </c>
    </row>
    <row r="65" spans="2:5">
      <c r="B65" s="141" t="s">
        <v>56</v>
      </c>
      <c r="C65" s="133" t="s">
        <v>29</v>
      </c>
      <c r="D65" s="134" t="s">
        <v>117</v>
      </c>
      <c r="E65" s="142" t="s">
        <v>1</v>
      </c>
    </row>
    <row r="66" spans="2:5">
      <c r="B66" s="141" t="s">
        <v>56</v>
      </c>
      <c r="C66" s="133" t="s">
        <v>29</v>
      </c>
      <c r="D66" s="134" t="s">
        <v>118</v>
      </c>
      <c r="E66" s="142" t="s">
        <v>1738</v>
      </c>
    </row>
    <row r="67" spans="2:5">
      <c r="B67" s="141" t="s">
        <v>56</v>
      </c>
      <c r="C67" s="133" t="s">
        <v>29</v>
      </c>
      <c r="D67" s="134" t="s">
        <v>119</v>
      </c>
      <c r="E67" s="142" t="s">
        <v>1738</v>
      </c>
    </row>
    <row r="68" spans="2:5">
      <c r="B68" s="141" t="s">
        <v>56</v>
      </c>
      <c r="C68" s="133" t="s">
        <v>29</v>
      </c>
      <c r="D68" s="134" t="s">
        <v>120</v>
      </c>
      <c r="E68" s="142" t="s">
        <v>1738</v>
      </c>
    </row>
    <row r="69" spans="2:5">
      <c r="B69" s="141" t="s">
        <v>56</v>
      </c>
      <c r="C69" s="133" t="s">
        <v>29</v>
      </c>
      <c r="D69" s="134" t="s">
        <v>121</v>
      </c>
      <c r="E69" s="142" t="s">
        <v>1738</v>
      </c>
    </row>
    <row r="70" spans="2:5">
      <c r="B70" s="141" t="s">
        <v>56</v>
      </c>
      <c r="C70" s="133" t="s">
        <v>29</v>
      </c>
      <c r="D70" s="134" t="s">
        <v>122</v>
      </c>
      <c r="E70" s="142" t="s">
        <v>1738</v>
      </c>
    </row>
    <row r="71" spans="2:5">
      <c r="B71" s="141" t="s">
        <v>56</v>
      </c>
      <c r="C71" s="133" t="s">
        <v>29</v>
      </c>
      <c r="D71" s="134" t="s">
        <v>123</v>
      </c>
      <c r="E71" s="142" t="s">
        <v>1738</v>
      </c>
    </row>
    <row r="72" spans="2:5">
      <c r="B72" s="141" t="s">
        <v>56</v>
      </c>
      <c r="C72" s="133" t="s">
        <v>29</v>
      </c>
      <c r="D72" s="134" t="s">
        <v>124</v>
      </c>
      <c r="E72" s="142" t="s">
        <v>1738</v>
      </c>
    </row>
    <row r="73" spans="2:5">
      <c r="B73" s="141" t="s">
        <v>56</v>
      </c>
      <c r="C73" s="133" t="s">
        <v>29</v>
      </c>
      <c r="D73" s="134" t="s">
        <v>125</v>
      </c>
      <c r="E73" s="142" t="s">
        <v>1</v>
      </c>
    </row>
    <row r="74" spans="2:5">
      <c r="B74" s="141" t="s">
        <v>56</v>
      </c>
      <c r="C74" s="133" t="s">
        <v>29</v>
      </c>
      <c r="D74" s="134" t="s">
        <v>126</v>
      </c>
      <c r="E74" s="142" t="s">
        <v>1</v>
      </c>
    </row>
    <row r="75" spans="2:5">
      <c r="B75" s="141" t="s">
        <v>127</v>
      </c>
      <c r="C75" s="133" t="s">
        <v>11</v>
      </c>
      <c r="D75" s="134" t="s">
        <v>128</v>
      </c>
      <c r="E75" s="142" t="s">
        <v>1738</v>
      </c>
    </row>
    <row r="76" spans="2:5">
      <c r="B76" s="141" t="s">
        <v>127</v>
      </c>
      <c r="C76" s="133" t="s">
        <v>11</v>
      </c>
      <c r="D76" s="134" t="s">
        <v>129</v>
      </c>
      <c r="E76" s="142" t="s">
        <v>1738</v>
      </c>
    </row>
    <row r="77" spans="2:5">
      <c r="B77" s="141" t="s">
        <v>127</v>
      </c>
      <c r="C77" s="133" t="s">
        <v>11</v>
      </c>
      <c r="D77" s="134" t="s">
        <v>130</v>
      </c>
      <c r="E77" s="142" t="s">
        <v>1738</v>
      </c>
    </row>
    <row r="78" spans="2:5">
      <c r="B78" s="141" t="s">
        <v>127</v>
      </c>
      <c r="C78" s="133" t="s">
        <v>11</v>
      </c>
      <c r="D78" s="134" t="s">
        <v>131</v>
      </c>
      <c r="E78" s="142" t="s">
        <v>1738</v>
      </c>
    </row>
    <row r="79" spans="2:5">
      <c r="B79" s="141" t="s">
        <v>127</v>
      </c>
      <c r="C79" s="133" t="s">
        <v>11</v>
      </c>
      <c r="D79" s="134" t="s">
        <v>132</v>
      </c>
      <c r="E79" s="142" t="s">
        <v>1738</v>
      </c>
    </row>
    <row r="80" spans="2:5">
      <c r="B80" s="141" t="s">
        <v>127</v>
      </c>
      <c r="C80" s="133" t="s">
        <v>11</v>
      </c>
      <c r="D80" s="134" t="s">
        <v>133</v>
      </c>
      <c r="E80" s="142" t="s">
        <v>1</v>
      </c>
    </row>
    <row r="81" spans="2:5">
      <c r="B81" s="141" t="s">
        <v>127</v>
      </c>
      <c r="C81" s="133" t="s">
        <v>11</v>
      </c>
      <c r="D81" s="134" t="s">
        <v>134</v>
      </c>
      <c r="E81" s="142" t="s">
        <v>1</v>
      </c>
    </row>
    <row r="82" spans="2:5">
      <c r="B82" s="141" t="s">
        <v>127</v>
      </c>
      <c r="C82" s="133" t="s">
        <v>11</v>
      </c>
      <c r="D82" s="134" t="s">
        <v>135</v>
      </c>
      <c r="E82" s="142" t="s">
        <v>1</v>
      </c>
    </row>
    <row r="83" spans="2:5">
      <c r="B83" s="141" t="s">
        <v>127</v>
      </c>
      <c r="C83" s="133" t="s">
        <v>11</v>
      </c>
      <c r="D83" s="134" t="s">
        <v>136</v>
      </c>
      <c r="E83" s="142" t="s">
        <v>1</v>
      </c>
    </row>
    <row r="84" spans="2:5">
      <c r="B84" s="141" t="s">
        <v>127</v>
      </c>
      <c r="C84" s="133" t="s">
        <v>11</v>
      </c>
      <c r="D84" s="134" t="s">
        <v>137</v>
      </c>
      <c r="E84" s="142" t="s">
        <v>1</v>
      </c>
    </row>
    <row r="85" spans="2:5">
      <c r="B85" s="141" t="s">
        <v>127</v>
      </c>
      <c r="C85" s="133" t="s">
        <v>11</v>
      </c>
      <c r="D85" s="134" t="s">
        <v>138</v>
      </c>
      <c r="E85" s="142" t="s">
        <v>1</v>
      </c>
    </row>
    <row r="86" spans="2:5">
      <c r="B86" s="141" t="s">
        <v>127</v>
      </c>
      <c r="C86" s="133" t="s">
        <v>11</v>
      </c>
      <c r="D86" s="134" t="s">
        <v>139</v>
      </c>
      <c r="E86" s="142" t="s">
        <v>1</v>
      </c>
    </row>
    <row r="87" spans="2:5">
      <c r="B87" s="141" t="s">
        <v>127</v>
      </c>
      <c r="C87" s="133" t="s">
        <v>11</v>
      </c>
      <c r="D87" s="134" t="s">
        <v>140</v>
      </c>
      <c r="E87" s="142" t="s">
        <v>1</v>
      </c>
    </row>
    <row r="88" spans="2:5">
      <c r="B88" s="141" t="s">
        <v>127</v>
      </c>
      <c r="C88" s="133" t="s">
        <v>11</v>
      </c>
      <c r="D88" s="134" t="s">
        <v>141</v>
      </c>
      <c r="E88" s="142" t="s">
        <v>1</v>
      </c>
    </row>
    <row r="89" spans="2:5">
      <c r="B89" s="141" t="s">
        <v>127</v>
      </c>
      <c r="C89" s="133" t="s">
        <v>11</v>
      </c>
      <c r="D89" s="134" t="s">
        <v>142</v>
      </c>
      <c r="E89" s="142" t="s">
        <v>1738</v>
      </c>
    </row>
    <row r="90" spans="2:5">
      <c r="B90" s="141" t="s">
        <v>127</v>
      </c>
      <c r="C90" s="133" t="s">
        <v>11</v>
      </c>
      <c r="D90" s="134" t="s">
        <v>143</v>
      </c>
      <c r="E90" s="142" t="s">
        <v>1738</v>
      </c>
    </row>
    <row r="91" spans="2:5">
      <c r="B91" s="141" t="s">
        <v>127</v>
      </c>
      <c r="C91" s="133" t="s">
        <v>11</v>
      </c>
      <c r="D91" s="134" t="s">
        <v>144</v>
      </c>
      <c r="E91" s="142" t="s">
        <v>1</v>
      </c>
    </row>
    <row r="92" spans="2:5">
      <c r="B92" s="141" t="s">
        <v>127</v>
      </c>
      <c r="C92" s="133" t="s">
        <v>11</v>
      </c>
      <c r="D92" s="134" t="s">
        <v>145</v>
      </c>
      <c r="E92" s="142" t="s">
        <v>1</v>
      </c>
    </row>
    <row r="93" spans="2:5">
      <c r="B93" s="141" t="s">
        <v>127</v>
      </c>
      <c r="C93" s="133" t="s">
        <v>11</v>
      </c>
      <c r="D93" s="134" t="s">
        <v>146</v>
      </c>
      <c r="E93" s="142" t="s">
        <v>1</v>
      </c>
    </row>
    <row r="94" spans="2:5">
      <c r="B94" s="141" t="s">
        <v>127</v>
      </c>
      <c r="C94" s="133" t="s">
        <v>11</v>
      </c>
      <c r="D94" s="134" t="s">
        <v>147</v>
      </c>
      <c r="E94" s="142" t="s">
        <v>1</v>
      </c>
    </row>
    <row r="95" spans="2:5">
      <c r="B95" s="141" t="s">
        <v>127</v>
      </c>
      <c r="C95" s="133" t="s">
        <v>11</v>
      </c>
      <c r="D95" s="134" t="s">
        <v>148</v>
      </c>
      <c r="E95" s="142" t="s">
        <v>1</v>
      </c>
    </row>
    <row r="96" spans="2:5">
      <c r="B96" s="141" t="s">
        <v>127</v>
      </c>
      <c r="C96" s="133" t="s">
        <v>11</v>
      </c>
      <c r="D96" s="134" t="s">
        <v>149</v>
      </c>
      <c r="E96" s="142" t="s">
        <v>1</v>
      </c>
    </row>
    <row r="97" spans="2:5">
      <c r="B97" s="141" t="s">
        <v>127</v>
      </c>
      <c r="C97" s="133" t="s">
        <v>11</v>
      </c>
      <c r="D97" s="134" t="s">
        <v>150</v>
      </c>
      <c r="E97" s="142" t="s">
        <v>1</v>
      </c>
    </row>
    <row r="98" spans="2:5">
      <c r="B98" s="141" t="s">
        <v>127</v>
      </c>
      <c r="C98" s="133" t="s">
        <v>11</v>
      </c>
      <c r="D98" s="134" t="s">
        <v>151</v>
      </c>
      <c r="E98" s="142" t="s">
        <v>1738</v>
      </c>
    </row>
    <row r="99" spans="2:5">
      <c r="B99" s="141" t="s">
        <v>127</v>
      </c>
      <c r="C99" s="133" t="s">
        <v>11</v>
      </c>
      <c r="D99" s="134" t="s">
        <v>152</v>
      </c>
      <c r="E99" s="142" t="s">
        <v>1738</v>
      </c>
    </row>
    <row r="100" spans="2:5">
      <c r="B100" s="141" t="s">
        <v>127</v>
      </c>
      <c r="C100" s="133" t="s">
        <v>11</v>
      </c>
      <c r="D100" s="134" t="s">
        <v>153</v>
      </c>
      <c r="E100" s="142" t="s">
        <v>1738</v>
      </c>
    </row>
    <row r="101" spans="2:5">
      <c r="B101" s="141" t="s">
        <v>127</v>
      </c>
      <c r="C101" s="133" t="s">
        <v>11</v>
      </c>
      <c r="D101" s="134" t="s">
        <v>154</v>
      </c>
      <c r="E101" s="142" t="s">
        <v>1</v>
      </c>
    </row>
    <row r="102" spans="2:5">
      <c r="B102" s="141" t="s">
        <v>127</v>
      </c>
      <c r="C102" s="133" t="s">
        <v>11</v>
      </c>
      <c r="D102" s="134" t="s">
        <v>155</v>
      </c>
      <c r="E102" s="142" t="s">
        <v>1</v>
      </c>
    </row>
    <row r="103" spans="2:5">
      <c r="B103" s="141" t="s">
        <v>127</v>
      </c>
      <c r="C103" s="133" t="s">
        <v>11</v>
      </c>
      <c r="D103" s="134" t="s">
        <v>156</v>
      </c>
      <c r="E103" s="142" t="s">
        <v>1738</v>
      </c>
    </row>
    <row r="104" spans="2:5">
      <c r="B104" s="141" t="s">
        <v>127</v>
      </c>
      <c r="C104" s="133" t="s">
        <v>11</v>
      </c>
      <c r="D104" s="134" t="s">
        <v>157</v>
      </c>
      <c r="E104" s="142" t="s">
        <v>1738</v>
      </c>
    </row>
    <row r="105" spans="2:5">
      <c r="B105" s="141" t="s">
        <v>127</v>
      </c>
      <c r="C105" s="133" t="s">
        <v>11</v>
      </c>
      <c r="D105" s="134" t="s">
        <v>158</v>
      </c>
      <c r="E105" s="142" t="s">
        <v>1</v>
      </c>
    </row>
    <row r="106" spans="2:5">
      <c r="B106" s="141" t="s">
        <v>127</v>
      </c>
      <c r="C106" s="133" t="s">
        <v>11</v>
      </c>
      <c r="D106" s="134" t="s">
        <v>159</v>
      </c>
      <c r="E106" s="142" t="s">
        <v>1738</v>
      </c>
    </row>
    <row r="107" spans="2:5">
      <c r="B107" s="141" t="s">
        <v>127</v>
      </c>
      <c r="C107" s="133" t="s">
        <v>11</v>
      </c>
      <c r="D107" s="134" t="s">
        <v>160</v>
      </c>
      <c r="E107" s="142" t="s">
        <v>1738</v>
      </c>
    </row>
    <row r="108" spans="2:5">
      <c r="B108" s="141" t="s">
        <v>127</v>
      </c>
      <c r="C108" s="133" t="s">
        <v>11</v>
      </c>
      <c r="D108" s="134" t="s">
        <v>161</v>
      </c>
      <c r="E108" s="142" t="s">
        <v>1738</v>
      </c>
    </row>
    <row r="109" spans="2:5">
      <c r="B109" s="141" t="s">
        <v>127</v>
      </c>
      <c r="C109" s="133" t="s">
        <v>11</v>
      </c>
      <c r="D109" s="134" t="s">
        <v>162</v>
      </c>
      <c r="E109" s="142" t="s">
        <v>1738</v>
      </c>
    </row>
    <row r="110" spans="2:5">
      <c r="B110" s="141" t="s">
        <v>127</v>
      </c>
      <c r="C110" s="133" t="s">
        <v>11</v>
      </c>
      <c r="D110" s="134" t="s">
        <v>163</v>
      </c>
      <c r="E110" s="142" t="s">
        <v>1</v>
      </c>
    </row>
    <row r="111" spans="2:5">
      <c r="B111" s="141" t="s">
        <v>127</v>
      </c>
      <c r="C111" s="133" t="s">
        <v>11</v>
      </c>
      <c r="D111" s="134" t="s">
        <v>164</v>
      </c>
      <c r="E111" s="142" t="s">
        <v>1738</v>
      </c>
    </row>
    <row r="112" spans="2:5">
      <c r="B112" s="141" t="s">
        <v>127</v>
      </c>
      <c r="C112" s="133" t="s">
        <v>11</v>
      </c>
      <c r="D112" s="134" t="s">
        <v>165</v>
      </c>
      <c r="E112" s="142" t="s">
        <v>1738</v>
      </c>
    </row>
    <row r="113" spans="2:5">
      <c r="B113" s="141" t="s">
        <v>127</v>
      </c>
      <c r="C113" s="133" t="s">
        <v>11</v>
      </c>
      <c r="D113" s="134" t="s">
        <v>166</v>
      </c>
      <c r="E113" s="142" t="s">
        <v>1738</v>
      </c>
    </row>
    <row r="114" spans="2:5">
      <c r="B114" s="141" t="s">
        <v>127</v>
      </c>
      <c r="C114" s="133" t="s">
        <v>11</v>
      </c>
      <c r="D114" s="134" t="s">
        <v>167</v>
      </c>
      <c r="E114" s="142" t="s">
        <v>1738</v>
      </c>
    </row>
    <row r="115" spans="2:5">
      <c r="B115" s="141" t="s">
        <v>127</v>
      </c>
      <c r="C115" s="133" t="s">
        <v>11</v>
      </c>
      <c r="D115" s="134" t="s">
        <v>168</v>
      </c>
      <c r="E115" s="142" t="s">
        <v>1738</v>
      </c>
    </row>
    <row r="116" spans="2:5">
      <c r="B116" s="141" t="s">
        <v>127</v>
      </c>
      <c r="C116" s="133" t="s">
        <v>11</v>
      </c>
      <c r="D116" s="134" t="s">
        <v>169</v>
      </c>
      <c r="E116" s="142" t="s">
        <v>1738</v>
      </c>
    </row>
    <row r="117" spans="2:5">
      <c r="B117" s="141" t="s">
        <v>127</v>
      </c>
      <c r="C117" s="133" t="s">
        <v>11</v>
      </c>
      <c r="D117" s="134" t="s">
        <v>170</v>
      </c>
      <c r="E117" s="142" t="s">
        <v>1738</v>
      </c>
    </row>
    <row r="118" spans="2:5">
      <c r="B118" s="141" t="s">
        <v>127</v>
      </c>
      <c r="C118" s="133" t="s">
        <v>11</v>
      </c>
      <c r="D118" s="134" t="s">
        <v>171</v>
      </c>
      <c r="E118" s="142" t="s">
        <v>1738</v>
      </c>
    </row>
    <row r="119" spans="2:5">
      <c r="B119" s="141" t="s">
        <v>127</v>
      </c>
      <c r="C119" s="133" t="s">
        <v>11</v>
      </c>
      <c r="D119" s="134" t="s">
        <v>172</v>
      </c>
      <c r="E119" s="142" t="s">
        <v>1738</v>
      </c>
    </row>
    <row r="120" spans="2:5">
      <c r="B120" s="141" t="s">
        <v>127</v>
      </c>
      <c r="C120" s="133" t="s">
        <v>11</v>
      </c>
      <c r="D120" s="134" t="s">
        <v>173</v>
      </c>
      <c r="E120" s="142" t="s">
        <v>1738</v>
      </c>
    </row>
    <row r="121" spans="2:5">
      <c r="B121" s="141" t="s">
        <v>127</v>
      </c>
      <c r="C121" s="133" t="s">
        <v>11</v>
      </c>
      <c r="D121" s="134" t="s">
        <v>174</v>
      </c>
      <c r="E121" s="142" t="s">
        <v>1738</v>
      </c>
    </row>
    <row r="122" spans="2:5">
      <c r="B122" s="141" t="s">
        <v>127</v>
      </c>
      <c r="C122" s="133" t="s">
        <v>11</v>
      </c>
      <c r="D122" s="134" t="s">
        <v>175</v>
      </c>
      <c r="E122" s="142" t="s">
        <v>1738</v>
      </c>
    </row>
    <row r="123" spans="2:5">
      <c r="B123" s="141" t="s">
        <v>127</v>
      </c>
      <c r="C123" s="133" t="s">
        <v>11</v>
      </c>
      <c r="D123" s="134" t="s">
        <v>176</v>
      </c>
      <c r="E123" s="142" t="s">
        <v>1738</v>
      </c>
    </row>
    <row r="124" spans="2:5">
      <c r="B124" s="141" t="s">
        <v>127</v>
      </c>
      <c r="C124" s="133" t="s">
        <v>11</v>
      </c>
      <c r="D124" s="134" t="s">
        <v>177</v>
      </c>
      <c r="E124" s="142" t="s">
        <v>1738</v>
      </c>
    </row>
    <row r="125" spans="2:5">
      <c r="B125" s="141" t="s">
        <v>127</v>
      </c>
      <c r="C125" s="133" t="s">
        <v>11</v>
      </c>
      <c r="D125" s="134" t="s">
        <v>178</v>
      </c>
      <c r="E125" s="142" t="s">
        <v>1738</v>
      </c>
    </row>
    <row r="126" spans="2:5">
      <c r="B126" s="141" t="s">
        <v>127</v>
      </c>
      <c r="C126" s="133" t="s">
        <v>11</v>
      </c>
      <c r="D126" s="134" t="s">
        <v>179</v>
      </c>
      <c r="E126" s="142" t="s">
        <v>1738</v>
      </c>
    </row>
    <row r="127" spans="2:5">
      <c r="B127" s="141" t="s">
        <v>127</v>
      </c>
      <c r="C127" s="133" t="s">
        <v>11</v>
      </c>
      <c r="D127" s="134" t="s">
        <v>180</v>
      </c>
      <c r="E127" s="142" t="s">
        <v>1738</v>
      </c>
    </row>
    <row r="128" spans="2:5">
      <c r="B128" s="141" t="s">
        <v>127</v>
      </c>
      <c r="C128" s="133" t="s">
        <v>11</v>
      </c>
      <c r="D128" s="134" t="s">
        <v>181</v>
      </c>
      <c r="E128" s="142" t="s">
        <v>1738</v>
      </c>
    </row>
    <row r="129" spans="2:5">
      <c r="B129" s="141" t="s">
        <v>127</v>
      </c>
      <c r="C129" s="133" t="s">
        <v>11</v>
      </c>
      <c r="D129" s="134" t="s">
        <v>182</v>
      </c>
      <c r="E129" s="142" t="s">
        <v>1738</v>
      </c>
    </row>
    <row r="130" spans="2:5">
      <c r="B130" s="141" t="s">
        <v>127</v>
      </c>
      <c r="C130" s="133" t="s">
        <v>11</v>
      </c>
      <c r="D130" s="134" t="s">
        <v>183</v>
      </c>
      <c r="E130" s="142" t="s">
        <v>1738</v>
      </c>
    </row>
    <row r="131" spans="2:5">
      <c r="B131" s="141" t="s">
        <v>127</v>
      </c>
      <c r="C131" s="133" t="s">
        <v>11</v>
      </c>
      <c r="D131" s="134" t="s">
        <v>184</v>
      </c>
      <c r="E131" s="142" t="s">
        <v>1738</v>
      </c>
    </row>
    <row r="132" spans="2:5">
      <c r="B132" s="141" t="s">
        <v>127</v>
      </c>
      <c r="C132" s="133" t="s">
        <v>11</v>
      </c>
      <c r="D132" s="134" t="s">
        <v>185</v>
      </c>
      <c r="E132" s="142" t="s">
        <v>1738</v>
      </c>
    </row>
    <row r="133" spans="2:5">
      <c r="B133" s="141" t="s">
        <v>127</v>
      </c>
      <c r="C133" s="133" t="s">
        <v>11</v>
      </c>
      <c r="D133" s="134" t="s">
        <v>186</v>
      </c>
      <c r="E133" s="142" t="s">
        <v>1738</v>
      </c>
    </row>
    <row r="134" spans="2:5">
      <c r="B134" s="141" t="s">
        <v>127</v>
      </c>
      <c r="C134" s="133" t="s">
        <v>11</v>
      </c>
      <c r="D134" s="134" t="s">
        <v>187</v>
      </c>
      <c r="E134" s="142" t="s">
        <v>1738</v>
      </c>
    </row>
    <row r="135" spans="2:5">
      <c r="B135" s="141" t="s">
        <v>127</v>
      </c>
      <c r="C135" s="133" t="s">
        <v>11</v>
      </c>
      <c r="D135" s="134" t="s">
        <v>188</v>
      </c>
      <c r="E135" s="142" t="s">
        <v>1738</v>
      </c>
    </row>
    <row r="136" spans="2:5">
      <c r="B136" s="141" t="s">
        <v>127</v>
      </c>
      <c r="C136" s="133" t="s">
        <v>11</v>
      </c>
      <c r="D136" s="134" t="s">
        <v>189</v>
      </c>
      <c r="E136" s="142" t="s">
        <v>1738</v>
      </c>
    </row>
    <row r="137" spans="2:5">
      <c r="B137" s="141" t="s">
        <v>127</v>
      </c>
      <c r="C137" s="133" t="s">
        <v>11</v>
      </c>
      <c r="D137" s="134" t="s">
        <v>190</v>
      </c>
      <c r="E137" s="142" t="s">
        <v>1738</v>
      </c>
    </row>
    <row r="138" spans="2:5">
      <c r="B138" s="141" t="s">
        <v>127</v>
      </c>
      <c r="C138" s="133" t="s">
        <v>11</v>
      </c>
      <c r="D138" s="134" t="s">
        <v>191</v>
      </c>
      <c r="E138" s="142" t="s">
        <v>1738</v>
      </c>
    </row>
    <row r="139" spans="2:5">
      <c r="B139" s="141" t="s">
        <v>127</v>
      </c>
      <c r="C139" s="133" t="s">
        <v>11</v>
      </c>
      <c r="D139" s="134" t="s">
        <v>192</v>
      </c>
      <c r="E139" s="142" t="s">
        <v>1738</v>
      </c>
    </row>
    <row r="140" spans="2:5">
      <c r="B140" s="141" t="s">
        <v>127</v>
      </c>
      <c r="C140" s="133" t="s">
        <v>11</v>
      </c>
      <c r="D140" s="134" t="s">
        <v>193</v>
      </c>
      <c r="E140" s="142" t="s">
        <v>1738</v>
      </c>
    </row>
    <row r="141" spans="2:5">
      <c r="B141" s="141" t="s">
        <v>127</v>
      </c>
      <c r="C141" s="133" t="s">
        <v>11</v>
      </c>
      <c r="D141" s="134" t="s">
        <v>194</v>
      </c>
      <c r="E141" s="142" t="s">
        <v>1738</v>
      </c>
    </row>
    <row r="142" spans="2:5">
      <c r="B142" s="141" t="s">
        <v>127</v>
      </c>
      <c r="C142" s="133" t="s">
        <v>11</v>
      </c>
      <c r="D142" s="134" t="s">
        <v>195</v>
      </c>
      <c r="E142" s="142" t="s">
        <v>1738</v>
      </c>
    </row>
    <row r="143" spans="2:5">
      <c r="B143" s="141" t="s">
        <v>127</v>
      </c>
      <c r="C143" s="133" t="s">
        <v>11</v>
      </c>
      <c r="D143" s="134" t="s">
        <v>196</v>
      </c>
      <c r="E143" s="142" t="s">
        <v>1738</v>
      </c>
    </row>
    <row r="144" spans="2:5">
      <c r="B144" s="141" t="s">
        <v>127</v>
      </c>
      <c r="C144" s="133" t="s">
        <v>11</v>
      </c>
      <c r="D144" s="134" t="s">
        <v>197</v>
      </c>
      <c r="E144" s="142" t="s">
        <v>1738</v>
      </c>
    </row>
    <row r="145" spans="2:5">
      <c r="B145" s="141" t="s">
        <v>127</v>
      </c>
      <c r="C145" s="133" t="s">
        <v>11</v>
      </c>
      <c r="D145" s="134" t="s">
        <v>198</v>
      </c>
      <c r="E145" s="142" t="s">
        <v>1738</v>
      </c>
    </row>
    <row r="146" spans="2:5">
      <c r="B146" s="141" t="s">
        <v>127</v>
      </c>
      <c r="C146" s="133" t="s">
        <v>11</v>
      </c>
      <c r="D146" s="134" t="s">
        <v>199</v>
      </c>
      <c r="E146" s="142" t="s">
        <v>1738</v>
      </c>
    </row>
    <row r="147" spans="2:5">
      <c r="B147" s="141" t="s">
        <v>127</v>
      </c>
      <c r="C147" s="133" t="s">
        <v>11</v>
      </c>
      <c r="D147" s="134" t="s">
        <v>200</v>
      </c>
      <c r="E147" s="142" t="s">
        <v>1</v>
      </c>
    </row>
    <row r="148" spans="2:5">
      <c r="B148" s="141" t="s">
        <v>127</v>
      </c>
      <c r="C148" s="133" t="s">
        <v>11</v>
      </c>
      <c r="D148" s="134" t="s">
        <v>201</v>
      </c>
      <c r="E148" s="142" t="s">
        <v>1738</v>
      </c>
    </row>
    <row r="149" spans="2:5">
      <c r="B149" s="141" t="s">
        <v>127</v>
      </c>
      <c r="C149" s="133" t="s">
        <v>11</v>
      </c>
      <c r="D149" s="134" t="s">
        <v>202</v>
      </c>
      <c r="E149" s="142" t="s">
        <v>1738</v>
      </c>
    </row>
    <row r="150" spans="2:5">
      <c r="B150" s="141" t="s">
        <v>127</v>
      </c>
      <c r="C150" s="133" t="s">
        <v>11</v>
      </c>
      <c r="D150" s="134" t="s">
        <v>203</v>
      </c>
      <c r="E150" s="142" t="s">
        <v>1</v>
      </c>
    </row>
    <row r="151" spans="2:5">
      <c r="B151" s="141" t="s">
        <v>127</v>
      </c>
      <c r="C151" s="133" t="s">
        <v>11</v>
      </c>
      <c r="D151" s="134" t="s">
        <v>204</v>
      </c>
      <c r="E151" s="142" t="s">
        <v>1738</v>
      </c>
    </row>
    <row r="152" spans="2:5">
      <c r="B152" s="141" t="s">
        <v>127</v>
      </c>
      <c r="C152" s="133" t="s">
        <v>11</v>
      </c>
      <c r="D152" s="134" t="s">
        <v>205</v>
      </c>
      <c r="E152" s="142" t="s">
        <v>1</v>
      </c>
    </row>
    <row r="153" spans="2:5">
      <c r="B153" s="141" t="s">
        <v>127</v>
      </c>
      <c r="C153" s="133" t="s">
        <v>11</v>
      </c>
      <c r="D153" s="134" t="s">
        <v>206</v>
      </c>
      <c r="E153" s="142" t="s">
        <v>1</v>
      </c>
    </row>
    <row r="154" spans="2:5">
      <c r="B154" s="141" t="s">
        <v>127</v>
      </c>
      <c r="C154" s="133" t="s">
        <v>11</v>
      </c>
      <c r="D154" s="134" t="s">
        <v>207</v>
      </c>
      <c r="E154" s="142" t="s">
        <v>1</v>
      </c>
    </row>
    <row r="155" spans="2:5">
      <c r="B155" s="141" t="s">
        <v>127</v>
      </c>
      <c r="C155" s="133" t="s">
        <v>11</v>
      </c>
      <c r="D155" s="134" t="s">
        <v>208</v>
      </c>
      <c r="E155" s="142" t="s">
        <v>1</v>
      </c>
    </row>
    <row r="156" spans="2:5">
      <c r="B156" s="141" t="s">
        <v>127</v>
      </c>
      <c r="C156" s="133" t="s">
        <v>11</v>
      </c>
      <c r="D156" s="134" t="s">
        <v>209</v>
      </c>
      <c r="E156" s="142" t="s">
        <v>1</v>
      </c>
    </row>
    <row r="157" spans="2:5">
      <c r="B157" s="141" t="s">
        <v>127</v>
      </c>
      <c r="C157" s="133" t="s">
        <v>11</v>
      </c>
      <c r="D157" s="134" t="s">
        <v>210</v>
      </c>
      <c r="E157" s="142" t="s">
        <v>1</v>
      </c>
    </row>
    <row r="158" spans="2:5">
      <c r="B158" s="141" t="s">
        <v>127</v>
      </c>
      <c r="C158" s="133" t="s">
        <v>11</v>
      </c>
      <c r="D158" s="134" t="s">
        <v>211</v>
      </c>
      <c r="E158" s="142" t="s">
        <v>1738</v>
      </c>
    </row>
    <row r="159" spans="2:5">
      <c r="B159" s="141" t="s">
        <v>127</v>
      </c>
      <c r="C159" s="133" t="s">
        <v>11</v>
      </c>
      <c r="D159" s="134" t="s">
        <v>212</v>
      </c>
      <c r="E159" s="142" t="s">
        <v>1</v>
      </c>
    </row>
    <row r="160" spans="2:5">
      <c r="B160" s="141" t="s">
        <v>127</v>
      </c>
      <c r="C160" s="133" t="s">
        <v>11</v>
      </c>
      <c r="D160" s="134" t="s">
        <v>213</v>
      </c>
      <c r="E160" s="142" t="s">
        <v>1738</v>
      </c>
    </row>
    <row r="161" spans="2:5">
      <c r="B161" s="141" t="s">
        <v>127</v>
      </c>
      <c r="C161" s="133" t="s">
        <v>11</v>
      </c>
      <c r="D161" s="134" t="s">
        <v>214</v>
      </c>
      <c r="E161" s="142" t="s">
        <v>1</v>
      </c>
    </row>
    <row r="162" spans="2:5">
      <c r="B162" s="141" t="s">
        <v>127</v>
      </c>
      <c r="C162" s="133" t="s">
        <v>11</v>
      </c>
      <c r="D162" s="134" t="s">
        <v>215</v>
      </c>
      <c r="E162" s="142" t="s">
        <v>1738</v>
      </c>
    </row>
    <row r="163" spans="2:5">
      <c r="B163" s="141" t="s">
        <v>127</v>
      </c>
      <c r="C163" s="133" t="s">
        <v>11</v>
      </c>
      <c r="D163" s="134" t="s">
        <v>216</v>
      </c>
      <c r="E163" s="142" t="s">
        <v>1738</v>
      </c>
    </row>
    <row r="164" spans="2:5">
      <c r="B164" s="141" t="s">
        <v>127</v>
      </c>
      <c r="C164" s="133" t="s">
        <v>11</v>
      </c>
      <c r="D164" s="134" t="s">
        <v>217</v>
      </c>
      <c r="E164" s="142" t="s">
        <v>1</v>
      </c>
    </row>
    <row r="165" spans="2:5">
      <c r="B165" s="141" t="s">
        <v>127</v>
      </c>
      <c r="C165" s="133" t="s">
        <v>11</v>
      </c>
      <c r="D165" s="134" t="s">
        <v>218</v>
      </c>
      <c r="E165" s="142" t="s">
        <v>1</v>
      </c>
    </row>
    <row r="166" spans="2:5">
      <c r="B166" s="141" t="s">
        <v>127</v>
      </c>
      <c r="C166" s="133" t="s">
        <v>11</v>
      </c>
      <c r="D166" s="134" t="s">
        <v>219</v>
      </c>
      <c r="E166" s="142" t="s">
        <v>1</v>
      </c>
    </row>
    <row r="167" spans="2:5">
      <c r="B167" s="141" t="s">
        <v>127</v>
      </c>
      <c r="C167" s="133" t="s">
        <v>11</v>
      </c>
      <c r="D167" s="134" t="s">
        <v>220</v>
      </c>
      <c r="E167" s="142" t="s">
        <v>1</v>
      </c>
    </row>
    <row r="168" spans="2:5">
      <c r="B168" s="141" t="s">
        <v>127</v>
      </c>
      <c r="C168" s="133" t="s">
        <v>11</v>
      </c>
      <c r="D168" s="134" t="s">
        <v>221</v>
      </c>
      <c r="E168" s="142" t="s">
        <v>1</v>
      </c>
    </row>
    <row r="169" spans="2:5">
      <c r="B169" s="141" t="s">
        <v>127</v>
      </c>
      <c r="C169" s="133" t="s">
        <v>11</v>
      </c>
      <c r="D169" s="134" t="s">
        <v>222</v>
      </c>
      <c r="E169" s="142" t="s">
        <v>1738</v>
      </c>
    </row>
    <row r="170" spans="2:5">
      <c r="B170" s="141" t="s">
        <v>127</v>
      </c>
      <c r="C170" s="133" t="s">
        <v>11</v>
      </c>
      <c r="D170" s="134" t="s">
        <v>223</v>
      </c>
      <c r="E170" s="142" t="s">
        <v>1738</v>
      </c>
    </row>
    <row r="171" spans="2:5">
      <c r="B171" s="141" t="s">
        <v>127</v>
      </c>
      <c r="C171" s="133" t="s">
        <v>11</v>
      </c>
      <c r="D171" s="134" t="s">
        <v>224</v>
      </c>
      <c r="E171" s="142" t="s">
        <v>1</v>
      </c>
    </row>
    <row r="172" spans="2:5">
      <c r="B172" s="141" t="s">
        <v>127</v>
      </c>
      <c r="C172" s="133" t="s">
        <v>11</v>
      </c>
      <c r="D172" s="134" t="s">
        <v>225</v>
      </c>
      <c r="E172" s="142" t="s">
        <v>1738</v>
      </c>
    </row>
    <row r="173" spans="2:5">
      <c r="B173" s="141" t="s">
        <v>127</v>
      </c>
      <c r="C173" s="133" t="s">
        <v>11</v>
      </c>
      <c r="D173" s="134" t="s">
        <v>226</v>
      </c>
      <c r="E173" s="142" t="s">
        <v>1</v>
      </c>
    </row>
    <row r="174" spans="2:5">
      <c r="B174" s="141" t="s">
        <v>127</v>
      </c>
      <c r="C174" s="133" t="s">
        <v>11</v>
      </c>
      <c r="D174" s="134" t="s">
        <v>227</v>
      </c>
      <c r="E174" s="142" t="s">
        <v>1738</v>
      </c>
    </row>
    <row r="175" spans="2:5">
      <c r="B175" s="141" t="s">
        <v>127</v>
      </c>
      <c r="C175" s="133" t="s">
        <v>11</v>
      </c>
      <c r="D175" s="134" t="s">
        <v>228</v>
      </c>
      <c r="E175" s="142" t="s">
        <v>1</v>
      </c>
    </row>
    <row r="176" spans="2:5">
      <c r="B176" s="141" t="s">
        <v>127</v>
      </c>
      <c r="C176" s="133" t="s">
        <v>11</v>
      </c>
      <c r="D176" s="134" t="s">
        <v>229</v>
      </c>
      <c r="E176" s="142" t="s">
        <v>1738</v>
      </c>
    </row>
    <row r="177" spans="2:5">
      <c r="B177" s="141" t="s">
        <v>127</v>
      </c>
      <c r="C177" s="133" t="s">
        <v>11</v>
      </c>
      <c r="D177" s="134" t="s">
        <v>230</v>
      </c>
      <c r="E177" s="142" t="s">
        <v>1738</v>
      </c>
    </row>
    <row r="178" spans="2:5">
      <c r="B178" s="141" t="s">
        <v>127</v>
      </c>
      <c r="C178" s="133" t="s">
        <v>11</v>
      </c>
      <c r="D178" s="134" t="s">
        <v>231</v>
      </c>
      <c r="E178" s="142" t="s">
        <v>1738</v>
      </c>
    </row>
    <row r="179" spans="2:5">
      <c r="B179" s="141" t="s">
        <v>127</v>
      </c>
      <c r="C179" s="133" t="s">
        <v>11</v>
      </c>
      <c r="D179" s="134" t="s">
        <v>232</v>
      </c>
      <c r="E179" s="142" t="s">
        <v>1</v>
      </c>
    </row>
    <row r="180" spans="2:5">
      <c r="B180" s="141" t="s">
        <v>127</v>
      </c>
      <c r="C180" s="133" t="s">
        <v>11</v>
      </c>
      <c r="D180" s="134" t="s">
        <v>233</v>
      </c>
      <c r="E180" s="142" t="s">
        <v>1</v>
      </c>
    </row>
    <row r="181" spans="2:5">
      <c r="B181" s="141" t="s">
        <v>127</v>
      </c>
      <c r="C181" s="133" t="s">
        <v>11</v>
      </c>
      <c r="D181" s="134" t="s">
        <v>234</v>
      </c>
      <c r="E181" s="142" t="s">
        <v>1</v>
      </c>
    </row>
    <row r="182" spans="2:5">
      <c r="B182" s="141" t="s">
        <v>127</v>
      </c>
      <c r="C182" s="133" t="s">
        <v>11</v>
      </c>
      <c r="D182" s="134" t="s">
        <v>235</v>
      </c>
      <c r="E182" s="142" t="s">
        <v>1</v>
      </c>
    </row>
    <row r="183" spans="2:5">
      <c r="B183" s="141" t="s">
        <v>236</v>
      </c>
      <c r="C183" s="133" t="s">
        <v>13</v>
      </c>
      <c r="D183" s="134" t="s">
        <v>12</v>
      </c>
      <c r="E183" s="142" t="s">
        <v>1</v>
      </c>
    </row>
    <row r="184" spans="2:5">
      <c r="B184" s="141" t="s">
        <v>236</v>
      </c>
      <c r="C184" s="133" t="s">
        <v>13</v>
      </c>
      <c r="D184" s="134" t="s">
        <v>237</v>
      </c>
      <c r="E184" s="142" t="s">
        <v>1738</v>
      </c>
    </row>
    <row r="185" spans="2:5">
      <c r="B185" s="141" t="s">
        <v>236</v>
      </c>
      <c r="C185" s="133" t="s">
        <v>13</v>
      </c>
      <c r="D185" s="134" t="s">
        <v>238</v>
      </c>
      <c r="E185" s="142" t="s">
        <v>1738</v>
      </c>
    </row>
    <row r="186" spans="2:5">
      <c r="B186" s="141" t="s">
        <v>236</v>
      </c>
      <c r="C186" s="133" t="s">
        <v>13</v>
      </c>
      <c r="D186" s="134" t="s">
        <v>239</v>
      </c>
      <c r="E186" s="142" t="s">
        <v>1738</v>
      </c>
    </row>
    <row r="187" spans="2:5">
      <c r="B187" s="141" t="s">
        <v>236</v>
      </c>
      <c r="C187" s="133" t="s">
        <v>13</v>
      </c>
      <c r="D187" s="134" t="s">
        <v>240</v>
      </c>
      <c r="E187" s="142" t="s">
        <v>1</v>
      </c>
    </row>
    <row r="188" spans="2:5">
      <c r="B188" s="141" t="s">
        <v>236</v>
      </c>
      <c r="C188" s="133" t="s">
        <v>13</v>
      </c>
      <c r="D188" s="134" t="s">
        <v>241</v>
      </c>
      <c r="E188" s="142" t="s">
        <v>1738</v>
      </c>
    </row>
    <row r="189" spans="2:5">
      <c r="B189" s="141" t="s">
        <v>236</v>
      </c>
      <c r="C189" s="133" t="s">
        <v>13</v>
      </c>
      <c r="D189" s="134" t="s">
        <v>242</v>
      </c>
      <c r="E189" s="142" t="s">
        <v>1738</v>
      </c>
    </row>
    <row r="190" spans="2:5">
      <c r="B190" s="141" t="s">
        <v>236</v>
      </c>
      <c r="C190" s="133" t="s">
        <v>13</v>
      </c>
      <c r="D190" s="134" t="s">
        <v>243</v>
      </c>
      <c r="E190" s="142" t="s">
        <v>1738</v>
      </c>
    </row>
    <row r="191" spans="2:5">
      <c r="B191" s="141" t="s">
        <v>236</v>
      </c>
      <c r="C191" s="133" t="s">
        <v>13</v>
      </c>
      <c r="D191" s="134" t="s">
        <v>244</v>
      </c>
      <c r="E191" s="142" t="s">
        <v>1738</v>
      </c>
    </row>
    <row r="192" spans="2:5">
      <c r="B192" s="141" t="s">
        <v>236</v>
      </c>
      <c r="C192" s="133" t="s">
        <v>13</v>
      </c>
      <c r="D192" s="134" t="s">
        <v>245</v>
      </c>
      <c r="E192" s="142" t="s">
        <v>1738</v>
      </c>
    </row>
    <row r="193" spans="2:5">
      <c r="B193" s="141" t="s">
        <v>236</v>
      </c>
      <c r="C193" s="133" t="s">
        <v>13</v>
      </c>
      <c r="D193" s="134" t="s">
        <v>246</v>
      </c>
      <c r="E193" s="142" t="s">
        <v>1</v>
      </c>
    </row>
    <row r="194" spans="2:5">
      <c r="B194" s="141" t="s">
        <v>236</v>
      </c>
      <c r="C194" s="133" t="s">
        <v>13</v>
      </c>
      <c r="D194" s="134" t="s">
        <v>247</v>
      </c>
      <c r="E194" s="142" t="s">
        <v>1</v>
      </c>
    </row>
    <row r="195" spans="2:5">
      <c r="B195" s="141" t="s">
        <v>236</v>
      </c>
      <c r="C195" s="133" t="s">
        <v>13</v>
      </c>
      <c r="D195" s="134" t="s">
        <v>248</v>
      </c>
      <c r="E195" s="142" t="s">
        <v>1</v>
      </c>
    </row>
    <row r="196" spans="2:5">
      <c r="B196" s="141" t="s">
        <v>236</v>
      </c>
      <c r="C196" s="133" t="s">
        <v>13</v>
      </c>
      <c r="D196" s="134" t="s">
        <v>249</v>
      </c>
      <c r="E196" s="142" t="s">
        <v>1738</v>
      </c>
    </row>
    <row r="197" spans="2:5">
      <c r="B197" s="141" t="s">
        <v>236</v>
      </c>
      <c r="C197" s="133" t="s">
        <v>13</v>
      </c>
      <c r="D197" s="134" t="s">
        <v>250</v>
      </c>
      <c r="E197" s="142" t="s">
        <v>1738</v>
      </c>
    </row>
    <row r="198" spans="2:5">
      <c r="B198" s="141" t="s">
        <v>236</v>
      </c>
      <c r="C198" s="133" t="s">
        <v>13</v>
      </c>
      <c r="D198" s="134" t="s">
        <v>251</v>
      </c>
      <c r="E198" s="142" t="s">
        <v>1738</v>
      </c>
    </row>
    <row r="199" spans="2:5">
      <c r="B199" s="141" t="s">
        <v>236</v>
      </c>
      <c r="C199" s="133" t="s">
        <v>13</v>
      </c>
      <c r="D199" s="134" t="s">
        <v>252</v>
      </c>
      <c r="E199" s="142" t="s">
        <v>1738</v>
      </c>
    </row>
    <row r="200" spans="2:5">
      <c r="B200" s="141" t="s">
        <v>236</v>
      </c>
      <c r="C200" s="133" t="s">
        <v>13</v>
      </c>
      <c r="D200" s="134" t="s">
        <v>253</v>
      </c>
      <c r="E200" s="142" t="s">
        <v>1738</v>
      </c>
    </row>
    <row r="201" spans="2:5">
      <c r="B201" s="141" t="s">
        <v>236</v>
      </c>
      <c r="C201" s="133" t="s">
        <v>13</v>
      </c>
      <c r="D201" s="134" t="s">
        <v>254</v>
      </c>
      <c r="E201" s="142" t="s">
        <v>1738</v>
      </c>
    </row>
    <row r="202" spans="2:5">
      <c r="B202" s="141" t="s">
        <v>236</v>
      </c>
      <c r="C202" s="133" t="s">
        <v>13</v>
      </c>
      <c r="D202" s="134" t="s">
        <v>255</v>
      </c>
      <c r="E202" s="142" t="s">
        <v>1738</v>
      </c>
    </row>
    <row r="203" spans="2:5">
      <c r="B203" s="141" t="s">
        <v>236</v>
      </c>
      <c r="C203" s="133" t="s">
        <v>13</v>
      </c>
      <c r="D203" s="134" t="s">
        <v>256</v>
      </c>
      <c r="E203" s="142" t="s">
        <v>1</v>
      </c>
    </row>
    <row r="204" spans="2:5">
      <c r="B204" s="141" t="s">
        <v>236</v>
      </c>
      <c r="C204" s="133" t="s">
        <v>13</v>
      </c>
      <c r="D204" s="134" t="s">
        <v>257</v>
      </c>
      <c r="E204" s="142" t="s">
        <v>1</v>
      </c>
    </row>
    <row r="205" spans="2:5">
      <c r="B205" s="141" t="s">
        <v>236</v>
      </c>
      <c r="C205" s="133" t="s">
        <v>13</v>
      </c>
      <c r="D205" s="134" t="s">
        <v>258</v>
      </c>
      <c r="E205" s="142" t="s">
        <v>1</v>
      </c>
    </row>
    <row r="206" spans="2:5">
      <c r="B206" s="141" t="s">
        <v>236</v>
      </c>
      <c r="C206" s="133" t="s">
        <v>13</v>
      </c>
      <c r="D206" s="134" t="s">
        <v>259</v>
      </c>
      <c r="E206" s="142" t="s">
        <v>1</v>
      </c>
    </row>
    <row r="207" spans="2:5">
      <c r="B207" s="141" t="s">
        <v>236</v>
      </c>
      <c r="C207" s="133" t="s">
        <v>13</v>
      </c>
      <c r="D207" s="134" t="s">
        <v>260</v>
      </c>
      <c r="E207" s="142" t="s">
        <v>1</v>
      </c>
    </row>
    <row r="208" spans="2:5">
      <c r="B208" s="141" t="s">
        <v>236</v>
      </c>
      <c r="C208" s="133" t="s">
        <v>13</v>
      </c>
      <c r="D208" s="134" t="s">
        <v>261</v>
      </c>
      <c r="E208" s="142" t="s">
        <v>1738</v>
      </c>
    </row>
    <row r="209" spans="2:5">
      <c r="B209" s="141" t="s">
        <v>236</v>
      </c>
      <c r="C209" s="133" t="s">
        <v>13</v>
      </c>
      <c r="D209" s="134" t="s">
        <v>262</v>
      </c>
      <c r="E209" s="142" t="s">
        <v>1</v>
      </c>
    </row>
    <row r="210" spans="2:5">
      <c r="B210" s="141" t="s">
        <v>236</v>
      </c>
      <c r="C210" s="133" t="s">
        <v>13</v>
      </c>
      <c r="D210" s="134" t="s">
        <v>263</v>
      </c>
      <c r="E210" s="142" t="s">
        <v>1738</v>
      </c>
    </row>
    <row r="211" spans="2:5">
      <c r="B211" s="141" t="s">
        <v>236</v>
      </c>
      <c r="C211" s="133" t="s">
        <v>13</v>
      </c>
      <c r="D211" s="134" t="s">
        <v>264</v>
      </c>
      <c r="E211" s="142" t="s">
        <v>1738</v>
      </c>
    </row>
    <row r="212" spans="2:5">
      <c r="B212" s="141" t="s">
        <v>236</v>
      </c>
      <c r="C212" s="133" t="s">
        <v>13</v>
      </c>
      <c r="D212" s="134" t="s">
        <v>265</v>
      </c>
      <c r="E212" s="142" t="s">
        <v>1738</v>
      </c>
    </row>
    <row r="213" spans="2:5">
      <c r="B213" s="141" t="s">
        <v>236</v>
      </c>
      <c r="C213" s="133" t="s">
        <v>13</v>
      </c>
      <c r="D213" s="134" t="s">
        <v>266</v>
      </c>
      <c r="E213" s="142" t="s">
        <v>1</v>
      </c>
    </row>
    <row r="214" spans="2:5">
      <c r="B214" s="141" t="s">
        <v>236</v>
      </c>
      <c r="C214" s="133" t="s">
        <v>13</v>
      </c>
      <c r="D214" s="134" t="s">
        <v>267</v>
      </c>
      <c r="E214" s="142" t="s">
        <v>1</v>
      </c>
    </row>
    <row r="215" spans="2:5">
      <c r="B215" s="141" t="s">
        <v>236</v>
      </c>
      <c r="C215" s="133" t="s">
        <v>13</v>
      </c>
      <c r="D215" s="134" t="s">
        <v>268</v>
      </c>
      <c r="E215" s="142" t="s">
        <v>1</v>
      </c>
    </row>
    <row r="216" spans="2:5">
      <c r="B216" s="141" t="s">
        <v>236</v>
      </c>
      <c r="C216" s="133" t="s">
        <v>13</v>
      </c>
      <c r="D216" s="134" t="s">
        <v>269</v>
      </c>
      <c r="E216" s="142" t="s">
        <v>1</v>
      </c>
    </row>
    <row r="217" spans="2:5">
      <c r="B217" s="141" t="s">
        <v>236</v>
      </c>
      <c r="C217" s="133" t="s">
        <v>13</v>
      </c>
      <c r="D217" s="134" t="s">
        <v>270</v>
      </c>
      <c r="E217" s="142" t="s">
        <v>1738</v>
      </c>
    </row>
    <row r="218" spans="2:5">
      <c r="B218" s="141" t="s">
        <v>236</v>
      </c>
      <c r="C218" s="133" t="s">
        <v>13</v>
      </c>
      <c r="D218" s="134" t="s">
        <v>271</v>
      </c>
      <c r="E218" s="142" t="s">
        <v>1738</v>
      </c>
    </row>
    <row r="219" spans="2:5">
      <c r="B219" s="141" t="s">
        <v>236</v>
      </c>
      <c r="C219" s="133" t="s">
        <v>13</v>
      </c>
      <c r="D219" s="134" t="s">
        <v>272</v>
      </c>
      <c r="E219" s="142" t="s">
        <v>1738</v>
      </c>
    </row>
    <row r="220" spans="2:5">
      <c r="B220" s="141" t="s">
        <v>236</v>
      </c>
      <c r="C220" s="133" t="s">
        <v>13</v>
      </c>
      <c r="D220" s="134" t="s">
        <v>273</v>
      </c>
      <c r="E220" s="142" t="s">
        <v>1738</v>
      </c>
    </row>
    <row r="221" spans="2:5">
      <c r="B221" s="141" t="s">
        <v>236</v>
      </c>
      <c r="C221" s="133" t="s">
        <v>13</v>
      </c>
      <c r="D221" s="134" t="s">
        <v>274</v>
      </c>
      <c r="E221" s="142" t="s">
        <v>1</v>
      </c>
    </row>
    <row r="222" spans="2:5">
      <c r="B222" s="141" t="s">
        <v>236</v>
      </c>
      <c r="C222" s="133" t="s">
        <v>13</v>
      </c>
      <c r="D222" s="134" t="s">
        <v>275</v>
      </c>
      <c r="E222" s="142" t="s">
        <v>1738</v>
      </c>
    </row>
    <row r="223" spans="2:5">
      <c r="B223" s="141" t="s">
        <v>236</v>
      </c>
      <c r="C223" s="133" t="s">
        <v>13</v>
      </c>
      <c r="D223" s="134" t="s">
        <v>276</v>
      </c>
      <c r="E223" s="142" t="s">
        <v>1738</v>
      </c>
    </row>
    <row r="224" spans="2:5">
      <c r="B224" s="141" t="s">
        <v>236</v>
      </c>
      <c r="C224" s="133" t="s">
        <v>13</v>
      </c>
      <c r="D224" s="134" t="s">
        <v>277</v>
      </c>
      <c r="E224" s="142" t="s">
        <v>1</v>
      </c>
    </row>
    <row r="225" spans="2:5">
      <c r="B225" s="141" t="s">
        <v>236</v>
      </c>
      <c r="C225" s="133" t="s">
        <v>13</v>
      </c>
      <c r="D225" s="134" t="s">
        <v>278</v>
      </c>
      <c r="E225" s="142" t="s">
        <v>1738</v>
      </c>
    </row>
    <row r="226" spans="2:5">
      <c r="B226" s="141" t="s">
        <v>236</v>
      </c>
      <c r="C226" s="133" t="s">
        <v>13</v>
      </c>
      <c r="D226" s="134" t="s">
        <v>279</v>
      </c>
      <c r="E226" s="142" t="s">
        <v>1</v>
      </c>
    </row>
    <row r="227" spans="2:5">
      <c r="B227" s="141" t="s">
        <v>236</v>
      </c>
      <c r="C227" s="133" t="s">
        <v>13</v>
      </c>
      <c r="D227" s="134" t="s">
        <v>280</v>
      </c>
      <c r="E227" s="142" t="s">
        <v>1738</v>
      </c>
    </row>
    <row r="228" spans="2:5">
      <c r="B228" s="141" t="s">
        <v>236</v>
      </c>
      <c r="C228" s="133" t="s">
        <v>13</v>
      </c>
      <c r="D228" s="134" t="s">
        <v>281</v>
      </c>
      <c r="E228" s="142" t="s">
        <v>1</v>
      </c>
    </row>
    <row r="229" spans="2:5">
      <c r="B229" s="141" t="s">
        <v>236</v>
      </c>
      <c r="C229" s="133" t="s">
        <v>13</v>
      </c>
      <c r="D229" s="134" t="s">
        <v>282</v>
      </c>
      <c r="E229" s="142" t="s">
        <v>1738</v>
      </c>
    </row>
    <row r="230" spans="2:5">
      <c r="B230" s="141" t="s">
        <v>236</v>
      </c>
      <c r="C230" s="133" t="s">
        <v>13</v>
      </c>
      <c r="D230" s="134" t="s">
        <v>283</v>
      </c>
      <c r="E230" s="142" t="s">
        <v>1738</v>
      </c>
    </row>
    <row r="231" spans="2:5">
      <c r="B231" s="141" t="s">
        <v>284</v>
      </c>
      <c r="C231" s="133" t="s">
        <v>15</v>
      </c>
      <c r="D231" s="134" t="s">
        <v>285</v>
      </c>
      <c r="E231" s="142" t="s">
        <v>1</v>
      </c>
    </row>
    <row r="232" spans="2:5">
      <c r="B232" s="141" t="s">
        <v>284</v>
      </c>
      <c r="C232" s="133" t="s">
        <v>15</v>
      </c>
      <c r="D232" s="134" t="s">
        <v>286</v>
      </c>
      <c r="E232" s="142" t="s">
        <v>1</v>
      </c>
    </row>
    <row r="233" spans="2:5">
      <c r="B233" s="141" t="s">
        <v>284</v>
      </c>
      <c r="C233" s="133" t="s">
        <v>15</v>
      </c>
      <c r="D233" s="134" t="s">
        <v>287</v>
      </c>
      <c r="E233" s="142" t="s">
        <v>1</v>
      </c>
    </row>
    <row r="234" spans="2:5">
      <c r="B234" s="141" t="s">
        <v>284</v>
      </c>
      <c r="C234" s="133" t="s">
        <v>15</v>
      </c>
      <c r="D234" s="134" t="s">
        <v>288</v>
      </c>
      <c r="E234" s="142" t="s">
        <v>1</v>
      </c>
    </row>
    <row r="235" spans="2:5">
      <c r="B235" s="141" t="s">
        <v>284</v>
      </c>
      <c r="C235" s="133" t="s">
        <v>15</v>
      </c>
      <c r="D235" s="134" t="s">
        <v>289</v>
      </c>
      <c r="E235" s="142" t="s">
        <v>1</v>
      </c>
    </row>
    <row r="236" spans="2:5">
      <c r="B236" s="141" t="s">
        <v>284</v>
      </c>
      <c r="C236" s="133" t="s">
        <v>15</v>
      </c>
      <c r="D236" s="134" t="s">
        <v>290</v>
      </c>
      <c r="E236" s="142" t="s">
        <v>1738</v>
      </c>
    </row>
    <row r="237" spans="2:5">
      <c r="B237" s="141" t="s">
        <v>284</v>
      </c>
      <c r="C237" s="133" t="s">
        <v>15</v>
      </c>
      <c r="D237" s="134" t="s">
        <v>291</v>
      </c>
      <c r="E237" s="142" t="s">
        <v>1</v>
      </c>
    </row>
    <row r="238" spans="2:5">
      <c r="B238" s="141" t="s">
        <v>284</v>
      </c>
      <c r="C238" s="133" t="s">
        <v>15</v>
      </c>
      <c r="D238" s="134" t="s">
        <v>292</v>
      </c>
      <c r="E238" s="142" t="s">
        <v>1</v>
      </c>
    </row>
    <row r="239" spans="2:5">
      <c r="B239" s="141" t="s">
        <v>284</v>
      </c>
      <c r="C239" s="133" t="s">
        <v>15</v>
      </c>
      <c r="D239" s="134" t="s">
        <v>293</v>
      </c>
      <c r="E239" s="142" t="s">
        <v>1</v>
      </c>
    </row>
    <row r="240" spans="2:5">
      <c r="B240" s="141" t="s">
        <v>284</v>
      </c>
      <c r="C240" s="133" t="s">
        <v>15</v>
      </c>
      <c r="D240" s="134" t="s">
        <v>294</v>
      </c>
      <c r="E240" s="142" t="s">
        <v>1738</v>
      </c>
    </row>
    <row r="241" spans="2:5">
      <c r="B241" s="141" t="s">
        <v>284</v>
      </c>
      <c r="C241" s="133" t="s">
        <v>15</v>
      </c>
      <c r="D241" s="134" t="s">
        <v>295</v>
      </c>
      <c r="E241" s="142" t="s">
        <v>1738</v>
      </c>
    </row>
    <row r="242" spans="2:5">
      <c r="B242" s="141" t="s">
        <v>284</v>
      </c>
      <c r="C242" s="133" t="s">
        <v>15</v>
      </c>
      <c r="D242" s="134" t="s">
        <v>296</v>
      </c>
      <c r="E242" s="142" t="s">
        <v>1738</v>
      </c>
    </row>
    <row r="243" spans="2:5">
      <c r="B243" s="141" t="s">
        <v>284</v>
      </c>
      <c r="C243" s="133" t="s">
        <v>15</v>
      </c>
      <c r="D243" s="134" t="s">
        <v>297</v>
      </c>
      <c r="E243" s="142" t="s">
        <v>1738</v>
      </c>
    </row>
    <row r="244" spans="2:5">
      <c r="B244" s="141" t="s">
        <v>284</v>
      </c>
      <c r="C244" s="133" t="s">
        <v>15</v>
      </c>
      <c r="D244" s="134" t="s">
        <v>298</v>
      </c>
      <c r="E244" s="142" t="s">
        <v>1738</v>
      </c>
    </row>
    <row r="245" spans="2:5">
      <c r="B245" s="141" t="s">
        <v>284</v>
      </c>
      <c r="C245" s="133" t="s">
        <v>15</v>
      </c>
      <c r="D245" s="134" t="s">
        <v>299</v>
      </c>
      <c r="E245" s="142" t="s">
        <v>1</v>
      </c>
    </row>
    <row r="246" spans="2:5">
      <c r="B246" s="141" t="s">
        <v>284</v>
      </c>
      <c r="C246" s="133" t="s">
        <v>15</v>
      </c>
      <c r="D246" s="134" t="s">
        <v>300</v>
      </c>
      <c r="E246" s="142" t="s">
        <v>1</v>
      </c>
    </row>
    <row r="247" spans="2:5">
      <c r="B247" s="141" t="s">
        <v>284</v>
      </c>
      <c r="C247" s="133" t="s">
        <v>15</v>
      </c>
      <c r="D247" s="134" t="s">
        <v>301</v>
      </c>
      <c r="E247" s="142" t="s">
        <v>1</v>
      </c>
    </row>
    <row r="248" spans="2:5">
      <c r="B248" s="141" t="s">
        <v>284</v>
      </c>
      <c r="C248" s="133" t="s">
        <v>15</v>
      </c>
      <c r="D248" s="134" t="s">
        <v>14</v>
      </c>
      <c r="E248" s="142" t="s">
        <v>1</v>
      </c>
    </row>
    <row r="249" spans="2:5">
      <c r="B249" s="141" t="s">
        <v>284</v>
      </c>
      <c r="C249" s="133" t="s">
        <v>15</v>
      </c>
      <c r="D249" s="134" t="s">
        <v>302</v>
      </c>
      <c r="E249" s="142" t="s">
        <v>1</v>
      </c>
    </row>
    <row r="250" spans="2:5">
      <c r="B250" s="141" t="s">
        <v>284</v>
      </c>
      <c r="C250" s="133" t="s">
        <v>15</v>
      </c>
      <c r="D250" s="134" t="s">
        <v>303</v>
      </c>
      <c r="E250" s="142" t="s">
        <v>1738</v>
      </c>
    </row>
    <row r="251" spans="2:5">
      <c r="B251" s="141" t="s">
        <v>284</v>
      </c>
      <c r="C251" s="133" t="s">
        <v>15</v>
      </c>
      <c r="D251" s="134" t="s">
        <v>304</v>
      </c>
      <c r="E251" s="142" t="s">
        <v>1738</v>
      </c>
    </row>
    <row r="252" spans="2:5">
      <c r="B252" s="141" t="s">
        <v>284</v>
      </c>
      <c r="C252" s="133" t="s">
        <v>15</v>
      </c>
      <c r="D252" s="134" t="s">
        <v>305</v>
      </c>
      <c r="E252" s="142" t="s">
        <v>1738</v>
      </c>
    </row>
    <row r="253" spans="2:5">
      <c r="B253" s="141" t="s">
        <v>284</v>
      </c>
      <c r="C253" s="133" t="s">
        <v>15</v>
      </c>
      <c r="D253" s="134" t="s">
        <v>306</v>
      </c>
      <c r="E253" s="142" t="s">
        <v>1738</v>
      </c>
    </row>
    <row r="254" spans="2:5">
      <c r="B254" s="141" t="s">
        <v>284</v>
      </c>
      <c r="C254" s="133" t="s">
        <v>15</v>
      </c>
      <c r="D254" s="134" t="s">
        <v>307</v>
      </c>
      <c r="E254" s="142" t="s">
        <v>1738</v>
      </c>
    </row>
    <row r="255" spans="2:5">
      <c r="B255" s="141" t="s">
        <v>284</v>
      </c>
      <c r="C255" s="133" t="s">
        <v>15</v>
      </c>
      <c r="D255" s="134" t="s">
        <v>308</v>
      </c>
      <c r="E255" s="142" t="s">
        <v>1738</v>
      </c>
    </row>
    <row r="256" spans="2:5">
      <c r="B256" s="141" t="s">
        <v>284</v>
      </c>
      <c r="C256" s="133" t="s">
        <v>15</v>
      </c>
      <c r="D256" s="134" t="s">
        <v>309</v>
      </c>
      <c r="E256" s="142" t="s">
        <v>1738</v>
      </c>
    </row>
    <row r="257" spans="2:5">
      <c r="B257" s="141" t="s">
        <v>284</v>
      </c>
      <c r="C257" s="133" t="s">
        <v>15</v>
      </c>
      <c r="D257" s="134" t="s">
        <v>310</v>
      </c>
      <c r="E257" s="142" t="s">
        <v>1738</v>
      </c>
    </row>
    <row r="258" spans="2:5">
      <c r="B258" s="141" t="s">
        <v>284</v>
      </c>
      <c r="C258" s="133" t="s">
        <v>15</v>
      </c>
      <c r="D258" s="134" t="s">
        <v>311</v>
      </c>
      <c r="E258" s="142" t="s">
        <v>1738</v>
      </c>
    </row>
    <row r="259" spans="2:5">
      <c r="B259" s="141" t="s">
        <v>284</v>
      </c>
      <c r="C259" s="133" t="s">
        <v>15</v>
      </c>
      <c r="D259" s="134" t="s">
        <v>312</v>
      </c>
      <c r="E259" s="142" t="s">
        <v>1</v>
      </c>
    </row>
    <row r="260" spans="2:5">
      <c r="B260" s="141" t="s">
        <v>284</v>
      </c>
      <c r="C260" s="133" t="s">
        <v>15</v>
      </c>
      <c r="D260" s="134" t="s">
        <v>313</v>
      </c>
      <c r="E260" s="142" t="s">
        <v>1</v>
      </c>
    </row>
    <row r="261" spans="2:5">
      <c r="B261" s="141" t="s">
        <v>284</v>
      </c>
      <c r="C261" s="133" t="s">
        <v>15</v>
      </c>
      <c r="D261" s="134" t="s">
        <v>314</v>
      </c>
      <c r="E261" s="142" t="s">
        <v>1</v>
      </c>
    </row>
    <row r="262" spans="2:5">
      <c r="B262" s="141" t="s">
        <v>284</v>
      </c>
      <c r="C262" s="133" t="s">
        <v>15</v>
      </c>
      <c r="D262" s="134" t="s">
        <v>315</v>
      </c>
      <c r="E262" s="142" t="s">
        <v>1738</v>
      </c>
    </row>
    <row r="263" spans="2:5">
      <c r="B263" s="141" t="s">
        <v>284</v>
      </c>
      <c r="C263" s="133" t="s">
        <v>15</v>
      </c>
      <c r="D263" s="134" t="s">
        <v>316</v>
      </c>
      <c r="E263" s="142" t="s">
        <v>1</v>
      </c>
    </row>
    <row r="264" spans="2:5">
      <c r="B264" s="141" t="s">
        <v>284</v>
      </c>
      <c r="C264" s="133" t="s">
        <v>15</v>
      </c>
      <c r="D264" s="134" t="s">
        <v>317</v>
      </c>
      <c r="E264" s="142" t="s">
        <v>1</v>
      </c>
    </row>
    <row r="265" spans="2:5">
      <c r="B265" s="141" t="s">
        <v>284</v>
      </c>
      <c r="C265" s="133" t="s">
        <v>15</v>
      </c>
      <c r="D265" s="134" t="s">
        <v>318</v>
      </c>
      <c r="E265" s="142" t="s">
        <v>1</v>
      </c>
    </row>
    <row r="266" spans="2:5">
      <c r="B266" s="141" t="s">
        <v>284</v>
      </c>
      <c r="C266" s="133" t="s">
        <v>15</v>
      </c>
      <c r="D266" s="134" t="s">
        <v>319</v>
      </c>
      <c r="E266" s="142" t="s">
        <v>1</v>
      </c>
    </row>
    <row r="267" spans="2:5">
      <c r="B267" s="141" t="s">
        <v>284</v>
      </c>
      <c r="C267" s="133" t="s">
        <v>15</v>
      </c>
      <c r="D267" s="134" t="s">
        <v>320</v>
      </c>
      <c r="E267" s="142" t="s">
        <v>1</v>
      </c>
    </row>
    <row r="268" spans="2:5">
      <c r="B268" s="141" t="s">
        <v>284</v>
      </c>
      <c r="C268" s="133" t="s">
        <v>15</v>
      </c>
      <c r="D268" s="134" t="s">
        <v>321</v>
      </c>
      <c r="E268" s="142" t="s">
        <v>1</v>
      </c>
    </row>
    <row r="269" spans="2:5">
      <c r="B269" s="141" t="s">
        <v>284</v>
      </c>
      <c r="C269" s="133" t="s">
        <v>15</v>
      </c>
      <c r="D269" s="134" t="s">
        <v>322</v>
      </c>
      <c r="E269" s="142" t="s">
        <v>1</v>
      </c>
    </row>
    <row r="270" spans="2:5">
      <c r="B270" s="141" t="s">
        <v>284</v>
      </c>
      <c r="C270" s="133" t="s">
        <v>15</v>
      </c>
      <c r="D270" s="134" t="s">
        <v>323</v>
      </c>
      <c r="E270" s="142" t="s">
        <v>1</v>
      </c>
    </row>
    <row r="271" spans="2:5">
      <c r="B271" s="141" t="s">
        <v>284</v>
      </c>
      <c r="C271" s="133" t="s">
        <v>15</v>
      </c>
      <c r="D271" s="134" t="s">
        <v>324</v>
      </c>
      <c r="E271" s="142" t="s">
        <v>1</v>
      </c>
    </row>
    <row r="272" spans="2:5">
      <c r="B272" s="141" t="s">
        <v>284</v>
      </c>
      <c r="C272" s="133" t="s">
        <v>15</v>
      </c>
      <c r="D272" s="134" t="s">
        <v>325</v>
      </c>
      <c r="E272" s="142" t="s">
        <v>1</v>
      </c>
    </row>
    <row r="273" spans="2:5">
      <c r="B273" s="141" t="s">
        <v>284</v>
      </c>
      <c r="C273" s="133" t="s">
        <v>15</v>
      </c>
      <c r="D273" s="134" t="s">
        <v>326</v>
      </c>
      <c r="E273" s="142" t="s">
        <v>1</v>
      </c>
    </row>
    <row r="274" spans="2:5">
      <c r="B274" s="141" t="s">
        <v>284</v>
      </c>
      <c r="C274" s="133" t="s">
        <v>15</v>
      </c>
      <c r="D274" s="134" t="s">
        <v>327</v>
      </c>
      <c r="E274" s="142" t="s">
        <v>1738</v>
      </c>
    </row>
    <row r="275" spans="2:5">
      <c r="B275" s="141" t="s">
        <v>284</v>
      </c>
      <c r="C275" s="133" t="s">
        <v>15</v>
      </c>
      <c r="D275" s="134" t="s">
        <v>328</v>
      </c>
      <c r="E275" s="142" t="s">
        <v>1738</v>
      </c>
    </row>
    <row r="276" spans="2:5">
      <c r="B276" s="141" t="s">
        <v>284</v>
      </c>
      <c r="C276" s="133" t="s">
        <v>15</v>
      </c>
      <c r="D276" s="134" t="s">
        <v>329</v>
      </c>
      <c r="E276" s="142" t="s">
        <v>1</v>
      </c>
    </row>
    <row r="277" spans="2:5">
      <c r="B277" s="141" t="s">
        <v>284</v>
      </c>
      <c r="C277" s="133" t="s">
        <v>15</v>
      </c>
      <c r="D277" s="134" t="s">
        <v>330</v>
      </c>
      <c r="E277" s="142" t="s">
        <v>1</v>
      </c>
    </row>
    <row r="278" spans="2:5">
      <c r="B278" s="141" t="s">
        <v>284</v>
      </c>
      <c r="C278" s="133" t="s">
        <v>15</v>
      </c>
      <c r="D278" s="134" t="s">
        <v>331</v>
      </c>
      <c r="E278" s="142" t="s">
        <v>1</v>
      </c>
    </row>
    <row r="279" spans="2:5">
      <c r="B279" s="141" t="s">
        <v>284</v>
      </c>
      <c r="C279" s="133" t="s">
        <v>15</v>
      </c>
      <c r="D279" s="134" t="s">
        <v>332</v>
      </c>
      <c r="E279" s="142" t="s">
        <v>1</v>
      </c>
    </row>
    <row r="280" spans="2:5">
      <c r="B280" s="141" t="s">
        <v>284</v>
      </c>
      <c r="C280" s="133" t="s">
        <v>15</v>
      </c>
      <c r="D280" s="134" t="s">
        <v>333</v>
      </c>
      <c r="E280" s="142" t="s">
        <v>1</v>
      </c>
    </row>
    <row r="281" spans="2:5">
      <c r="B281" s="141" t="s">
        <v>284</v>
      </c>
      <c r="C281" s="133" t="s">
        <v>15</v>
      </c>
      <c r="D281" s="134" t="s">
        <v>334</v>
      </c>
      <c r="E281" s="142" t="s">
        <v>1</v>
      </c>
    </row>
    <row r="282" spans="2:5">
      <c r="B282" s="141" t="s">
        <v>284</v>
      </c>
      <c r="C282" s="133" t="s">
        <v>15</v>
      </c>
      <c r="D282" s="134" t="s">
        <v>335</v>
      </c>
      <c r="E282" s="142" t="s">
        <v>1</v>
      </c>
    </row>
    <row r="283" spans="2:5">
      <c r="B283" s="141" t="s">
        <v>284</v>
      </c>
      <c r="C283" s="133" t="s">
        <v>15</v>
      </c>
      <c r="D283" s="134" t="s">
        <v>336</v>
      </c>
      <c r="E283" s="142" t="s">
        <v>1</v>
      </c>
    </row>
    <row r="284" spans="2:5">
      <c r="B284" s="141" t="s">
        <v>284</v>
      </c>
      <c r="C284" s="133" t="s">
        <v>15</v>
      </c>
      <c r="D284" s="134" t="s">
        <v>337</v>
      </c>
      <c r="E284" s="142" t="s">
        <v>1738</v>
      </c>
    </row>
    <row r="285" spans="2:5">
      <c r="B285" s="141" t="s">
        <v>284</v>
      </c>
      <c r="C285" s="133" t="s">
        <v>15</v>
      </c>
      <c r="D285" s="134" t="s">
        <v>338</v>
      </c>
      <c r="E285" s="142" t="s">
        <v>1738</v>
      </c>
    </row>
    <row r="286" spans="2:5">
      <c r="B286" s="141" t="s">
        <v>284</v>
      </c>
      <c r="C286" s="133" t="s">
        <v>15</v>
      </c>
      <c r="D286" s="134" t="s">
        <v>339</v>
      </c>
      <c r="E286" s="142" t="s">
        <v>1738</v>
      </c>
    </row>
    <row r="287" spans="2:5">
      <c r="B287" s="141" t="s">
        <v>284</v>
      </c>
      <c r="C287" s="133" t="s">
        <v>15</v>
      </c>
      <c r="D287" s="134" t="s">
        <v>340</v>
      </c>
      <c r="E287" s="142" t="s">
        <v>1738</v>
      </c>
    </row>
    <row r="288" spans="2:5">
      <c r="B288" s="141" t="s">
        <v>284</v>
      </c>
      <c r="C288" s="133" t="s">
        <v>15</v>
      </c>
      <c r="D288" s="134" t="s">
        <v>341</v>
      </c>
      <c r="E288" s="142" t="s">
        <v>1738</v>
      </c>
    </row>
    <row r="289" spans="2:5">
      <c r="B289" s="141" t="s">
        <v>284</v>
      </c>
      <c r="C289" s="133" t="s">
        <v>15</v>
      </c>
      <c r="D289" s="134" t="s">
        <v>342</v>
      </c>
      <c r="E289" s="142" t="s">
        <v>1</v>
      </c>
    </row>
    <row r="290" spans="2:5">
      <c r="B290" s="141" t="s">
        <v>284</v>
      </c>
      <c r="C290" s="133" t="s">
        <v>15</v>
      </c>
      <c r="D290" s="134" t="s">
        <v>343</v>
      </c>
      <c r="E290" s="142" t="s">
        <v>1</v>
      </c>
    </row>
    <row r="291" spans="2:5">
      <c r="B291" s="141" t="s">
        <v>284</v>
      </c>
      <c r="C291" s="133" t="s">
        <v>15</v>
      </c>
      <c r="D291" s="134" t="s">
        <v>344</v>
      </c>
      <c r="E291" s="142" t="s">
        <v>1</v>
      </c>
    </row>
    <row r="292" spans="2:5">
      <c r="B292" s="141" t="s">
        <v>284</v>
      </c>
      <c r="C292" s="133" t="s">
        <v>15</v>
      </c>
      <c r="D292" s="134" t="s">
        <v>345</v>
      </c>
      <c r="E292" s="142" t="s">
        <v>1</v>
      </c>
    </row>
    <row r="293" spans="2:5">
      <c r="B293" s="141" t="s">
        <v>284</v>
      </c>
      <c r="C293" s="133" t="s">
        <v>15</v>
      </c>
      <c r="D293" s="134" t="s">
        <v>346</v>
      </c>
      <c r="E293" s="142" t="s">
        <v>1</v>
      </c>
    </row>
    <row r="294" spans="2:5">
      <c r="B294" s="141" t="s">
        <v>284</v>
      </c>
      <c r="C294" s="133" t="s">
        <v>15</v>
      </c>
      <c r="D294" s="134" t="s">
        <v>347</v>
      </c>
      <c r="E294" s="142" t="s">
        <v>1</v>
      </c>
    </row>
    <row r="295" spans="2:5">
      <c r="B295" s="141" t="s">
        <v>284</v>
      </c>
      <c r="C295" s="133" t="s">
        <v>15</v>
      </c>
      <c r="D295" s="134" t="s">
        <v>348</v>
      </c>
      <c r="E295" s="142" t="s">
        <v>1738</v>
      </c>
    </row>
    <row r="296" spans="2:5">
      <c r="B296" s="141" t="s">
        <v>284</v>
      </c>
      <c r="C296" s="133" t="s">
        <v>15</v>
      </c>
      <c r="D296" s="134" t="s">
        <v>349</v>
      </c>
      <c r="E296" s="142" t="s">
        <v>1738</v>
      </c>
    </row>
    <row r="297" spans="2:5">
      <c r="B297" s="141" t="s">
        <v>284</v>
      </c>
      <c r="C297" s="133" t="s">
        <v>15</v>
      </c>
      <c r="D297" s="134" t="s">
        <v>350</v>
      </c>
      <c r="E297" s="142" t="s">
        <v>1738</v>
      </c>
    </row>
    <row r="298" spans="2:5">
      <c r="B298" s="141" t="s">
        <v>284</v>
      </c>
      <c r="C298" s="133" t="s">
        <v>15</v>
      </c>
      <c r="D298" s="134" t="s">
        <v>351</v>
      </c>
      <c r="E298" s="142" t="s">
        <v>1738</v>
      </c>
    </row>
    <row r="299" spans="2:5">
      <c r="B299" s="141" t="s">
        <v>284</v>
      </c>
      <c r="C299" s="133" t="s">
        <v>15</v>
      </c>
      <c r="D299" s="134" t="s">
        <v>352</v>
      </c>
      <c r="E299" s="142" t="s">
        <v>1738</v>
      </c>
    </row>
    <row r="300" spans="2:5">
      <c r="B300" s="141" t="s">
        <v>284</v>
      </c>
      <c r="C300" s="133" t="s">
        <v>15</v>
      </c>
      <c r="D300" s="134" t="s">
        <v>353</v>
      </c>
      <c r="E300" s="142" t="s">
        <v>1</v>
      </c>
    </row>
    <row r="301" spans="2:5">
      <c r="B301" s="141" t="s">
        <v>284</v>
      </c>
      <c r="C301" s="133" t="s">
        <v>15</v>
      </c>
      <c r="D301" s="134" t="s">
        <v>354</v>
      </c>
      <c r="E301" s="142" t="s">
        <v>1</v>
      </c>
    </row>
    <row r="302" spans="2:5">
      <c r="B302" s="141" t="s">
        <v>284</v>
      </c>
      <c r="C302" s="133" t="s">
        <v>15</v>
      </c>
      <c r="D302" s="134" t="s">
        <v>355</v>
      </c>
      <c r="E302" s="142" t="s">
        <v>1738</v>
      </c>
    </row>
    <row r="303" spans="2:5">
      <c r="B303" s="141" t="s">
        <v>284</v>
      </c>
      <c r="C303" s="133" t="s">
        <v>15</v>
      </c>
      <c r="D303" s="134" t="s">
        <v>356</v>
      </c>
      <c r="E303" s="142" t="s">
        <v>1</v>
      </c>
    </row>
    <row r="304" spans="2:5">
      <c r="B304" s="141" t="s">
        <v>284</v>
      </c>
      <c r="C304" s="133" t="s">
        <v>15</v>
      </c>
      <c r="D304" s="134" t="s">
        <v>357</v>
      </c>
      <c r="E304" s="142" t="s">
        <v>1</v>
      </c>
    </row>
    <row r="305" spans="2:5">
      <c r="B305" s="141" t="s">
        <v>284</v>
      </c>
      <c r="C305" s="133" t="s">
        <v>15</v>
      </c>
      <c r="D305" s="134" t="s">
        <v>358</v>
      </c>
      <c r="E305" s="142" t="s">
        <v>1</v>
      </c>
    </row>
    <row r="306" spans="2:5">
      <c r="B306" s="141" t="s">
        <v>284</v>
      </c>
      <c r="C306" s="133" t="s">
        <v>15</v>
      </c>
      <c r="D306" s="134" t="s">
        <v>359</v>
      </c>
      <c r="E306" s="142" t="s">
        <v>1</v>
      </c>
    </row>
    <row r="307" spans="2:5">
      <c r="B307" s="141" t="s">
        <v>284</v>
      </c>
      <c r="C307" s="133" t="s">
        <v>15</v>
      </c>
      <c r="D307" s="134" t="s">
        <v>360</v>
      </c>
      <c r="E307" s="142" t="s">
        <v>1</v>
      </c>
    </row>
    <row r="308" spans="2:5">
      <c r="B308" s="141" t="s">
        <v>284</v>
      </c>
      <c r="C308" s="133" t="s">
        <v>15</v>
      </c>
      <c r="D308" s="134" t="s">
        <v>361</v>
      </c>
      <c r="E308" s="142" t="s">
        <v>1</v>
      </c>
    </row>
    <row r="309" spans="2:5">
      <c r="B309" s="141" t="s">
        <v>284</v>
      </c>
      <c r="C309" s="133" t="s">
        <v>15</v>
      </c>
      <c r="D309" s="134" t="s">
        <v>362</v>
      </c>
      <c r="E309" s="142" t="s">
        <v>1738</v>
      </c>
    </row>
    <row r="310" spans="2:5">
      <c r="B310" s="141" t="s">
        <v>284</v>
      </c>
      <c r="C310" s="133" t="s">
        <v>15</v>
      </c>
      <c r="D310" s="134" t="s">
        <v>363</v>
      </c>
      <c r="E310" s="142" t="s">
        <v>1738</v>
      </c>
    </row>
    <row r="311" spans="2:5">
      <c r="B311" s="141" t="s">
        <v>284</v>
      </c>
      <c r="C311" s="133" t="s">
        <v>15</v>
      </c>
      <c r="D311" s="134" t="s">
        <v>364</v>
      </c>
      <c r="E311" s="142" t="s">
        <v>1738</v>
      </c>
    </row>
    <row r="312" spans="2:5">
      <c r="B312" s="141" t="s">
        <v>284</v>
      </c>
      <c r="C312" s="133" t="s">
        <v>15</v>
      </c>
      <c r="D312" s="134" t="s">
        <v>365</v>
      </c>
      <c r="E312" s="142" t="s">
        <v>1738</v>
      </c>
    </row>
    <row r="313" spans="2:5">
      <c r="B313" s="141" t="s">
        <v>284</v>
      </c>
      <c r="C313" s="133" t="s">
        <v>15</v>
      </c>
      <c r="D313" s="134" t="s">
        <v>366</v>
      </c>
      <c r="E313" s="142" t="s">
        <v>1738</v>
      </c>
    </row>
    <row r="314" spans="2:5">
      <c r="B314" s="141" t="s">
        <v>284</v>
      </c>
      <c r="C314" s="133" t="s">
        <v>15</v>
      </c>
      <c r="D314" s="134" t="s">
        <v>367</v>
      </c>
      <c r="E314" s="142" t="s">
        <v>1</v>
      </c>
    </row>
    <row r="315" spans="2:5">
      <c r="B315" s="141" t="s">
        <v>284</v>
      </c>
      <c r="C315" s="133" t="s">
        <v>15</v>
      </c>
      <c r="D315" s="134" t="s">
        <v>368</v>
      </c>
      <c r="E315" s="142" t="s">
        <v>1738</v>
      </c>
    </row>
    <row r="316" spans="2:5">
      <c r="B316" s="141" t="s">
        <v>284</v>
      </c>
      <c r="C316" s="133" t="s">
        <v>15</v>
      </c>
      <c r="D316" s="134" t="s">
        <v>369</v>
      </c>
      <c r="E316" s="142" t="s">
        <v>1738</v>
      </c>
    </row>
    <row r="317" spans="2:5">
      <c r="B317" s="141" t="s">
        <v>284</v>
      </c>
      <c r="C317" s="133" t="s">
        <v>15</v>
      </c>
      <c r="D317" s="134" t="s">
        <v>370</v>
      </c>
      <c r="E317" s="142" t="s">
        <v>1738</v>
      </c>
    </row>
    <row r="318" spans="2:5">
      <c r="B318" s="141" t="s">
        <v>284</v>
      </c>
      <c r="C318" s="133" t="s">
        <v>15</v>
      </c>
      <c r="D318" s="134" t="s">
        <v>371</v>
      </c>
      <c r="E318" s="142" t="s">
        <v>1738</v>
      </c>
    </row>
    <row r="319" spans="2:5">
      <c r="B319" s="141" t="s">
        <v>372</v>
      </c>
      <c r="C319" s="133" t="s">
        <v>17</v>
      </c>
      <c r="D319" s="134" t="s">
        <v>373</v>
      </c>
      <c r="E319" s="142" t="s">
        <v>1</v>
      </c>
    </row>
    <row r="320" spans="2:5">
      <c r="B320" s="141" t="s">
        <v>372</v>
      </c>
      <c r="C320" s="133" t="s">
        <v>17</v>
      </c>
      <c r="D320" s="134" t="s">
        <v>374</v>
      </c>
      <c r="E320" s="142" t="s">
        <v>1</v>
      </c>
    </row>
    <row r="321" spans="2:5">
      <c r="B321" s="141" t="s">
        <v>372</v>
      </c>
      <c r="C321" s="133" t="s">
        <v>17</v>
      </c>
      <c r="D321" s="134" t="s">
        <v>375</v>
      </c>
      <c r="E321" s="142" t="s">
        <v>1</v>
      </c>
    </row>
    <row r="322" spans="2:5">
      <c r="B322" s="141" t="s">
        <v>372</v>
      </c>
      <c r="C322" s="133" t="s">
        <v>17</v>
      </c>
      <c r="D322" s="134" t="s">
        <v>376</v>
      </c>
      <c r="E322" s="142" t="s">
        <v>1</v>
      </c>
    </row>
    <row r="323" spans="2:5">
      <c r="B323" s="141" t="s">
        <v>372</v>
      </c>
      <c r="C323" s="133" t="s">
        <v>17</v>
      </c>
      <c r="D323" s="134" t="s">
        <v>377</v>
      </c>
      <c r="E323" s="142" t="s">
        <v>1</v>
      </c>
    </row>
    <row r="324" spans="2:5">
      <c r="B324" s="141" t="s">
        <v>372</v>
      </c>
      <c r="C324" s="133" t="s">
        <v>17</v>
      </c>
      <c r="D324" s="134" t="s">
        <v>378</v>
      </c>
      <c r="E324" s="142" t="s">
        <v>1</v>
      </c>
    </row>
    <row r="325" spans="2:5">
      <c r="B325" s="141" t="s">
        <v>372</v>
      </c>
      <c r="C325" s="133" t="s">
        <v>17</v>
      </c>
      <c r="D325" s="134" t="s">
        <v>379</v>
      </c>
      <c r="E325" s="142" t="s">
        <v>1</v>
      </c>
    </row>
    <row r="326" spans="2:5">
      <c r="B326" s="141" t="s">
        <v>372</v>
      </c>
      <c r="C326" s="133" t="s">
        <v>17</v>
      </c>
      <c r="D326" s="134" t="s">
        <v>380</v>
      </c>
      <c r="E326" s="142" t="s">
        <v>1</v>
      </c>
    </row>
    <row r="327" spans="2:5">
      <c r="B327" s="141" t="s">
        <v>372</v>
      </c>
      <c r="C327" s="133" t="s">
        <v>17</v>
      </c>
      <c r="D327" s="134" t="s">
        <v>381</v>
      </c>
      <c r="E327" s="142" t="s">
        <v>1</v>
      </c>
    </row>
    <row r="328" spans="2:5">
      <c r="B328" s="141" t="s">
        <v>372</v>
      </c>
      <c r="C328" s="133" t="s">
        <v>17</v>
      </c>
      <c r="D328" s="134" t="s">
        <v>382</v>
      </c>
      <c r="E328" s="142" t="s">
        <v>1</v>
      </c>
    </row>
    <row r="329" spans="2:5">
      <c r="B329" s="141" t="s">
        <v>372</v>
      </c>
      <c r="C329" s="133" t="s">
        <v>17</v>
      </c>
      <c r="D329" s="134" t="s">
        <v>383</v>
      </c>
      <c r="E329" s="142" t="s">
        <v>1</v>
      </c>
    </row>
    <row r="330" spans="2:5">
      <c r="B330" s="141" t="s">
        <v>372</v>
      </c>
      <c r="C330" s="133" t="s">
        <v>17</v>
      </c>
      <c r="D330" s="134" t="s">
        <v>384</v>
      </c>
      <c r="E330" s="142" t="s">
        <v>1</v>
      </c>
    </row>
    <row r="331" spans="2:5">
      <c r="B331" s="141" t="s">
        <v>372</v>
      </c>
      <c r="C331" s="133" t="s">
        <v>17</v>
      </c>
      <c r="D331" s="134" t="s">
        <v>385</v>
      </c>
      <c r="E331" s="142" t="s">
        <v>1</v>
      </c>
    </row>
    <row r="332" spans="2:5">
      <c r="B332" s="141" t="s">
        <v>372</v>
      </c>
      <c r="C332" s="133" t="s">
        <v>17</v>
      </c>
      <c r="D332" s="134" t="s">
        <v>386</v>
      </c>
      <c r="E332" s="142" t="s">
        <v>1</v>
      </c>
    </row>
    <row r="333" spans="2:5">
      <c r="B333" s="141" t="s">
        <v>372</v>
      </c>
      <c r="C333" s="133" t="s">
        <v>17</v>
      </c>
      <c r="D333" s="134" t="s">
        <v>387</v>
      </c>
      <c r="E333" s="142" t="s">
        <v>1</v>
      </c>
    </row>
    <row r="334" spans="2:5">
      <c r="B334" s="141" t="s">
        <v>372</v>
      </c>
      <c r="C334" s="133" t="s">
        <v>17</v>
      </c>
      <c r="D334" s="134" t="s">
        <v>388</v>
      </c>
      <c r="E334" s="142" t="s">
        <v>1</v>
      </c>
    </row>
    <row r="335" spans="2:5">
      <c r="B335" s="141" t="s">
        <v>372</v>
      </c>
      <c r="C335" s="133" t="s">
        <v>17</v>
      </c>
      <c r="D335" s="134" t="s">
        <v>389</v>
      </c>
      <c r="E335" s="142" t="s">
        <v>1</v>
      </c>
    </row>
    <row r="336" spans="2:5">
      <c r="B336" s="141" t="s">
        <v>372</v>
      </c>
      <c r="C336" s="133" t="s">
        <v>17</v>
      </c>
      <c r="D336" s="134" t="s">
        <v>390</v>
      </c>
      <c r="E336" s="142" t="s">
        <v>1</v>
      </c>
    </row>
    <row r="337" spans="2:5">
      <c r="B337" s="141" t="s">
        <v>372</v>
      </c>
      <c r="C337" s="133" t="s">
        <v>17</v>
      </c>
      <c r="D337" s="134" t="s">
        <v>391</v>
      </c>
      <c r="E337" s="142" t="s">
        <v>1738</v>
      </c>
    </row>
    <row r="338" spans="2:5">
      <c r="B338" s="141" t="s">
        <v>372</v>
      </c>
      <c r="C338" s="133" t="s">
        <v>17</v>
      </c>
      <c r="D338" s="134" t="s">
        <v>392</v>
      </c>
      <c r="E338" s="142" t="s">
        <v>1738</v>
      </c>
    </row>
    <row r="339" spans="2:5">
      <c r="B339" s="141" t="s">
        <v>372</v>
      </c>
      <c r="C339" s="133" t="s">
        <v>17</v>
      </c>
      <c r="D339" s="134" t="s">
        <v>393</v>
      </c>
      <c r="E339" s="142" t="s">
        <v>1738</v>
      </c>
    </row>
    <row r="340" spans="2:5">
      <c r="B340" s="141" t="s">
        <v>372</v>
      </c>
      <c r="C340" s="133" t="s">
        <v>17</v>
      </c>
      <c r="D340" s="134" t="s">
        <v>394</v>
      </c>
      <c r="E340" s="142" t="s">
        <v>1738</v>
      </c>
    </row>
    <row r="341" spans="2:5">
      <c r="B341" s="141" t="s">
        <v>372</v>
      </c>
      <c r="C341" s="133" t="s">
        <v>17</v>
      </c>
      <c r="D341" s="134" t="s">
        <v>395</v>
      </c>
      <c r="E341" s="142" t="s">
        <v>1</v>
      </c>
    </row>
    <row r="342" spans="2:5">
      <c r="B342" s="143" t="s">
        <v>396</v>
      </c>
      <c r="C342" s="135" t="s">
        <v>19</v>
      </c>
      <c r="D342" s="136" t="s">
        <v>397</v>
      </c>
      <c r="E342" s="144" t="s">
        <v>1</v>
      </c>
    </row>
    <row r="343" spans="2:5">
      <c r="B343" s="143" t="s">
        <v>396</v>
      </c>
      <c r="C343" s="135" t="s">
        <v>19</v>
      </c>
      <c r="D343" s="136" t="s">
        <v>398</v>
      </c>
      <c r="E343" s="144" t="s">
        <v>1</v>
      </c>
    </row>
    <row r="344" spans="2:5">
      <c r="B344" s="143" t="s">
        <v>396</v>
      </c>
      <c r="C344" s="135" t="s">
        <v>19</v>
      </c>
      <c r="D344" s="136" t="s">
        <v>399</v>
      </c>
      <c r="E344" s="144" t="s">
        <v>1</v>
      </c>
    </row>
    <row r="345" spans="2:5">
      <c r="B345" s="143" t="s">
        <v>396</v>
      </c>
      <c r="C345" s="135" t="s">
        <v>19</v>
      </c>
      <c r="D345" s="136" t="s">
        <v>400</v>
      </c>
      <c r="E345" s="144" t="s">
        <v>1</v>
      </c>
    </row>
    <row r="346" spans="2:5">
      <c r="B346" s="143" t="s">
        <v>396</v>
      </c>
      <c r="C346" s="135" t="s">
        <v>19</v>
      </c>
      <c r="D346" s="136" t="s">
        <v>401</v>
      </c>
      <c r="E346" s="144" t="s">
        <v>1</v>
      </c>
    </row>
    <row r="347" spans="2:5">
      <c r="B347" s="143" t="s">
        <v>396</v>
      </c>
      <c r="C347" s="135" t="s">
        <v>19</v>
      </c>
      <c r="D347" s="136" t="s">
        <v>402</v>
      </c>
      <c r="E347" s="144" t="s">
        <v>1</v>
      </c>
    </row>
    <row r="348" spans="2:5">
      <c r="B348" s="143" t="s">
        <v>396</v>
      </c>
      <c r="C348" s="135" t="s">
        <v>19</v>
      </c>
      <c r="D348" s="136" t="s">
        <v>403</v>
      </c>
      <c r="E348" s="144" t="s">
        <v>1</v>
      </c>
    </row>
    <row r="349" spans="2:5">
      <c r="B349" s="143" t="s">
        <v>396</v>
      </c>
      <c r="C349" s="135" t="s">
        <v>19</v>
      </c>
      <c r="D349" s="136" t="s">
        <v>404</v>
      </c>
      <c r="E349" s="144" t="s">
        <v>1</v>
      </c>
    </row>
    <row r="350" spans="2:5">
      <c r="B350" s="143" t="s">
        <v>396</v>
      </c>
      <c r="C350" s="135" t="s">
        <v>19</v>
      </c>
      <c r="D350" s="136" t="s">
        <v>405</v>
      </c>
      <c r="E350" s="144" t="s">
        <v>1</v>
      </c>
    </row>
    <row r="351" spans="2:5">
      <c r="B351" s="143" t="s">
        <v>396</v>
      </c>
      <c r="C351" s="135" t="s">
        <v>19</v>
      </c>
      <c r="D351" s="136" t="s">
        <v>406</v>
      </c>
      <c r="E351" s="144" t="s">
        <v>1</v>
      </c>
    </row>
    <row r="352" spans="2:5">
      <c r="B352" s="143" t="s">
        <v>396</v>
      </c>
      <c r="C352" s="135" t="s">
        <v>19</v>
      </c>
      <c r="D352" s="136" t="s">
        <v>407</v>
      </c>
      <c r="E352" s="144" t="s">
        <v>1</v>
      </c>
    </row>
    <row r="353" spans="2:5">
      <c r="B353" s="143" t="s">
        <v>396</v>
      </c>
      <c r="C353" s="135" t="s">
        <v>19</v>
      </c>
      <c r="D353" s="136" t="s">
        <v>408</v>
      </c>
      <c r="E353" s="144" t="s">
        <v>1</v>
      </c>
    </row>
    <row r="354" spans="2:5">
      <c r="B354" s="143" t="s">
        <v>396</v>
      </c>
      <c r="C354" s="135" t="s">
        <v>19</v>
      </c>
      <c r="D354" s="136" t="s">
        <v>409</v>
      </c>
      <c r="E354" s="144" t="s">
        <v>1</v>
      </c>
    </row>
    <row r="355" spans="2:5">
      <c r="B355" s="143" t="s">
        <v>396</v>
      </c>
      <c r="C355" s="135" t="s">
        <v>19</v>
      </c>
      <c r="D355" s="136" t="s">
        <v>410</v>
      </c>
      <c r="E355" s="144" t="s">
        <v>1738</v>
      </c>
    </row>
    <row r="356" spans="2:5">
      <c r="B356" s="143" t="s">
        <v>396</v>
      </c>
      <c r="C356" s="135" t="s">
        <v>19</v>
      </c>
      <c r="D356" s="136" t="s">
        <v>411</v>
      </c>
      <c r="E356" s="144" t="s">
        <v>1738</v>
      </c>
    </row>
    <row r="357" spans="2:5">
      <c r="B357" s="143" t="s">
        <v>396</v>
      </c>
      <c r="C357" s="135" t="s">
        <v>19</v>
      </c>
      <c r="D357" s="136" t="s">
        <v>412</v>
      </c>
      <c r="E357" s="144" t="s">
        <v>1738</v>
      </c>
    </row>
    <row r="358" spans="2:5">
      <c r="B358" s="143" t="s">
        <v>396</v>
      </c>
      <c r="C358" s="135" t="s">
        <v>19</v>
      </c>
      <c r="D358" s="136" t="s">
        <v>413</v>
      </c>
      <c r="E358" s="144" t="s">
        <v>1738</v>
      </c>
    </row>
    <row r="359" spans="2:5">
      <c r="B359" s="143" t="s">
        <v>396</v>
      </c>
      <c r="C359" s="135" t="s">
        <v>19</v>
      </c>
      <c r="D359" s="136" t="s">
        <v>414</v>
      </c>
      <c r="E359" s="144" t="s">
        <v>1738</v>
      </c>
    </row>
    <row r="360" spans="2:5">
      <c r="B360" s="143" t="s">
        <v>396</v>
      </c>
      <c r="C360" s="135" t="s">
        <v>19</v>
      </c>
      <c r="D360" s="136" t="s">
        <v>415</v>
      </c>
      <c r="E360" s="144" t="s">
        <v>1738</v>
      </c>
    </row>
    <row r="361" spans="2:5">
      <c r="B361" s="143" t="s">
        <v>396</v>
      </c>
      <c r="C361" s="135" t="s">
        <v>19</v>
      </c>
      <c r="D361" s="136" t="s">
        <v>416</v>
      </c>
      <c r="E361" s="144" t="s">
        <v>1738</v>
      </c>
    </row>
    <row r="362" spans="2:5">
      <c r="B362" s="143" t="s">
        <v>396</v>
      </c>
      <c r="C362" s="135" t="s">
        <v>19</v>
      </c>
      <c r="D362" s="136" t="s">
        <v>417</v>
      </c>
      <c r="E362" s="144" t="s">
        <v>1</v>
      </c>
    </row>
    <row r="363" spans="2:5">
      <c r="B363" s="143" t="s">
        <v>396</v>
      </c>
      <c r="C363" s="135" t="s">
        <v>19</v>
      </c>
      <c r="D363" s="136" t="s">
        <v>418</v>
      </c>
      <c r="E363" s="144" t="s">
        <v>1</v>
      </c>
    </row>
    <row r="364" spans="2:5">
      <c r="B364" s="143" t="s">
        <v>396</v>
      </c>
      <c r="C364" s="135" t="s">
        <v>19</v>
      </c>
      <c r="D364" s="136" t="s">
        <v>419</v>
      </c>
      <c r="E364" s="144" t="s">
        <v>1</v>
      </c>
    </row>
    <row r="365" spans="2:5">
      <c r="B365" s="143" t="s">
        <v>396</v>
      </c>
      <c r="C365" s="135" t="s">
        <v>19</v>
      </c>
      <c r="D365" s="136" t="s">
        <v>420</v>
      </c>
      <c r="E365" s="144" t="s">
        <v>1</v>
      </c>
    </row>
    <row r="366" spans="2:5">
      <c r="B366" s="143" t="s">
        <v>396</v>
      </c>
      <c r="C366" s="135" t="s">
        <v>19</v>
      </c>
      <c r="D366" s="136" t="s">
        <v>421</v>
      </c>
      <c r="E366" s="144" t="s">
        <v>1</v>
      </c>
    </row>
    <row r="367" spans="2:5">
      <c r="B367" s="143" t="s">
        <v>396</v>
      </c>
      <c r="C367" s="135" t="s">
        <v>19</v>
      </c>
      <c r="D367" s="136" t="s">
        <v>422</v>
      </c>
      <c r="E367" s="144" t="s">
        <v>1</v>
      </c>
    </row>
    <row r="368" spans="2:5">
      <c r="B368" s="143" t="s">
        <v>396</v>
      </c>
      <c r="C368" s="135" t="s">
        <v>19</v>
      </c>
      <c r="D368" s="136" t="s">
        <v>423</v>
      </c>
      <c r="E368" s="144" t="s">
        <v>1</v>
      </c>
    </row>
    <row r="369" spans="2:5">
      <c r="B369" s="143" t="s">
        <v>396</v>
      </c>
      <c r="C369" s="135" t="s">
        <v>19</v>
      </c>
      <c r="D369" s="136" t="s">
        <v>424</v>
      </c>
      <c r="E369" s="144" t="s">
        <v>1</v>
      </c>
    </row>
    <row r="370" spans="2:5">
      <c r="B370" s="143" t="s">
        <v>396</v>
      </c>
      <c r="C370" s="135" t="s">
        <v>19</v>
      </c>
      <c r="D370" s="136" t="s">
        <v>425</v>
      </c>
      <c r="E370" s="144" t="s">
        <v>1</v>
      </c>
    </row>
    <row r="371" spans="2:5">
      <c r="B371" s="143" t="s">
        <v>396</v>
      </c>
      <c r="C371" s="135" t="s">
        <v>19</v>
      </c>
      <c r="D371" s="136" t="s">
        <v>426</v>
      </c>
      <c r="E371" s="144" t="s">
        <v>1</v>
      </c>
    </row>
    <row r="372" spans="2:5">
      <c r="B372" s="143" t="s">
        <v>396</v>
      </c>
      <c r="C372" s="135" t="s">
        <v>19</v>
      </c>
      <c r="D372" s="136" t="s">
        <v>427</v>
      </c>
      <c r="E372" s="144" t="s">
        <v>1</v>
      </c>
    </row>
    <row r="373" spans="2:5">
      <c r="B373" s="143" t="s">
        <v>396</v>
      </c>
      <c r="C373" s="135" t="s">
        <v>19</v>
      </c>
      <c r="D373" s="136" t="s">
        <v>428</v>
      </c>
      <c r="E373" s="144" t="s">
        <v>1</v>
      </c>
    </row>
    <row r="374" spans="2:5">
      <c r="B374" s="143" t="s">
        <v>396</v>
      </c>
      <c r="C374" s="135" t="s">
        <v>19</v>
      </c>
      <c r="D374" s="136" t="s">
        <v>429</v>
      </c>
      <c r="E374" s="144" t="s">
        <v>1</v>
      </c>
    </row>
    <row r="375" spans="2:5">
      <c r="B375" s="143" t="s">
        <v>396</v>
      </c>
      <c r="C375" s="135" t="s">
        <v>19</v>
      </c>
      <c r="D375" s="136" t="s">
        <v>430</v>
      </c>
      <c r="E375" s="144" t="s">
        <v>1738</v>
      </c>
    </row>
    <row r="376" spans="2:5">
      <c r="B376" s="143" t="s">
        <v>396</v>
      </c>
      <c r="C376" s="135" t="s">
        <v>19</v>
      </c>
      <c r="D376" s="136" t="s">
        <v>431</v>
      </c>
      <c r="E376" s="144" t="s">
        <v>1738</v>
      </c>
    </row>
    <row r="377" spans="2:5">
      <c r="B377" s="143" t="s">
        <v>396</v>
      </c>
      <c r="C377" s="135" t="s">
        <v>19</v>
      </c>
      <c r="D377" s="136" t="s">
        <v>432</v>
      </c>
      <c r="E377" s="144" t="s">
        <v>1738</v>
      </c>
    </row>
    <row r="378" spans="2:5">
      <c r="B378" s="143" t="s">
        <v>396</v>
      </c>
      <c r="C378" s="135" t="s">
        <v>19</v>
      </c>
      <c r="D378" s="136" t="s">
        <v>433</v>
      </c>
      <c r="E378" s="144" t="s">
        <v>1738</v>
      </c>
    </row>
    <row r="379" spans="2:5">
      <c r="B379" s="143" t="s">
        <v>396</v>
      </c>
      <c r="C379" s="135" t="s">
        <v>19</v>
      </c>
      <c r="D379" s="136" t="s">
        <v>434</v>
      </c>
      <c r="E379" s="144" t="s">
        <v>1738</v>
      </c>
    </row>
    <row r="380" spans="2:5">
      <c r="B380" s="143" t="s">
        <v>396</v>
      </c>
      <c r="C380" s="135" t="s">
        <v>19</v>
      </c>
      <c r="D380" s="136" t="s">
        <v>435</v>
      </c>
      <c r="E380" s="144" t="s">
        <v>1738</v>
      </c>
    </row>
    <row r="381" spans="2:5">
      <c r="B381" s="143" t="s">
        <v>396</v>
      </c>
      <c r="C381" s="135" t="s">
        <v>19</v>
      </c>
      <c r="D381" s="136" t="s">
        <v>436</v>
      </c>
      <c r="E381" s="144" t="s">
        <v>1738</v>
      </c>
    </row>
    <row r="382" spans="2:5">
      <c r="B382" s="143" t="s">
        <v>396</v>
      </c>
      <c r="C382" s="135" t="s">
        <v>19</v>
      </c>
      <c r="D382" s="136" t="s">
        <v>437</v>
      </c>
      <c r="E382" s="144" t="s">
        <v>1738</v>
      </c>
    </row>
    <row r="383" spans="2:5">
      <c r="B383" s="143" t="s">
        <v>396</v>
      </c>
      <c r="C383" s="135" t="s">
        <v>19</v>
      </c>
      <c r="D383" s="136" t="s">
        <v>438</v>
      </c>
      <c r="E383" s="144" t="s">
        <v>1738</v>
      </c>
    </row>
    <row r="384" spans="2:5">
      <c r="B384" s="143" t="s">
        <v>396</v>
      </c>
      <c r="C384" s="135" t="s">
        <v>19</v>
      </c>
      <c r="D384" s="136" t="s">
        <v>439</v>
      </c>
      <c r="E384" s="144" t="s">
        <v>1738</v>
      </c>
    </row>
    <row r="385" spans="2:5">
      <c r="B385" s="143" t="s">
        <v>396</v>
      </c>
      <c r="C385" s="135" t="s">
        <v>19</v>
      </c>
      <c r="D385" s="136" t="s">
        <v>440</v>
      </c>
      <c r="E385" s="144" t="s">
        <v>1738</v>
      </c>
    </row>
    <row r="386" spans="2:5">
      <c r="B386" s="143" t="s">
        <v>396</v>
      </c>
      <c r="C386" s="135" t="s">
        <v>19</v>
      </c>
      <c r="D386" s="136" t="s">
        <v>441</v>
      </c>
      <c r="E386" s="144" t="s">
        <v>1738</v>
      </c>
    </row>
    <row r="387" spans="2:5">
      <c r="B387" s="143" t="s">
        <v>396</v>
      </c>
      <c r="C387" s="135" t="s">
        <v>19</v>
      </c>
      <c r="D387" s="136" t="s">
        <v>442</v>
      </c>
      <c r="E387" s="144" t="s">
        <v>1738</v>
      </c>
    </row>
    <row r="388" spans="2:5">
      <c r="B388" s="143" t="s">
        <v>396</v>
      </c>
      <c r="C388" s="135" t="s">
        <v>19</v>
      </c>
      <c r="D388" s="136" t="s">
        <v>443</v>
      </c>
      <c r="E388" s="144" t="s">
        <v>1738</v>
      </c>
    </row>
    <row r="389" spans="2:5">
      <c r="B389" s="143" t="s">
        <v>396</v>
      </c>
      <c r="C389" s="135" t="s">
        <v>19</v>
      </c>
      <c r="D389" s="136" t="s">
        <v>444</v>
      </c>
      <c r="E389" s="144" t="s">
        <v>1738</v>
      </c>
    </row>
    <row r="390" spans="2:5">
      <c r="B390" s="143" t="s">
        <v>396</v>
      </c>
      <c r="C390" s="135" t="s">
        <v>19</v>
      </c>
      <c r="D390" s="136" t="s">
        <v>445</v>
      </c>
      <c r="E390" s="144" t="s">
        <v>1738</v>
      </c>
    </row>
    <row r="391" spans="2:5">
      <c r="B391" s="143" t="s">
        <v>396</v>
      </c>
      <c r="C391" s="135" t="s">
        <v>19</v>
      </c>
      <c r="D391" s="136" t="s">
        <v>446</v>
      </c>
      <c r="E391" s="144" t="s">
        <v>1738</v>
      </c>
    </row>
    <row r="392" spans="2:5">
      <c r="B392" s="143" t="s">
        <v>396</v>
      </c>
      <c r="C392" s="135" t="s">
        <v>19</v>
      </c>
      <c r="D392" s="136" t="s">
        <v>447</v>
      </c>
      <c r="E392" s="144" t="s">
        <v>1738</v>
      </c>
    </row>
    <row r="393" spans="2:5">
      <c r="B393" s="143" t="s">
        <v>396</v>
      </c>
      <c r="C393" s="135" t="s">
        <v>19</v>
      </c>
      <c r="D393" s="136" t="s">
        <v>448</v>
      </c>
      <c r="E393" s="144" t="s">
        <v>1738</v>
      </c>
    </row>
    <row r="394" spans="2:5">
      <c r="B394" s="143" t="s">
        <v>396</v>
      </c>
      <c r="C394" s="135" t="s">
        <v>19</v>
      </c>
      <c r="D394" s="136" t="s">
        <v>449</v>
      </c>
      <c r="E394" s="144" t="s">
        <v>1738</v>
      </c>
    </row>
    <row r="395" spans="2:5">
      <c r="B395" s="143" t="s">
        <v>396</v>
      </c>
      <c r="C395" s="135" t="s">
        <v>19</v>
      </c>
      <c r="D395" s="136" t="s">
        <v>450</v>
      </c>
      <c r="E395" s="144" t="s">
        <v>1738</v>
      </c>
    </row>
    <row r="396" spans="2:5">
      <c r="B396" s="143" t="s">
        <v>396</v>
      </c>
      <c r="C396" s="135" t="s">
        <v>19</v>
      </c>
      <c r="D396" s="136" t="s">
        <v>451</v>
      </c>
      <c r="E396" s="144" t="s">
        <v>1738</v>
      </c>
    </row>
    <row r="397" spans="2:5">
      <c r="B397" s="143" t="s">
        <v>396</v>
      </c>
      <c r="C397" s="135" t="s">
        <v>19</v>
      </c>
      <c r="D397" s="136" t="s">
        <v>452</v>
      </c>
      <c r="E397" s="144" t="s">
        <v>1738</v>
      </c>
    </row>
    <row r="398" spans="2:5">
      <c r="B398" s="143" t="s">
        <v>396</v>
      </c>
      <c r="C398" s="135" t="s">
        <v>19</v>
      </c>
      <c r="D398" s="136" t="s">
        <v>453</v>
      </c>
      <c r="E398" s="144" t="s">
        <v>1738</v>
      </c>
    </row>
    <row r="399" spans="2:5">
      <c r="B399" s="143" t="s">
        <v>396</v>
      </c>
      <c r="C399" s="135" t="s">
        <v>19</v>
      </c>
      <c r="D399" s="136" t="s">
        <v>454</v>
      </c>
      <c r="E399" s="144" t="s">
        <v>1738</v>
      </c>
    </row>
    <row r="400" spans="2:5">
      <c r="B400" s="143" t="s">
        <v>396</v>
      </c>
      <c r="C400" s="135" t="s">
        <v>19</v>
      </c>
      <c r="D400" s="136" t="s">
        <v>455</v>
      </c>
      <c r="E400" s="144" t="s">
        <v>1738</v>
      </c>
    </row>
    <row r="401" spans="2:5">
      <c r="B401" s="143" t="s">
        <v>396</v>
      </c>
      <c r="C401" s="135" t="s">
        <v>19</v>
      </c>
      <c r="D401" s="136" t="s">
        <v>456</v>
      </c>
      <c r="E401" s="144" t="s">
        <v>1738</v>
      </c>
    </row>
    <row r="402" spans="2:5">
      <c r="B402" s="143" t="s">
        <v>396</v>
      </c>
      <c r="C402" s="135" t="s">
        <v>19</v>
      </c>
      <c r="D402" s="136" t="s">
        <v>457</v>
      </c>
      <c r="E402" s="144" t="s">
        <v>1738</v>
      </c>
    </row>
    <row r="403" spans="2:5">
      <c r="B403" s="143" t="s">
        <v>396</v>
      </c>
      <c r="C403" s="135" t="s">
        <v>19</v>
      </c>
      <c r="D403" s="136" t="s">
        <v>458</v>
      </c>
      <c r="E403" s="144" t="s">
        <v>1738</v>
      </c>
    </row>
    <row r="404" spans="2:5">
      <c r="B404" s="143" t="s">
        <v>396</v>
      </c>
      <c r="C404" s="135" t="s">
        <v>19</v>
      </c>
      <c r="D404" s="136" t="s">
        <v>459</v>
      </c>
      <c r="E404" s="144" t="s">
        <v>1738</v>
      </c>
    </row>
    <row r="405" spans="2:5">
      <c r="B405" s="143" t="s">
        <v>396</v>
      </c>
      <c r="C405" s="135" t="s">
        <v>19</v>
      </c>
      <c r="D405" s="136" t="s">
        <v>460</v>
      </c>
      <c r="E405" s="144" t="s">
        <v>1738</v>
      </c>
    </row>
    <row r="406" spans="2:5">
      <c r="B406" s="143" t="s">
        <v>396</v>
      </c>
      <c r="C406" s="135" t="s">
        <v>19</v>
      </c>
      <c r="D406" s="136" t="s">
        <v>461</v>
      </c>
      <c r="E406" s="144" t="s">
        <v>1738</v>
      </c>
    </row>
    <row r="407" spans="2:5">
      <c r="B407" s="143" t="s">
        <v>396</v>
      </c>
      <c r="C407" s="135" t="s">
        <v>19</v>
      </c>
      <c r="D407" s="136" t="s">
        <v>462</v>
      </c>
      <c r="E407" s="144" t="s">
        <v>1738</v>
      </c>
    </row>
    <row r="408" spans="2:5">
      <c r="B408" s="143" t="s">
        <v>396</v>
      </c>
      <c r="C408" s="135" t="s">
        <v>19</v>
      </c>
      <c r="D408" s="136" t="s">
        <v>463</v>
      </c>
      <c r="E408" s="144" t="s">
        <v>1738</v>
      </c>
    </row>
    <row r="409" spans="2:5">
      <c r="B409" s="143" t="s">
        <v>396</v>
      </c>
      <c r="C409" s="135" t="s">
        <v>19</v>
      </c>
      <c r="D409" s="136" t="s">
        <v>464</v>
      </c>
      <c r="E409" s="144" t="s">
        <v>1738</v>
      </c>
    </row>
    <row r="410" spans="2:5">
      <c r="B410" s="143" t="s">
        <v>396</v>
      </c>
      <c r="C410" s="135" t="s">
        <v>19</v>
      </c>
      <c r="D410" s="136" t="s">
        <v>465</v>
      </c>
      <c r="E410" s="144" t="s">
        <v>1738</v>
      </c>
    </row>
    <row r="411" spans="2:5">
      <c r="B411" s="143" t="s">
        <v>396</v>
      </c>
      <c r="C411" s="135" t="s">
        <v>19</v>
      </c>
      <c r="D411" s="136" t="s">
        <v>466</v>
      </c>
      <c r="E411" s="144" t="s">
        <v>1738</v>
      </c>
    </row>
    <row r="412" spans="2:5">
      <c r="B412" s="143" t="s">
        <v>396</v>
      </c>
      <c r="C412" s="135" t="s">
        <v>19</v>
      </c>
      <c r="D412" s="136" t="s">
        <v>467</v>
      </c>
      <c r="E412" s="144" t="s">
        <v>1738</v>
      </c>
    </row>
    <row r="413" spans="2:5">
      <c r="B413" s="143" t="s">
        <v>396</v>
      </c>
      <c r="C413" s="135" t="s">
        <v>19</v>
      </c>
      <c r="D413" s="136" t="s">
        <v>468</v>
      </c>
      <c r="E413" s="144" t="s">
        <v>1738</v>
      </c>
    </row>
    <row r="414" spans="2:5">
      <c r="B414" s="143" t="s">
        <v>396</v>
      </c>
      <c r="C414" s="135" t="s">
        <v>19</v>
      </c>
      <c r="D414" s="136" t="s">
        <v>469</v>
      </c>
      <c r="E414" s="144" t="s">
        <v>1738</v>
      </c>
    </row>
    <row r="415" spans="2:5">
      <c r="B415" s="143" t="s">
        <v>396</v>
      </c>
      <c r="C415" s="135" t="s">
        <v>19</v>
      </c>
      <c r="D415" s="136" t="s">
        <v>470</v>
      </c>
      <c r="E415" s="144" t="s">
        <v>1738</v>
      </c>
    </row>
    <row r="416" spans="2:5">
      <c r="B416" s="143" t="s">
        <v>396</v>
      </c>
      <c r="C416" s="135" t="s">
        <v>19</v>
      </c>
      <c r="D416" s="136" t="s">
        <v>471</v>
      </c>
      <c r="E416" s="144" t="s">
        <v>1738</v>
      </c>
    </row>
    <row r="417" spans="2:5">
      <c r="B417" s="143" t="s">
        <v>396</v>
      </c>
      <c r="C417" s="135" t="s">
        <v>19</v>
      </c>
      <c r="D417" s="136" t="s">
        <v>472</v>
      </c>
      <c r="E417" s="144" t="s">
        <v>1738</v>
      </c>
    </row>
    <row r="418" spans="2:5">
      <c r="B418" s="143" t="s">
        <v>396</v>
      </c>
      <c r="C418" s="135" t="s">
        <v>19</v>
      </c>
      <c r="D418" s="136" t="s">
        <v>473</v>
      </c>
      <c r="E418" s="144" t="s">
        <v>1738</v>
      </c>
    </row>
    <row r="419" spans="2:5">
      <c r="B419" s="143" t="s">
        <v>396</v>
      </c>
      <c r="C419" s="135" t="s">
        <v>19</v>
      </c>
      <c r="D419" s="136" t="s">
        <v>474</v>
      </c>
      <c r="E419" s="144" t="s">
        <v>1738</v>
      </c>
    </row>
    <row r="420" spans="2:5">
      <c r="B420" s="143" t="s">
        <v>396</v>
      </c>
      <c r="C420" s="135" t="s">
        <v>19</v>
      </c>
      <c r="D420" s="136" t="s">
        <v>475</v>
      </c>
      <c r="E420" s="144" t="s">
        <v>1738</v>
      </c>
    </row>
    <row r="421" spans="2:5">
      <c r="B421" s="143" t="s">
        <v>396</v>
      </c>
      <c r="C421" s="135" t="s">
        <v>19</v>
      </c>
      <c r="D421" s="136" t="s">
        <v>476</v>
      </c>
      <c r="E421" s="144" t="s">
        <v>1738</v>
      </c>
    </row>
    <row r="422" spans="2:5">
      <c r="B422" s="143" t="s">
        <v>396</v>
      </c>
      <c r="C422" s="135" t="s">
        <v>19</v>
      </c>
      <c r="D422" s="136" t="s">
        <v>477</v>
      </c>
      <c r="E422" s="144" t="s">
        <v>1738</v>
      </c>
    </row>
    <row r="423" spans="2:5">
      <c r="B423" s="143" t="s">
        <v>396</v>
      </c>
      <c r="C423" s="135" t="s">
        <v>19</v>
      </c>
      <c r="D423" s="136" t="s">
        <v>478</v>
      </c>
      <c r="E423" s="144" t="s">
        <v>1738</v>
      </c>
    </row>
    <row r="424" spans="2:5">
      <c r="B424" s="143" t="s">
        <v>396</v>
      </c>
      <c r="C424" s="135" t="s">
        <v>19</v>
      </c>
      <c r="D424" s="136" t="s">
        <v>479</v>
      </c>
      <c r="E424" s="144" t="s">
        <v>1738</v>
      </c>
    </row>
    <row r="425" spans="2:5">
      <c r="B425" s="143" t="s">
        <v>396</v>
      </c>
      <c r="C425" s="135" t="s">
        <v>19</v>
      </c>
      <c r="D425" s="136" t="s">
        <v>480</v>
      </c>
      <c r="E425" s="144" t="s">
        <v>1738</v>
      </c>
    </row>
    <row r="426" spans="2:5">
      <c r="B426" s="143" t="s">
        <v>396</v>
      </c>
      <c r="C426" s="135" t="s">
        <v>19</v>
      </c>
      <c r="D426" s="136" t="s">
        <v>481</v>
      </c>
      <c r="E426" s="144" t="s">
        <v>1738</v>
      </c>
    </row>
    <row r="427" spans="2:5">
      <c r="B427" s="143" t="s">
        <v>396</v>
      </c>
      <c r="C427" s="135" t="s">
        <v>19</v>
      </c>
      <c r="D427" s="136" t="s">
        <v>482</v>
      </c>
      <c r="E427" s="144" t="s">
        <v>1738</v>
      </c>
    </row>
    <row r="428" spans="2:5">
      <c r="B428" s="143" t="s">
        <v>396</v>
      </c>
      <c r="C428" s="135" t="s">
        <v>19</v>
      </c>
      <c r="D428" s="136" t="s">
        <v>483</v>
      </c>
      <c r="E428" s="144" t="s">
        <v>1738</v>
      </c>
    </row>
    <row r="429" spans="2:5">
      <c r="B429" s="143" t="s">
        <v>396</v>
      </c>
      <c r="C429" s="135" t="s">
        <v>19</v>
      </c>
      <c r="D429" s="136" t="s">
        <v>484</v>
      </c>
      <c r="E429" s="144" t="s">
        <v>1738</v>
      </c>
    </row>
    <row r="430" spans="2:5">
      <c r="B430" s="143" t="s">
        <v>396</v>
      </c>
      <c r="C430" s="135" t="s">
        <v>19</v>
      </c>
      <c r="D430" s="136" t="s">
        <v>485</v>
      </c>
      <c r="E430" s="144" t="s">
        <v>1738</v>
      </c>
    </row>
    <row r="431" spans="2:5">
      <c r="B431" s="143" t="s">
        <v>396</v>
      </c>
      <c r="C431" s="135" t="s">
        <v>19</v>
      </c>
      <c r="D431" s="136" t="s">
        <v>486</v>
      </c>
      <c r="E431" s="144" t="s">
        <v>1738</v>
      </c>
    </row>
    <row r="432" spans="2:5">
      <c r="B432" s="143" t="s">
        <v>396</v>
      </c>
      <c r="C432" s="135" t="s">
        <v>19</v>
      </c>
      <c r="D432" s="136" t="s">
        <v>487</v>
      </c>
      <c r="E432" s="144" t="s">
        <v>1738</v>
      </c>
    </row>
    <row r="433" spans="2:5">
      <c r="B433" s="143" t="s">
        <v>396</v>
      </c>
      <c r="C433" s="135" t="s">
        <v>19</v>
      </c>
      <c r="D433" s="136" t="s">
        <v>488</v>
      </c>
      <c r="E433" s="144" t="s">
        <v>1738</v>
      </c>
    </row>
    <row r="434" spans="2:5">
      <c r="B434" s="143" t="s">
        <v>396</v>
      </c>
      <c r="C434" s="135" t="s">
        <v>19</v>
      </c>
      <c r="D434" s="136" t="s">
        <v>489</v>
      </c>
      <c r="E434" s="144" t="s">
        <v>1738</v>
      </c>
    </row>
    <row r="435" spans="2:5">
      <c r="B435" s="143" t="s">
        <v>396</v>
      </c>
      <c r="C435" s="135" t="s">
        <v>19</v>
      </c>
      <c r="D435" s="136" t="s">
        <v>490</v>
      </c>
      <c r="E435" s="144" t="s">
        <v>1738</v>
      </c>
    </row>
    <row r="436" spans="2:5">
      <c r="B436" s="143" t="s">
        <v>396</v>
      </c>
      <c r="C436" s="135" t="s">
        <v>19</v>
      </c>
      <c r="D436" s="136" t="s">
        <v>491</v>
      </c>
      <c r="E436" s="144" t="s">
        <v>1738</v>
      </c>
    </row>
    <row r="437" spans="2:5">
      <c r="B437" s="143" t="s">
        <v>396</v>
      </c>
      <c r="C437" s="135" t="s">
        <v>19</v>
      </c>
      <c r="D437" s="136" t="s">
        <v>492</v>
      </c>
      <c r="E437" s="144" t="s">
        <v>1738</v>
      </c>
    </row>
    <row r="438" spans="2:5">
      <c r="B438" s="143" t="s">
        <v>396</v>
      </c>
      <c r="C438" s="135" t="s">
        <v>19</v>
      </c>
      <c r="D438" s="136" t="s">
        <v>493</v>
      </c>
      <c r="E438" s="144" t="s">
        <v>1738</v>
      </c>
    </row>
    <row r="439" spans="2:5">
      <c r="B439" s="143" t="s">
        <v>396</v>
      </c>
      <c r="C439" s="135" t="s">
        <v>19</v>
      </c>
      <c r="D439" s="136" t="s">
        <v>494</v>
      </c>
      <c r="E439" s="144" t="s">
        <v>1738</v>
      </c>
    </row>
    <row r="440" spans="2:5">
      <c r="B440" s="143" t="s">
        <v>396</v>
      </c>
      <c r="C440" s="135" t="s">
        <v>19</v>
      </c>
      <c r="D440" s="136" t="s">
        <v>495</v>
      </c>
      <c r="E440" s="144" t="s">
        <v>1738</v>
      </c>
    </row>
    <row r="441" spans="2:5">
      <c r="B441" s="143" t="s">
        <v>396</v>
      </c>
      <c r="C441" s="135" t="s">
        <v>19</v>
      </c>
      <c r="D441" s="136" t="s">
        <v>496</v>
      </c>
      <c r="E441" s="144" t="s">
        <v>1738</v>
      </c>
    </row>
    <row r="442" spans="2:5">
      <c r="B442" s="143" t="s">
        <v>396</v>
      </c>
      <c r="C442" s="135" t="s">
        <v>19</v>
      </c>
      <c r="D442" s="136" t="s">
        <v>497</v>
      </c>
      <c r="E442" s="144" t="s">
        <v>1738</v>
      </c>
    </row>
    <row r="443" spans="2:5">
      <c r="B443" s="143" t="s">
        <v>396</v>
      </c>
      <c r="C443" s="135" t="s">
        <v>19</v>
      </c>
      <c r="D443" s="136" t="s">
        <v>498</v>
      </c>
      <c r="E443" s="144" t="s">
        <v>1738</v>
      </c>
    </row>
    <row r="444" spans="2:5">
      <c r="B444" s="143" t="s">
        <v>396</v>
      </c>
      <c r="C444" s="135" t="s">
        <v>19</v>
      </c>
      <c r="D444" s="136" t="s">
        <v>499</v>
      </c>
      <c r="E444" s="144" t="s">
        <v>1738</v>
      </c>
    </row>
    <row r="445" spans="2:5">
      <c r="B445" s="143" t="s">
        <v>396</v>
      </c>
      <c r="C445" s="135" t="s">
        <v>19</v>
      </c>
      <c r="D445" s="136" t="s">
        <v>500</v>
      </c>
      <c r="E445" s="144" t="s">
        <v>1738</v>
      </c>
    </row>
    <row r="446" spans="2:5">
      <c r="B446" s="143" t="s">
        <v>396</v>
      </c>
      <c r="C446" s="135" t="s">
        <v>19</v>
      </c>
      <c r="D446" s="136" t="s">
        <v>501</v>
      </c>
      <c r="E446" s="144" t="s">
        <v>1738</v>
      </c>
    </row>
    <row r="447" spans="2:5">
      <c r="B447" s="143" t="s">
        <v>396</v>
      </c>
      <c r="C447" s="135" t="s">
        <v>19</v>
      </c>
      <c r="D447" s="136" t="s">
        <v>502</v>
      </c>
      <c r="E447" s="144" t="s">
        <v>1738</v>
      </c>
    </row>
    <row r="448" spans="2:5">
      <c r="B448" s="143" t="s">
        <v>396</v>
      </c>
      <c r="C448" s="135" t="s">
        <v>19</v>
      </c>
      <c r="D448" s="136" t="s">
        <v>503</v>
      </c>
      <c r="E448" s="144" t="s">
        <v>1738</v>
      </c>
    </row>
    <row r="449" spans="2:5">
      <c r="B449" s="143" t="s">
        <v>396</v>
      </c>
      <c r="C449" s="135" t="s">
        <v>19</v>
      </c>
      <c r="D449" s="136" t="s">
        <v>504</v>
      </c>
      <c r="E449" s="144" t="s">
        <v>1738</v>
      </c>
    </row>
    <row r="450" spans="2:5">
      <c r="B450" s="143" t="s">
        <v>396</v>
      </c>
      <c r="C450" s="135" t="s">
        <v>19</v>
      </c>
      <c r="D450" s="136" t="s">
        <v>505</v>
      </c>
      <c r="E450" s="144" t="s">
        <v>1738</v>
      </c>
    </row>
    <row r="451" spans="2:5">
      <c r="B451" s="143" t="s">
        <v>396</v>
      </c>
      <c r="C451" s="135" t="s">
        <v>19</v>
      </c>
      <c r="D451" s="136" t="s">
        <v>506</v>
      </c>
      <c r="E451" s="144" t="s">
        <v>1738</v>
      </c>
    </row>
    <row r="452" spans="2:5">
      <c r="B452" s="143" t="s">
        <v>396</v>
      </c>
      <c r="C452" s="135" t="s">
        <v>19</v>
      </c>
      <c r="D452" s="136" t="s">
        <v>507</v>
      </c>
      <c r="E452" s="144" t="s">
        <v>1738</v>
      </c>
    </row>
    <row r="453" spans="2:5">
      <c r="B453" s="143" t="s">
        <v>396</v>
      </c>
      <c r="C453" s="135" t="s">
        <v>19</v>
      </c>
      <c r="D453" s="136" t="s">
        <v>508</v>
      </c>
      <c r="E453" s="144" t="s">
        <v>1738</v>
      </c>
    </row>
    <row r="454" spans="2:5">
      <c r="B454" s="143" t="s">
        <v>396</v>
      </c>
      <c r="C454" s="135" t="s">
        <v>19</v>
      </c>
      <c r="D454" s="136" t="s">
        <v>509</v>
      </c>
      <c r="E454" s="144" t="s">
        <v>1738</v>
      </c>
    </row>
    <row r="455" spans="2:5">
      <c r="B455" s="143" t="s">
        <v>396</v>
      </c>
      <c r="C455" s="135" t="s">
        <v>19</v>
      </c>
      <c r="D455" s="136" t="s">
        <v>510</v>
      </c>
      <c r="E455" s="144" t="s">
        <v>1738</v>
      </c>
    </row>
    <row r="456" spans="2:5">
      <c r="B456" s="143" t="s">
        <v>396</v>
      </c>
      <c r="C456" s="135" t="s">
        <v>19</v>
      </c>
      <c r="D456" s="136" t="s">
        <v>511</v>
      </c>
      <c r="E456" s="144" t="s">
        <v>1738</v>
      </c>
    </row>
    <row r="457" spans="2:5">
      <c r="B457" s="143" t="s">
        <v>396</v>
      </c>
      <c r="C457" s="135" t="s">
        <v>19</v>
      </c>
      <c r="D457" s="136" t="s">
        <v>512</v>
      </c>
      <c r="E457" s="144" t="s">
        <v>1738</v>
      </c>
    </row>
    <row r="458" spans="2:5">
      <c r="B458" s="143" t="s">
        <v>396</v>
      </c>
      <c r="C458" s="135" t="s">
        <v>19</v>
      </c>
      <c r="D458" s="136" t="s">
        <v>513</v>
      </c>
      <c r="E458" s="144" t="s">
        <v>1738</v>
      </c>
    </row>
    <row r="459" spans="2:5">
      <c r="B459" s="143" t="s">
        <v>396</v>
      </c>
      <c r="C459" s="135" t="s">
        <v>19</v>
      </c>
      <c r="D459" s="136" t="s">
        <v>514</v>
      </c>
      <c r="E459" s="144" t="s">
        <v>1738</v>
      </c>
    </row>
    <row r="460" spans="2:5">
      <c r="B460" s="143" t="s">
        <v>396</v>
      </c>
      <c r="C460" s="135" t="s">
        <v>19</v>
      </c>
      <c r="D460" s="136" t="s">
        <v>515</v>
      </c>
      <c r="E460" s="144" t="s">
        <v>1738</v>
      </c>
    </row>
    <row r="461" spans="2:5">
      <c r="B461" s="143" t="s">
        <v>396</v>
      </c>
      <c r="C461" s="135" t="s">
        <v>19</v>
      </c>
      <c r="D461" s="136" t="s">
        <v>516</v>
      </c>
      <c r="E461" s="144" t="s">
        <v>1738</v>
      </c>
    </row>
    <row r="462" spans="2:5">
      <c r="B462" s="143" t="s">
        <v>396</v>
      </c>
      <c r="C462" s="135" t="s">
        <v>19</v>
      </c>
      <c r="D462" s="136" t="s">
        <v>517</v>
      </c>
      <c r="E462" s="144" t="s">
        <v>1738</v>
      </c>
    </row>
    <row r="463" spans="2:5">
      <c r="B463" s="143" t="s">
        <v>396</v>
      </c>
      <c r="C463" s="135" t="s">
        <v>19</v>
      </c>
      <c r="D463" s="136" t="s">
        <v>518</v>
      </c>
      <c r="E463" s="144" t="s">
        <v>1738</v>
      </c>
    </row>
    <row r="464" spans="2:5">
      <c r="B464" s="143" t="s">
        <v>396</v>
      </c>
      <c r="C464" s="135" t="s">
        <v>19</v>
      </c>
      <c r="D464" s="136" t="s">
        <v>519</v>
      </c>
      <c r="E464" s="144" t="s">
        <v>1738</v>
      </c>
    </row>
    <row r="465" spans="2:5">
      <c r="B465" s="143" t="s">
        <v>396</v>
      </c>
      <c r="C465" s="135" t="s">
        <v>19</v>
      </c>
      <c r="D465" s="136" t="s">
        <v>520</v>
      </c>
      <c r="E465" s="144" t="s">
        <v>1738</v>
      </c>
    </row>
    <row r="466" spans="2:5">
      <c r="B466" s="143" t="s">
        <v>396</v>
      </c>
      <c r="C466" s="135" t="s">
        <v>19</v>
      </c>
      <c r="D466" s="136" t="s">
        <v>521</v>
      </c>
      <c r="E466" s="144" t="s">
        <v>1738</v>
      </c>
    </row>
    <row r="467" spans="2:5">
      <c r="B467" s="143" t="s">
        <v>396</v>
      </c>
      <c r="C467" s="135" t="s">
        <v>19</v>
      </c>
      <c r="D467" s="136" t="s">
        <v>522</v>
      </c>
      <c r="E467" s="144" t="s">
        <v>1738</v>
      </c>
    </row>
    <row r="468" spans="2:5">
      <c r="B468" s="143" t="s">
        <v>396</v>
      </c>
      <c r="C468" s="135" t="s">
        <v>19</v>
      </c>
      <c r="D468" s="136" t="s">
        <v>523</v>
      </c>
      <c r="E468" s="144" t="s">
        <v>1738</v>
      </c>
    </row>
    <row r="469" spans="2:5">
      <c r="B469" s="143" t="s">
        <v>396</v>
      </c>
      <c r="C469" s="135" t="s">
        <v>19</v>
      </c>
      <c r="D469" s="136" t="s">
        <v>524</v>
      </c>
      <c r="E469" s="144" t="s">
        <v>1738</v>
      </c>
    </row>
    <row r="470" spans="2:5">
      <c r="B470" s="143" t="s">
        <v>396</v>
      </c>
      <c r="C470" s="135" t="s">
        <v>19</v>
      </c>
      <c r="D470" s="136" t="s">
        <v>525</v>
      </c>
      <c r="E470" s="144" t="s">
        <v>1738</v>
      </c>
    </row>
    <row r="471" spans="2:5">
      <c r="B471" s="143" t="s">
        <v>396</v>
      </c>
      <c r="C471" s="135" t="s">
        <v>19</v>
      </c>
      <c r="D471" s="136" t="s">
        <v>526</v>
      </c>
      <c r="E471" s="144" t="s">
        <v>1738</v>
      </c>
    </row>
    <row r="472" spans="2:5">
      <c r="B472" s="143" t="s">
        <v>396</v>
      </c>
      <c r="C472" s="135" t="s">
        <v>19</v>
      </c>
      <c r="D472" s="136" t="s">
        <v>527</v>
      </c>
      <c r="E472" s="144" t="s">
        <v>1738</v>
      </c>
    </row>
    <row r="473" spans="2:5">
      <c r="B473" s="143" t="s">
        <v>396</v>
      </c>
      <c r="C473" s="135" t="s">
        <v>19</v>
      </c>
      <c r="D473" s="136" t="s">
        <v>528</v>
      </c>
      <c r="E473" s="144" t="s">
        <v>1738</v>
      </c>
    </row>
    <row r="474" spans="2:5">
      <c r="B474" s="143" t="s">
        <v>396</v>
      </c>
      <c r="C474" s="135" t="s">
        <v>19</v>
      </c>
      <c r="D474" s="136" t="s">
        <v>529</v>
      </c>
      <c r="E474" s="144" t="s">
        <v>1738</v>
      </c>
    </row>
    <row r="475" spans="2:5">
      <c r="B475" s="143" t="s">
        <v>396</v>
      </c>
      <c r="C475" s="135" t="s">
        <v>19</v>
      </c>
      <c r="D475" s="136" t="s">
        <v>530</v>
      </c>
      <c r="E475" s="144" t="s">
        <v>1738</v>
      </c>
    </row>
    <row r="476" spans="2:5">
      <c r="B476" s="143" t="s">
        <v>396</v>
      </c>
      <c r="C476" s="135" t="s">
        <v>19</v>
      </c>
      <c r="D476" s="136" t="s">
        <v>531</v>
      </c>
      <c r="E476" s="144" t="s">
        <v>1738</v>
      </c>
    </row>
    <row r="477" spans="2:5">
      <c r="B477" s="143" t="s">
        <v>396</v>
      </c>
      <c r="C477" s="135" t="s">
        <v>19</v>
      </c>
      <c r="D477" s="136" t="s">
        <v>532</v>
      </c>
      <c r="E477" s="144" t="s">
        <v>1738</v>
      </c>
    </row>
    <row r="478" spans="2:5">
      <c r="B478" s="143" t="s">
        <v>396</v>
      </c>
      <c r="C478" s="135" t="s">
        <v>19</v>
      </c>
      <c r="D478" s="136" t="s">
        <v>533</v>
      </c>
      <c r="E478" s="144" t="s">
        <v>1738</v>
      </c>
    </row>
    <row r="479" spans="2:5">
      <c r="B479" s="143" t="s">
        <v>396</v>
      </c>
      <c r="C479" s="135" t="s">
        <v>19</v>
      </c>
      <c r="D479" s="136" t="s">
        <v>534</v>
      </c>
      <c r="E479" s="144" t="s">
        <v>1738</v>
      </c>
    </row>
    <row r="480" spans="2:5">
      <c r="B480" s="143" t="s">
        <v>396</v>
      </c>
      <c r="C480" s="135" t="s">
        <v>19</v>
      </c>
      <c r="D480" s="136" t="s">
        <v>535</v>
      </c>
      <c r="E480" s="144" t="s">
        <v>1738</v>
      </c>
    </row>
    <row r="481" spans="2:5">
      <c r="B481" s="143" t="s">
        <v>396</v>
      </c>
      <c r="C481" s="135" t="s">
        <v>19</v>
      </c>
      <c r="D481" s="136" t="s">
        <v>536</v>
      </c>
      <c r="E481" s="144" t="s">
        <v>1738</v>
      </c>
    </row>
    <row r="482" spans="2:5">
      <c r="B482" s="143" t="s">
        <v>396</v>
      </c>
      <c r="C482" s="135" t="s">
        <v>19</v>
      </c>
      <c r="D482" s="136" t="s">
        <v>537</v>
      </c>
      <c r="E482" s="144" t="s">
        <v>1738</v>
      </c>
    </row>
    <row r="483" spans="2:5">
      <c r="B483" s="143" t="s">
        <v>396</v>
      </c>
      <c r="C483" s="135" t="s">
        <v>19</v>
      </c>
      <c r="D483" s="136" t="s">
        <v>538</v>
      </c>
      <c r="E483" s="144" t="s">
        <v>1738</v>
      </c>
    </row>
    <row r="484" spans="2:5">
      <c r="B484" s="143" t="s">
        <v>396</v>
      </c>
      <c r="C484" s="135" t="s">
        <v>19</v>
      </c>
      <c r="D484" s="136" t="s">
        <v>539</v>
      </c>
      <c r="E484" s="144" t="s">
        <v>1738</v>
      </c>
    </row>
    <row r="485" spans="2:5">
      <c r="B485" s="143" t="s">
        <v>396</v>
      </c>
      <c r="C485" s="135" t="s">
        <v>19</v>
      </c>
      <c r="D485" s="136" t="s">
        <v>540</v>
      </c>
      <c r="E485" s="144" t="s">
        <v>1738</v>
      </c>
    </row>
    <row r="486" spans="2:5">
      <c r="B486" s="143" t="s">
        <v>396</v>
      </c>
      <c r="C486" s="135" t="s">
        <v>19</v>
      </c>
      <c r="D486" s="136" t="s">
        <v>541</v>
      </c>
      <c r="E486" s="144" t="s">
        <v>1738</v>
      </c>
    </row>
    <row r="487" spans="2:5">
      <c r="B487" s="143" t="s">
        <v>396</v>
      </c>
      <c r="C487" s="135" t="s">
        <v>19</v>
      </c>
      <c r="D487" s="136" t="s">
        <v>542</v>
      </c>
      <c r="E487" s="144" t="s">
        <v>1738</v>
      </c>
    </row>
    <row r="488" spans="2:5">
      <c r="B488" s="143" t="s">
        <v>396</v>
      </c>
      <c r="C488" s="135" t="s">
        <v>19</v>
      </c>
      <c r="D488" s="136" t="s">
        <v>543</v>
      </c>
      <c r="E488" s="144" t="s">
        <v>1738</v>
      </c>
    </row>
    <row r="489" spans="2:5">
      <c r="B489" s="143" t="s">
        <v>396</v>
      </c>
      <c r="C489" s="135" t="s">
        <v>19</v>
      </c>
      <c r="D489" s="136" t="s">
        <v>544</v>
      </c>
      <c r="E489" s="144" t="s">
        <v>1738</v>
      </c>
    </row>
    <row r="490" spans="2:5">
      <c r="B490" s="143" t="s">
        <v>396</v>
      </c>
      <c r="C490" s="135" t="s">
        <v>19</v>
      </c>
      <c r="D490" s="136" t="s">
        <v>545</v>
      </c>
      <c r="E490" s="144" t="s">
        <v>1738</v>
      </c>
    </row>
    <row r="491" spans="2:5">
      <c r="B491" s="143" t="s">
        <v>396</v>
      </c>
      <c r="C491" s="135" t="s">
        <v>19</v>
      </c>
      <c r="D491" s="136" t="s">
        <v>546</v>
      </c>
      <c r="E491" s="144" t="s">
        <v>1738</v>
      </c>
    </row>
    <row r="492" spans="2:5">
      <c r="B492" s="143" t="s">
        <v>396</v>
      </c>
      <c r="C492" s="135" t="s">
        <v>19</v>
      </c>
      <c r="D492" s="136" t="s">
        <v>547</v>
      </c>
      <c r="E492" s="144" t="s">
        <v>1738</v>
      </c>
    </row>
    <row r="493" spans="2:5">
      <c r="B493" s="143" t="s">
        <v>396</v>
      </c>
      <c r="C493" s="135" t="s">
        <v>19</v>
      </c>
      <c r="D493" s="136" t="s">
        <v>548</v>
      </c>
      <c r="E493" s="144" t="s">
        <v>1738</v>
      </c>
    </row>
    <row r="494" spans="2:5">
      <c r="B494" s="143" t="s">
        <v>396</v>
      </c>
      <c r="C494" s="135" t="s">
        <v>19</v>
      </c>
      <c r="D494" s="136" t="s">
        <v>549</v>
      </c>
      <c r="E494" s="144" t="s">
        <v>1738</v>
      </c>
    </row>
    <row r="495" spans="2:5">
      <c r="B495" s="143" t="s">
        <v>396</v>
      </c>
      <c r="C495" s="135" t="s">
        <v>19</v>
      </c>
      <c r="D495" s="136" t="s">
        <v>550</v>
      </c>
      <c r="E495" s="144" t="s">
        <v>1738</v>
      </c>
    </row>
    <row r="496" spans="2:5">
      <c r="B496" s="143" t="s">
        <v>396</v>
      </c>
      <c r="C496" s="135" t="s">
        <v>19</v>
      </c>
      <c r="D496" s="136" t="s">
        <v>551</v>
      </c>
      <c r="E496" s="144" t="s">
        <v>1738</v>
      </c>
    </row>
    <row r="497" spans="2:5">
      <c r="B497" s="143" t="s">
        <v>396</v>
      </c>
      <c r="C497" s="135" t="s">
        <v>19</v>
      </c>
      <c r="D497" s="136" t="s">
        <v>552</v>
      </c>
      <c r="E497" s="144" t="s">
        <v>1738</v>
      </c>
    </row>
    <row r="498" spans="2:5">
      <c r="B498" s="143" t="s">
        <v>396</v>
      </c>
      <c r="C498" s="135" t="s">
        <v>19</v>
      </c>
      <c r="D498" s="136" t="s">
        <v>553</v>
      </c>
      <c r="E498" s="144" t="s">
        <v>1738</v>
      </c>
    </row>
    <row r="499" spans="2:5">
      <c r="B499" s="143" t="s">
        <v>396</v>
      </c>
      <c r="C499" s="135" t="s">
        <v>19</v>
      </c>
      <c r="D499" s="136" t="s">
        <v>554</v>
      </c>
      <c r="E499" s="144" t="s">
        <v>1738</v>
      </c>
    </row>
    <row r="500" spans="2:5">
      <c r="B500" s="143" t="s">
        <v>396</v>
      </c>
      <c r="C500" s="135" t="s">
        <v>19</v>
      </c>
      <c r="D500" s="136" t="s">
        <v>555</v>
      </c>
      <c r="E500" s="144" t="s">
        <v>1738</v>
      </c>
    </row>
    <row r="501" spans="2:5">
      <c r="B501" s="143" t="s">
        <v>396</v>
      </c>
      <c r="C501" s="135" t="s">
        <v>19</v>
      </c>
      <c r="D501" s="136" t="s">
        <v>556</v>
      </c>
      <c r="E501" s="144" t="s">
        <v>1738</v>
      </c>
    </row>
    <row r="502" spans="2:5">
      <c r="B502" s="143" t="s">
        <v>396</v>
      </c>
      <c r="C502" s="135" t="s">
        <v>19</v>
      </c>
      <c r="D502" s="136" t="s">
        <v>557</v>
      </c>
      <c r="E502" s="144" t="s">
        <v>1738</v>
      </c>
    </row>
    <row r="503" spans="2:5">
      <c r="B503" s="143" t="s">
        <v>396</v>
      </c>
      <c r="C503" s="135" t="s">
        <v>19</v>
      </c>
      <c r="D503" s="136" t="s">
        <v>558</v>
      </c>
      <c r="E503" s="144" t="s">
        <v>1738</v>
      </c>
    </row>
    <row r="504" spans="2:5">
      <c r="B504" s="143" t="s">
        <v>396</v>
      </c>
      <c r="C504" s="135" t="s">
        <v>19</v>
      </c>
      <c r="D504" s="136" t="s">
        <v>559</v>
      </c>
      <c r="E504" s="144" t="s">
        <v>1738</v>
      </c>
    </row>
    <row r="505" spans="2:5">
      <c r="B505" s="143" t="s">
        <v>396</v>
      </c>
      <c r="C505" s="135" t="s">
        <v>19</v>
      </c>
      <c r="D505" s="136" t="s">
        <v>560</v>
      </c>
      <c r="E505" s="144" t="s">
        <v>1738</v>
      </c>
    </row>
    <row r="506" spans="2:5">
      <c r="B506" s="143" t="s">
        <v>396</v>
      </c>
      <c r="C506" s="135" t="s">
        <v>19</v>
      </c>
      <c r="D506" s="136" t="s">
        <v>561</v>
      </c>
      <c r="E506" s="144" t="s">
        <v>1738</v>
      </c>
    </row>
    <row r="507" spans="2:5">
      <c r="B507" s="143" t="s">
        <v>396</v>
      </c>
      <c r="C507" s="135" t="s">
        <v>19</v>
      </c>
      <c r="D507" s="136" t="s">
        <v>562</v>
      </c>
      <c r="E507" s="144" t="s">
        <v>1738</v>
      </c>
    </row>
    <row r="508" spans="2:5">
      <c r="B508" s="143" t="s">
        <v>396</v>
      </c>
      <c r="C508" s="135" t="s">
        <v>19</v>
      </c>
      <c r="D508" s="136" t="s">
        <v>563</v>
      </c>
      <c r="E508" s="144" t="s">
        <v>1738</v>
      </c>
    </row>
    <row r="509" spans="2:5">
      <c r="B509" s="143" t="s">
        <v>396</v>
      </c>
      <c r="C509" s="135" t="s">
        <v>19</v>
      </c>
      <c r="D509" s="136" t="s">
        <v>564</v>
      </c>
      <c r="E509" s="144" t="s">
        <v>1</v>
      </c>
    </row>
    <row r="510" spans="2:5">
      <c r="B510" s="143" t="s">
        <v>396</v>
      </c>
      <c r="C510" s="135" t="s">
        <v>19</v>
      </c>
      <c r="D510" s="136" t="s">
        <v>565</v>
      </c>
      <c r="E510" s="144" t="s">
        <v>1</v>
      </c>
    </row>
    <row r="511" spans="2:5">
      <c r="B511" s="143" t="s">
        <v>396</v>
      </c>
      <c r="C511" s="135" t="s">
        <v>19</v>
      </c>
      <c r="D511" s="136" t="s">
        <v>566</v>
      </c>
      <c r="E511" s="144" t="s">
        <v>1</v>
      </c>
    </row>
    <row r="512" spans="2:5">
      <c r="B512" s="143" t="s">
        <v>396</v>
      </c>
      <c r="C512" s="135" t="s">
        <v>19</v>
      </c>
      <c r="D512" s="136" t="s">
        <v>567</v>
      </c>
      <c r="E512" s="144" t="s">
        <v>1</v>
      </c>
    </row>
    <row r="513" spans="2:5">
      <c r="B513" s="143" t="s">
        <v>396</v>
      </c>
      <c r="C513" s="135" t="s">
        <v>19</v>
      </c>
      <c r="D513" s="136" t="s">
        <v>568</v>
      </c>
      <c r="E513" s="144" t="s">
        <v>1</v>
      </c>
    </row>
    <row r="514" spans="2:5">
      <c r="B514" s="143" t="s">
        <v>396</v>
      </c>
      <c r="C514" s="135" t="s">
        <v>19</v>
      </c>
      <c r="D514" s="136" t="s">
        <v>569</v>
      </c>
      <c r="E514" s="144" t="s">
        <v>1</v>
      </c>
    </row>
    <row r="515" spans="2:5">
      <c r="B515" s="143" t="s">
        <v>396</v>
      </c>
      <c r="C515" s="135" t="s">
        <v>19</v>
      </c>
      <c r="D515" s="136" t="s">
        <v>570</v>
      </c>
      <c r="E515" s="144" t="s">
        <v>1</v>
      </c>
    </row>
    <row r="516" spans="2:5">
      <c r="B516" s="143" t="s">
        <v>396</v>
      </c>
      <c r="C516" s="135" t="s">
        <v>19</v>
      </c>
      <c r="D516" s="136" t="s">
        <v>571</v>
      </c>
      <c r="E516" s="144" t="s">
        <v>1</v>
      </c>
    </row>
    <row r="517" spans="2:5">
      <c r="B517" s="143" t="s">
        <v>396</v>
      </c>
      <c r="C517" s="135" t="s">
        <v>19</v>
      </c>
      <c r="D517" s="136" t="s">
        <v>572</v>
      </c>
      <c r="E517" s="144" t="s">
        <v>1</v>
      </c>
    </row>
    <row r="518" spans="2:5">
      <c r="B518" s="143" t="s">
        <v>396</v>
      </c>
      <c r="C518" s="135" t="s">
        <v>19</v>
      </c>
      <c r="D518" s="136" t="s">
        <v>573</v>
      </c>
      <c r="E518" s="144" t="s">
        <v>1</v>
      </c>
    </row>
    <row r="519" spans="2:5">
      <c r="B519" s="143" t="s">
        <v>396</v>
      </c>
      <c r="C519" s="135" t="s">
        <v>19</v>
      </c>
      <c r="D519" s="136" t="s">
        <v>574</v>
      </c>
      <c r="E519" s="144" t="s">
        <v>1</v>
      </c>
    </row>
    <row r="520" spans="2:5">
      <c r="B520" s="143" t="s">
        <v>396</v>
      </c>
      <c r="C520" s="135" t="s">
        <v>19</v>
      </c>
      <c r="D520" s="136" t="s">
        <v>575</v>
      </c>
      <c r="E520" s="144" t="s">
        <v>1</v>
      </c>
    </row>
    <row r="521" spans="2:5">
      <c r="B521" s="143" t="s">
        <v>396</v>
      </c>
      <c r="C521" s="135" t="s">
        <v>19</v>
      </c>
      <c r="D521" s="136" t="s">
        <v>576</v>
      </c>
      <c r="E521" s="144" t="s">
        <v>1</v>
      </c>
    </row>
    <row r="522" spans="2:5">
      <c r="B522" s="143" t="s">
        <v>396</v>
      </c>
      <c r="C522" s="135" t="s">
        <v>19</v>
      </c>
      <c r="D522" s="136" t="s">
        <v>577</v>
      </c>
      <c r="E522" s="144" t="s">
        <v>1</v>
      </c>
    </row>
    <row r="523" spans="2:5">
      <c r="B523" s="143" t="s">
        <v>396</v>
      </c>
      <c r="C523" s="135" t="s">
        <v>19</v>
      </c>
      <c r="D523" s="136" t="s">
        <v>578</v>
      </c>
      <c r="E523" s="144" t="s">
        <v>1</v>
      </c>
    </row>
    <row r="524" spans="2:5">
      <c r="B524" s="143" t="s">
        <v>396</v>
      </c>
      <c r="C524" s="135" t="s">
        <v>19</v>
      </c>
      <c r="D524" s="136" t="s">
        <v>579</v>
      </c>
      <c r="E524" s="144" t="s">
        <v>1</v>
      </c>
    </row>
    <row r="525" spans="2:5">
      <c r="B525" s="143" t="s">
        <v>396</v>
      </c>
      <c r="C525" s="135" t="s">
        <v>19</v>
      </c>
      <c r="D525" s="136" t="s">
        <v>580</v>
      </c>
      <c r="E525" s="144" t="s">
        <v>1</v>
      </c>
    </row>
    <row r="526" spans="2:5">
      <c r="B526" s="143" t="s">
        <v>396</v>
      </c>
      <c r="C526" s="135" t="s">
        <v>19</v>
      </c>
      <c r="D526" s="136" t="s">
        <v>581</v>
      </c>
      <c r="E526" s="144" t="s">
        <v>1738</v>
      </c>
    </row>
    <row r="527" spans="2:5">
      <c r="B527" s="143" t="s">
        <v>396</v>
      </c>
      <c r="C527" s="135" t="s">
        <v>19</v>
      </c>
      <c r="D527" s="136" t="s">
        <v>582</v>
      </c>
      <c r="E527" s="144" t="s">
        <v>1738</v>
      </c>
    </row>
    <row r="528" spans="2:5">
      <c r="B528" s="143" t="s">
        <v>396</v>
      </c>
      <c r="C528" s="135" t="s">
        <v>19</v>
      </c>
      <c r="D528" s="136" t="s">
        <v>583</v>
      </c>
      <c r="E528" s="144" t="s">
        <v>1738</v>
      </c>
    </row>
    <row r="529" spans="2:5">
      <c r="B529" s="143" t="s">
        <v>396</v>
      </c>
      <c r="C529" s="135" t="s">
        <v>19</v>
      </c>
      <c r="D529" s="136" t="s">
        <v>584</v>
      </c>
      <c r="E529" s="144" t="s">
        <v>1738</v>
      </c>
    </row>
    <row r="530" spans="2:5">
      <c r="B530" s="143" t="s">
        <v>396</v>
      </c>
      <c r="C530" s="135" t="s">
        <v>19</v>
      </c>
      <c r="D530" s="136" t="s">
        <v>585</v>
      </c>
      <c r="E530" s="144" t="s">
        <v>1738</v>
      </c>
    </row>
    <row r="531" spans="2:5">
      <c r="B531" s="143" t="s">
        <v>396</v>
      </c>
      <c r="C531" s="135" t="s">
        <v>19</v>
      </c>
      <c r="D531" s="136" t="s">
        <v>586</v>
      </c>
      <c r="E531" s="144" t="s">
        <v>1738</v>
      </c>
    </row>
    <row r="532" spans="2:5">
      <c r="B532" s="143" t="s">
        <v>396</v>
      </c>
      <c r="C532" s="135" t="s">
        <v>19</v>
      </c>
      <c r="D532" s="136" t="s">
        <v>587</v>
      </c>
      <c r="E532" s="144" t="s">
        <v>1738</v>
      </c>
    </row>
    <row r="533" spans="2:5">
      <c r="B533" s="143" t="s">
        <v>396</v>
      </c>
      <c r="C533" s="135" t="s">
        <v>19</v>
      </c>
      <c r="D533" s="136" t="s">
        <v>588</v>
      </c>
      <c r="E533" s="144" t="s">
        <v>1738</v>
      </c>
    </row>
    <row r="534" spans="2:5">
      <c r="B534" s="143" t="s">
        <v>396</v>
      </c>
      <c r="C534" s="135" t="s">
        <v>19</v>
      </c>
      <c r="D534" s="136" t="s">
        <v>589</v>
      </c>
      <c r="E534" s="144" t="s">
        <v>1738</v>
      </c>
    </row>
    <row r="535" spans="2:5">
      <c r="B535" s="143" t="s">
        <v>396</v>
      </c>
      <c r="C535" s="135" t="s">
        <v>19</v>
      </c>
      <c r="D535" s="136" t="s">
        <v>590</v>
      </c>
      <c r="E535" s="144" t="s">
        <v>1738</v>
      </c>
    </row>
    <row r="536" spans="2:5">
      <c r="B536" s="143" t="s">
        <v>396</v>
      </c>
      <c r="C536" s="135" t="s">
        <v>19</v>
      </c>
      <c r="D536" s="136" t="s">
        <v>591</v>
      </c>
      <c r="E536" s="144" t="s">
        <v>1738</v>
      </c>
    </row>
    <row r="537" spans="2:5">
      <c r="B537" s="143" t="s">
        <v>396</v>
      </c>
      <c r="C537" s="135" t="s">
        <v>19</v>
      </c>
      <c r="D537" s="136" t="s">
        <v>592</v>
      </c>
      <c r="E537" s="144" t="s">
        <v>1738</v>
      </c>
    </row>
    <row r="538" spans="2:5">
      <c r="B538" s="143" t="s">
        <v>396</v>
      </c>
      <c r="C538" s="135" t="s">
        <v>19</v>
      </c>
      <c r="D538" s="136" t="s">
        <v>593</v>
      </c>
      <c r="E538" s="144" t="s">
        <v>1738</v>
      </c>
    </row>
    <row r="539" spans="2:5">
      <c r="B539" s="143" t="s">
        <v>396</v>
      </c>
      <c r="C539" s="135" t="s">
        <v>19</v>
      </c>
      <c r="D539" s="136" t="s">
        <v>594</v>
      </c>
      <c r="E539" s="144" t="s">
        <v>1738</v>
      </c>
    </row>
    <row r="540" spans="2:5">
      <c r="B540" s="143" t="s">
        <v>396</v>
      </c>
      <c r="C540" s="135" t="s">
        <v>19</v>
      </c>
      <c r="D540" s="136" t="s">
        <v>595</v>
      </c>
      <c r="E540" s="144" t="s">
        <v>1738</v>
      </c>
    </row>
    <row r="541" spans="2:5">
      <c r="B541" s="143" t="s">
        <v>396</v>
      </c>
      <c r="C541" s="135" t="s">
        <v>19</v>
      </c>
      <c r="D541" s="136" t="s">
        <v>596</v>
      </c>
      <c r="E541" s="144" t="s">
        <v>1738</v>
      </c>
    </row>
    <row r="542" spans="2:5">
      <c r="B542" s="143" t="s">
        <v>396</v>
      </c>
      <c r="C542" s="135" t="s">
        <v>19</v>
      </c>
      <c r="D542" s="136" t="s">
        <v>597</v>
      </c>
      <c r="E542" s="144" t="s">
        <v>1738</v>
      </c>
    </row>
    <row r="543" spans="2:5">
      <c r="B543" s="143" t="s">
        <v>396</v>
      </c>
      <c r="C543" s="135" t="s">
        <v>19</v>
      </c>
      <c r="D543" s="136" t="s">
        <v>598</v>
      </c>
      <c r="E543" s="144" t="s">
        <v>1738</v>
      </c>
    </row>
    <row r="544" spans="2:5">
      <c r="B544" s="143" t="s">
        <v>396</v>
      </c>
      <c r="C544" s="135" t="s">
        <v>19</v>
      </c>
      <c r="D544" s="136" t="s">
        <v>599</v>
      </c>
      <c r="E544" s="144" t="s">
        <v>1738</v>
      </c>
    </row>
    <row r="545" spans="2:5">
      <c r="B545" s="143" t="s">
        <v>396</v>
      </c>
      <c r="C545" s="135" t="s">
        <v>19</v>
      </c>
      <c r="D545" s="136" t="s">
        <v>600</v>
      </c>
      <c r="E545" s="144" t="s">
        <v>1738</v>
      </c>
    </row>
    <row r="546" spans="2:5">
      <c r="B546" s="143" t="s">
        <v>396</v>
      </c>
      <c r="C546" s="135" t="s">
        <v>19</v>
      </c>
      <c r="D546" s="136" t="s">
        <v>601</v>
      </c>
      <c r="E546" s="144" t="s">
        <v>1738</v>
      </c>
    </row>
    <row r="547" spans="2:5">
      <c r="B547" s="143" t="s">
        <v>396</v>
      </c>
      <c r="C547" s="135" t="s">
        <v>19</v>
      </c>
      <c r="D547" s="136" t="s">
        <v>602</v>
      </c>
      <c r="E547" s="144" t="s">
        <v>1738</v>
      </c>
    </row>
    <row r="548" spans="2:5">
      <c r="B548" s="143" t="s">
        <v>396</v>
      </c>
      <c r="C548" s="135" t="s">
        <v>19</v>
      </c>
      <c r="D548" s="136" t="s">
        <v>603</v>
      </c>
      <c r="E548" s="144" t="s">
        <v>1738</v>
      </c>
    </row>
    <row r="549" spans="2:5">
      <c r="B549" s="143" t="s">
        <v>396</v>
      </c>
      <c r="C549" s="135" t="s">
        <v>19</v>
      </c>
      <c r="D549" s="136" t="s">
        <v>604</v>
      </c>
      <c r="E549" s="144" t="s">
        <v>1738</v>
      </c>
    </row>
    <row r="550" spans="2:5">
      <c r="B550" s="143" t="s">
        <v>396</v>
      </c>
      <c r="C550" s="135" t="s">
        <v>19</v>
      </c>
      <c r="D550" s="136" t="s">
        <v>605</v>
      </c>
      <c r="E550" s="144" t="s">
        <v>1738</v>
      </c>
    </row>
    <row r="551" spans="2:5">
      <c r="B551" s="143" t="s">
        <v>396</v>
      </c>
      <c r="C551" s="135" t="s">
        <v>19</v>
      </c>
      <c r="D551" s="136" t="s">
        <v>606</v>
      </c>
      <c r="E551" s="144" t="s">
        <v>1738</v>
      </c>
    </row>
    <row r="552" spans="2:5">
      <c r="B552" s="143" t="s">
        <v>396</v>
      </c>
      <c r="C552" s="135" t="s">
        <v>19</v>
      </c>
      <c r="D552" s="136" t="s">
        <v>607</v>
      </c>
      <c r="E552" s="144" t="s">
        <v>1738</v>
      </c>
    </row>
    <row r="553" spans="2:5">
      <c r="B553" s="143" t="s">
        <v>396</v>
      </c>
      <c r="C553" s="135" t="s">
        <v>19</v>
      </c>
      <c r="D553" s="136" t="s">
        <v>608</v>
      </c>
      <c r="E553" s="144" t="s">
        <v>1738</v>
      </c>
    </row>
    <row r="554" spans="2:5">
      <c r="B554" s="143" t="s">
        <v>396</v>
      </c>
      <c r="C554" s="135" t="s">
        <v>19</v>
      </c>
      <c r="D554" s="136" t="s">
        <v>609</v>
      </c>
      <c r="E554" s="144" t="s">
        <v>1738</v>
      </c>
    </row>
    <row r="555" spans="2:5">
      <c r="B555" s="143" t="s">
        <v>396</v>
      </c>
      <c r="C555" s="135" t="s">
        <v>19</v>
      </c>
      <c r="D555" s="136" t="s">
        <v>610</v>
      </c>
      <c r="E555" s="144" t="s">
        <v>1738</v>
      </c>
    </row>
    <row r="556" spans="2:5">
      <c r="B556" s="143" t="s">
        <v>396</v>
      </c>
      <c r="C556" s="135" t="s">
        <v>19</v>
      </c>
      <c r="D556" s="136" t="s">
        <v>611</v>
      </c>
      <c r="E556" s="144" t="s">
        <v>1738</v>
      </c>
    </row>
    <row r="557" spans="2:5">
      <c r="B557" s="143" t="s">
        <v>396</v>
      </c>
      <c r="C557" s="135" t="s">
        <v>19</v>
      </c>
      <c r="D557" s="136" t="s">
        <v>612</v>
      </c>
      <c r="E557" s="144" t="s">
        <v>1738</v>
      </c>
    </row>
    <row r="558" spans="2:5">
      <c r="B558" s="143" t="s">
        <v>396</v>
      </c>
      <c r="C558" s="135" t="s">
        <v>19</v>
      </c>
      <c r="D558" s="136" t="s">
        <v>613</v>
      </c>
      <c r="E558" s="144" t="s">
        <v>1738</v>
      </c>
    </row>
    <row r="559" spans="2:5">
      <c r="B559" s="143" t="s">
        <v>396</v>
      </c>
      <c r="C559" s="135" t="s">
        <v>19</v>
      </c>
      <c r="D559" s="136" t="s">
        <v>614</v>
      </c>
      <c r="E559" s="144" t="s">
        <v>1738</v>
      </c>
    </row>
    <row r="560" spans="2:5">
      <c r="B560" s="143" t="s">
        <v>396</v>
      </c>
      <c r="C560" s="135" t="s">
        <v>19</v>
      </c>
      <c r="D560" s="136" t="s">
        <v>615</v>
      </c>
      <c r="E560" s="144" t="s">
        <v>1738</v>
      </c>
    </row>
    <row r="561" spans="2:5">
      <c r="B561" s="143" t="s">
        <v>396</v>
      </c>
      <c r="C561" s="135" t="s">
        <v>19</v>
      </c>
      <c r="D561" s="136" t="s">
        <v>616</v>
      </c>
      <c r="E561" s="144" t="s">
        <v>1738</v>
      </c>
    </row>
    <row r="562" spans="2:5">
      <c r="B562" s="143" t="s">
        <v>396</v>
      </c>
      <c r="C562" s="135" t="s">
        <v>19</v>
      </c>
      <c r="D562" s="136" t="s">
        <v>617</v>
      </c>
      <c r="E562" s="144" t="s">
        <v>1738</v>
      </c>
    </row>
    <row r="563" spans="2:5">
      <c r="B563" s="143" t="s">
        <v>396</v>
      </c>
      <c r="C563" s="135" t="s">
        <v>19</v>
      </c>
      <c r="D563" s="136" t="s">
        <v>618</v>
      </c>
      <c r="E563" s="144" t="s">
        <v>1738</v>
      </c>
    </row>
    <row r="564" spans="2:5">
      <c r="B564" s="143" t="s">
        <v>396</v>
      </c>
      <c r="C564" s="135" t="s">
        <v>19</v>
      </c>
      <c r="D564" s="136" t="s">
        <v>619</v>
      </c>
      <c r="E564" s="144" t="s">
        <v>1738</v>
      </c>
    </row>
    <row r="565" spans="2:5">
      <c r="B565" s="143" t="s">
        <v>396</v>
      </c>
      <c r="C565" s="135" t="s">
        <v>19</v>
      </c>
      <c r="D565" s="136" t="s">
        <v>620</v>
      </c>
      <c r="E565" s="144" t="s">
        <v>1738</v>
      </c>
    </row>
    <row r="566" spans="2:5">
      <c r="B566" s="143" t="s">
        <v>396</v>
      </c>
      <c r="C566" s="135" t="s">
        <v>19</v>
      </c>
      <c r="D566" s="136" t="s">
        <v>621</v>
      </c>
      <c r="E566" s="144" t="s">
        <v>1</v>
      </c>
    </row>
    <row r="567" spans="2:5">
      <c r="B567" s="143" t="s">
        <v>396</v>
      </c>
      <c r="C567" s="135" t="s">
        <v>19</v>
      </c>
      <c r="D567" s="136" t="s">
        <v>622</v>
      </c>
      <c r="E567" s="144" t="s">
        <v>1738</v>
      </c>
    </row>
    <row r="568" spans="2:5">
      <c r="B568" s="143" t="s">
        <v>396</v>
      </c>
      <c r="C568" s="135" t="s">
        <v>19</v>
      </c>
      <c r="D568" s="136" t="s">
        <v>623</v>
      </c>
      <c r="E568" s="144" t="s">
        <v>1738</v>
      </c>
    </row>
    <row r="569" spans="2:5">
      <c r="B569" s="143" t="s">
        <v>396</v>
      </c>
      <c r="C569" s="135" t="s">
        <v>19</v>
      </c>
      <c r="D569" s="136" t="s">
        <v>624</v>
      </c>
      <c r="E569" s="144" t="s">
        <v>1738</v>
      </c>
    </row>
    <row r="570" spans="2:5">
      <c r="B570" s="143" t="s">
        <v>396</v>
      </c>
      <c r="C570" s="135" t="s">
        <v>19</v>
      </c>
      <c r="D570" s="136" t="s">
        <v>625</v>
      </c>
      <c r="E570" s="144" t="s">
        <v>1738</v>
      </c>
    </row>
    <row r="571" spans="2:5">
      <c r="B571" s="143" t="s">
        <v>396</v>
      </c>
      <c r="C571" s="135" t="s">
        <v>19</v>
      </c>
      <c r="D571" s="136" t="s">
        <v>626</v>
      </c>
      <c r="E571" s="144" t="s">
        <v>1738</v>
      </c>
    </row>
    <row r="572" spans="2:5">
      <c r="B572" s="143" t="s">
        <v>396</v>
      </c>
      <c r="C572" s="135" t="s">
        <v>19</v>
      </c>
      <c r="D572" s="136" t="s">
        <v>627</v>
      </c>
      <c r="E572" s="144" t="s">
        <v>1738</v>
      </c>
    </row>
    <row r="573" spans="2:5">
      <c r="B573" s="143" t="s">
        <v>396</v>
      </c>
      <c r="C573" s="135" t="s">
        <v>19</v>
      </c>
      <c r="D573" s="136" t="s">
        <v>628</v>
      </c>
      <c r="E573" s="144" t="s">
        <v>1</v>
      </c>
    </row>
    <row r="574" spans="2:5">
      <c r="B574" s="143" t="s">
        <v>396</v>
      </c>
      <c r="C574" s="135" t="s">
        <v>19</v>
      </c>
      <c r="D574" s="136" t="s">
        <v>629</v>
      </c>
      <c r="E574" s="144" t="s">
        <v>1738</v>
      </c>
    </row>
    <row r="575" spans="2:5">
      <c r="B575" s="143" t="s">
        <v>396</v>
      </c>
      <c r="C575" s="135" t="s">
        <v>19</v>
      </c>
      <c r="D575" s="136" t="s">
        <v>630</v>
      </c>
      <c r="E575" s="144" t="s">
        <v>1738</v>
      </c>
    </row>
    <row r="576" spans="2:5">
      <c r="B576" s="143" t="s">
        <v>396</v>
      </c>
      <c r="C576" s="135" t="s">
        <v>19</v>
      </c>
      <c r="D576" s="136" t="s">
        <v>631</v>
      </c>
      <c r="E576" s="144" t="s">
        <v>1738</v>
      </c>
    </row>
    <row r="577" spans="2:5">
      <c r="B577" s="143" t="s">
        <v>396</v>
      </c>
      <c r="C577" s="135" t="s">
        <v>19</v>
      </c>
      <c r="D577" s="136" t="s">
        <v>632</v>
      </c>
      <c r="E577" s="144" t="s">
        <v>1738</v>
      </c>
    </row>
    <row r="578" spans="2:5">
      <c r="B578" s="143" t="s">
        <v>396</v>
      </c>
      <c r="C578" s="135" t="s">
        <v>19</v>
      </c>
      <c r="D578" s="136" t="s">
        <v>633</v>
      </c>
      <c r="E578" s="144" t="s">
        <v>1738</v>
      </c>
    </row>
    <row r="579" spans="2:5">
      <c r="B579" s="143" t="s">
        <v>396</v>
      </c>
      <c r="C579" s="135" t="s">
        <v>19</v>
      </c>
      <c r="D579" s="136" t="s">
        <v>634</v>
      </c>
      <c r="E579" s="144" t="s">
        <v>1738</v>
      </c>
    </row>
    <row r="580" spans="2:5">
      <c r="B580" s="143" t="s">
        <v>396</v>
      </c>
      <c r="C580" s="135" t="s">
        <v>19</v>
      </c>
      <c r="D580" s="136" t="s">
        <v>635</v>
      </c>
      <c r="E580" s="144" t="s">
        <v>1738</v>
      </c>
    </row>
    <row r="581" spans="2:5">
      <c r="B581" s="143" t="s">
        <v>396</v>
      </c>
      <c r="C581" s="135" t="s">
        <v>19</v>
      </c>
      <c r="D581" s="136" t="s">
        <v>636</v>
      </c>
      <c r="E581" s="144" t="s">
        <v>1738</v>
      </c>
    </row>
    <row r="582" spans="2:5">
      <c r="B582" s="143" t="s">
        <v>396</v>
      </c>
      <c r="C582" s="135" t="s">
        <v>19</v>
      </c>
      <c r="D582" s="136" t="s">
        <v>637</v>
      </c>
      <c r="E582" s="144" t="s">
        <v>1738</v>
      </c>
    </row>
    <row r="583" spans="2:5">
      <c r="B583" s="143" t="s">
        <v>396</v>
      </c>
      <c r="C583" s="135" t="s">
        <v>19</v>
      </c>
      <c r="D583" s="136" t="s">
        <v>638</v>
      </c>
      <c r="E583" s="144" t="s">
        <v>1738</v>
      </c>
    </row>
    <row r="584" spans="2:5">
      <c r="B584" s="143" t="s">
        <v>396</v>
      </c>
      <c r="C584" s="135" t="s">
        <v>19</v>
      </c>
      <c r="D584" s="136" t="s">
        <v>639</v>
      </c>
      <c r="E584" s="144" t="s">
        <v>1738</v>
      </c>
    </row>
    <row r="585" spans="2:5">
      <c r="B585" s="143" t="s">
        <v>396</v>
      </c>
      <c r="C585" s="135" t="s">
        <v>19</v>
      </c>
      <c r="D585" s="136" t="s">
        <v>640</v>
      </c>
      <c r="E585" s="144" t="s">
        <v>1738</v>
      </c>
    </row>
    <row r="586" spans="2:5">
      <c r="B586" s="143" t="s">
        <v>396</v>
      </c>
      <c r="C586" s="135" t="s">
        <v>19</v>
      </c>
      <c r="D586" s="136" t="s">
        <v>641</v>
      </c>
      <c r="E586" s="144" t="s">
        <v>1738</v>
      </c>
    </row>
    <row r="587" spans="2:5">
      <c r="B587" s="143" t="s">
        <v>396</v>
      </c>
      <c r="C587" s="135" t="s">
        <v>19</v>
      </c>
      <c r="D587" s="136" t="s">
        <v>642</v>
      </c>
      <c r="E587" s="144" t="s">
        <v>1738</v>
      </c>
    </row>
    <row r="588" spans="2:5">
      <c r="B588" s="143" t="s">
        <v>396</v>
      </c>
      <c r="C588" s="135" t="s">
        <v>19</v>
      </c>
      <c r="D588" s="136" t="s">
        <v>643</v>
      </c>
      <c r="E588" s="144" t="s">
        <v>1</v>
      </c>
    </row>
    <row r="589" spans="2:5">
      <c r="B589" s="143" t="s">
        <v>396</v>
      </c>
      <c r="C589" s="135" t="s">
        <v>19</v>
      </c>
      <c r="D589" s="136" t="s">
        <v>644</v>
      </c>
      <c r="E589" s="144" t="s">
        <v>1738</v>
      </c>
    </row>
    <row r="590" spans="2:5">
      <c r="B590" s="143" t="s">
        <v>396</v>
      </c>
      <c r="C590" s="135" t="s">
        <v>19</v>
      </c>
      <c r="D590" s="136" t="s">
        <v>645</v>
      </c>
      <c r="E590" s="144" t="s">
        <v>1738</v>
      </c>
    </row>
    <row r="591" spans="2:5">
      <c r="B591" s="143" t="s">
        <v>396</v>
      </c>
      <c r="C591" s="135" t="s">
        <v>19</v>
      </c>
      <c r="D591" s="136" t="s">
        <v>646</v>
      </c>
      <c r="E591" s="144" t="s">
        <v>1738</v>
      </c>
    </row>
    <row r="592" spans="2:5">
      <c r="B592" s="143" t="s">
        <v>396</v>
      </c>
      <c r="C592" s="135" t="s">
        <v>19</v>
      </c>
      <c r="D592" s="136" t="s">
        <v>647</v>
      </c>
      <c r="E592" s="144" t="s">
        <v>1738</v>
      </c>
    </row>
    <row r="593" spans="2:5">
      <c r="B593" s="143" t="s">
        <v>396</v>
      </c>
      <c r="C593" s="135" t="s">
        <v>19</v>
      </c>
      <c r="D593" s="136" t="s">
        <v>648</v>
      </c>
      <c r="E593" s="144" t="s">
        <v>1738</v>
      </c>
    </row>
    <row r="594" spans="2:5">
      <c r="B594" s="143" t="s">
        <v>396</v>
      </c>
      <c r="C594" s="135" t="s">
        <v>19</v>
      </c>
      <c r="D594" s="136" t="s">
        <v>649</v>
      </c>
      <c r="E594" s="144" t="s">
        <v>1738</v>
      </c>
    </row>
    <row r="595" spans="2:5">
      <c r="B595" s="143" t="s">
        <v>396</v>
      </c>
      <c r="C595" s="135" t="s">
        <v>19</v>
      </c>
      <c r="D595" s="136" t="s">
        <v>650</v>
      </c>
      <c r="E595" s="144" t="s">
        <v>1738</v>
      </c>
    </row>
    <row r="596" spans="2:5">
      <c r="B596" s="143" t="s">
        <v>396</v>
      </c>
      <c r="C596" s="135" t="s">
        <v>19</v>
      </c>
      <c r="D596" s="136" t="s">
        <v>651</v>
      </c>
      <c r="E596" s="144" t="s">
        <v>1738</v>
      </c>
    </row>
    <row r="597" spans="2:5">
      <c r="B597" s="143" t="s">
        <v>396</v>
      </c>
      <c r="C597" s="135" t="s">
        <v>19</v>
      </c>
      <c r="D597" s="136" t="s">
        <v>652</v>
      </c>
      <c r="E597" s="144" t="s">
        <v>1738</v>
      </c>
    </row>
    <row r="598" spans="2:5">
      <c r="B598" s="143" t="s">
        <v>396</v>
      </c>
      <c r="C598" s="135" t="s">
        <v>19</v>
      </c>
      <c r="D598" s="136" t="s">
        <v>653</v>
      </c>
      <c r="E598" s="144" t="s">
        <v>1738</v>
      </c>
    </row>
    <row r="599" spans="2:5">
      <c r="B599" s="143" t="s">
        <v>396</v>
      </c>
      <c r="C599" s="135" t="s">
        <v>19</v>
      </c>
      <c r="D599" s="136" t="s">
        <v>654</v>
      </c>
      <c r="E599" s="144" t="s">
        <v>1738</v>
      </c>
    </row>
    <row r="600" spans="2:5">
      <c r="B600" s="143" t="s">
        <v>396</v>
      </c>
      <c r="C600" s="135" t="s">
        <v>19</v>
      </c>
      <c r="D600" s="136" t="s">
        <v>655</v>
      </c>
      <c r="E600" s="144" t="s">
        <v>1738</v>
      </c>
    </row>
    <row r="601" spans="2:5">
      <c r="B601" s="143" t="s">
        <v>396</v>
      </c>
      <c r="C601" s="135" t="s">
        <v>19</v>
      </c>
      <c r="D601" s="136" t="s">
        <v>656</v>
      </c>
      <c r="E601" s="144" t="s">
        <v>1738</v>
      </c>
    </row>
    <row r="602" spans="2:5">
      <c r="B602" s="143" t="s">
        <v>396</v>
      </c>
      <c r="C602" s="135" t="s">
        <v>19</v>
      </c>
      <c r="D602" s="136" t="s">
        <v>657</v>
      </c>
      <c r="E602" s="144" t="s">
        <v>1738</v>
      </c>
    </row>
    <row r="603" spans="2:5">
      <c r="B603" s="143" t="s">
        <v>396</v>
      </c>
      <c r="C603" s="135" t="s">
        <v>19</v>
      </c>
      <c r="D603" s="136" t="s">
        <v>658</v>
      </c>
      <c r="E603" s="144" t="s">
        <v>1738</v>
      </c>
    </row>
    <row r="604" spans="2:5">
      <c r="B604" s="143" t="s">
        <v>396</v>
      </c>
      <c r="C604" s="135" t="s">
        <v>19</v>
      </c>
      <c r="D604" s="136" t="s">
        <v>659</v>
      </c>
      <c r="E604" s="144" t="s">
        <v>1738</v>
      </c>
    </row>
    <row r="605" spans="2:5">
      <c r="B605" s="143" t="s">
        <v>396</v>
      </c>
      <c r="C605" s="135" t="s">
        <v>19</v>
      </c>
      <c r="D605" s="136" t="s">
        <v>660</v>
      </c>
      <c r="E605" s="144" t="s">
        <v>1738</v>
      </c>
    </row>
    <row r="606" spans="2:5">
      <c r="B606" s="143" t="s">
        <v>396</v>
      </c>
      <c r="C606" s="135" t="s">
        <v>19</v>
      </c>
      <c r="D606" s="136" t="s">
        <v>661</v>
      </c>
      <c r="E606" s="144" t="s">
        <v>1738</v>
      </c>
    </row>
    <row r="607" spans="2:5">
      <c r="B607" s="143" t="s">
        <v>396</v>
      </c>
      <c r="C607" s="135" t="s">
        <v>19</v>
      </c>
      <c r="D607" s="136" t="s">
        <v>662</v>
      </c>
      <c r="E607" s="144" t="s">
        <v>1738</v>
      </c>
    </row>
    <row r="608" spans="2:5">
      <c r="B608" s="143" t="s">
        <v>396</v>
      </c>
      <c r="C608" s="135" t="s">
        <v>19</v>
      </c>
      <c r="D608" s="136" t="s">
        <v>663</v>
      </c>
      <c r="E608" s="144" t="s">
        <v>1738</v>
      </c>
    </row>
    <row r="609" spans="2:5">
      <c r="B609" s="143" t="s">
        <v>396</v>
      </c>
      <c r="C609" s="135" t="s">
        <v>19</v>
      </c>
      <c r="D609" s="136" t="s">
        <v>664</v>
      </c>
      <c r="E609" s="144" t="s">
        <v>1738</v>
      </c>
    </row>
    <row r="610" spans="2:5">
      <c r="B610" s="143" t="s">
        <v>396</v>
      </c>
      <c r="C610" s="135" t="s">
        <v>19</v>
      </c>
      <c r="D610" s="136" t="s">
        <v>665</v>
      </c>
      <c r="E610" s="144" t="s">
        <v>1738</v>
      </c>
    </row>
    <row r="611" spans="2:5">
      <c r="B611" s="143" t="s">
        <v>396</v>
      </c>
      <c r="C611" s="135" t="s">
        <v>19</v>
      </c>
      <c r="D611" s="136" t="s">
        <v>666</v>
      </c>
      <c r="E611" s="144" t="s">
        <v>1738</v>
      </c>
    </row>
    <row r="612" spans="2:5">
      <c r="B612" s="143" t="s">
        <v>396</v>
      </c>
      <c r="C612" s="135" t="s">
        <v>19</v>
      </c>
      <c r="D612" s="136" t="s">
        <v>667</v>
      </c>
      <c r="E612" s="144" t="s">
        <v>1738</v>
      </c>
    </row>
    <row r="613" spans="2:5">
      <c r="B613" s="143" t="s">
        <v>396</v>
      </c>
      <c r="C613" s="135" t="s">
        <v>19</v>
      </c>
      <c r="D613" s="136" t="s">
        <v>668</v>
      </c>
      <c r="E613" s="144" t="s">
        <v>1738</v>
      </c>
    </row>
    <row r="614" spans="2:5">
      <c r="B614" s="143" t="s">
        <v>396</v>
      </c>
      <c r="C614" s="135" t="s">
        <v>19</v>
      </c>
      <c r="D614" s="136" t="s">
        <v>669</v>
      </c>
      <c r="E614" s="144" t="s">
        <v>1738</v>
      </c>
    </row>
    <row r="615" spans="2:5">
      <c r="B615" s="143" t="s">
        <v>396</v>
      </c>
      <c r="C615" s="135" t="s">
        <v>19</v>
      </c>
      <c r="D615" s="136" t="s">
        <v>670</v>
      </c>
      <c r="E615" s="144" t="s">
        <v>1738</v>
      </c>
    </row>
    <row r="616" spans="2:5">
      <c r="B616" s="143" t="s">
        <v>396</v>
      </c>
      <c r="C616" s="135" t="s">
        <v>19</v>
      </c>
      <c r="D616" s="136" t="s">
        <v>671</v>
      </c>
      <c r="E616" s="144" t="s">
        <v>1738</v>
      </c>
    </row>
    <row r="617" spans="2:5">
      <c r="B617" s="143" t="s">
        <v>396</v>
      </c>
      <c r="C617" s="135" t="s">
        <v>19</v>
      </c>
      <c r="D617" s="136" t="s">
        <v>672</v>
      </c>
      <c r="E617" s="144" t="s">
        <v>1738</v>
      </c>
    </row>
    <row r="618" spans="2:5">
      <c r="B618" s="143" t="s">
        <v>396</v>
      </c>
      <c r="C618" s="135" t="s">
        <v>19</v>
      </c>
      <c r="D618" s="136" t="s">
        <v>673</v>
      </c>
      <c r="E618" s="144" t="s">
        <v>1738</v>
      </c>
    </row>
    <row r="619" spans="2:5">
      <c r="B619" s="143" t="s">
        <v>396</v>
      </c>
      <c r="C619" s="135" t="s">
        <v>19</v>
      </c>
      <c r="D619" s="136" t="s">
        <v>674</v>
      </c>
      <c r="E619" s="144" t="s">
        <v>1738</v>
      </c>
    </row>
    <row r="620" spans="2:5">
      <c r="B620" s="143" t="s">
        <v>396</v>
      </c>
      <c r="C620" s="135" t="s">
        <v>19</v>
      </c>
      <c r="D620" s="136" t="s">
        <v>675</v>
      </c>
      <c r="E620" s="144" t="s">
        <v>1738</v>
      </c>
    </row>
    <row r="621" spans="2:5">
      <c r="B621" s="143" t="s">
        <v>396</v>
      </c>
      <c r="C621" s="135" t="s">
        <v>19</v>
      </c>
      <c r="D621" s="136" t="s">
        <v>676</v>
      </c>
      <c r="E621" s="144" t="s">
        <v>1738</v>
      </c>
    </row>
    <row r="622" spans="2:5">
      <c r="B622" s="143" t="s">
        <v>396</v>
      </c>
      <c r="C622" s="135" t="s">
        <v>19</v>
      </c>
      <c r="D622" s="136" t="s">
        <v>677</v>
      </c>
      <c r="E622" s="144" t="s">
        <v>1738</v>
      </c>
    </row>
    <row r="623" spans="2:5">
      <c r="B623" s="143" t="s">
        <v>396</v>
      </c>
      <c r="C623" s="135" t="s">
        <v>19</v>
      </c>
      <c r="D623" s="136" t="s">
        <v>678</v>
      </c>
      <c r="E623" s="144" t="s">
        <v>1738</v>
      </c>
    </row>
    <row r="624" spans="2:5">
      <c r="B624" s="143" t="s">
        <v>396</v>
      </c>
      <c r="C624" s="135" t="s">
        <v>19</v>
      </c>
      <c r="D624" s="136" t="s">
        <v>679</v>
      </c>
      <c r="E624" s="144" t="s">
        <v>1738</v>
      </c>
    </row>
    <row r="625" spans="2:5">
      <c r="B625" s="143" t="s">
        <v>396</v>
      </c>
      <c r="C625" s="135" t="s">
        <v>19</v>
      </c>
      <c r="D625" s="136" t="s">
        <v>680</v>
      </c>
      <c r="E625" s="144" t="s">
        <v>1738</v>
      </c>
    </row>
    <row r="626" spans="2:5">
      <c r="B626" s="143" t="s">
        <v>396</v>
      </c>
      <c r="C626" s="135" t="s">
        <v>19</v>
      </c>
      <c r="D626" s="136" t="s">
        <v>681</v>
      </c>
      <c r="E626" s="144" t="s">
        <v>1738</v>
      </c>
    </row>
    <row r="627" spans="2:5">
      <c r="B627" s="143" t="s">
        <v>396</v>
      </c>
      <c r="C627" s="135" t="s">
        <v>19</v>
      </c>
      <c r="D627" s="136" t="s">
        <v>682</v>
      </c>
      <c r="E627" s="144" t="s">
        <v>1738</v>
      </c>
    </row>
    <row r="628" spans="2:5">
      <c r="B628" s="143" t="s">
        <v>396</v>
      </c>
      <c r="C628" s="135" t="s">
        <v>19</v>
      </c>
      <c r="D628" s="136" t="s">
        <v>683</v>
      </c>
      <c r="E628" s="144" t="s">
        <v>1738</v>
      </c>
    </row>
    <row r="629" spans="2:5">
      <c r="B629" s="143" t="s">
        <v>396</v>
      </c>
      <c r="C629" s="135" t="s">
        <v>19</v>
      </c>
      <c r="D629" s="136" t="s">
        <v>684</v>
      </c>
      <c r="E629" s="144" t="s">
        <v>1738</v>
      </c>
    </row>
    <row r="630" spans="2:5">
      <c r="B630" s="143" t="s">
        <v>396</v>
      </c>
      <c r="C630" s="135" t="s">
        <v>19</v>
      </c>
      <c r="D630" s="136" t="s">
        <v>685</v>
      </c>
      <c r="E630" s="144" t="s">
        <v>1738</v>
      </c>
    </row>
    <row r="631" spans="2:5">
      <c r="B631" s="143" t="s">
        <v>396</v>
      </c>
      <c r="C631" s="135" t="s">
        <v>19</v>
      </c>
      <c r="D631" s="136" t="s">
        <v>686</v>
      </c>
      <c r="E631" s="144" t="s">
        <v>1738</v>
      </c>
    </row>
    <row r="632" spans="2:5">
      <c r="B632" s="143" t="s">
        <v>396</v>
      </c>
      <c r="C632" s="135" t="s">
        <v>19</v>
      </c>
      <c r="D632" s="136" t="s">
        <v>687</v>
      </c>
      <c r="E632" s="144" t="s">
        <v>1738</v>
      </c>
    </row>
    <row r="633" spans="2:5">
      <c r="B633" s="143" t="s">
        <v>688</v>
      </c>
      <c r="C633" s="135" t="s">
        <v>21</v>
      </c>
      <c r="D633" s="136" t="s">
        <v>689</v>
      </c>
      <c r="E633" s="144" t="s">
        <v>1</v>
      </c>
    </row>
    <row r="634" spans="2:5">
      <c r="B634" s="143" t="s">
        <v>688</v>
      </c>
      <c r="C634" s="135" t="s">
        <v>21</v>
      </c>
      <c r="D634" s="136" t="s">
        <v>690</v>
      </c>
      <c r="E634" s="144" t="s">
        <v>1</v>
      </c>
    </row>
    <row r="635" spans="2:5">
      <c r="B635" s="143" t="s">
        <v>688</v>
      </c>
      <c r="C635" s="135" t="s">
        <v>21</v>
      </c>
      <c r="D635" s="136" t="s">
        <v>691</v>
      </c>
      <c r="E635" s="144" t="s">
        <v>1</v>
      </c>
    </row>
    <row r="636" spans="2:5">
      <c r="B636" s="143" t="s">
        <v>688</v>
      </c>
      <c r="C636" s="135" t="s">
        <v>21</v>
      </c>
      <c r="D636" s="136" t="s">
        <v>692</v>
      </c>
      <c r="E636" s="144" t="s">
        <v>1</v>
      </c>
    </row>
    <row r="637" spans="2:5">
      <c r="B637" s="143" t="s">
        <v>688</v>
      </c>
      <c r="C637" s="135" t="s">
        <v>21</v>
      </c>
      <c r="D637" s="136" t="s">
        <v>693</v>
      </c>
      <c r="E637" s="144" t="s">
        <v>1</v>
      </c>
    </row>
    <row r="638" spans="2:5">
      <c r="B638" s="143" t="s">
        <v>688</v>
      </c>
      <c r="C638" s="135" t="s">
        <v>21</v>
      </c>
      <c r="D638" s="136" t="s">
        <v>694</v>
      </c>
      <c r="E638" s="144" t="s">
        <v>1</v>
      </c>
    </row>
    <row r="639" spans="2:5">
      <c r="B639" s="143" t="s">
        <v>688</v>
      </c>
      <c r="C639" s="135" t="s">
        <v>21</v>
      </c>
      <c r="D639" s="136" t="s">
        <v>695</v>
      </c>
      <c r="E639" s="144" t="s">
        <v>1</v>
      </c>
    </row>
    <row r="640" spans="2:5">
      <c r="B640" s="143" t="s">
        <v>688</v>
      </c>
      <c r="C640" s="135" t="s">
        <v>21</v>
      </c>
      <c r="D640" s="136" t="s">
        <v>696</v>
      </c>
      <c r="E640" s="144" t="s">
        <v>1</v>
      </c>
    </row>
    <row r="641" spans="2:5">
      <c r="B641" s="143" t="s">
        <v>688</v>
      </c>
      <c r="C641" s="135" t="s">
        <v>21</v>
      </c>
      <c r="D641" s="136" t="s">
        <v>697</v>
      </c>
      <c r="E641" s="144" t="s">
        <v>1</v>
      </c>
    </row>
    <row r="642" spans="2:5">
      <c r="B642" s="143" t="s">
        <v>688</v>
      </c>
      <c r="C642" s="135" t="s">
        <v>21</v>
      </c>
      <c r="D642" s="136" t="s">
        <v>698</v>
      </c>
      <c r="E642" s="144" t="s">
        <v>1</v>
      </c>
    </row>
    <row r="643" spans="2:5">
      <c r="B643" s="143" t="s">
        <v>688</v>
      </c>
      <c r="C643" s="135" t="s">
        <v>21</v>
      </c>
      <c r="D643" s="136" t="s">
        <v>699</v>
      </c>
      <c r="E643" s="144" t="s">
        <v>1</v>
      </c>
    </row>
    <row r="644" spans="2:5">
      <c r="B644" s="143" t="s">
        <v>688</v>
      </c>
      <c r="C644" s="135" t="s">
        <v>21</v>
      </c>
      <c r="D644" s="136" t="s">
        <v>700</v>
      </c>
      <c r="E644" s="144" t="s">
        <v>1</v>
      </c>
    </row>
    <row r="645" spans="2:5">
      <c r="B645" s="143" t="s">
        <v>688</v>
      </c>
      <c r="C645" s="135" t="s">
        <v>21</v>
      </c>
      <c r="D645" s="136" t="s">
        <v>701</v>
      </c>
      <c r="E645" s="144" t="s">
        <v>1</v>
      </c>
    </row>
    <row r="646" spans="2:5">
      <c r="B646" s="143" t="s">
        <v>688</v>
      </c>
      <c r="C646" s="135" t="s">
        <v>21</v>
      </c>
      <c r="D646" s="136" t="s">
        <v>702</v>
      </c>
      <c r="E646" s="144" t="s">
        <v>1</v>
      </c>
    </row>
    <row r="647" spans="2:5">
      <c r="B647" s="143" t="s">
        <v>688</v>
      </c>
      <c r="C647" s="135" t="s">
        <v>21</v>
      </c>
      <c r="D647" s="136" t="s">
        <v>703</v>
      </c>
      <c r="E647" s="144" t="s">
        <v>1</v>
      </c>
    </row>
    <row r="648" spans="2:5">
      <c r="B648" s="143" t="s">
        <v>688</v>
      </c>
      <c r="C648" s="135" t="s">
        <v>21</v>
      </c>
      <c r="D648" s="136" t="s">
        <v>704</v>
      </c>
      <c r="E648" s="144" t="s">
        <v>1</v>
      </c>
    </row>
    <row r="649" spans="2:5">
      <c r="B649" s="143" t="s">
        <v>688</v>
      </c>
      <c r="C649" s="135" t="s">
        <v>21</v>
      </c>
      <c r="D649" s="136" t="s">
        <v>705</v>
      </c>
      <c r="E649" s="144" t="s">
        <v>1</v>
      </c>
    </row>
    <row r="650" spans="2:5">
      <c r="B650" s="143" t="s">
        <v>688</v>
      </c>
      <c r="C650" s="135" t="s">
        <v>21</v>
      </c>
      <c r="D650" s="136" t="s">
        <v>706</v>
      </c>
      <c r="E650" s="144" t="s">
        <v>1</v>
      </c>
    </row>
    <row r="651" spans="2:5">
      <c r="B651" s="143" t="s">
        <v>688</v>
      </c>
      <c r="C651" s="135" t="s">
        <v>21</v>
      </c>
      <c r="D651" s="136" t="s">
        <v>707</v>
      </c>
      <c r="E651" s="144" t="s">
        <v>1</v>
      </c>
    </row>
    <row r="652" spans="2:5">
      <c r="B652" s="143" t="s">
        <v>688</v>
      </c>
      <c r="C652" s="135" t="s">
        <v>21</v>
      </c>
      <c r="D652" s="136" t="s">
        <v>708</v>
      </c>
      <c r="E652" s="144" t="s">
        <v>1738</v>
      </c>
    </row>
    <row r="653" spans="2:5">
      <c r="B653" s="143" t="s">
        <v>688</v>
      </c>
      <c r="C653" s="135" t="s">
        <v>21</v>
      </c>
      <c r="D653" s="136" t="s">
        <v>709</v>
      </c>
      <c r="E653" s="144" t="s">
        <v>1738</v>
      </c>
    </row>
    <row r="654" spans="2:5">
      <c r="B654" s="143" t="s">
        <v>688</v>
      </c>
      <c r="C654" s="135" t="s">
        <v>21</v>
      </c>
      <c r="D654" s="136" t="s">
        <v>710</v>
      </c>
      <c r="E654" s="144" t="s">
        <v>1738</v>
      </c>
    </row>
    <row r="655" spans="2:5">
      <c r="B655" s="143" t="s">
        <v>688</v>
      </c>
      <c r="C655" s="135" t="s">
        <v>21</v>
      </c>
      <c r="D655" s="136" t="s">
        <v>711</v>
      </c>
      <c r="E655" s="144" t="s">
        <v>1</v>
      </c>
    </row>
    <row r="656" spans="2:5">
      <c r="B656" s="143" t="s">
        <v>688</v>
      </c>
      <c r="C656" s="135" t="s">
        <v>21</v>
      </c>
      <c r="D656" s="136" t="s">
        <v>712</v>
      </c>
      <c r="E656" s="144" t="s">
        <v>1</v>
      </c>
    </row>
    <row r="657" spans="2:5">
      <c r="B657" s="143" t="s">
        <v>688</v>
      </c>
      <c r="C657" s="135" t="s">
        <v>21</v>
      </c>
      <c r="D657" s="136" t="s">
        <v>713</v>
      </c>
      <c r="E657" s="144" t="s">
        <v>1</v>
      </c>
    </row>
    <row r="658" spans="2:5">
      <c r="B658" s="143" t="s">
        <v>688</v>
      </c>
      <c r="C658" s="135" t="s">
        <v>21</v>
      </c>
      <c r="D658" s="136" t="s">
        <v>714</v>
      </c>
      <c r="E658" s="144" t="s">
        <v>1</v>
      </c>
    </row>
    <row r="659" spans="2:5">
      <c r="B659" s="143" t="s">
        <v>688</v>
      </c>
      <c r="C659" s="135" t="s">
        <v>21</v>
      </c>
      <c r="D659" s="136" t="s">
        <v>715</v>
      </c>
      <c r="E659" s="144" t="s">
        <v>1</v>
      </c>
    </row>
    <row r="660" spans="2:5">
      <c r="B660" s="143" t="s">
        <v>688</v>
      </c>
      <c r="C660" s="135" t="s">
        <v>21</v>
      </c>
      <c r="D660" s="136" t="s">
        <v>716</v>
      </c>
      <c r="E660" s="144" t="s">
        <v>1</v>
      </c>
    </row>
    <row r="661" spans="2:5">
      <c r="B661" s="143" t="s">
        <v>688</v>
      </c>
      <c r="C661" s="135" t="s">
        <v>21</v>
      </c>
      <c r="D661" s="136" t="s">
        <v>717</v>
      </c>
      <c r="E661" s="144" t="s">
        <v>1</v>
      </c>
    </row>
    <row r="662" spans="2:5">
      <c r="B662" s="143" t="s">
        <v>688</v>
      </c>
      <c r="C662" s="135" t="s">
        <v>21</v>
      </c>
      <c r="D662" s="136" t="s">
        <v>718</v>
      </c>
      <c r="E662" s="144" t="s">
        <v>1</v>
      </c>
    </row>
    <row r="663" spans="2:5">
      <c r="B663" s="143" t="s">
        <v>688</v>
      </c>
      <c r="C663" s="135" t="s">
        <v>21</v>
      </c>
      <c r="D663" s="136" t="s">
        <v>719</v>
      </c>
      <c r="E663" s="144" t="s">
        <v>1</v>
      </c>
    </row>
    <row r="664" spans="2:5">
      <c r="B664" s="143" t="s">
        <v>688</v>
      </c>
      <c r="C664" s="135" t="s">
        <v>21</v>
      </c>
      <c r="D664" s="136" t="s">
        <v>720</v>
      </c>
      <c r="E664" s="144" t="s">
        <v>1</v>
      </c>
    </row>
    <row r="665" spans="2:5">
      <c r="B665" s="143" t="s">
        <v>688</v>
      </c>
      <c r="C665" s="135" t="s">
        <v>21</v>
      </c>
      <c r="D665" s="136" t="s">
        <v>721</v>
      </c>
      <c r="E665" s="144" t="s">
        <v>1</v>
      </c>
    </row>
    <row r="666" spans="2:5">
      <c r="B666" s="143" t="s">
        <v>688</v>
      </c>
      <c r="C666" s="135" t="s">
        <v>21</v>
      </c>
      <c r="D666" s="136" t="s">
        <v>722</v>
      </c>
      <c r="E666" s="144" t="s">
        <v>1</v>
      </c>
    </row>
    <row r="667" spans="2:5">
      <c r="B667" s="143" t="s">
        <v>688</v>
      </c>
      <c r="C667" s="135" t="s">
        <v>21</v>
      </c>
      <c r="D667" s="136" t="s">
        <v>723</v>
      </c>
      <c r="E667" s="144" t="s">
        <v>1</v>
      </c>
    </row>
    <row r="668" spans="2:5">
      <c r="B668" s="143" t="s">
        <v>688</v>
      </c>
      <c r="C668" s="135" t="s">
        <v>21</v>
      </c>
      <c r="D668" s="136" t="s">
        <v>724</v>
      </c>
      <c r="E668" s="144" t="s">
        <v>1</v>
      </c>
    </row>
    <row r="669" spans="2:5">
      <c r="B669" s="143" t="s">
        <v>688</v>
      </c>
      <c r="C669" s="135" t="s">
        <v>21</v>
      </c>
      <c r="D669" s="136" t="s">
        <v>725</v>
      </c>
      <c r="E669" s="144" t="s">
        <v>1</v>
      </c>
    </row>
    <row r="670" spans="2:5">
      <c r="B670" s="143" t="s">
        <v>688</v>
      </c>
      <c r="C670" s="135" t="s">
        <v>21</v>
      </c>
      <c r="D670" s="136" t="s">
        <v>726</v>
      </c>
      <c r="E670" s="144" t="s">
        <v>1</v>
      </c>
    </row>
    <row r="671" spans="2:5">
      <c r="B671" s="143" t="s">
        <v>688</v>
      </c>
      <c r="C671" s="135" t="s">
        <v>21</v>
      </c>
      <c r="D671" s="136" t="s">
        <v>727</v>
      </c>
      <c r="E671" s="144" t="s">
        <v>1</v>
      </c>
    </row>
    <row r="672" spans="2:5">
      <c r="B672" s="143" t="s">
        <v>688</v>
      </c>
      <c r="C672" s="135" t="s">
        <v>21</v>
      </c>
      <c r="D672" s="136" t="s">
        <v>728</v>
      </c>
      <c r="E672" s="144" t="s">
        <v>1</v>
      </c>
    </row>
    <row r="673" spans="2:5">
      <c r="B673" s="143" t="s">
        <v>688</v>
      </c>
      <c r="C673" s="135" t="s">
        <v>21</v>
      </c>
      <c r="D673" s="136" t="s">
        <v>729</v>
      </c>
      <c r="E673" s="144" t="s">
        <v>1</v>
      </c>
    </row>
    <row r="674" spans="2:5">
      <c r="B674" s="143" t="s">
        <v>688</v>
      </c>
      <c r="C674" s="135" t="s">
        <v>21</v>
      </c>
      <c r="D674" s="136" t="s">
        <v>730</v>
      </c>
      <c r="E674" s="144" t="s">
        <v>1</v>
      </c>
    </row>
    <row r="675" spans="2:5">
      <c r="B675" s="143" t="s">
        <v>688</v>
      </c>
      <c r="C675" s="135" t="s">
        <v>21</v>
      </c>
      <c r="D675" s="136" t="s">
        <v>731</v>
      </c>
      <c r="E675" s="144" t="s">
        <v>1</v>
      </c>
    </row>
    <row r="676" spans="2:5">
      <c r="B676" s="143" t="s">
        <v>688</v>
      </c>
      <c r="C676" s="135" t="s">
        <v>21</v>
      </c>
      <c r="D676" s="136" t="s">
        <v>732</v>
      </c>
      <c r="E676" s="144" t="s">
        <v>1</v>
      </c>
    </row>
    <row r="677" spans="2:5">
      <c r="B677" s="143" t="s">
        <v>688</v>
      </c>
      <c r="C677" s="135" t="s">
        <v>21</v>
      </c>
      <c r="D677" s="136" t="s">
        <v>733</v>
      </c>
      <c r="E677" s="144" t="s">
        <v>1</v>
      </c>
    </row>
    <row r="678" spans="2:5">
      <c r="B678" s="143" t="s">
        <v>688</v>
      </c>
      <c r="C678" s="135" t="s">
        <v>21</v>
      </c>
      <c r="D678" s="136" t="s">
        <v>734</v>
      </c>
      <c r="E678" s="144" t="s">
        <v>1</v>
      </c>
    </row>
    <row r="679" spans="2:5">
      <c r="B679" s="143" t="s">
        <v>688</v>
      </c>
      <c r="C679" s="135" t="s">
        <v>21</v>
      </c>
      <c r="D679" s="136" t="s">
        <v>735</v>
      </c>
      <c r="E679" s="144" t="s">
        <v>1</v>
      </c>
    </row>
    <row r="680" spans="2:5">
      <c r="B680" s="143" t="s">
        <v>688</v>
      </c>
      <c r="C680" s="135" t="s">
        <v>21</v>
      </c>
      <c r="D680" s="136" t="s">
        <v>736</v>
      </c>
      <c r="E680" s="144" t="s">
        <v>1</v>
      </c>
    </row>
    <row r="681" spans="2:5">
      <c r="B681" s="143" t="s">
        <v>688</v>
      </c>
      <c r="C681" s="135" t="s">
        <v>21</v>
      </c>
      <c r="D681" s="136" t="s">
        <v>737</v>
      </c>
      <c r="E681" s="144" t="s">
        <v>1</v>
      </c>
    </row>
    <row r="682" spans="2:5">
      <c r="B682" s="143" t="s">
        <v>688</v>
      </c>
      <c r="C682" s="135" t="s">
        <v>21</v>
      </c>
      <c r="D682" s="136" t="s">
        <v>738</v>
      </c>
      <c r="E682" s="144" t="s">
        <v>1</v>
      </c>
    </row>
    <row r="683" spans="2:5">
      <c r="B683" s="143" t="s">
        <v>688</v>
      </c>
      <c r="C683" s="135" t="s">
        <v>21</v>
      </c>
      <c r="D683" s="136" t="s">
        <v>739</v>
      </c>
      <c r="E683" s="144" t="s">
        <v>1</v>
      </c>
    </row>
    <row r="684" spans="2:5">
      <c r="B684" s="143" t="s">
        <v>688</v>
      </c>
      <c r="C684" s="135" t="s">
        <v>21</v>
      </c>
      <c r="D684" s="136" t="s">
        <v>740</v>
      </c>
      <c r="E684" s="144" t="s">
        <v>1</v>
      </c>
    </row>
    <row r="685" spans="2:5">
      <c r="B685" s="143" t="s">
        <v>688</v>
      </c>
      <c r="C685" s="135" t="s">
        <v>21</v>
      </c>
      <c r="D685" s="136" t="s">
        <v>741</v>
      </c>
      <c r="E685" s="144" t="s">
        <v>1</v>
      </c>
    </row>
    <row r="686" spans="2:5">
      <c r="B686" s="143" t="s">
        <v>688</v>
      </c>
      <c r="C686" s="135" t="s">
        <v>21</v>
      </c>
      <c r="D686" s="136" t="s">
        <v>742</v>
      </c>
      <c r="E686" s="144" t="s">
        <v>1</v>
      </c>
    </row>
    <row r="687" spans="2:5">
      <c r="B687" s="143" t="s">
        <v>688</v>
      </c>
      <c r="C687" s="135" t="s">
        <v>21</v>
      </c>
      <c r="D687" s="136" t="s">
        <v>743</v>
      </c>
      <c r="E687" s="144" t="s">
        <v>1</v>
      </c>
    </row>
    <row r="688" spans="2:5">
      <c r="B688" s="143" t="s">
        <v>688</v>
      </c>
      <c r="C688" s="135" t="s">
        <v>21</v>
      </c>
      <c r="D688" s="136" t="s">
        <v>744</v>
      </c>
      <c r="E688" s="144" t="s">
        <v>1</v>
      </c>
    </row>
    <row r="689" spans="2:5">
      <c r="B689" s="143" t="s">
        <v>688</v>
      </c>
      <c r="C689" s="135" t="s">
        <v>21</v>
      </c>
      <c r="D689" s="136" t="s">
        <v>745</v>
      </c>
      <c r="E689" s="144" t="s">
        <v>1</v>
      </c>
    </row>
    <row r="690" spans="2:5">
      <c r="B690" s="143" t="s">
        <v>688</v>
      </c>
      <c r="C690" s="135" t="s">
        <v>21</v>
      </c>
      <c r="D690" s="136" t="s">
        <v>746</v>
      </c>
      <c r="E690" s="144" t="s">
        <v>1</v>
      </c>
    </row>
    <row r="691" spans="2:5">
      <c r="B691" s="143" t="s">
        <v>688</v>
      </c>
      <c r="C691" s="135" t="s">
        <v>21</v>
      </c>
      <c r="D691" s="136" t="s">
        <v>747</v>
      </c>
      <c r="E691" s="144" t="s">
        <v>1</v>
      </c>
    </row>
    <row r="692" spans="2:5">
      <c r="B692" s="143" t="s">
        <v>688</v>
      </c>
      <c r="C692" s="135" t="s">
        <v>21</v>
      </c>
      <c r="D692" s="136" t="s">
        <v>748</v>
      </c>
      <c r="E692" s="144" t="s">
        <v>1</v>
      </c>
    </row>
    <row r="693" spans="2:5">
      <c r="B693" s="143" t="s">
        <v>688</v>
      </c>
      <c r="C693" s="135" t="s">
        <v>21</v>
      </c>
      <c r="D693" s="136" t="s">
        <v>749</v>
      </c>
      <c r="E693" s="144" t="s">
        <v>1</v>
      </c>
    </row>
    <row r="694" spans="2:5">
      <c r="B694" s="143" t="s">
        <v>688</v>
      </c>
      <c r="C694" s="135" t="s">
        <v>21</v>
      </c>
      <c r="D694" s="136" t="s">
        <v>750</v>
      </c>
      <c r="E694" s="144" t="s">
        <v>1</v>
      </c>
    </row>
    <row r="695" spans="2:5">
      <c r="B695" s="143" t="s">
        <v>688</v>
      </c>
      <c r="C695" s="135" t="s">
        <v>21</v>
      </c>
      <c r="D695" s="136" t="s">
        <v>751</v>
      </c>
      <c r="E695" s="144" t="s">
        <v>1</v>
      </c>
    </row>
    <row r="696" spans="2:5">
      <c r="B696" s="143" t="s">
        <v>688</v>
      </c>
      <c r="C696" s="135" t="s">
        <v>21</v>
      </c>
      <c r="D696" s="136" t="s">
        <v>752</v>
      </c>
      <c r="E696" s="144" t="s">
        <v>1</v>
      </c>
    </row>
    <row r="697" spans="2:5">
      <c r="B697" s="143" t="s">
        <v>688</v>
      </c>
      <c r="C697" s="135" t="s">
        <v>21</v>
      </c>
      <c r="D697" s="136" t="s">
        <v>753</v>
      </c>
      <c r="E697" s="144" t="s">
        <v>1</v>
      </c>
    </row>
    <row r="698" spans="2:5">
      <c r="B698" s="143" t="s">
        <v>688</v>
      </c>
      <c r="C698" s="135" t="s">
        <v>21</v>
      </c>
      <c r="D698" s="136" t="s">
        <v>754</v>
      </c>
      <c r="E698" s="144" t="s">
        <v>1</v>
      </c>
    </row>
    <row r="699" spans="2:5">
      <c r="B699" s="143" t="s">
        <v>688</v>
      </c>
      <c r="C699" s="135" t="s">
        <v>21</v>
      </c>
      <c r="D699" s="136" t="s">
        <v>755</v>
      </c>
      <c r="E699" s="144" t="s">
        <v>1</v>
      </c>
    </row>
    <row r="700" spans="2:5">
      <c r="B700" s="143" t="s">
        <v>688</v>
      </c>
      <c r="C700" s="135" t="s">
        <v>21</v>
      </c>
      <c r="D700" s="136" t="s">
        <v>756</v>
      </c>
      <c r="E700" s="144" t="s">
        <v>1</v>
      </c>
    </row>
    <row r="701" spans="2:5">
      <c r="B701" s="143" t="s">
        <v>688</v>
      </c>
      <c r="C701" s="135" t="s">
        <v>21</v>
      </c>
      <c r="D701" s="136" t="s">
        <v>757</v>
      </c>
      <c r="E701" s="144" t="s">
        <v>1</v>
      </c>
    </row>
    <row r="702" spans="2:5">
      <c r="B702" s="143" t="s">
        <v>688</v>
      </c>
      <c r="C702" s="135" t="s">
        <v>21</v>
      </c>
      <c r="D702" s="136" t="s">
        <v>758</v>
      </c>
      <c r="E702" s="144" t="s">
        <v>1</v>
      </c>
    </row>
    <row r="703" spans="2:5">
      <c r="B703" s="143" t="s">
        <v>688</v>
      </c>
      <c r="C703" s="135" t="s">
        <v>21</v>
      </c>
      <c r="D703" s="136" t="s">
        <v>759</v>
      </c>
      <c r="E703" s="144" t="s">
        <v>1</v>
      </c>
    </row>
    <row r="704" spans="2:5">
      <c r="B704" s="143" t="s">
        <v>688</v>
      </c>
      <c r="C704" s="135" t="s">
        <v>21</v>
      </c>
      <c r="D704" s="136" t="s">
        <v>760</v>
      </c>
      <c r="E704" s="144" t="s">
        <v>1</v>
      </c>
    </row>
    <row r="705" spans="2:5">
      <c r="B705" s="143" t="s">
        <v>688</v>
      </c>
      <c r="C705" s="135" t="s">
        <v>21</v>
      </c>
      <c r="D705" s="136" t="s">
        <v>761</v>
      </c>
      <c r="E705" s="144" t="s">
        <v>1</v>
      </c>
    </row>
    <row r="706" spans="2:5">
      <c r="B706" s="143" t="s">
        <v>688</v>
      </c>
      <c r="C706" s="135" t="s">
        <v>21</v>
      </c>
      <c r="D706" s="136" t="s">
        <v>762</v>
      </c>
      <c r="E706" s="144" t="s">
        <v>1</v>
      </c>
    </row>
    <row r="707" spans="2:5">
      <c r="B707" s="143" t="s">
        <v>688</v>
      </c>
      <c r="C707" s="135" t="s">
        <v>21</v>
      </c>
      <c r="D707" s="136" t="s">
        <v>763</v>
      </c>
      <c r="E707" s="144" t="s">
        <v>1</v>
      </c>
    </row>
    <row r="708" spans="2:5">
      <c r="B708" s="143" t="s">
        <v>688</v>
      </c>
      <c r="C708" s="135" t="s">
        <v>21</v>
      </c>
      <c r="D708" s="136" t="s">
        <v>764</v>
      </c>
      <c r="E708" s="144" t="s">
        <v>1</v>
      </c>
    </row>
    <row r="709" spans="2:5">
      <c r="B709" s="143" t="s">
        <v>688</v>
      </c>
      <c r="C709" s="135" t="s">
        <v>21</v>
      </c>
      <c r="D709" s="136" t="s">
        <v>765</v>
      </c>
      <c r="E709" s="144" t="s">
        <v>1</v>
      </c>
    </row>
    <row r="710" spans="2:5">
      <c r="B710" s="143" t="s">
        <v>688</v>
      </c>
      <c r="C710" s="135" t="s">
        <v>21</v>
      </c>
      <c r="D710" s="136" t="s">
        <v>766</v>
      </c>
      <c r="E710" s="144" t="s">
        <v>1</v>
      </c>
    </row>
    <row r="711" spans="2:5">
      <c r="B711" s="143" t="s">
        <v>688</v>
      </c>
      <c r="C711" s="135" t="s">
        <v>21</v>
      </c>
      <c r="D711" s="136" t="s">
        <v>767</v>
      </c>
      <c r="E711" s="144" t="s">
        <v>1</v>
      </c>
    </row>
    <row r="712" spans="2:5">
      <c r="B712" s="143" t="s">
        <v>688</v>
      </c>
      <c r="C712" s="135" t="s">
        <v>21</v>
      </c>
      <c r="D712" s="136" t="s">
        <v>768</v>
      </c>
      <c r="E712" s="144" t="s">
        <v>1</v>
      </c>
    </row>
    <row r="713" spans="2:5">
      <c r="B713" s="143" t="s">
        <v>688</v>
      </c>
      <c r="C713" s="135" t="s">
        <v>21</v>
      </c>
      <c r="D713" s="136" t="s">
        <v>769</v>
      </c>
      <c r="E713" s="144" t="s">
        <v>1</v>
      </c>
    </row>
    <row r="714" spans="2:5">
      <c r="B714" s="143" t="s">
        <v>688</v>
      </c>
      <c r="C714" s="135" t="s">
        <v>21</v>
      </c>
      <c r="D714" s="136" t="s">
        <v>770</v>
      </c>
      <c r="E714" s="144" t="s">
        <v>1</v>
      </c>
    </row>
    <row r="715" spans="2:5">
      <c r="B715" s="143" t="s">
        <v>688</v>
      </c>
      <c r="C715" s="135" t="s">
        <v>21</v>
      </c>
      <c r="D715" s="136" t="s">
        <v>771</v>
      </c>
      <c r="E715" s="144" t="s">
        <v>1</v>
      </c>
    </row>
    <row r="716" spans="2:5">
      <c r="B716" s="143" t="s">
        <v>688</v>
      </c>
      <c r="C716" s="135" t="s">
        <v>21</v>
      </c>
      <c r="D716" s="136" t="s">
        <v>772</v>
      </c>
      <c r="E716" s="144" t="s">
        <v>1</v>
      </c>
    </row>
    <row r="717" spans="2:5">
      <c r="B717" s="143" t="s">
        <v>688</v>
      </c>
      <c r="C717" s="135" t="s">
        <v>21</v>
      </c>
      <c r="D717" s="136" t="s">
        <v>773</v>
      </c>
      <c r="E717" s="144" t="s">
        <v>1</v>
      </c>
    </row>
    <row r="718" spans="2:5">
      <c r="B718" s="143" t="s">
        <v>688</v>
      </c>
      <c r="C718" s="135" t="s">
        <v>21</v>
      </c>
      <c r="D718" s="136" t="s">
        <v>774</v>
      </c>
      <c r="E718" s="144" t="s">
        <v>1</v>
      </c>
    </row>
    <row r="719" spans="2:5">
      <c r="B719" s="143" t="s">
        <v>688</v>
      </c>
      <c r="C719" s="135" t="s">
        <v>21</v>
      </c>
      <c r="D719" s="136" t="s">
        <v>775</v>
      </c>
      <c r="E719" s="144" t="s">
        <v>1</v>
      </c>
    </row>
    <row r="720" spans="2:5">
      <c r="B720" s="143" t="s">
        <v>688</v>
      </c>
      <c r="C720" s="135" t="s">
        <v>21</v>
      </c>
      <c r="D720" s="136" t="s">
        <v>776</v>
      </c>
      <c r="E720" s="144" t="s">
        <v>1</v>
      </c>
    </row>
    <row r="721" spans="2:5">
      <c r="B721" s="143" t="s">
        <v>688</v>
      </c>
      <c r="C721" s="135" t="s">
        <v>21</v>
      </c>
      <c r="D721" s="136" t="s">
        <v>777</v>
      </c>
      <c r="E721" s="144" t="s">
        <v>1</v>
      </c>
    </row>
    <row r="722" spans="2:5">
      <c r="B722" s="143" t="s">
        <v>688</v>
      </c>
      <c r="C722" s="135" t="s">
        <v>21</v>
      </c>
      <c r="D722" s="136" t="s">
        <v>778</v>
      </c>
      <c r="E722" s="144" t="s">
        <v>1</v>
      </c>
    </row>
    <row r="723" spans="2:5">
      <c r="B723" s="143" t="s">
        <v>688</v>
      </c>
      <c r="C723" s="135" t="s">
        <v>21</v>
      </c>
      <c r="D723" s="136" t="s">
        <v>779</v>
      </c>
      <c r="E723" s="144" t="s">
        <v>1</v>
      </c>
    </row>
    <row r="724" spans="2:5">
      <c r="B724" s="143" t="s">
        <v>688</v>
      </c>
      <c r="C724" s="135" t="s">
        <v>21</v>
      </c>
      <c r="D724" s="136" t="s">
        <v>780</v>
      </c>
      <c r="E724" s="144" t="s">
        <v>1</v>
      </c>
    </row>
    <row r="725" spans="2:5">
      <c r="B725" s="143" t="s">
        <v>688</v>
      </c>
      <c r="C725" s="135" t="s">
        <v>21</v>
      </c>
      <c r="D725" s="136" t="s">
        <v>781</v>
      </c>
      <c r="E725" s="144" t="s">
        <v>1</v>
      </c>
    </row>
    <row r="726" spans="2:5">
      <c r="B726" s="143" t="s">
        <v>688</v>
      </c>
      <c r="C726" s="135" t="s">
        <v>21</v>
      </c>
      <c r="D726" s="136" t="s">
        <v>782</v>
      </c>
      <c r="E726" s="144" t="s">
        <v>1</v>
      </c>
    </row>
    <row r="727" spans="2:5">
      <c r="B727" s="143" t="s">
        <v>688</v>
      </c>
      <c r="C727" s="135" t="s">
        <v>21</v>
      </c>
      <c r="D727" s="136" t="s">
        <v>783</v>
      </c>
      <c r="E727" s="144" t="s">
        <v>1</v>
      </c>
    </row>
    <row r="728" spans="2:5">
      <c r="B728" s="143" t="s">
        <v>688</v>
      </c>
      <c r="C728" s="135" t="s">
        <v>21</v>
      </c>
      <c r="D728" s="136" t="s">
        <v>784</v>
      </c>
      <c r="E728" s="144" t="s">
        <v>1</v>
      </c>
    </row>
    <row r="729" spans="2:5">
      <c r="B729" s="143" t="s">
        <v>688</v>
      </c>
      <c r="C729" s="135" t="s">
        <v>21</v>
      </c>
      <c r="D729" s="136" t="s">
        <v>785</v>
      </c>
      <c r="E729" s="144" t="s">
        <v>1</v>
      </c>
    </row>
    <row r="730" spans="2:5">
      <c r="B730" s="143" t="s">
        <v>688</v>
      </c>
      <c r="C730" s="135" t="s">
        <v>21</v>
      </c>
      <c r="D730" s="136" t="s">
        <v>786</v>
      </c>
      <c r="E730" s="144" t="s">
        <v>1</v>
      </c>
    </row>
    <row r="731" spans="2:5">
      <c r="B731" s="143" t="s">
        <v>688</v>
      </c>
      <c r="C731" s="135" t="s">
        <v>21</v>
      </c>
      <c r="D731" s="136" t="s">
        <v>787</v>
      </c>
      <c r="E731" s="144" t="s">
        <v>1</v>
      </c>
    </row>
    <row r="732" spans="2:5">
      <c r="B732" s="143" t="s">
        <v>688</v>
      </c>
      <c r="C732" s="135" t="s">
        <v>21</v>
      </c>
      <c r="D732" s="136" t="s">
        <v>788</v>
      </c>
      <c r="E732" s="144" t="s">
        <v>1</v>
      </c>
    </row>
    <row r="733" spans="2:5">
      <c r="B733" s="143" t="s">
        <v>688</v>
      </c>
      <c r="C733" s="135" t="s">
        <v>21</v>
      </c>
      <c r="D733" s="136" t="s">
        <v>789</v>
      </c>
      <c r="E733" s="144" t="s">
        <v>1</v>
      </c>
    </row>
    <row r="734" spans="2:5">
      <c r="B734" s="143" t="s">
        <v>688</v>
      </c>
      <c r="C734" s="135" t="s">
        <v>21</v>
      </c>
      <c r="D734" s="136" t="s">
        <v>790</v>
      </c>
      <c r="E734" s="144" t="s">
        <v>1</v>
      </c>
    </row>
    <row r="735" spans="2:5">
      <c r="B735" s="143" t="s">
        <v>688</v>
      </c>
      <c r="C735" s="135" t="s">
        <v>21</v>
      </c>
      <c r="D735" s="136" t="s">
        <v>791</v>
      </c>
      <c r="E735" s="144" t="s">
        <v>1</v>
      </c>
    </row>
    <row r="736" spans="2:5">
      <c r="B736" s="143" t="s">
        <v>688</v>
      </c>
      <c r="C736" s="135" t="s">
        <v>21</v>
      </c>
      <c r="D736" s="136" t="s">
        <v>792</v>
      </c>
      <c r="E736" s="144" t="s">
        <v>1</v>
      </c>
    </row>
    <row r="737" spans="2:5">
      <c r="B737" s="143" t="s">
        <v>688</v>
      </c>
      <c r="C737" s="135" t="s">
        <v>21</v>
      </c>
      <c r="D737" s="136" t="s">
        <v>793</v>
      </c>
      <c r="E737" s="144" t="s">
        <v>1</v>
      </c>
    </row>
    <row r="738" spans="2:5">
      <c r="B738" s="143" t="s">
        <v>688</v>
      </c>
      <c r="C738" s="135" t="s">
        <v>21</v>
      </c>
      <c r="D738" s="136" t="s">
        <v>794</v>
      </c>
      <c r="E738" s="144" t="s">
        <v>1</v>
      </c>
    </row>
    <row r="739" spans="2:5">
      <c r="B739" s="143" t="s">
        <v>688</v>
      </c>
      <c r="C739" s="135" t="s">
        <v>21</v>
      </c>
      <c r="D739" s="136" t="s">
        <v>795</v>
      </c>
      <c r="E739" s="144" t="s">
        <v>1</v>
      </c>
    </row>
    <row r="740" spans="2:5">
      <c r="B740" s="143" t="s">
        <v>688</v>
      </c>
      <c r="C740" s="135" t="s">
        <v>21</v>
      </c>
      <c r="D740" s="136" t="s">
        <v>796</v>
      </c>
      <c r="E740" s="144" t="s">
        <v>1</v>
      </c>
    </row>
    <row r="741" spans="2:5">
      <c r="B741" s="143" t="s">
        <v>688</v>
      </c>
      <c r="C741" s="135" t="s">
        <v>21</v>
      </c>
      <c r="D741" s="136" t="s">
        <v>797</v>
      </c>
      <c r="E741" s="144" t="s">
        <v>1</v>
      </c>
    </row>
    <row r="742" spans="2:5">
      <c r="B742" s="143" t="s">
        <v>688</v>
      </c>
      <c r="C742" s="135" t="s">
        <v>21</v>
      </c>
      <c r="D742" s="136" t="s">
        <v>798</v>
      </c>
      <c r="E742" s="144" t="s">
        <v>1</v>
      </c>
    </row>
    <row r="743" spans="2:5">
      <c r="B743" s="143" t="s">
        <v>688</v>
      </c>
      <c r="C743" s="135" t="s">
        <v>21</v>
      </c>
      <c r="D743" s="136" t="s">
        <v>799</v>
      </c>
      <c r="E743" s="144" t="s">
        <v>1</v>
      </c>
    </row>
    <row r="744" spans="2:5">
      <c r="B744" s="143" t="s">
        <v>688</v>
      </c>
      <c r="C744" s="135" t="s">
        <v>21</v>
      </c>
      <c r="D744" s="136" t="s">
        <v>800</v>
      </c>
      <c r="E744" s="144" t="s">
        <v>1</v>
      </c>
    </row>
    <row r="745" spans="2:5">
      <c r="B745" s="143" t="s">
        <v>688</v>
      </c>
      <c r="C745" s="135" t="s">
        <v>21</v>
      </c>
      <c r="D745" s="136" t="s">
        <v>801</v>
      </c>
      <c r="E745" s="144" t="s">
        <v>1</v>
      </c>
    </row>
    <row r="746" spans="2:5">
      <c r="B746" s="143" t="s">
        <v>688</v>
      </c>
      <c r="C746" s="135" t="s">
        <v>21</v>
      </c>
      <c r="D746" s="136" t="s">
        <v>802</v>
      </c>
      <c r="E746" s="144" t="s">
        <v>1</v>
      </c>
    </row>
    <row r="747" spans="2:5">
      <c r="B747" s="143" t="s">
        <v>688</v>
      </c>
      <c r="C747" s="135" t="s">
        <v>21</v>
      </c>
      <c r="D747" s="136" t="s">
        <v>803</v>
      </c>
      <c r="E747" s="144" t="s">
        <v>1</v>
      </c>
    </row>
    <row r="748" spans="2:5">
      <c r="B748" s="143" t="s">
        <v>688</v>
      </c>
      <c r="C748" s="135" t="s">
        <v>21</v>
      </c>
      <c r="D748" s="136" t="s">
        <v>804</v>
      </c>
      <c r="E748" s="144" t="s">
        <v>1</v>
      </c>
    </row>
    <row r="749" spans="2:5">
      <c r="B749" s="143" t="s">
        <v>688</v>
      </c>
      <c r="C749" s="135" t="s">
        <v>21</v>
      </c>
      <c r="D749" s="136" t="s">
        <v>805</v>
      </c>
      <c r="E749" s="144" t="s">
        <v>1</v>
      </c>
    </row>
    <row r="750" spans="2:5">
      <c r="B750" s="143" t="s">
        <v>688</v>
      </c>
      <c r="C750" s="135" t="s">
        <v>21</v>
      </c>
      <c r="D750" s="136" t="s">
        <v>806</v>
      </c>
      <c r="E750" s="144" t="s">
        <v>1</v>
      </c>
    </row>
    <row r="751" spans="2:5">
      <c r="B751" s="143" t="s">
        <v>688</v>
      </c>
      <c r="C751" s="135" t="s">
        <v>21</v>
      </c>
      <c r="D751" s="136" t="s">
        <v>807</v>
      </c>
      <c r="E751" s="144" t="s">
        <v>1</v>
      </c>
    </row>
    <row r="752" spans="2:5">
      <c r="B752" s="143" t="s">
        <v>688</v>
      </c>
      <c r="C752" s="135" t="s">
        <v>21</v>
      </c>
      <c r="D752" s="136" t="s">
        <v>808</v>
      </c>
      <c r="E752" s="144" t="s">
        <v>1</v>
      </c>
    </row>
    <row r="753" spans="2:5">
      <c r="B753" s="143" t="s">
        <v>688</v>
      </c>
      <c r="C753" s="135" t="s">
        <v>21</v>
      </c>
      <c r="D753" s="136" t="s">
        <v>809</v>
      </c>
      <c r="E753" s="144" t="s">
        <v>1</v>
      </c>
    </row>
    <row r="754" spans="2:5">
      <c r="B754" s="143" t="s">
        <v>688</v>
      </c>
      <c r="C754" s="135" t="s">
        <v>21</v>
      </c>
      <c r="D754" s="136" t="s">
        <v>810</v>
      </c>
      <c r="E754" s="144" t="s">
        <v>1</v>
      </c>
    </row>
    <row r="755" spans="2:5">
      <c r="B755" s="143" t="s">
        <v>688</v>
      </c>
      <c r="C755" s="135" t="s">
        <v>21</v>
      </c>
      <c r="D755" s="136" t="s">
        <v>811</v>
      </c>
      <c r="E755" s="144" t="s">
        <v>1</v>
      </c>
    </row>
    <row r="756" spans="2:5">
      <c r="B756" s="143" t="s">
        <v>688</v>
      </c>
      <c r="C756" s="135" t="s">
        <v>21</v>
      </c>
      <c r="D756" s="136" t="s">
        <v>812</v>
      </c>
      <c r="E756" s="144" t="s">
        <v>1</v>
      </c>
    </row>
    <row r="757" spans="2:5">
      <c r="B757" s="143" t="s">
        <v>688</v>
      </c>
      <c r="C757" s="135" t="s">
        <v>21</v>
      </c>
      <c r="D757" s="136" t="s">
        <v>813</v>
      </c>
      <c r="E757" s="144" t="s">
        <v>1</v>
      </c>
    </row>
    <row r="758" spans="2:5">
      <c r="B758" s="143" t="s">
        <v>688</v>
      </c>
      <c r="C758" s="135" t="s">
        <v>21</v>
      </c>
      <c r="D758" s="136" t="s">
        <v>814</v>
      </c>
      <c r="E758" s="144" t="s">
        <v>1</v>
      </c>
    </row>
    <row r="759" spans="2:5">
      <c r="B759" s="143" t="s">
        <v>688</v>
      </c>
      <c r="C759" s="135" t="s">
        <v>21</v>
      </c>
      <c r="D759" s="136" t="s">
        <v>815</v>
      </c>
      <c r="E759" s="144" t="s">
        <v>1</v>
      </c>
    </row>
    <row r="760" spans="2:5">
      <c r="B760" s="143" t="s">
        <v>688</v>
      </c>
      <c r="C760" s="135" t="s">
        <v>21</v>
      </c>
      <c r="D760" s="136" t="s">
        <v>816</v>
      </c>
      <c r="E760" s="144" t="s">
        <v>1</v>
      </c>
    </row>
    <row r="761" spans="2:5">
      <c r="B761" s="143" t="s">
        <v>688</v>
      </c>
      <c r="C761" s="135" t="s">
        <v>21</v>
      </c>
      <c r="D761" s="136" t="s">
        <v>817</v>
      </c>
      <c r="E761" s="144" t="s">
        <v>1</v>
      </c>
    </row>
    <row r="762" spans="2:5">
      <c r="B762" s="143" t="s">
        <v>688</v>
      </c>
      <c r="C762" s="135" t="s">
        <v>21</v>
      </c>
      <c r="D762" s="136" t="s">
        <v>818</v>
      </c>
      <c r="E762" s="144" t="s">
        <v>1</v>
      </c>
    </row>
    <row r="763" spans="2:5">
      <c r="B763" s="143" t="s">
        <v>688</v>
      </c>
      <c r="C763" s="135" t="s">
        <v>21</v>
      </c>
      <c r="D763" s="136" t="s">
        <v>819</v>
      </c>
      <c r="E763" s="144" t="s">
        <v>1</v>
      </c>
    </row>
    <row r="764" spans="2:5">
      <c r="B764" s="143" t="s">
        <v>688</v>
      </c>
      <c r="C764" s="135" t="s">
        <v>21</v>
      </c>
      <c r="D764" s="136" t="s">
        <v>820</v>
      </c>
      <c r="E764" s="144" t="s">
        <v>1</v>
      </c>
    </row>
    <row r="765" spans="2:5">
      <c r="B765" s="143" t="s">
        <v>688</v>
      </c>
      <c r="C765" s="135" t="s">
        <v>21</v>
      </c>
      <c r="D765" s="136" t="s">
        <v>821</v>
      </c>
      <c r="E765" s="144" t="s">
        <v>1</v>
      </c>
    </row>
    <row r="766" spans="2:5">
      <c r="B766" s="143" t="s">
        <v>688</v>
      </c>
      <c r="C766" s="135" t="s">
        <v>21</v>
      </c>
      <c r="D766" s="136" t="s">
        <v>822</v>
      </c>
      <c r="E766" s="144" t="s">
        <v>1</v>
      </c>
    </row>
    <row r="767" spans="2:5">
      <c r="B767" s="143" t="s">
        <v>688</v>
      </c>
      <c r="C767" s="135" t="s">
        <v>21</v>
      </c>
      <c r="D767" s="136" t="s">
        <v>823</v>
      </c>
      <c r="E767" s="144" t="s">
        <v>1</v>
      </c>
    </row>
    <row r="768" spans="2:5">
      <c r="B768" s="143" t="s">
        <v>688</v>
      </c>
      <c r="C768" s="135" t="s">
        <v>21</v>
      </c>
      <c r="D768" s="136" t="s">
        <v>824</v>
      </c>
      <c r="E768" s="144" t="s">
        <v>1</v>
      </c>
    </row>
    <row r="769" spans="2:5">
      <c r="B769" s="143" t="s">
        <v>688</v>
      </c>
      <c r="C769" s="135" t="s">
        <v>21</v>
      </c>
      <c r="D769" s="136" t="s">
        <v>825</v>
      </c>
      <c r="E769" s="144" t="s">
        <v>1</v>
      </c>
    </row>
    <row r="770" spans="2:5">
      <c r="B770" s="143" t="s">
        <v>688</v>
      </c>
      <c r="C770" s="135" t="s">
        <v>21</v>
      </c>
      <c r="D770" s="136" t="s">
        <v>826</v>
      </c>
      <c r="E770" s="144" t="s">
        <v>1</v>
      </c>
    </row>
    <row r="771" spans="2:5">
      <c r="B771" s="143" t="s">
        <v>688</v>
      </c>
      <c r="C771" s="135" t="s">
        <v>21</v>
      </c>
      <c r="D771" s="136" t="s">
        <v>827</v>
      </c>
      <c r="E771" s="144" t="s">
        <v>1</v>
      </c>
    </row>
    <row r="772" spans="2:5">
      <c r="B772" s="143" t="s">
        <v>688</v>
      </c>
      <c r="C772" s="135" t="s">
        <v>21</v>
      </c>
      <c r="D772" s="136" t="s">
        <v>828</v>
      </c>
      <c r="E772" s="144" t="s">
        <v>1</v>
      </c>
    </row>
    <row r="773" spans="2:5">
      <c r="B773" s="143" t="s">
        <v>688</v>
      </c>
      <c r="C773" s="135" t="s">
        <v>21</v>
      </c>
      <c r="D773" s="136" t="s">
        <v>829</v>
      </c>
      <c r="E773" s="144" t="s">
        <v>1</v>
      </c>
    </row>
    <row r="774" spans="2:5">
      <c r="B774" s="143" t="s">
        <v>688</v>
      </c>
      <c r="C774" s="135" t="s">
        <v>21</v>
      </c>
      <c r="D774" s="136" t="s">
        <v>830</v>
      </c>
      <c r="E774" s="144" t="s">
        <v>1</v>
      </c>
    </row>
    <row r="775" spans="2:5">
      <c r="B775" s="143" t="s">
        <v>688</v>
      </c>
      <c r="C775" s="135" t="s">
        <v>21</v>
      </c>
      <c r="D775" s="136" t="s">
        <v>831</v>
      </c>
      <c r="E775" s="144" t="s">
        <v>1</v>
      </c>
    </row>
    <row r="776" spans="2:5">
      <c r="B776" s="143" t="s">
        <v>688</v>
      </c>
      <c r="C776" s="135" t="s">
        <v>21</v>
      </c>
      <c r="D776" s="136" t="s">
        <v>832</v>
      </c>
      <c r="E776" s="144" t="s">
        <v>1</v>
      </c>
    </row>
    <row r="777" spans="2:5">
      <c r="B777" s="143" t="s">
        <v>688</v>
      </c>
      <c r="C777" s="135" t="s">
        <v>21</v>
      </c>
      <c r="D777" s="136" t="s">
        <v>833</v>
      </c>
      <c r="E777" s="144" t="s">
        <v>1</v>
      </c>
    </row>
    <row r="778" spans="2:5">
      <c r="B778" s="143" t="s">
        <v>688</v>
      </c>
      <c r="C778" s="135" t="s">
        <v>21</v>
      </c>
      <c r="D778" s="136" t="s">
        <v>834</v>
      </c>
      <c r="E778" s="144" t="s">
        <v>1</v>
      </c>
    </row>
    <row r="779" spans="2:5">
      <c r="B779" s="143" t="s">
        <v>688</v>
      </c>
      <c r="C779" s="135" t="s">
        <v>21</v>
      </c>
      <c r="D779" s="136" t="s">
        <v>835</v>
      </c>
      <c r="E779" s="144" t="s">
        <v>1</v>
      </c>
    </row>
    <row r="780" spans="2:5">
      <c r="B780" s="143" t="s">
        <v>688</v>
      </c>
      <c r="C780" s="135" t="s">
        <v>21</v>
      </c>
      <c r="D780" s="136" t="s">
        <v>836</v>
      </c>
      <c r="E780" s="144" t="s">
        <v>1</v>
      </c>
    </row>
    <row r="781" spans="2:5">
      <c r="B781" s="143" t="s">
        <v>688</v>
      </c>
      <c r="C781" s="135" t="s">
        <v>21</v>
      </c>
      <c r="D781" s="136" t="s">
        <v>837</v>
      </c>
      <c r="E781" s="144" t="s">
        <v>1</v>
      </c>
    </row>
    <row r="782" spans="2:5">
      <c r="B782" s="143" t="s">
        <v>688</v>
      </c>
      <c r="C782" s="135" t="s">
        <v>21</v>
      </c>
      <c r="D782" s="136" t="s">
        <v>838</v>
      </c>
      <c r="E782" s="144" t="s">
        <v>1</v>
      </c>
    </row>
    <row r="783" spans="2:5">
      <c r="B783" s="143" t="s">
        <v>688</v>
      </c>
      <c r="C783" s="135" t="s">
        <v>21</v>
      </c>
      <c r="D783" s="136" t="s">
        <v>839</v>
      </c>
      <c r="E783" s="144" t="s">
        <v>1</v>
      </c>
    </row>
    <row r="784" spans="2:5">
      <c r="B784" s="143" t="s">
        <v>688</v>
      </c>
      <c r="C784" s="135" t="s">
        <v>21</v>
      </c>
      <c r="D784" s="136" t="s">
        <v>840</v>
      </c>
      <c r="E784" s="144" t="s">
        <v>1</v>
      </c>
    </row>
    <row r="785" spans="2:5">
      <c r="B785" s="143" t="s">
        <v>688</v>
      </c>
      <c r="C785" s="135" t="s">
        <v>21</v>
      </c>
      <c r="D785" s="136" t="s">
        <v>841</v>
      </c>
      <c r="E785" s="144" t="s">
        <v>1</v>
      </c>
    </row>
    <row r="786" spans="2:5">
      <c r="B786" s="143" t="s">
        <v>688</v>
      </c>
      <c r="C786" s="135" t="s">
        <v>21</v>
      </c>
      <c r="D786" s="136" t="s">
        <v>842</v>
      </c>
      <c r="E786" s="144" t="s">
        <v>1</v>
      </c>
    </row>
    <row r="787" spans="2:5">
      <c r="B787" s="143" t="s">
        <v>688</v>
      </c>
      <c r="C787" s="135" t="s">
        <v>21</v>
      </c>
      <c r="D787" s="136" t="s">
        <v>843</v>
      </c>
      <c r="E787" s="144" t="s">
        <v>1</v>
      </c>
    </row>
    <row r="788" spans="2:5">
      <c r="B788" s="143" t="s">
        <v>688</v>
      </c>
      <c r="C788" s="135" t="s">
        <v>21</v>
      </c>
      <c r="D788" s="136" t="s">
        <v>844</v>
      </c>
      <c r="E788" s="144" t="s">
        <v>1</v>
      </c>
    </row>
    <row r="789" spans="2:5">
      <c r="B789" s="143" t="s">
        <v>688</v>
      </c>
      <c r="C789" s="135" t="s">
        <v>21</v>
      </c>
      <c r="D789" s="136" t="s">
        <v>845</v>
      </c>
      <c r="E789" s="144" t="s">
        <v>1</v>
      </c>
    </row>
    <row r="790" spans="2:5">
      <c r="B790" s="143" t="s">
        <v>688</v>
      </c>
      <c r="C790" s="135" t="s">
        <v>21</v>
      </c>
      <c r="D790" s="136" t="s">
        <v>846</v>
      </c>
      <c r="E790" s="144" t="s">
        <v>1</v>
      </c>
    </row>
    <row r="791" spans="2:5">
      <c r="B791" s="143" t="s">
        <v>688</v>
      </c>
      <c r="C791" s="135" t="s">
        <v>21</v>
      </c>
      <c r="D791" s="136" t="s">
        <v>847</v>
      </c>
      <c r="E791" s="144" t="s">
        <v>1</v>
      </c>
    </row>
    <row r="792" spans="2:5">
      <c r="B792" s="143" t="s">
        <v>688</v>
      </c>
      <c r="C792" s="135" t="s">
        <v>21</v>
      </c>
      <c r="D792" s="136" t="s">
        <v>848</v>
      </c>
      <c r="E792" s="144" t="s">
        <v>1</v>
      </c>
    </row>
    <row r="793" spans="2:5">
      <c r="B793" s="143" t="s">
        <v>688</v>
      </c>
      <c r="C793" s="135" t="s">
        <v>21</v>
      </c>
      <c r="D793" s="136" t="s">
        <v>849</v>
      </c>
      <c r="E793" s="144" t="s">
        <v>1</v>
      </c>
    </row>
    <row r="794" spans="2:5">
      <c r="B794" s="143" t="s">
        <v>688</v>
      </c>
      <c r="C794" s="135" t="s">
        <v>21</v>
      </c>
      <c r="D794" s="136" t="s">
        <v>850</v>
      </c>
      <c r="E794" s="144" t="s">
        <v>1</v>
      </c>
    </row>
    <row r="795" spans="2:5">
      <c r="B795" s="143" t="s">
        <v>688</v>
      </c>
      <c r="C795" s="135" t="s">
        <v>21</v>
      </c>
      <c r="D795" s="136" t="s">
        <v>851</v>
      </c>
      <c r="E795" s="144" t="s">
        <v>1</v>
      </c>
    </row>
    <row r="796" spans="2:5">
      <c r="B796" s="143" t="s">
        <v>688</v>
      </c>
      <c r="C796" s="135" t="s">
        <v>21</v>
      </c>
      <c r="D796" s="136" t="s">
        <v>852</v>
      </c>
      <c r="E796" s="144" t="s">
        <v>1</v>
      </c>
    </row>
    <row r="797" spans="2:5">
      <c r="B797" s="143" t="s">
        <v>688</v>
      </c>
      <c r="C797" s="135" t="s">
        <v>21</v>
      </c>
      <c r="D797" s="136" t="s">
        <v>853</v>
      </c>
      <c r="E797" s="144" t="s">
        <v>1</v>
      </c>
    </row>
    <row r="798" spans="2:5">
      <c r="B798" s="143" t="s">
        <v>688</v>
      </c>
      <c r="C798" s="135" t="s">
        <v>21</v>
      </c>
      <c r="D798" s="136" t="s">
        <v>854</v>
      </c>
      <c r="E798" s="144" t="s">
        <v>1</v>
      </c>
    </row>
    <row r="799" spans="2:5">
      <c r="B799" s="143" t="s">
        <v>688</v>
      </c>
      <c r="C799" s="135" t="s">
        <v>21</v>
      </c>
      <c r="D799" s="136" t="s">
        <v>20</v>
      </c>
      <c r="E799" s="144" t="s">
        <v>1</v>
      </c>
    </row>
    <row r="800" spans="2:5">
      <c r="B800" s="143" t="s">
        <v>688</v>
      </c>
      <c r="C800" s="135" t="s">
        <v>21</v>
      </c>
      <c r="D800" s="136" t="s">
        <v>855</v>
      </c>
      <c r="E800" s="144" t="s">
        <v>1</v>
      </c>
    </row>
    <row r="801" spans="2:5">
      <c r="B801" s="143" t="s">
        <v>688</v>
      </c>
      <c r="C801" s="135" t="s">
        <v>21</v>
      </c>
      <c r="D801" s="136" t="s">
        <v>856</v>
      </c>
      <c r="E801" s="144" t="s">
        <v>1</v>
      </c>
    </row>
    <row r="802" spans="2:5">
      <c r="B802" s="143" t="s">
        <v>688</v>
      </c>
      <c r="C802" s="135" t="s">
        <v>21</v>
      </c>
      <c r="D802" s="136" t="s">
        <v>857</v>
      </c>
      <c r="E802" s="144" t="s">
        <v>1</v>
      </c>
    </row>
    <row r="803" spans="2:5">
      <c r="B803" s="143" t="s">
        <v>688</v>
      </c>
      <c r="C803" s="135" t="s">
        <v>21</v>
      </c>
      <c r="D803" s="136" t="s">
        <v>858</v>
      </c>
      <c r="E803" s="144" t="s">
        <v>1738</v>
      </c>
    </row>
    <row r="804" spans="2:5">
      <c r="B804" s="143" t="s">
        <v>688</v>
      </c>
      <c r="C804" s="135" t="s">
        <v>21</v>
      </c>
      <c r="D804" s="136" t="s">
        <v>859</v>
      </c>
      <c r="E804" s="144" t="s">
        <v>1738</v>
      </c>
    </row>
    <row r="805" spans="2:5">
      <c r="B805" s="143" t="s">
        <v>688</v>
      </c>
      <c r="C805" s="135" t="s">
        <v>21</v>
      </c>
      <c r="D805" s="136" t="s">
        <v>860</v>
      </c>
      <c r="E805" s="144" t="s">
        <v>1738</v>
      </c>
    </row>
    <row r="806" spans="2:5">
      <c r="B806" s="143" t="s">
        <v>688</v>
      </c>
      <c r="C806" s="135" t="s">
        <v>21</v>
      </c>
      <c r="D806" s="136" t="s">
        <v>861</v>
      </c>
      <c r="E806" s="144" t="s">
        <v>1</v>
      </c>
    </row>
    <row r="807" spans="2:5">
      <c r="B807" s="143" t="s">
        <v>688</v>
      </c>
      <c r="C807" s="135" t="s">
        <v>21</v>
      </c>
      <c r="D807" s="136" t="s">
        <v>862</v>
      </c>
      <c r="E807" s="144" t="s">
        <v>1</v>
      </c>
    </row>
    <row r="808" spans="2:5">
      <c r="B808" s="143" t="s">
        <v>688</v>
      </c>
      <c r="C808" s="135" t="s">
        <v>21</v>
      </c>
      <c r="D808" s="136" t="s">
        <v>863</v>
      </c>
      <c r="E808" s="144" t="s">
        <v>1</v>
      </c>
    </row>
    <row r="809" spans="2:5">
      <c r="B809" s="143" t="s">
        <v>688</v>
      </c>
      <c r="C809" s="135" t="s">
        <v>21</v>
      </c>
      <c r="D809" s="136" t="s">
        <v>864</v>
      </c>
      <c r="E809" s="144" t="s">
        <v>1</v>
      </c>
    </row>
    <row r="810" spans="2:5">
      <c r="B810" s="143" t="s">
        <v>688</v>
      </c>
      <c r="C810" s="135" t="s">
        <v>21</v>
      </c>
      <c r="D810" s="136" t="s">
        <v>865</v>
      </c>
      <c r="E810" s="144" t="s">
        <v>1</v>
      </c>
    </row>
    <row r="811" spans="2:5">
      <c r="B811" s="143" t="s">
        <v>688</v>
      </c>
      <c r="C811" s="135" t="s">
        <v>21</v>
      </c>
      <c r="D811" s="136" t="s">
        <v>866</v>
      </c>
      <c r="E811" s="144" t="s">
        <v>1</v>
      </c>
    </row>
    <row r="812" spans="2:5">
      <c r="B812" s="143" t="s">
        <v>688</v>
      </c>
      <c r="C812" s="135" t="s">
        <v>21</v>
      </c>
      <c r="D812" s="136" t="s">
        <v>867</v>
      </c>
      <c r="E812" s="144" t="s">
        <v>1</v>
      </c>
    </row>
    <row r="813" spans="2:5">
      <c r="B813" s="143" t="s">
        <v>688</v>
      </c>
      <c r="C813" s="135" t="s">
        <v>21</v>
      </c>
      <c r="D813" s="136" t="s">
        <v>868</v>
      </c>
      <c r="E813" s="144" t="s">
        <v>1</v>
      </c>
    </row>
    <row r="814" spans="2:5">
      <c r="B814" s="143" t="s">
        <v>688</v>
      </c>
      <c r="C814" s="135" t="s">
        <v>21</v>
      </c>
      <c r="D814" s="136" t="s">
        <v>869</v>
      </c>
      <c r="E814" s="144" t="s">
        <v>1</v>
      </c>
    </row>
    <row r="815" spans="2:5">
      <c r="B815" s="143" t="s">
        <v>688</v>
      </c>
      <c r="C815" s="135" t="s">
        <v>21</v>
      </c>
      <c r="D815" s="136" t="s">
        <v>870</v>
      </c>
      <c r="E815" s="144" t="s">
        <v>1</v>
      </c>
    </row>
    <row r="816" spans="2:5">
      <c r="B816" s="143" t="s">
        <v>688</v>
      </c>
      <c r="C816" s="135" t="s">
        <v>21</v>
      </c>
      <c r="D816" s="136" t="s">
        <v>871</v>
      </c>
      <c r="E816" s="144" t="s">
        <v>1</v>
      </c>
    </row>
    <row r="817" spans="2:5">
      <c r="B817" s="143" t="s">
        <v>688</v>
      </c>
      <c r="C817" s="135" t="s">
        <v>21</v>
      </c>
      <c r="D817" s="136" t="s">
        <v>872</v>
      </c>
      <c r="E817" s="144" t="s">
        <v>1</v>
      </c>
    </row>
    <row r="818" spans="2:5">
      <c r="B818" s="143" t="s">
        <v>688</v>
      </c>
      <c r="C818" s="135" t="s">
        <v>21</v>
      </c>
      <c r="D818" s="136" t="s">
        <v>873</v>
      </c>
      <c r="E818" s="144" t="s">
        <v>1</v>
      </c>
    </row>
    <row r="819" spans="2:5">
      <c r="B819" s="143" t="s">
        <v>688</v>
      </c>
      <c r="C819" s="135" t="s">
        <v>21</v>
      </c>
      <c r="D819" s="136" t="s">
        <v>874</v>
      </c>
      <c r="E819" s="144" t="s">
        <v>1</v>
      </c>
    </row>
    <row r="820" spans="2:5">
      <c r="B820" s="143" t="s">
        <v>688</v>
      </c>
      <c r="C820" s="135" t="s">
        <v>21</v>
      </c>
      <c r="D820" s="136" t="s">
        <v>875</v>
      </c>
      <c r="E820" s="144" t="s">
        <v>1</v>
      </c>
    </row>
    <row r="821" spans="2:5">
      <c r="B821" s="143" t="s">
        <v>688</v>
      </c>
      <c r="C821" s="135" t="s">
        <v>21</v>
      </c>
      <c r="D821" s="136" t="s">
        <v>876</v>
      </c>
      <c r="E821" s="144" t="s">
        <v>1</v>
      </c>
    </row>
    <row r="822" spans="2:5">
      <c r="B822" s="143" t="s">
        <v>688</v>
      </c>
      <c r="C822" s="135" t="s">
        <v>21</v>
      </c>
      <c r="D822" s="136" t="s">
        <v>877</v>
      </c>
      <c r="E822" s="144" t="s">
        <v>1</v>
      </c>
    </row>
    <row r="823" spans="2:5">
      <c r="B823" s="143" t="s">
        <v>688</v>
      </c>
      <c r="C823" s="135" t="s">
        <v>21</v>
      </c>
      <c r="D823" s="136" t="s">
        <v>878</v>
      </c>
      <c r="E823" s="144" t="s">
        <v>1</v>
      </c>
    </row>
    <row r="824" spans="2:5">
      <c r="B824" s="143" t="s">
        <v>688</v>
      </c>
      <c r="C824" s="135" t="s">
        <v>21</v>
      </c>
      <c r="D824" s="136" t="s">
        <v>879</v>
      </c>
      <c r="E824" s="144" t="s">
        <v>1</v>
      </c>
    </row>
    <row r="825" spans="2:5">
      <c r="B825" s="143" t="s">
        <v>688</v>
      </c>
      <c r="C825" s="135" t="s">
        <v>21</v>
      </c>
      <c r="D825" s="136" t="s">
        <v>880</v>
      </c>
      <c r="E825" s="144" t="s">
        <v>1</v>
      </c>
    </row>
    <row r="826" spans="2:5">
      <c r="B826" s="143" t="s">
        <v>688</v>
      </c>
      <c r="C826" s="135" t="s">
        <v>21</v>
      </c>
      <c r="D826" s="136" t="s">
        <v>881</v>
      </c>
      <c r="E826" s="144" t="s">
        <v>1</v>
      </c>
    </row>
    <row r="827" spans="2:5">
      <c r="B827" s="143" t="s">
        <v>688</v>
      </c>
      <c r="C827" s="135" t="s">
        <v>21</v>
      </c>
      <c r="D827" s="136" t="s">
        <v>882</v>
      </c>
      <c r="E827" s="144" t="s">
        <v>1</v>
      </c>
    </row>
    <row r="828" spans="2:5">
      <c r="B828" s="143" t="s">
        <v>688</v>
      </c>
      <c r="C828" s="135" t="s">
        <v>21</v>
      </c>
      <c r="D828" s="136" t="s">
        <v>883</v>
      </c>
      <c r="E828" s="144" t="s">
        <v>1</v>
      </c>
    </row>
    <row r="829" spans="2:5">
      <c r="B829" s="143" t="s">
        <v>688</v>
      </c>
      <c r="C829" s="135" t="s">
        <v>21</v>
      </c>
      <c r="D829" s="136" t="s">
        <v>884</v>
      </c>
      <c r="E829" s="144" t="s">
        <v>1</v>
      </c>
    </row>
    <row r="830" spans="2:5">
      <c r="B830" s="143" t="s">
        <v>688</v>
      </c>
      <c r="C830" s="135" t="s">
        <v>21</v>
      </c>
      <c r="D830" s="136" t="s">
        <v>885</v>
      </c>
      <c r="E830" s="144" t="s">
        <v>1</v>
      </c>
    </row>
    <row r="831" spans="2:5">
      <c r="B831" s="143" t="s">
        <v>688</v>
      </c>
      <c r="C831" s="135" t="s">
        <v>21</v>
      </c>
      <c r="D831" s="136" t="s">
        <v>886</v>
      </c>
      <c r="E831" s="144" t="s">
        <v>1</v>
      </c>
    </row>
    <row r="832" spans="2:5">
      <c r="B832" s="143" t="s">
        <v>688</v>
      </c>
      <c r="C832" s="135" t="s">
        <v>21</v>
      </c>
      <c r="D832" s="136" t="s">
        <v>887</v>
      </c>
      <c r="E832" s="144" t="s">
        <v>1</v>
      </c>
    </row>
    <row r="833" spans="2:5">
      <c r="B833" s="143" t="s">
        <v>688</v>
      </c>
      <c r="C833" s="135" t="s">
        <v>21</v>
      </c>
      <c r="D833" s="136" t="s">
        <v>888</v>
      </c>
      <c r="E833" s="144" t="s">
        <v>1</v>
      </c>
    </row>
    <row r="834" spans="2:5">
      <c r="B834" s="143" t="s">
        <v>688</v>
      </c>
      <c r="C834" s="135" t="s">
        <v>21</v>
      </c>
      <c r="D834" s="136" t="s">
        <v>889</v>
      </c>
      <c r="E834" s="144" t="s">
        <v>1</v>
      </c>
    </row>
    <row r="835" spans="2:5">
      <c r="B835" s="143" t="s">
        <v>688</v>
      </c>
      <c r="C835" s="135" t="s">
        <v>21</v>
      </c>
      <c r="D835" s="136" t="s">
        <v>890</v>
      </c>
      <c r="E835" s="144" t="s">
        <v>1</v>
      </c>
    </row>
    <row r="836" spans="2:5">
      <c r="B836" s="143" t="s">
        <v>688</v>
      </c>
      <c r="C836" s="135" t="s">
        <v>21</v>
      </c>
      <c r="D836" s="136" t="s">
        <v>891</v>
      </c>
      <c r="E836" s="144" t="s">
        <v>1</v>
      </c>
    </row>
    <row r="837" spans="2:5">
      <c r="B837" s="143" t="s">
        <v>688</v>
      </c>
      <c r="C837" s="135" t="s">
        <v>21</v>
      </c>
      <c r="D837" s="136" t="s">
        <v>892</v>
      </c>
      <c r="E837" s="144" t="s">
        <v>1</v>
      </c>
    </row>
    <row r="838" spans="2:5">
      <c r="B838" s="143" t="s">
        <v>688</v>
      </c>
      <c r="C838" s="135" t="s">
        <v>21</v>
      </c>
      <c r="D838" s="136" t="s">
        <v>893</v>
      </c>
      <c r="E838" s="144" t="s">
        <v>1</v>
      </c>
    </row>
    <row r="839" spans="2:5">
      <c r="B839" s="143" t="s">
        <v>688</v>
      </c>
      <c r="C839" s="135" t="s">
        <v>21</v>
      </c>
      <c r="D839" s="136" t="s">
        <v>894</v>
      </c>
      <c r="E839" s="144" t="s">
        <v>1</v>
      </c>
    </row>
    <row r="840" spans="2:5">
      <c r="B840" s="143" t="s">
        <v>688</v>
      </c>
      <c r="C840" s="135" t="s">
        <v>21</v>
      </c>
      <c r="D840" s="136" t="s">
        <v>895</v>
      </c>
      <c r="E840" s="144" t="s">
        <v>1</v>
      </c>
    </row>
    <row r="841" spans="2:5">
      <c r="B841" s="143" t="s">
        <v>688</v>
      </c>
      <c r="C841" s="135" t="s">
        <v>21</v>
      </c>
      <c r="D841" s="136" t="s">
        <v>896</v>
      </c>
      <c r="E841" s="144" t="s">
        <v>1</v>
      </c>
    </row>
    <row r="842" spans="2:5">
      <c r="B842" s="143" t="s">
        <v>688</v>
      </c>
      <c r="C842" s="135" t="s">
        <v>21</v>
      </c>
      <c r="D842" s="136" t="s">
        <v>897</v>
      </c>
      <c r="E842" s="144" t="s">
        <v>1</v>
      </c>
    </row>
    <row r="843" spans="2:5">
      <c r="B843" s="143" t="s">
        <v>688</v>
      </c>
      <c r="C843" s="135" t="s">
        <v>21</v>
      </c>
      <c r="D843" s="136" t="s">
        <v>898</v>
      </c>
      <c r="E843" s="144" t="s">
        <v>1</v>
      </c>
    </row>
    <row r="844" spans="2:5">
      <c r="B844" s="143" t="s">
        <v>688</v>
      </c>
      <c r="C844" s="135" t="s">
        <v>21</v>
      </c>
      <c r="D844" s="136" t="s">
        <v>899</v>
      </c>
      <c r="E844" s="144" t="s">
        <v>1</v>
      </c>
    </row>
    <row r="845" spans="2:5">
      <c r="B845" s="143" t="s">
        <v>688</v>
      </c>
      <c r="C845" s="135" t="s">
        <v>21</v>
      </c>
      <c r="D845" s="136" t="s">
        <v>900</v>
      </c>
      <c r="E845" s="144" t="s">
        <v>1</v>
      </c>
    </row>
    <row r="846" spans="2:5">
      <c r="B846" s="143" t="s">
        <v>688</v>
      </c>
      <c r="C846" s="135" t="s">
        <v>21</v>
      </c>
      <c r="D846" s="136" t="s">
        <v>901</v>
      </c>
      <c r="E846" s="144" t="s">
        <v>1</v>
      </c>
    </row>
    <row r="847" spans="2:5">
      <c r="B847" s="143" t="s">
        <v>688</v>
      </c>
      <c r="C847" s="135" t="s">
        <v>21</v>
      </c>
      <c r="D847" s="136" t="s">
        <v>902</v>
      </c>
      <c r="E847" s="144" t="s">
        <v>1</v>
      </c>
    </row>
    <row r="848" spans="2:5">
      <c r="B848" s="143" t="s">
        <v>688</v>
      </c>
      <c r="C848" s="135" t="s">
        <v>21</v>
      </c>
      <c r="D848" s="136" t="s">
        <v>903</v>
      </c>
      <c r="E848" s="144" t="s">
        <v>1</v>
      </c>
    </row>
    <row r="849" spans="2:5">
      <c r="B849" s="143" t="s">
        <v>688</v>
      </c>
      <c r="C849" s="135" t="s">
        <v>21</v>
      </c>
      <c r="D849" s="136" t="s">
        <v>904</v>
      </c>
      <c r="E849" s="144" t="s">
        <v>1</v>
      </c>
    </row>
    <row r="850" spans="2:5">
      <c r="B850" s="143" t="s">
        <v>688</v>
      </c>
      <c r="C850" s="135" t="s">
        <v>21</v>
      </c>
      <c r="D850" s="136" t="s">
        <v>905</v>
      </c>
      <c r="E850" s="144" t="s">
        <v>1</v>
      </c>
    </row>
    <row r="851" spans="2:5">
      <c r="B851" s="143" t="s">
        <v>688</v>
      </c>
      <c r="C851" s="135" t="s">
        <v>21</v>
      </c>
      <c r="D851" s="136" t="s">
        <v>906</v>
      </c>
      <c r="E851" s="144" t="s">
        <v>1</v>
      </c>
    </row>
    <row r="852" spans="2:5">
      <c r="B852" s="143" t="s">
        <v>688</v>
      </c>
      <c r="C852" s="135" t="s">
        <v>21</v>
      </c>
      <c r="D852" s="136" t="s">
        <v>907</v>
      </c>
      <c r="E852" s="144" t="s">
        <v>1</v>
      </c>
    </row>
    <row r="853" spans="2:5">
      <c r="B853" s="143" t="s">
        <v>688</v>
      </c>
      <c r="C853" s="135" t="s">
        <v>21</v>
      </c>
      <c r="D853" s="136" t="s">
        <v>908</v>
      </c>
      <c r="E853" s="144" t="s">
        <v>1</v>
      </c>
    </row>
    <row r="854" spans="2:5">
      <c r="B854" s="143" t="s">
        <v>688</v>
      </c>
      <c r="C854" s="135" t="s">
        <v>21</v>
      </c>
      <c r="D854" s="136" t="s">
        <v>909</v>
      </c>
      <c r="E854" s="144" t="s">
        <v>1</v>
      </c>
    </row>
    <row r="855" spans="2:5">
      <c r="B855" s="143" t="s">
        <v>688</v>
      </c>
      <c r="C855" s="135" t="s">
        <v>21</v>
      </c>
      <c r="D855" s="136" t="s">
        <v>910</v>
      </c>
      <c r="E855" s="144" t="s">
        <v>1</v>
      </c>
    </row>
    <row r="856" spans="2:5">
      <c r="B856" s="143" t="s">
        <v>688</v>
      </c>
      <c r="C856" s="135" t="s">
        <v>21</v>
      </c>
      <c r="D856" s="136" t="s">
        <v>911</v>
      </c>
      <c r="E856" s="144" t="s">
        <v>1</v>
      </c>
    </row>
    <row r="857" spans="2:5">
      <c r="B857" s="143" t="s">
        <v>688</v>
      </c>
      <c r="C857" s="135" t="s">
        <v>21</v>
      </c>
      <c r="D857" s="136" t="s">
        <v>912</v>
      </c>
      <c r="E857" s="144" t="s">
        <v>1</v>
      </c>
    </row>
    <row r="858" spans="2:5">
      <c r="B858" s="143" t="s">
        <v>688</v>
      </c>
      <c r="C858" s="135" t="s">
        <v>21</v>
      </c>
      <c r="D858" s="136" t="s">
        <v>913</v>
      </c>
      <c r="E858" s="144" t="s">
        <v>1</v>
      </c>
    </row>
    <row r="859" spans="2:5">
      <c r="B859" s="143" t="s">
        <v>688</v>
      </c>
      <c r="C859" s="135" t="s">
        <v>21</v>
      </c>
      <c r="D859" s="136" t="s">
        <v>914</v>
      </c>
      <c r="E859" s="144" t="s">
        <v>1</v>
      </c>
    </row>
    <row r="860" spans="2:5">
      <c r="B860" s="143" t="s">
        <v>688</v>
      </c>
      <c r="C860" s="135" t="s">
        <v>21</v>
      </c>
      <c r="D860" s="136" t="s">
        <v>915</v>
      </c>
      <c r="E860" s="144" t="s">
        <v>1</v>
      </c>
    </row>
    <row r="861" spans="2:5">
      <c r="B861" s="143" t="s">
        <v>688</v>
      </c>
      <c r="C861" s="135" t="s">
        <v>21</v>
      </c>
      <c r="D861" s="136" t="s">
        <v>916</v>
      </c>
      <c r="E861" s="144" t="s">
        <v>1</v>
      </c>
    </row>
    <row r="862" spans="2:5">
      <c r="B862" s="143" t="s">
        <v>688</v>
      </c>
      <c r="C862" s="135" t="s">
        <v>21</v>
      </c>
      <c r="D862" s="136" t="s">
        <v>917</v>
      </c>
      <c r="E862" s="144" t="s">
        <v>1</v>
      </c>
    </row>
    <row r="863" spans="2:5">
      <c r="B863" s="143" t="s">
        <v>688</v>
      </c>
      <c r="C863" s="135" t="s">
        <v>21</v>
      </c>
      <c r="D863" s="136" t="s">
        <v>918</v>
      </c>
      <c r="E863" s="144" t="s">
        <v>1</v>
      </c>
    </row>
    <row r="864" spans="2:5">
      <c r="B864" s="143" t="s">
        <v>688</v>
      </c>
      <c r="C864" s="135" t="s">
        <v>21</v>
      </c>
      <c r="D864" s="136" t="s">
        <v>919</v>
      </c>
      <c r="E864" s="144" t="s">
        <v>1</v>
      </c>
    </row>
    <row r="865" spans="2:5">
      <c r="B865" s="143" t="s">
        <v>688</v>
      </c>
      <c r="C865" s="135" t="s">
        <v>21</v>
      </c>
      <c r="D865" s="136" t="s">
        <v>920</v>
      </c>
      <c r="E865" s="144" t="s">
        <v>1</v>
      </c>
    </row>
    <row r="866" spans="2:5">
      <c r="B866" s="143" t="s">
        <v>688</v>
      </c>
      <c r="C866" s="135" t="s">
        <v>21</v>
      </c>
      <c r="D866" s="136" t="s">
        <v>921</v>
      </c>
      <c r="E866" s="144" t="s">
        <v>1</v>
      </c>
    </row>
    <row r="867" spans="2:5">
      <c r="B867" s="143" t="s">
        <v>688</v>
      </c>
      <c r="C867" s="135" t="s">
        <v>21</v>
      </c>
      <c r="D867" s="136" t="s">
        <v>922</v>
      </c>
      <c r="E867" s="144" t="s">
        <v>1</v>
      </c>
    </row>
    <row r="868" spans="2:5">
      <c r="B868" s="143" t="s">
        <v>688</v>
      </c>
      <c r="C868" s="135" t="s">
        <v>21</v>
      </c>
      <c r="D868" s="136" t="s">
        <v>923</v>
      </c>
      <c r="E868" s="144" t="s">
        <v>1</v>
      </c>
    </row>
    <row r="869" spans="2:5">
      <c r="B869" s="143" t="s">
        <v>688</v>
      </c>
      <c r="C869" s="135" t="s">
        <v>21</v>
      </c>
      <c r="D869" s="136" t="s">
        <v>924</v>
      </c>
      <c r="E869" s="144" t="s">
        <v>1</v>
      </c>
    </row>
    <row r="870" spans="2:5">
      <c r="B870" s="143" t="s">
        <v>688</v>
      </c>
      <c r="C870" s="135" t="s">
        <v>21</v>
      </c>
      <c r="D870" s="136" t="s">
        <v>925</v>
      </c>
      <c r="E870" s="144" t="s">
        <v>1</v>
      </c>
    </row>
    <row r="871" spans="2:5">
      <c r="B871" s="143" t="s">
        <v>688</v>
      </c>
      <c r="C871" s="135" t="s">
        <v>21</v>
      </c>
      <c r="D871" s="136" t="s">
        <v>926</v>
      </c>
      <c r="E871" s="144" t="s">
        <v>1</v>
      </c>
    </row>
    <row r="872" spans="2:5">
      <c r="B872" s="143" t="s">
        <v>688</v>
      </c>
      <c r="C872" s="135" t="s">
        <v>21</v>
      </c>
      <c r="D872" s="136" t="s">
        <v>927</v>
      </c>
      <c r="E872" s="144" t="s">
        <v>1</v>
      </c>
    </row>
    <row r="873" spans="2:5">
      <c r="B873" s="143" t="s">
        <v>688</v>
      </c>
      <c r="C873" s="135" t="s">
        <v>21</v>
      </c>
      <c r="D873" s="136" t="s">
        <v>928</v>
      </c>
      <c r="E873" s="144" t="s">
        <v>1</v>
      </c>
    </row>
    <row r="874" spans="2:5">
      <c r="B874" s="143" t="s">
        <v>688</v>
      </c>
      <c r="C874" s="135" t="s">
        <v>21</v>
      </c>
      <c r="D874" s="136" t="s">
        <v>929</v>
      </c>
      <c r="E874" s="144" t="s">
        <v>1</v>
      </c>
    </row>
    <row r="875" spans="2:5">
      <c r="B875" s="143" t="s">
        <v>688</v>
      </c>
      <c r="C875" s="135" t="s">
        <v>21</v>
      </c>
      <c r="D875" s="136" t="s">
        <v>930</v>
      </c>
      <c r="E875" s="144" t="s">
        <v>1</v>
      </c>
    </row>
    <row r="876" spans="2:5">
      <c r="B876" s="143" t="s">
        <v>688</v>
      </c>
      <c r="C876" s="135" t="s">
        <v>21</v>
      </c>
      <c r="D876" s="136" t="s">
        <v>931</v>
      </c>
      <c r="E876" s="144" t="s">
        <v>1</v>
      </c>
    </row>
    <row r="877" spans="2:5">
      <c r="B877" s="143" t="s">
        <v>688</v>
      </c>
      <c r="C877" s="135" t="s">
        <v>21</v>
      </c>
      <c r="D877" s="136" t="s">
        <v>932</v>
      </c>
      <c r="E877" s="144" t="s">
        <v>1</v>
      </c>
    </row>
    <row r="878" spans="2:5">
      <c r="B878" s="143" t="s">
        <v>688</v>
      </c>
      <c r="C878" s="135" t="s">
        <v>21</v>
      </c>
      <c r="D878" s="136" t="s">
        <v>933</v>
      </c>
      <c r="E878" s="144" t="s">
        <v>1</v>
      </c>
    </row>
    <row r="879" spans="2:5">
      <c r="B879" s="143" t="s">
        <v>688</v>
      </c>
      <c r="C879" s="135" t="s">
        <v>21</v>
      </c>
      <c r="D879" s="136" t="s">
        <v>934</v>
      </c>
      <c r="E879" s="144" t="s">
        <v>1</v>
      </c>
    </row>
    <row r="880" spans="2:5">
      <c r="B880" s="143" t="s">
        <v>688</v>
      </c>
      <c r="C880" s="135" t="s">
        <v>21</v>
      </c>
      <c r="D880" s="136" t="s">
        <v>935</v>
      </c>
      <c r="E880" s="144" t="s">
        <v>1</v>
      </c>
    </row>
    <row r="881" spans="2:5">
      <c r="B881" s="143" t="s">
        <v>688</v>
      </c>
      <c r="C881" s="135" t="s">
        <v>21</v>
      </c>
      <c r="D881" s="136" t="s">
        <v>936</v>
      </c>
      <c r="E881" s="144" t="s">
        <v>1</v>
      </c>
    </row>
    <row r="882" spans="2:5">
      <c r="B882" s="143" t="s">
        <v>688</v>
      </c>
      <c r="C882" s="135" t="s">
        <v>21</v>
      </c>
      <c r="D882" s="136" t="s">
        <v>937</v>
      </c>
      <c r="E882" s="144" t="s">
        <v>1</v>
      </c>
    </row>
    <row r="883" spans="2:5">
      <c r="B883" s="143" t="s">
        <v>688</v>
      </c>
      <c r="C883" s="135" t="s">
        <v>21</v>
      </c>
      <c r="D883" s="136" t="s">
        <v>938</v>
      </c>
      <c r="E883" s="144" t="s">
        <v>1</v>
      </c>
    </row>
    <row r="884" spans="2:5">
      <c r="B884" s="143" t="s">
        <v>688</v>
      </c>
      <c r="C884" s="135" t="s">
        <v>21</v>
      </c>
      <c r="D884" s="136" t="s">
        <v>939</v>
      </c>
      <c r="E884" s="144" t="s">
        <v>1</v>
      </c>
    </row>
    <row r="885" spans="2:5">
      <c r="B885" s="143" t="s">
        <v>688</v>
      </c>
      <c r="C885" s="135" t="s">
        <v>21</v>
      </c>
      <c r="D885" s="136" t="s">
        <v>940</v>
      </c>
      <c r="E885" s="144" t="s">
        <v>1</v>
      </c>
    </row>
    <row r="886" spans="2:5">
      <c r="B886" s="143" t="s">
        <v>688</v>
      </c>
      <c r="C886" s="135" t="s">
        <v>21</v>
      </c>
      <c r="D886" s="136" t="s">
        <v>941</v>
      </c>
      <c r="E886" s="144" t="s">
        <v>1</v>
      </c>
    </row>
    <row r="887" spans="2:5">
      <c r="B887" s="143" t="s">
        <v>688</v>
      </c>
      <c r="C887" s="135" t="s">
        <v>21</v>
      </c>
      <c r="D887" s="136" t="s">
        <v>942</v>
      </c>
      <c r="E887" s="144" t="s">
        <v>1</v>
      </c>
    </row>
    <row r="888" spans="2:5">
      <c r="B888" s="143" t="s">
        <v>688</v>
      </c>
      <c r="C888" s="135" t="s">
        <v>21</v>
      </c>
      <c r="D888" s="136" t="s">
        <v>943</v>
      </c>
      <c r="E888" s="144" t="s">
        <v>1</v>
      </c>
    </row>
    <row r="889" spans="2:5">
      <c r="B889" s="143" t="s">
        <v>944</v>
      </c>
      <c r="C889" s="135" t="s">
        <v>23</v>
      </c>
      <c r="D889" s="136" t="s">
        <v>945</v>
      </c>
      <c r="E889" s="144" t="s">
        <v>1</v>
      </c>
    </row>
    <row r="890" spans="2:5">
      <c r="B890" s="143" t="s">
        <v>944</v>
      </c>
      <c r="C890" s="135" t="s">
        <v>23</v>
      </c>
      <c r="D890" s="136" t="s">
        <v>946</v>
      </c>
      <c r="E890" s="144" t="s">
        <v>1</v>
      </c>
    </row>
    <row r="891" spans="2:5">
      <c r="B891" s="143" t="s">
        <v>944</v>
      </c>
      <c r="C891" s="135" t="s">
        <v>23</v>
      </c>
      <c r="D891" s="136" t="s">
        <v>947</v>
      </c>
      <c r="E891" s="144" t="s">
        <v>1</v>
      </c>
    </row>
    <row r="892" spans="2:5">
      <c r="B892" s="143" t="s">
        <v>944</v>
      </c>
      <c r="C892" s="135" t="s">
        <v>23</v>
      </c>
      <c r="D892" s="136" t="s">
        <v>948</v>
      </c>
      <c r="E892" s="144" t="s">
        <v>1</v>
      </c>
    </row>
    <row r="893" spans="2:5">
      <c r="B893" s="143" t="s">
        <v>944</v>
      </c>
      <c r="C893" s="135" t="s">
        <v>23</v>
      </c>
      <c r="D893" s="136" t="s">
        <v>949</v>
      </c>
      <c r="E893" s="144" t="s">
        <v>1</v>
      </c>
    </row>
    <row r="894" spans="2:5">
      <c r="B894" s="143" t="s">
        <v>944</v>
      </c>
      <c r="C894" s="135" t="s">
        <v>23</v>
      </c>
      <c r="D894" s="136" t="s">
        <v>950</v>
      </c>
      <c r="E894" s="144" t="s">
        <v>1</v>
      </c>
    </row>
    <row r="895" spans="2:5">
      <c r="B895" s="143" t="s">
        <v>944</v>
      </c>
      <c r="C895" s="135" t="s">
        <v>23</v>
      </c>
      <c r="D895" s="136" t="s">
        <v>951</v>
      </c>
      <c r="E895" s="144" t="s">
        <v>1</v>
      </c>
    </row>
    <row r="896" spans="2:5">
      <c r="B896" s="143" t="s">
        <v>944</v>
      </c>
      <c r="C896" s="135" t="s">
        <v>23</v>
      </c>
      <c r="D896" s="136" t="s">
        <v>952</v>
      </c>
      <c r="E896" s="144" t="s">
        <v>1</v>
      </c>
    </row>
    <row r="897" spans="2:5">
      <c r="B897" s="143" t="s">
        <v>944</v>
      </c>
      <c r="C897" s="135" t="s">
        <v>23</v>
      </c>
      <c r="D897" s="136" t="s">
        <v>953</v>
      </c>
      <c r="E897" s="144" t="s">
        <v>1</v>
      </c>
    </row>
    <row r="898" spans="2:5">
      <c r="B898" s="143" t="s">
        <v>944</v>
      </c>
      <c r="C898" s="135" t="s">
        <v>23</v>
      </c>
      <c r="D898" s="136" t="s">
        <v>954</v>
      </c>
      <c r="E898" s="144" t="s">
        <v>1</v>
      </c>
    </row>
    <row r="899" spans="2:5">
      <c r="B899" s="143" t="s">
        <v>944</v>
      </c>
      <c r="C899" s="135" t="s">
        <v>23</v>
      </c>
      <c r="D899" s="136" t="s">
        <v>955</v>
      </c>
      <c r="E899" s="144" t="s">
        <v>1</v>
      </c>
    </row>
    <row r="900" spans="2:5">
      <c r="B900" s="143" t="s">
        <v>944</v>
      </c>
      <c r="C900" s="135" t="s">
        <v>23</v>
      </c>
      <c r="D900" s="136" t="s">
        <v>956</v>
      </c>
      <c r="E900" s="144" t="s">
        <v>1</v>
      </c>
    </row>
    <row r="901" spans="2:5">
      <c r="B901" s="143" t="s">
        <v>944</v>
      </c>
      <c r="C901" s="135" t="s">
        <v>23</v>
      </c>
      <c r="D901" s="136" t="s">
        <v>957</v>
      </c>
      <c r="E901" s="144" t="s">
        <v>1</v>
      </c>
    </row>
    <row r="902" spans="2:5">
      <c r="B902" s="143" t="s">
        <v>944</v>
      </c>
      <c r="C902" s="135" t="s">
        <v>23</v>
      </c>
      <c r="D902" s="136" t="s">
        <v>958</v>
      </c>
      <c r="E902" s="144" t="s">
        <v>1</v>
      </c>
    </row>
    <row r="903" spans="2:5">
      <c r="B903" s="143" t="s">
        <v>944</v>
      </c>
      <c r="C903" s="135" t="s">
        <v>23</v>
      </c>
      <c r="D903" s="136" t="s">
        <v>959</v>
      </c>
      <c r="E903" s="144" t="s">
        <v>1</v>
      </c>
    </row>
    <row r="904" spans="2:5">
      <c r="B904" s="143" t="s">
        <v>944</v>
      </c>
      <c r="C904" s="135" t="s">
        <v>23</v>
      </c>
      <c r="D904" s="136" t="s">
        <v>960</v>
      </c>
      <c r="E904" s="144" t="s">
        <v>1</v>
      </c>
    </row>
    <row r="905" spans="2:5">
      <c r="B905" s="143" t="s">
        <v>944</v>
      </c>
      <c r="C905" s="135" t="s">
        <v>23</v>
      </c>
      <c r="D905" s="136" t="s">
        <v>961</v>
      </c>
      <c r="E905" s="144" t="s">
        <v>1</v>
      </c>
    </row>
    <row r="906" spans="2:5">
      <c r="B906" s="143" t="s">
        <v>944</v>
      </c>
      <c r="C906" s="135" t="s">
        <v>23</v>
      </c>
      <c r="D906" s="136" t="s">
        <v>962</v>
      </c>
      <c r="E906" s="144" t="s">
        <v>1</v>
      </c>
    </row>
    <row r="907" spans="2:5">
      <c r="B907" s="143" t="s">
        <v>944</v>
      </c>
      <c r="C907" s="135" t="s">
        <v>23</v>
      </c>
      <c r="D907" s="136" t="s">
        <v>963</v>
      </c>
      <c r="E907" s="144" t="s">
        <v>1</v>
      </c>
    </row>
    <row r="908" spans="2:5">
      <c r="B908" s="143" t="s">
        <v>944</v>
      </c>
      <c r="C908" s="135" t="s">
        <v>23</v>
      </c>
      <c r="D908" s="136" t="s">
        <v>964</v>
      </c>
      <c r="E908" s="144" t="s">
        <v>1</v>
      </c>
    </row>
    <row r="909" spans="2:5">
      <c r="B909" s="143" t="s">
        <v>944</v>
      </c>
      <c r="C909" s="135" t="s">
        <v>23</v>
      </c>
      <c r="D909" s="136" t="s">
        <v>965</v>
      </c>
      <c r="E909" s="144" t="s">
        <v>1</v>
      </c>
    </row>
    <row r="910" spans="2:5">
      <c r="B910" s="143" t="s">
        <v>944</v>
      </c>
      <c r="C910" s="135" t="s">
        <v>23</v>
      </c>
      <c r="D910" s="136" t="s">
        <v>966</v>
      </c>
      <c r="E910" s="144" t="s">
        <v>1</v>
      </c>
    </row>
    <row r="911" spans="2:5">
      <c r="B911" s="143" t="s">
        <v>944</v>
      </c>
      <c r="C911" s="135" t="s">
        <v>23</v>
      </c>
      <c r="D911" s="136" t="s">
        <v>967</v>
      </c>
      <c r="E911" s="144" t="s">
        <v>1</v>
      </c>
    </row>
    <row r="912" spans="2:5">
      <c r="B912" s="143" t="s">
        <v>944</v>
      </c>
      <c r="C912" s="135" t="s">
        <v>23</v>
      </c>
      <c r="D912" s="136" t="s">
        <v>968</v>
      </c>
      <c r="E912" s="144" t="s">
        <v>1</v>
      </c>
    </row>
    <row r="913" spans="2:5">
      <c r="B913" s="143" t="s">
        <v>944</v>
      </c>
      <c r="C913" s="135" t="s">
        <v>23</v>
      </c>
      <c r="D913" s="136" t="s">
        <v>969</v>
      </c>
      <c r="E913" s="144" t="s">
        <v>1</v>
      </c>
    </row>
    <row r="914" spans="2:5">
      <c r="B914" s="143" t="s">
        <v>944</v>
      </c>
      <c r="C914" s="135" t="s">
        <v>23</v>
      </c>
      <c r="D914" s="136" t="s">
        <v>970</v>
      </c>
      <c r="E914" s="144" t="s">
        <v>1</v>
      </c>
    </row>
    <row r="915" spans="2:5">
      <c r="B915" s="143" t="s">
        <v>944</v>
      </c>
      <c r="C915" s="135" t="s">
        <v>23</v>
      </c>
      <c r="D915" s="136" t="s">
        <v>971</v>
      </c>
      <c r="E915" s="144" t="s">
        <v>1</v>
      </c>
    </row>
    <row r="916" spans="2:5">
      <c r="B916" s="143" t="s">
        <v>944</v>
      </c>
      <c r="C916" s="135" t="s">
        <v>23</v>
      </c>
      <c r="D916" s="136" t="s">
        <v>972</v>
      </c>
      <c r="E916" s="144" t="s">
        <v>1</v>
      </c>
    </row>
    <row r="917" spans="2:5">
      <c r="B917" s="143" t="s">
        <v>944</v>
      </c>
      <c r="C917" s="135" t="s">
        <v>23</v>
      </c>
      <c r="D917" s="136" t="s">
        <v>973</v>
      </c>
      <c r="E917" s="144" t="s">
        <v>1</v>
      </c>
    </row>
    <row r="918" spans="2:5">
      <c r="B918" s="143" t="s">
        <v>944</v>
      </c>
      <c r="C918" s="135" t="s">
        <v>23</v>
      </c>
      <c r="D918" s="136" t="s">
        <v>974</v>
      </c>
      <c r="E918" s="144" t="s">
        <v>1</v>
      </c>
    </row>
    <row r="919" spans="2:5">
      <c r="B919" s="143" t="s">
        <v>944</v>
      </c>
      <c r="C919" s="135" t="s">
        <v>23</v>
      </c>
      <c r="D919" s="136" t="s">
        <v>975</v>
      </c>
      <c r="E919" s="144" t="s">
        <v>1</v>
      </c>
    </row>
    <row r="920" spans="2:5">
      <c r="B920" s="143" t="s">
        <v>944</v>
      </c>
      <c r="C920" s="135" t="s">
        <v>23</v>
      </c>
      <c r="D920" s="136" t="s">
        <v>976</v>
      </c>
      <c r="E920" s="144" t="s">
        <v>1</v>
      </c>
    </row>
    <row r="921" spans="2:5">
      <c r="B921" s="143" t="s">
        <v>944</v>
      </c>
      <c r="C921" s="135" t="s">
        <v>23</v>
      </c>
      <c r="D921" s="136" t="s">
        <v>977</v>
      </c>
      <c r="E921" s="144" t="s">
        <v>1</v>
      </c>
    </row>
    <row r="922" spans="2:5">
      <c r="B922" s="143" t="s">
        <v>944</v>
      </c>
      <c r="C922" s="135" t="s">
        <v>23</v>
      </c>
      <c r="D922" s="136" t="s">
        <v>978</v>
      </c>
      <c r="E922" s="144" t="s">
        <v>1</v>
      </c>
    </row>
    <row r="923" spans="2:5">
      <c r="B923" s="143" t="s">
        <v>944</v>
      </c>
      <c r="C923" s="135" t="s">
        <v>23</v>
      </c>
      <c r="D923" s="136" t="s">
        <v>22</v>
      </c>
      <c r="E923" s="144" t="s">
        <v>1</v>
      </c>
    </row>
    <row r="924" spans="2:5">
      <c r="B924" s="143" t="s">
        <v>944</v>
      </c>
      <c r="C924" s="135" t="s">
        <v>23</v>
      </c>
      <c r="D924" s="136" t="s">
        <v>979</v>
      </c>
      <c r="E924" s="144" t="s">
        <v>1</v>
      </c>
    </row>
    <row r="925" spans="2:5">
      <c r="B925" s="143" t="s">
        <v>944</v>
      </c>
      <c r="C925" s="135" t="s">
        <v>23</v>
      </c>
      <c r="D925" s="136" t="s">
        <v>980</v>
      </c>
      <c r="E925" s="144" t="s">
        <v>1</v>
      </c>
    </row>
    <row r="926" spans="2:5">
      <c r="B926" s="143" t="s">
        <v>944</v>
      </c>
      <c r="C926" s="135" t="s">
        <v>23</v>
      </c>
      <c r="D926" s="136" t="s">
        <v>981</v>
      </c>
      <c r="E926" s="144" t="s">
        <v>1</v>
      </c>
    </row>
    <row r="927" spans="2:5">
      <c r="B927" s="143" t="s">
        <v>944</v>
      </c>
      <c r="C927" s="135" t="s">
        <v>23</v>
      </c>
      <c r="D927" s="136" t="s">
        <v>982</v>
      </c>
      <c r="E927" s="144" t="s">
        <v>1</v>
      </c>
    </row>
    <row r="928" spans="2:5">
      <c r="B928" s="143" t="s">
        <v>944</v>
      </c>
      <c r="C928" s="135" t="s">
        <v>23</v>
      </c>
      <c r="D928" s="136" t="s">
        <v>983</v>
      </c>
      <c r="E928" s="144" t="s">
        <v>1</v>
      </c>
    </row>
    <row r="929" spans="2:5">
      <c r="B929" s="143" t="s">
        <v>944</v>
      </c>
      <c r="C929" s="135" t="s">
        <v>23</v>
      </c>
      <c r="D929" s="136" t="s">
        <v>984</v>
      </c>
      <c r="E929" s="144" t="s">
        <v>1</v>
      </c>
    </row>
    <row r="930" spans="2:5">
      <c r="B930" s="143" t="s">
        <v>944</v>
      </c>
      <c r="C930" s="135" t="s">
        <v>23</v>
      </c>
      <c r="D930" s="136" t="s">
        <v>985</v>
      </c>
      <c r="E930" s="144" t="s">
        <v>1</v>
      </c>
    </row>
    <row r="931" spans="2:5">
      <c r="B931" s="143" t="s">
        <v>944</v>
      </c>
      <c r="C931" s="135" t="s">
        <v>23</v>
      </c>
      <c r="D931" s="136" t="s">
        <v>986</v>
      </c>
      <c r="E931" s="144" t="s">
        <v>1</v>
      </c>
    </row>
    <row r="932" spans="2:5">
      <c r="B932" s="143" t="s">
        <v>944</v>
      </c>
      <c r="C932" s="135" t="s">
        <v>23</v>
      </c>
      <c r="D932" s="136" t="s">
        <v>987</v>
      </c>
      <c r="E932" s="144" t="s">
        <v>1</v>
      </c>
    </row>
    <row r="933" spans="2:5">
      <c r="B933" s="143" t="s">
        <v>944</v>
      </c>
      <c r="C933" s="135" t="s">
        <v>23</v>
      </c>
      <c r="D933" s="136" t="s">
        <v>988</v>
      </c>
      <c r="E933" s="144" t="s">
        <v>1</v>
      </c>
    </row>
    <row r="934" spans="2:5">
      <c r="B934" s="143" t="s">
        <v>944</v>
      </c>
      <c r="C934" s="135" t="s">
        <v>23</v>
      </c>
      <c r="D934" s="136" t="s">
        <v>989</v>
      </c>
      <c r="E934" s="144" t="s">
        <v>1</v>
      </c>
    </row>
    <row r="935" spans="2:5">
      <c r="B935" s="143" t="s">
        <v>944</v>
      </c>
      <c r="C935" s="135" t="s">
        <v>23</v>
      </c>
      <c r="D935" s="136" t="s">
        <v>990</v>
      </c>
      <c r="E935" s="144" t="s">
        <v>1</v>
      </c>
    </row>
    <row r="936" spans="2:5">
      <c r="B936" s="143" t="s">
        <v>944</v>
      </c>
      <c r="C936" s="135" t="s">
        <v>23</v>
      </c>
      <c r="D936" s="136" t="s">
        <v>991</v>
      </c>
      <c r="E936" s="144" t="s">
        <v>1</v>
      </c>
    </row>
    <row r="937" spans="2:5">
      <c r="B937" s="143" t="s">
        <v>944</v>
      </c>
      <c r="C937" s="135" t="s">
        <v>23</v>
      </c>
      <c r="D937" s="136" t="s">
        <v>992</v>
      </c>
      <c r="E937" s="144" t="s">
        <v>1</v>
      </c>
    </row>
    <row r="938" spans="2:5">
      <c r="B938" s="143" t="s">
        <v>944</v>
      </c>
      <c r="C938" s="135" t="s">
        <v>23</v>
      </c>
      <c r="D938" s="136" t="s">
        <v>993</v>
      </c>
      <c r="E938" s="144" t="s">
        <v>1</v>
      </c>
    </row>
    <row r="939" spans="2:5">
      <c r="B939" s="143" t="s">
        <v>944</v>
      </c>
      <c r="C939" s="135" t="s">
        <v>23</v>
      </c>
      <c r="D939" s="136" t="s">
        <v>994</v>
      </c>
      <c r="E939" s="144" t="s">
        <v>1</v>
      </c>
    </row>
    <row r="940" spans="2:5">
      <c r="B940" s="143" t="s">
        <v>944</v>
      </c>
      <c r="C940" s="135" t="s">
        <v>23</v>
      </c>
      <c r="D940" s="136" t="s">
        <v>995</v>
      </c>
      <c r="E940" s="144" t="s">
        <v>1</v>
      </c>
    </row>
    <row r="941" spans="2:5">
      <c r="B941" s="143" t="s">
        <v>944</v>
      </c>
      <c r="C941" s="135" t="s">
        <v>23</v>
      </c>
      <c r="D941" s="136" t="s">
        <v>996</v>
      </c>
      <c r="E941" s="144" t="s">
        <v>1</v>
      </c>
    </row>
    <row r="942" spans="2:5">
      <c r="B942" s="143" t="s">
        <v>944</v>
      </c>
      <c r="C942" s="135" t="s">
        <v>23</v>
      </c>
      <c r="D942" s="136" t="s">
        <v>997</v>
      </c>
      <c r="E942" s="144" t="s">
        <v>1</v>
      </c>
    </row>
    <row r="943" spans="2:5">
      <c r="B943" s="143" t="s">
        <v>944</v>
      </c>
      <c r="C943" s="135" t="s">
        <v>23</v>
      </c>
      <c r="D943" s="136" t="s">
        <v>998</v>
      </c>
      <c r="E943" s="144" t="s">
        <v>1</v>
      </c>
    </row>
    <row r="944" spans="2:5">
      <c r="B944" s="143" t="s">
        <v>944</v>
      </c>
      <c r="C944" s="135" t="s">
        <v>23</v>
      </c>
      <c r="D944" s="136" t="s">
        <v>999</v>
      </c>
      <c r="E944" s="144" t="s">
        <v>1</v>
      </c>
    </row>
    <row r="945" spans="2:5">
      <c r="B945" s="143" t="s">
        <v>944</v>
      </c>
      <c r="C945" s="135" t="s">
        <v>23</v>
      </c>
      <c r="D945" s="136" t="s">
        <v>1000</v>
      </c>
      <c r="E945" s="144" t="s">
        <v>1</v>
      </c>
    </row>
    <row r="946" spans="2:5">
      <c r="B946" s="143" t="s">
        <v>944</v>
      </c>
      <c r="C946" s="135" t="s">
        <v>23</v>
      </c>
      <c r="D946" s="136" t="s">
        <v>1001</v>
      </c>
      <c r="E946" s="144" t="s">
        <v>1</v>
      </c>
    </row>
    <row r="947" spans="2:5">
      <c r="B947" s="143" t="s">
        <v>944</v>
      </c>
      <c r="C947" s="135" t="s">
        <v>23</v>
      </c>
      <c r="D947" s="136" t="s">
        <v>1002</v>
      </c>
      <c r="E947" s="144" t="s">
        <v>1</v>
      </c>
    </row>
    <row r="948" spans="2:5">
      <c r="B948" s="143" t="s">
        <v>944</v>
      </c>
      <c r="C948" s="135" t="s">
        <v>23</v>
      </c>
      <c r="D948" s="136" t="s">
        <v>1003</v>
      </c>
      <c r="E948" s="144" t="s">
        <v>1</v>
      </c>
    </row>
    <row r="949" spans="2:5">
      <c r="B949" s="143" t="s">
        <v>944</v>
      </c>
      <c r="C949" s="135" t="s">
        <v>23</v>
      </c>
      <c r="D949" s="136" t="s">
        <v>1004</v>
      </c>
      <c r="E949" s="144" t="s">
        <v>1</v>
      </c>
    </row>
    <row r="950" spans="2:5">
      <c r="B950" s="143" t="s">
        <v>944</v>
      </c>
      <c r="C950" s="135" t="s">
        <v>23</v>
      </c>
      <c r="D950" s="136" t="s">
        <v>1005</v>
      </c>
      <c r="E950" s="144" t="s">
        <v>1</v>
      </c>
    </row>
    <row r="951" spans="2:5">
      <c r="B951" s="143" t="s">
        <v>944</v>
      </c>
      <c r="C951" s="135" t="s">
        <v>23</v>
      </c>
      <c r="D951" s="136" t="s">
        <v>1006</v>
      </c>
      <c r="E951" s="144" t="s">
        <v>1</v>
      </c>
    </row>
    <row r="952" spans="2:5">
      <c r="B952" s="143" t="s">
        <v>944</v>
      </c>
      <c r="C952" s="135" t="s">
        <v>23</v>
      </c>
      <c r="D952" s="136" t="s">
        <v>1007</v>
      </c>
      <c r="E952" s="144" t="s">
        <v>1</v>
      </c>
    </row>
    <row r="953" spans="2:5">
      <c r="B953" s="143" t="s">
        <v>944</v>
      </c>
      <c r="C953" s="135" t="s">
        <v>23</v>
      </c>
      <c r="D953" s="136" t="s">
        <v>1008</v>
      </c>
      <c r="E953" s="144" t="s">
        <v>1</v>
      </c>
    </row>
    <row r="954" spans="2:5">
      <c r="B954" s="143" t="s">
        <v>944</v>
      </c>
      <c r="C954" s="135" t="s">
        <v>23</v>
      </c>
      <c r="D954" s="136" t="s">
        <v>1009</v>
      </c>
      <c r="E954" s="144" t="s">
        <v>1</v>
      </c>
    </row>
    <row r="955" spans="2:5">
      <c r="B955" s="143" t="s">
        <v>944</v>
      </c>
      <c r="C955" s="135" t="s">
        <v>23</v>
      </c>
      <c r="D955" s="136" t="s">
        <v>1010</v>
      </c>
      <c r="E955" s="144" t="s">
        <v>1</v>
      </c>
    </row>
    <row r="956" spans="2:5">
      <c r="B956" s="143" t="s">
        <v>944</v>
      </c>
      <c r="C956" s="135" t="s">
        <v>23</v>
      </c>
      <c r="D956" s="136" t="s">
        <v>1011</v>
      </c>
      <c r="E956" s="144" t="s">
        <v>1</v>
      </c>
    </row>
    <row r="957" spans="2:5">
      <c r="B957" s="143" t="s">
        <v>944</v>
      </c>
      <c r="C957" s="135" t="s">
        <v>23</v>
      </c>
      <c r="D957" s="136" t="s">
        <v>1012</v>
      </c>
      <c r="E957" s="144" t="s">
        <v>1</v>
      </c>
    </row>
    <row r="958" spans="2:5">
      <c r="B958" s="143" t="s">
        <v>944</v>
      </c>
      <c r="C958" s="135" t="s">
        <v>23</v>
      </c>
      <c r="D958" s="136" t="s">
        <v>1013</v>
      </c>
      <c r="E958" s="144" t="s">
        <v>1</v>
      </c>
    </row>
    <row r="959" spans="2:5">
      <c r="B959" s="143" t="s">
        <v>944</v>
      </c>
      <c r="C959" s="135" t="s">
        <v>23</v>
      </c>
      <c r="D959" s="136" t="s">
        <v>1014</v>
      </c>
      <c r="E959" s="144" t="s">
        <v>1</v>
      </c>
    </row>
    <row r="960" spans="2:5">
      <c r="B960" s="143" t="s">
        <v>944</v>
      </c>
      <c r="C960" s="135" t="s">
        <v>23</v>
      </c>
      <c r="D960" s="136" t="s">
        <v>1015</v>
      </c>
      <c r="E960" s="144" t="s">
        <v>1</v>
      </c>
    </row>
    <row r="961" spans="2:5">
      <c r="B961" s="143" t="s">
        <v>944</v>
      </c>
      <c r="C961" s="135" t="s">
        <v>23</v>
      </c>
      <c r="D961" s="136" t="s">
        <v>1016</v>
      </c>
      <c r="E961" s="144" t="s">
        <v>1</v>
      </c>
    </row>
    <row r="962" spans="2:5">
      <c r="B962" s="143" t="s">
        <v>944</v>
      </c>
      <c r="C962" s="135" t="s">
        <v>23</v>
      </c>
      <c r="D962" s="136" t="s">
        <v>1017</v>
      </c>
      <c r="E962" s="144" t="s">
        <v>1</v>
      </c>
    </row>
    <row r="963" spans="2:5">
      <c r="B963" s="143" t="s">
        <v>944</v>
      </c>
      <c r="C963" s="135" t="s">
        <v>23</v>
      </c>
      <c r="D963" s="136" t="s">
        <v>1018</v>
      </c>
      <c r="E963" s="144" t="s">
        <v>1</v>
      </c>
    </row>
    <row r="964" spans="2:5">
      <c r="B964" s="143" t="s">
        <v>944</v>
      </c>
      <c r="C964" s="135" t="s">
        <v>23</v>
      </c>
      <c r="D964" s="136" t="s">
        <v>1019</v>
      </c>
      <c r="E964" s="144" t="s">
        <v>1</v>
      </c>
    </row>
    <row r="965" spans="2:5">
      <c r="B965" s="143" t="s">
        <v>944</v>
      </c>
      <c r="C965" s="135" t="s">
        <v>23</v>
      </c>
      <c r="D965" s="136" t="s">
        <v>1020</v>
      </c>
      <c r="E965" s="144" t="s">
        <v>1</v>
      </c>
    </row>
    <row r="966" spans="2:5">
      <c r="B966" s="143" t="s">
        <v>944</v>
      </c>
      <c r="C966" s="135" t="s">
        <v>23</v>
      </c>
      <c r="D966" s="136" t="s">
        <v>1021</v>
      </c>
      <c r="E966" s="144" t="s">
        <v>1</v>
      </c>
    </row>
    <row r="967" spans="2:5">
      <c r="B967" s="143" t="s">
        <v>944</v>
      </c>
      <c r="C967" s="135" t="s">
        <v>23</v>
      </c>
      <c r="D967" s="136" t="s">
        <v>1022</v>
      </c>
      <c r="E967" s="144" t="s">
        <v>1</v>
      </c>
    </row>
    <row r="968" spans="2:5">
      <c r="B968" s="143" t="s">
        <v>944</v>
      </c>
      <c r="C968" s="135" t="s">
        <v>23</v>
      </c>
      <c r="D968" s="136" t="s">
        <v>1023</v>
      </c>
      <c r="E968" s="144" t="s">
        <v>1</v>
      </c>
    </row>
    <row r="969" spans="2:5">
      <c r="B969" s="143" t="s">
        <v>944</v>
      </c>
      <c r="C969" s="135" t="s">
        <v>23</v>
      </c>
      <c r="D969" s="136" t="s">
        <v>1024</v>
      </c>
      <c r="E969" s="144" t="s">
        <v>1</v>
      </c>
    </row>
    <row r="970" spans="2:5">
      <c r="B970" s="143" t="s">
        <v>944</v>
      </c>
      <c r="C970" s="135" t="s">
        <v>23</v>
      </c>
      <c r="D970" s="136" t="s">
        <v>1025</v>
      </c>
      <c r="E970" s="144" t="s">
        <v>1</v>
      </c>
    </row>
    <row r="971" spans="2:5">
      <c r="B971" s="143" t="s">
        <v>944</v>
      </c>
      <c r="C971" s="135" t="s">
        <v>23</v>
      </c>
      <c r="D971" s="136" t="s">
        <v>1026</v>
      </c>
      <c r="E971" s="144" t="s">
        <v>1</v>
      </c>
    </row>
    <row r="972" spans="2:5">
      <c r="B972" s="143" t="s">
        <v>944</v>
      </c>
      <c r="C972" s="135" t="s">
        <v>23</v>
      </c>
      <c r="D972" s="136" t="s">
        <v>1027</v>
      </c>
      <c r="E972" s="144" t="s">
        <v>1</v>
      </c>
    </row>
    <row r="973" spans="2:5">
      <c r="B973" s="143" t="s">
        <v>944</v>
      </c>
      <c r="C973" s="135" t="s">
        <v>23</v>
      </c>
      <c r="D973" s="136" t="s">
        <v>1028</v>
      </c>
      <c r="E973" s="144" t="s">
        <v>1</v>
      </c>
    </row>
    <row r="974" spans="2:5">
      <c r="B974" s="143" t="s">
        <v>944</v>
      </c>
      <c r="C974" s="135" t="s">
        <v>23</v>
      </c>
      <c r="D974" s="136" t="s">
        <v>1029</v>
      </c>
      <c r="E974" s="144" t="s">
        <v>1</v>
      </c>
    </row>
    <row r="975" spans="2:5">
      <c r="B975" s="143" t="s">
        <v>944</v>
      </c>
      <c r="C975" s="135" t="s">
        <v>23</v>
      </c>
      <c r="D975" s="136" t="s">
        <v>1030</v>
      </c>
      <c r="E975" s="144" t="s">
        <v>1</v>
      </c>
    </row>
    <row r="976" spans="2:5">
      <c r="B976" s="143" t="s">
        <v>944</v>
      </c>
      <c r="C976" s="135" t="s">
        <v>23</v>
      </c>
      <c r="D976" s="136" t="s">
        <v>1031</v>
      </c>
      <c r="E976" s="144" t="s">
        <v>1</v>
      </c>
    </row>
    <row r="977" spans="2:5">
      <c r="B977" s="143" t="s">
        <v>944</v>
      </c>
      <c r="C977" s="135" t="s">
        <v>23</v>
      </c>
      <c r="D977" s="136" t="s">
        <v>1032</v>
      </c>
      <c r="E977" s="144" t="s">
        <v>1</v>
      </c>
    </row>
    <row r="978" spans="2:5">
      <c r="B978" s="143" t="s">
        <v>944</v>
      </c>
      <c r="C978" s="135" t="s">
        <v>23</v>
      </c>
      <c r="D978" s="136" t="s">
        <v>1033</v>
      </c>
      <c r="E978" s="144" t="s">
        <v>1</v>
      </c>
    </row>
    <row r="979" spans="2:5">
      <c r="B979" s="143" t="s">
        <v>944</v>
      </c>
      <c r="C979" s="135" t="s">
        <v>23</v>
      </c>
      <c r="D979" s="136" t="s">
        <v>1034</v>
      </c>
      <c r="E979" s="144" t="s">
        <v>1</v>
      </c>
    </row>
    <row r="980" spans="2:5">
      <c r="B980" s="143" t="s">
        <v>944</v>
      </c>
      <c r="C980" s="135" t="s">
        <v>23</v>
      </c>
      <c r="D980" s="136" t="s">
        <v>1035</v>
      </c>
      <c r="E980" s="144" t="s">
        <v>1</v>
      </c>
    </row>
    <row r="981" spans="2:5">
      <c r="B981" s="143" t="s">
        <v>944</v>
      </c>
      <c r="C981" s="135" t="s">
        <v>23</v>
      </c>
      <c r="D981" s="136" t="s">
        <v>1036</v>
      </c>
      <c r="E981" s="144" t="s">
        <v>1</v>
      </c>
    </row>
    <row r="982" spans="2:5">
      <c r="B982" s="143" t="s">
        <v>944</v>
      </c>
      <c r="C982" s="135" t="s">
        <v>23</v>
      </c>
      <c r="D982" s="136" t="s">
        <v>1037</v>
      </c>
      <c r="E982" s="144" t="s">
        <v>1</v>
      </c>
    </row>
    <row r="983" spans="2:5">
      <c r="B983" s="143" t="s">
        <v>944</v>
      </c>
      <c r="C983" s="135" t="s">
        <v>23</v>
      </c>
      <c r="D983" s="136" t="s">
        <v>1038</v>
      </c>
      <c r="E983" s="144" t="s">
        <v>1</v>
      </c>
    </row>
    <row r="984" spans="2:5">
      <c r="B984" s="143" t="s">
        <v>944</v>
      </c>
      <c r="C984" s="135" t="s">
        <v>23</v>
      </c>
      <c r="D984" s="136" t="s">
        <v>1039</v>
      </c>
      <c r="E984" s="144" t="s">
        <v>1</v>
      </c>
    </row>
    <row r="985" spans="2:5">
      <c r="B985" s="143" t="s">
        <v>944</v>
      </c>
      <c r="C985" s="135" t="s">
        <v>23</v>
      </c>
      <c r="D985" s="136" t="s">
        <v>1040</v>
      </c>
      <c r="E985" s="144" t="s">
        <v>1</v>
      </c>
    </row>
    <row r="986" spans="2:5">
      <c r="B986" s="143" t="s">
        <v>944</v>
      </c>
      <c r="C986" s="135" t="s">
        <v>23</v>
      </c>
      <c r="D986" s="136" t="s">
        <v>1041</v>
      </c>
      <c r="E986" s="144" t="s">
        <v>1</v>
      </c>
    </row>
    <row r="987" spans="2:5">
      <c r="B987" s="143" t="s">
        <v>944</v>
      </c>
      <c r="C987" s="135" t="s">
        <v>23</v>
      </c>
      <c r="D987" s="136" t="s">
        <v>1042</v>
      </c>
      <c r="E987" s="144" t="s">
        <v>1</v>
      </c>
    </row>
    <row r="988" spans="2:5">
      <c r="B988" s="143" t="s">
        <v>944</v>
      </c>
      <c r="C988" s="135" t="s">
        <v>23</v>
      </c>
      <c r="D988" s="136" t="s">
        <v>1043</v>
      </c>
      <c r="E988" s="144" t="s">
        <v>1</v>
      </c>
    </row>
    <row r="989" spans="2:5">
      <c r="B989" s="143" t="s">
        <v>944</v>
      </c>
      <c r="C989" s="135" t="s">
        <v>23</v>
      </c>
      <c r="D989" s="136" t="s">
        <v>1044</v>
      </c>
      <c r="E989" s="144" t="s">
        <v>1</v>
      </c>
    </row>
    <row r="990" spans="2:5">
      <c r="B990" s="143" t="s">
        <v>944</v>
      </c>
      <c r="C990" s="135" t="s">
        <v>23</v>
      </c>
      <c r="D990" s="136" t="s">
        <v>1045</v>
      </c>
      <c r="E990" s="144" t="s">
        <v>1</v>
      </c>
    </row>
    <row r="991" spans="2:5">
      <c r="B991" s="143" t="s">
        <v>944</v>
      </c>
      <c r="C991" s="135" t="s">
        <v>23</v>
      </c>
      <c r="D991" s="136" t="s">
        <v>1046</v>
      </c>
      <c r="E991" s="144" t="s">
        <v>1</v>
      </c>
    </row>
    <row r="992" spans="2:5">
      <c r="B992" s="143" t="s">
        <v>944</v>
      </c>
      <c r="C992" s="135" t="s">
        <v>23</v>
      </c>
      <c r="D992" s="136" t="s">
        <v>1047</v>
      </c>
      <c r="E992" s="144" t="s">
        <v>1</v>
      </c>
    </row>
    <row r="993" spans="2:5">
      <c r="B993" s="143" t="s">
        <v>944</v>
      </c>
      <c r="C993" s="135" t="s">
        <v>23</v>
      </c>
      <c r="D993" s="136" t="s">
        <v>1048</v>
      </c>
      <c r="E993" s="144" t="s">
        <v>1</v>
      </c>
    </row>
    <row r="994" spans="2:5">
      <c r="B994" s="143" t="s">
        <v>944</v>
      </c>
      <c r="C994" s="135" t="s">
        <v>23</v>
      </c>
      <c r="D994" s="136" t="s">
        <v>1049</v>
      </c>
      <c r="E994" s="144" t="s">
        <v>1</v>
      </c>
    </row>
    <row r="995" spans="2:5">
      <c r="B995" s="143" t="s">
        <v>944</v>
      </c>
      <c r="C995" s="135" t="s">
        <v>23</v>
      </c>
      <c r="D995" s="136" t="s">
        <v>1050</v>
      </c>
      <c r="E995" s="144" t="s">
        <v>1</v>
      </c>
    </row>
    <row r="996" spans="2:5">
      <c r="B996" s="143" t="s">
        <v>944</v>
      </c>
      <c r="C996" s="135" t="s">
        <v>23</v>
      </c>
      <c r="D996" s="136" t="s">
        <v>1051</v>
      </c>
      <c r="E996" s="144" t="s">
        <v>1</v>
      </c>
    </row>
    <row r="997" spans="2:5">
      <c r="B997" s="143" t="s">
        <v>944</v>
      </c>
      <c r="C997" s="135" t="s">
        <v>23</v>
      </c>
      <c r="D997" s="136" t="s">
        <v>1052</v>
      </c>
      <c r="E997" s="144" t="s">
        <v>1</v>
      </c>
    </row>
    <row r="998" spans="2:5">
      <c r="B998" s="143" t="s">
        <v>944</v>
      </c>
      <c r="C998" s="135" t="s">
        <v>23</v>
      </c>
      <c r="D998" s="136" t="s">
        <v>1053</v>
      </c>
      <c r="E998" s="144" t="s">
        <v>1</v>
      </c>
    </row>
    <row r="999" spans="2:5">
      <c r="B999" s="143" t="s">
        <v>944</v>
      </c>
      <c r="C999" s="135" t="s">
        <v>23</v>
      </c>
      <c r="D999" s="136" t="s">
        <v>1054</v>
      </c>
      <c r="E999" s="144" t="s">
        <v>1</v>
      </c>
    </row>
    <row r="1000" spans="2:5">
      <c r="B1000" s="143" t="s">
        <v>944</v>
      </c>
      <c r="C1000" s="135" t="s">
        <v>23</v>
      </c>
      <c r="D1000" s="136" t="s">
        <v>1055</v>
      </c>
      <c r="E1000" s="144" t="s">
        <v>1</v>
      </c>
    </row>
    <row r="1001" spans="2:5">
      <c r="B1001" s="143" t="s">
        <v>944</v>
      </c>
      <c r="C1001" s="135" t="s">
        <v>23</v>
      </c>
      <c r="D1001" s="136" t="s">
        <v>1056</v>
      </c>
      <c r="E1001" s="144" t="s">
        <v>1</v>
      </c>
    </row>
    <row r="1002" spans="2:5">
      <c r="B1002" s="143" t="s">
        <v>944</v>
      </c>
      <c r="C1002" s="135" t="s">
        <v>23</v>
      </c>
      <c r="D1002" s="136" t="s">
        <v>1057</v>
      </c>
      <c r="E1002" s="144" t="s">
        <v>1</v>
      </c>
    </row>
    <row r="1003" spans="2:5">
      <c r="B1003" s="143" t="s">
        <v>944</v>
      </c>
      <c r="C1003" s="135" t="s">
        <v>23</v>
      </c>
      <c r="D1003" s="136" t="s">
        <v>1058</v>
      </c>
      <c r="E1003" s="144" t="s">
        <v>1</v>
      </c>
    </row>
    <row r="1004" spans="2:5">
      <c r="B1004" s="143" t="s">
        <v>944</v>
      </c>
      <c r="C1004" s="135" t="s">
        <v>23</v>
      </c>
      <c r="D1004" s="136" t="s">
        <v>1059</v>
      </c>
      <c r="E1004" s="144" t="s">
        <v>1</v>
      </c>
    </row>
    <row r="1005" spans="2:5">
      <c r="B1005" s="143" t="s">
        <v>944</v>
      </c>
      <c r="C1005" s="135" t="s">
        <v>23</v>
      </c>
      <c r="D1005" s="136" t="s">
        <v>1060</v>
      </c>
      <c r="E1005" s="144" t="s">
        <v>1</v>
      </c>
    </row>
    <row r="1006" spans="2:5">
      <c r="B1006" s="143" t="s">
        <v>944</v>
      </c>
      <c r="C1006" s="135" t="s">
        <v>23</v>
      </c>
      <c r="D1006" s="136" t="s">
        <v>1061</v>
      </c>
      <c r="E1006" s="144" t="s">
        <v>1</v>
      </c>
    </row>
    <row r="1007" spans="2:5">
      <c r="B1007" s="143" t="s">
        <v>944</v>
      </c>
      <c r="C1007" s="135" t="s">
        <v>23</v>
      </c>
      <c r="D1007" s="136" t="s">
        <v>1062</v>
      </c>
      <c r="E1007" s="144" t="s">
        <v>1</v>
      </c>
    </row>
    <row r="1008" spans="2:5">
      <c r="B1008" s="143" t="s">
        <v>944</v>
      </c>
      <c r="C1008" s="135" t="s">
        <v>23</v>
      </c>
      <c r="D1008" s="136" t="s">
        <v>1063</v>
      </c>
      <c r="E1008" s="144" t="s">
        <v>1</v>
      </c>
    </row>
    <row r="1009" spans="2:5">
      <c r="B1009" s="143" t="s">
        <v>944</v>
      </c>
      <c r="C1009" s="135" t="s">
        <v>23</v>
      </c>
      <c r="D1009" s="136" t="s">
        <v>1064</v>
      </c>
      <c r="E1009" s="144" t="s">
        <v>1</v>
      </c>
    </row>
    <row r="1010" spans="2:5">
      <c r="B1010" s="143" t="s">
        <v>944</v>
      </c>
      <c r="C1010" s="135" t="s">
        <v>23</v>
      </c>
      <c r="D1010" s="136" t="s">
        <v>1065</v>
      </c>
      <c r="E1010" s="144" t="s">
        <v>1</v>
      </c>
    </row>
    <row r="1011" spans="2:5">
      <c r="B1011" s="143" t="s">
        <v>944</v>
      </c>
      <c r="C1011" s="135" t="s">
        <v>23</v>
      </c>
      <c r="D1011" s="136" t="s">
        <v>1066</v>
      </c>
      <c r="E1011" s="144" t="s">
        <v>1</v>
      </c>
    </row>
    <row r="1012" spans="2:5">
      <c r="B1012" s="143" t="s">
        <v>944</v>
      </c>
      <c r="C1012" s="135" t="s">
        <v>23</v>
      </c>
      <c r="D1012" s="136" t="s">
        <v>1067</v>
      </c>
      <c r="E1012" s="144" t="s">
        <v>1</v>
      </c>
    </row>
    <row r="1013" spans="2:5">
      <c r="B1013" s="143" t="s">
        <v>944</v>
      </c>
      <c r="C1013" s="135" t="s">
        <v>23</v>
      </c>
      <c r="D1013" s="136" t="s">
        <v>1068</v>
      </c>
      <c r="E1013" s="144" t="s">
        <v>1</v>
      </c>
    </row>
    <row r="1014" spans="2:5">
      <c r="B1014" s="143" t="s">
        <v>944</v>
      </c>
      <c r="C1014" s="135" t="s">
        <v>23</v>
      </c>
      <c r="D1014" s="136" t="s">
        <v>1069</v>
      </c>
      <c r="E1014" s="144" t="s">
        <v>1</v>
      </c>
    </row>
    <row r="1015" spans="2:5">
      <c r="B1015" s="143" t="s">
        <v>944</v>
      </c>
      <c r="C1015" s="135" t="s">
        <v>23</v>
      </c>
      <c r="D1015" s="136" t="s">
        <v>1070</v>
      </c>
      <c r="E1015" s="144" t="s">
        <v>1</v>
      </c>
    </row>
    <row r="1016" spans="2:5">
      <c r="B1016" s="143" t="s">
        <v>944</v>
      </c>
      <c r="C1016" s="135" t="s">
        <v>23</v>
      </c>
      <c r="D1016" s="136" t="s">
        <v>1071</v>
      </c>
      <c r="E1016" s="144" t="s">
        <v>1</v>
      </c>
    </row>
    <row r="1017" spans="2:5">
      <c r="B1017" s="143" t="s">
        <v>944</v>
      </c>
      <c r="C1017" s="135" t="s">
        <v>23</v>
      </c>
      <c r="D1017" s="136" t="s">
        <v>1072</v>
      </c>
      <c r="E1017" s="144" t="s">
        <v>1</v>
      </c>
    </row>
    <row r="1018" spans="2:5">
      <c r="B1018" s="143" t="s">
        <v>944</v>
      </c>
      <c r="C1018" s="135" t="s">
        <v>23</v>
      </c>
      <c r="D1018" s="136" t="s">
        <v>1073</v>
      </c>
      <c r="E1018" s="144" t="s">
        <v>1</v>
      </c>
    </row>
    <row r="1019" spans="2:5">
      <c r="B1019" s="143" t="s">
        <v>944</v>
      </c>
      <c r="C1019" s="135" t="s">
        <v>23</v>
      </c>
      <c r="D1019" s="136" t="s">
        <v>1074</v>
      </c>
      <c r="E1019" s="144" t="s">
        <v>1</v>
      </c>
    </row>
    <row r="1020" spans="2:5">
      <c r="B1020" s="143" t="s">
        <v>944</v>
      </c>
      <c r="C1020" s="135" t="s">
        <v>23</v>
      </c>
      <c r="D1020" s="136" t="s">
        <v>1075</v>
      </c>
      <c r="E1020" s="144" t="s">
        <v>1</v>
      </c>
    </row>
    <row r="1021" spans="2:5">
      <c r="B1021" s="143" t="s">
        <v>944</v>
      </c>
      <c r="C1021" s="135" t="s">
        <v>23</v>
      </c>
      <c r="D1021" s="136" t="s">
        <v>1076</v>
      </c>
      <c r="E1021" s="144" t="s">
        <v>1</v>
      </c>
    </row>
    <row r="1022" spans="2:5">
      <c r="B1022" s="143" t="s">
        <v>944</v>
      </c>
      <c r="C1022" s="135" t="s">
        <v>23</v>
      </c>
      <c r="D1022" s="136" t="s">
        <v>1077</v>
      </c>
      <c r="E1022" s="144" t="s">
        <v>1</v>
      </c>
    </row>
    <row r="1023" spans="2:5">
      <c r="B1023" s="143" t="s">
        <v>944</v>
      </c>
      <c r="C1023" s="135" t="s">
        <v>23</v>
      </c>
      <c r="D1023" s="136" t="s">
        <v>1078</v>
      </c>
      <c r="E1023" s="144" t="s">
        <v>1</v>
      </c>
    </row>
    <row r="1024" spans="2:5">
      <c r="B1024" s="143" t="s">
        <v>944</v>
      </c>
      <c r="C1024" s="135" t="s">
        <v>23</v>
      </c>
      <c r="D1024" s="136" t="s">
        <v>1079</v>
      </c>
      <c r="E1024" s="144" t="s">
        <v>1</v>
      </c>
    </row>
    <row r="1025" spans="2:5">
      <c r="B1025" s="143" t="s">
        <v>944</v>
      </c>
      <c r="C1025" s="135" t="s">
        <v>23</v>
      </c>
      <c r="D1025" s="136" t="s">
        <v>1080</v>
      </c>
      <c r="E1025" s="144" t="s">
        <v>1</v>
      </c>
    </row>
    <row r="1026" spans="2:5">
      <c r="B1026" s="143" t="s">
        <v>944</v>
      </c>
      <c r="C1026" s="135" t="s">
        <v>23</v>
      </c>
      <c r="D1026" s="136" t="s">
        <v>1081</v>
      </c>
      <c r="E1026" s="144" t="s">
        <v>1</v>
      </c>
    </row>
    <row r="1027" spans="2:5">
      <c r="B1027" s="143" t="s">
        <v>944</v>
      </c>
      <c r="C1027" s="135" t="s">
        <v>23</v>
      </c>
      <c r="D1027" s="136" t="s">
        <v>1082</v>
      </c>
      <c r="E1027" s="144" t="s">
        <v>1</v>
      </c>
    </row>
    <row r="1028" spans="2:5">
      <c r="B1028" s="143" t="s">
        <v>944</v>
      </c>
      <c r="C1028" s="135" t="s">
        <v>23</v>
      </c>
      <c r="D1028" s="136" t="s">
        <v>1083</v>
      </c>
      <c r="E1028" s="144" t="s">
        <v>1</v>
      </c>
    </row>
    <row r="1029" spans="2:5">
      <c r="B1029" s="143" t="s">
        <v>944</v>
      </c>
      <c r="C1029" s="135" t="s">
        <v>23</v>
      </c>
      <c r="D1029" s="136" t="s">
        <v>1084</v>
      </c>
      <c r="E1029" s="144" t="s">
        <v>1</v>
      </c>
    </row>
    <row r="1030" spans="2:5">
      <c r="B1030" s="143" t="s">
        <v>944</v>
      </c>
      <c r="C1030" s="135" t="s">
        <v>23</v>
      </c>
      <c r="D1030" s="136" t="s">
        <v>1085</v>
      </c>
      <c r="E1030" s="144" t="s">
        <v>1</v>
      </c>
    </row>
    <row r="1031" spans="2:5">
      <c r="B1031" s="143" t="s">
        <v>944</v>
      </c>
      <c r="C1031" s="135" t="s">
        <v>23</v>
      </c>
      <c r="D1031" s="136" t="s">
        <v>1086</v>
      </c>
      <c r="E1031" s="144" t="s">
        <v>1</v>
      </c>
    </row>
    <row r="1032" spans="2:5">
      <c r="B1032" s="143" t="s">
        <v>944</v>
      </c>
      <c r="C1032" s="135" t="s">
        <v>23</v>
      </c>
      <c r="D1032" s="136" t="s">
        <v>1087</v>
      </c>
      <c r="E1032" s="144" t="s">
        <v>1</v>
      </c>
    </row>
    <row r="1033" spans="2:5">
      <c r="B1033" s="143" t="s">
        <v>944</v>
      </c>
      <c r="C1033" s="135" t="s">
        <v>23</v>
      </c>
      <c r="D1033" s="136" t="s">
        <v>1088</v>
      </c>
      <c r="E1033" s="144" t="s">
        <v>1</v>
      </c>
    </row>
    <row r="1034" spans="2:5">
      <c r="B1034" s="143" t="s">
        <v>944</v>
      </c>
      <c r="C1034" s="135" t="s">
        <v>23</v>
      </c>
      <c r="D1034" s="136" t="s">
        <v>1089</v>
      </c>
      <c r="E1034" s="144" t="s">
        <v>1</v>
      </c>
    </row>
    <row r="1035" spans="2:5">
      <c r="B1035" s="143" t="s">
        <v>944</v>
      </c>
      <c r="C1035" s="135" t="s">
        <v>23</v>
      </c>
      <c r="D1035" s="136" t="s">
        <v>1090</v>
      </c>
      <c r="E1035" s="144" t="s">
        <v>1</v>
      </c>
    </row>
    <row r="1036" spans="2:5">
      <c r="B1036" s="143" t="s">
        <v>944</v>
      </c>
      <c r="C1036" s="135" t="s">
        <v>23</v>
      </c>
      <c r="D1036" s="136" t="s">
        <v>1091</v>
      </c>
      <c r="E1036" s="144" t="s">
        <v>1</v>
      </c>
    </row>
    <row r="1037" spans="2:5">
      <c r="B1037" s="143" t="s">
        <v>944</v>
      </c>
      <c r="C1037" s="135" t="s">
        <v>23</v>
      </c>
      <c r="D1037" s="136" t="s">
        <v>1092</v>
      </c>
      <c r="E1037" s="144" t="s">
        <v>1</v>
      </c>
    </row>
    <row r="1038" spans="2:5">
      <c r="B1038" s="143" t="s">
        <v>944</v>
      </c>
      <c r="C1038" s="135" t="s">
        <v>23</v>
      </c>
      <c r="D1038" s="136" t="s">
        <v>1093</v>
      </c>
      <c r="E1038" s="144" t="s">
        <v>1</v>
      </c>
    </row>
    <row r="1039" spans="2:5">
      <c r="B1039" s="143" t="s">
        <v>944</v>
      </c>
      <c r="C1039" s="135" t="s">
        <v>23</v>
      </c>
      <c r="D1039" s="136" t="s">
        <v>1094</v>
      </c>
      <c r="E1039" s="144" t="s">
        <v>1</v>
      </c>
    </row>
    <row r="1040" spans="2:5">
      <c r="B1040" s="143" t="s">
        <v>944</v>
      </c>
      <c r="C1040" s="135" t="s">
        <v>23</v>
      </c>
      <c r="D1040" s="136" t="s">
        <v>1095</v>
      </c>
      <c r="E1040" s="144" t="s">
        <v>1</v>
      </c>
    </row>
    <row r="1041" spans="2:5">
      <c r="B1041" s="143" t="s">
        <v>944</v>
      </c>
      <c r="C1041" s="135" t="s">
        <v>23</v>
      </c>
      <c r="D1041" s="136" t="s">
        <v>1096</v>
      </c>
      <c r="E1041" s="144" t="s">
        <v>1</v>
      </c>
    </row>
    <row r="1042" spans="2:5">
      <c r="B1042" s="143" t="s">
        <v>944</v>
      </c>
      <c r="C1042" s="135" t="s">
        <v>23</v>
      </c>
      <c r="D1042" s="136" t="s">
        <v>1097</v>
      </c>
      <c r="E1042" s="144" t="s">
        <v>1</v>
      </c>
    </row>
    <row r="1043" spans="2:5">
      <c r="B1043" s="143" t="s">
        <v>944</v>
      </c>
      <c r="C1043" s="135" t="s">
        <v>23</v>
      </c>
      <c r="D1043" s="136" t="s">
        <v>1098</v>
      </c>
      <c r="E1043" s="144" t="s">
        <v>1</v>
      </c>
    </row>
    <row r="1044" spans="2:5">
      <c r="B1044" s="143" t="s">
        <v>944</v>
      </c>
      <c r="C1044" s="135" t="s">
        <v>23</v>
      </c>
      <c r="D1044" s="136" t="s">
        <v>1099</v>
      </c>
      <c r="E1044" s="144" t="s">
        <v>1</v>
      </c>
    </row>
    <row r="1045" spans="2:5">
      <c r="B1045" s="143" t="s">
        <v>1100</v>
      </c>
      <c r="C1045" s="135" t="s">
        <v>25</v>
      </c>
      <c r="D1045" s="136" t="s">
        <v>1101</v>
      </c>
      <c r="E1045" s="144" t="s">
        <v>1</v>
      </c>
    </row>
    <row r="1046" spans="2:5">
      <c r="B1046" s="143" t="s">
        <v>1100</v>
      </c>
      <c r="C1046" s="135" t="s">
        <v>25</v>
      </c>
      <c r="D1046" s="136" t="s">
        <v>1102</v>
      </c>
      <c r="E1046" s="144" t="s">
        <v>1</v>
      </c>
    </row>
    <row r="1047" spans="2:5">
      <c r="B1047" s="143" t="s">
        <v>1100</v>
      </c>
      <c r="C1047" s="135" t="s">
        <v>25</v>
      </c>
      <c r="D1047" s="136" t="s">
        <v>1103</v>
      </c>
      <c r="E1047" s="144" t="s">
        <v>1</v>
      </c>
    </row>
    <row r="1048" spans="2:5">
      <c r="B1048" s="143" t="s">
        <v>1100</v>
      </c>
      <c r="C1048" s="135" t="s">
        <v>25</v>
      </c>
      <c r="D1048" s="136" t="s">
        <v>1104</v>
      </c>
      <c r="E1048" s="144" t="s">
        <v>1</v>
      </c>
    </row>
    <row r="1049" spans="2:5">
      <c r="B1049" s="143" t="s">
        <v>1100</v>
      </c>
      <c r="C1049" s="135" t="s">
        <v>25</v>
      </c>
      <c r="D1049" s="136" t="s">
        <v>1105</v>
      </c>
      <c r="E1049" s="144" t="s">
        <v>1</v>
      </c>
    </row>
    <row r="1050" spans="2:5">
      <c r="B1050" s="143" t="s">
        <v>1100</v>
      </c>
      <c r="C1050" s="135" t="s">
        <v>25</v>
      </c>
      <c r="D1050" s="136" t="s">
        <v>1106</v>
      </c>
      <c r="E1050" s="144" t="s">
        <v>1</v>
      </c>
    </row>
    <row r="1051" spans="2:5">
      <c r="B1051" s="143" t="s">
        <v>1100</v>
      </c>
      <c r="C1051" s="135" t="s">
        <v>25</v>
      </c>
      <c r="D1051" s="136" t="s">
        <v>1107</v>
      </c>
      <c r="E1051" s="144" t="s">
        <v>1</v>
      </c>
    </row>
    <row r="1052" spans="2:5">
      <c r="B1052" s="143" t="s">
        <v>1100</v>
      </c>
      <c r="C1052" s="135" t="s">
        <v>25</v>
      </c>
      <c r="D1052" s="136" t="s">
        <v>1108</v>
      </c>
      <c r="E1052" s="144" t="s">
        <v>1</v>
      </c>
    </row>
    <row r="1053" spans="2:5">
      <c r="B1053" s="143" t="s">
        <v>1100</v>
      </c>
      <c r="C1053" s="135" t="s">
        <v>25</v>
      </c>
      <c r="D1053" s="136" t="s">
        <v>1109</v>
      </c>
      <c r="E1053" s="144" t="s">
        <v>1</v>
      </c>
    </row>
    <row r="1054" spans="2:5">
      <c r="B1054" s="143" t="s">
        <v>1100</v>
      </c>
      <c r="C1054" s="135" t="s">
        <v>25</v>
      </c>
      <c r="D1054" s="136" t="s">
        <v>1110</v>
      </c>
      <c r="E1054" s="144" t="s">
        <v>1</v>
      </c>
    </row>
    <row r="1055" spans="2:5">
      <c r="B1055" s="143" t="s">
        <v>1100</v>
      </c>
      <c r="C1055" s="135" t="s">
        <v>25</v>
      </c>
      <c r="D1055" s="136" t="s">
        <v>1111</v>
      </c>
      <c r="E1055" s="144" t="s">
        <v>1</v>
      </c>
    </row>
    <row r="1056" spans="2:5">
      <c r="B1056" s="143" t="s">
        <v>1100</v>
      </c>
      <c r="C1056" s="135" t="s">
        <v>25</v>
      </c>
      <c r="D1056" s="136" t="s">
        <v>1112</v>
      </c>
      <c r="E1056" s="144" t="s">
        <v>1</v>
      </c>
    </row>
    <row r="1057" spans="2:5">
      <c r="B1057" s="143" t="s">
        <v>1100</v>
      </c>
      <c r="C1057" s="135" t="s">
        <v>25</v>
      </c>
      <c r="D1057" s="136" t="s">
        <v>1113</v>
      </c>
      <c r="E1057" s="144" t="s">
        <v>1</v>
      </c>
    </row>
    <row r="1058" spans="2:5">
      <c r="B1058" s="143" t="s">
        <v>1100</v>
      </c>
      <c r="C1058" s="135" t="s">
        <v>25</v>
      </c>
      <c r="D1058" s="136" t="s">
        <v>1114</v>
      </c>
      <c r="E1058" s="144" t="s">
        <v>1</v>
      </c>
    </row>
    <row r="1059" spans="2:5">
      <c r="B1059" s="143" t="s">
        <v>1100</v>
      </c>
      <c r="C1059" s="135" t="s">
        <v>25</v>
      </c>
      <c r="D1059" s="136" t="s">
        <v>1115</v>
      </c>
      <c r="E1059" s="144" t="s">
        <v>1</v>
      </c>
    </row>
    <row r="1060" spans="2:5">
      <c r="B1060" s="143" t="s">
        <v>1100</v>
      </c>
      <c r="C1060" s="135" t="s">
        <v>25</v>
      </c>
      <c r="D1060" s="136" t="s">
        <v>1116</v>
      </c>
      <c r="E1060" s="144" t="s">
        <v>1</v>
      </c>
    </row>
    <row r="1061" spans="2:5">
      <c r="B1061" s="143" t="s">
        <v>1100</v>
      </c>
      <c r="C1061" s="135" t="s">
        <v>25</v>
      </c>
      <c r="D1061" s="136" t="s">
        <v>1117</v>
      </c>
      <c r="E1061" s="144" t="s">
        <v>1</v>
      </c>
    </row>
    <row r="1062" spans="2:5">
      <c r="B1062" s="143" t="s">
        <v>1100</v>
      </c>
      <c r="C1062" s="135" t="s">
        <v>25</v>
      </c>
      <c r="D1062" s="136" t="s">
        <v>1118</v>
      </c>
      <c r="E1062" s="144" t="s">
        <v>1</v>
      </c>
    </row>
    <row r="1063" spans="2:5">
      <c r="B1063" s="143" t="s">
        <v>1100</v>
      </c>
      <c r="C1063" s="135" t="s">
        <v>25</v>
      </c>
      <c r="D1063" s="136" t="s">
        <v>1119</v>
      </c>
      <c r="E1063" s="144" t="s">
        <v>1</v>
      </c>
    </row>
    <row r="1064" spans="2:5">
      <c r="B1064" s="143" t="s">
        <v>1100</v>
      </c>
      <c r="C1064" s="135" t="s">
        <v>25</v>
      </c>
      <c r="D1064" s="136" t="s">
        <v>1120</v>
      </c>
      <c r="E1064" s="144" t="s">
        <v>1</v>
      </c>
    </row>
    <row r="1065" spans="2:5">
      <c r="B1065" s="143" t="s">
        <v>1100</v>
      </c>
      <c r="C1065" s="135" t="s">
        <v>25</v>
      </c>
      <c r="D1065" s="136" t="s">
        <v>1121</v>
      </c>
      <c r="E1065" s="144" t="s">
        <v>1</v>
      </c>
    </row>
    <row r="1066" spans="2:5">
      <c r="B1066" s="143" t="s">
        <v>1100</v>
      </c>
      <c r="C1066" s="135" t="s">
        <v>25</v>
      </c>
      <c r="D1066" s="136" t="s">
        <v>1122</v>
      </c>
      <c r="E1066" s="144" t="s">
        <v>1738</v>
      </c>
    </row>
    <row r="1067" spans="2:5">
      <c r="B1067" s="143" t="s">
        <v>1100</v>
      </c>
      <c r="C1067" s="135" t="s">
        <v>25</v>
      </c>
      <c r="D1067" s="136" t="s">
        <v>1123</v>
      </c>
      <c r="E1067" s="144" t="s">
        <v>1738</v>
      </c>
    </row>
    <row r="1068" spans="2:5">
      <c r="B1068" s="143" t="s">
        <v>1100</v>
      </c>
      <c r="C1068" s="135" t="s">
        <v>25</v>
      </c>
      <c r="D1068" s="136" t="s">
        <v>1124</v>
      </c>
      <c r="E1068" s="144" t="s">
        <v>1</v>
      </c>
    </row>
    <row r="1069" spans="2:5">
      <c r="B1069" s="143" t="s">
        <v>1100</v>
      </c>
      <c r="C1069" s="135" t="s">
        <v>25</v>
      </c>
      <c r="D1069" s="136" t="s">
        <v>1125</v>
      </c>
      <c r="E1069" s="144" t="s">
        <v>1</v>
      </c>
    </row>
    <row r="1070" spans="2:5">
      <c r="B1070" s="143" t="s">
        <v>1100</v>
      </c>
      <c r="C1070" s="135" t="s">
        <v>25</v>
      </c>
      <c r="D1070" s="136" t="s">
        <v>1126</v>
      </c>
      <c r="E1070" s="144" t="s">
        <v>1</v>
      </c>
    </row>
    <row r="1071" spans="2:5">
      <c r="B1071" s="143" t="s">
        <v>1100</v>
      </c>
      <c r="C1071" s="135" t="s">
        <v>25</v>
      </c>
      <c r="D1071" s="136" t="s">
        <v>1127</v>
      </c>
      <c r="E1071" s="144" t="s">
        <v>1</v>
      </c>
    </row>
    <row r="1072" spans="2:5">
      <c r="B1072" s="143" t="s">
        <v>1100</v>
      </c>
      <c r="C1072" s="135" t="s">
        <v>25</v>
      </c>
      <c r="D1072" s="136" t="s">
        <v>1128</v>
      </c>
      <c r="E1072" s="144" t="s">
        <v>1</v>
      </c>
    </row>
    <row r="1073" spans="2:5">
      <c r="B1073" s="143" t="s">
        <v>1100</v>
      </c>
      <c r="C1073" s="135" t="s">
        <v>25</v>
      </c>
      <c r="D1073" s="136" t="s">
        <v>1129</v>
      </c>
      <c r="E1073" s="144" t="s">
        <v>1738</v>
      </c>
    </row>
    <row r="1074" spans="2:5">
      <c r="B1074" s="143" t="s">
        <v>1100</v>
      </c>
      <c r="C1074" s="135" t="s">
        <v>25</v>
      </c>
      <c r="D1074" s="136" t="s">
        <v>1130</v>
      </c>
      <c r="E1074" s="144" t="s">
        <v>1738</v>
      </c>
    </row>
    <row r="1075" spans="2:5">
      <c r="B1075" s="143" t="s">
        <v>1100</v>
      </c>
      <c r="C1075" s="135" t="s">
        <v>25</v>
      </c>
      <c r="D1075" s="136" t="s">
        <v>1131</v>
      </c>
      <c r="E1075" s="144" t="s">
        <v>1</v>
      </c>
    </row>
    <row r="1076" spans="2:5">
      <c r="B1076" s="143" t="s">
        <v>1100</v>
      </c>
      <c r="C1076" s="135" t="s">
        <v>25</v>
      </c>
      <c r="D1076" s="136" t="s">
        <v>1132</v>
      </c>
      <c r="E1076" s="144" t="s">
        <v>1</v>
      </c>
    </row>
    <row r="1077" spans="2:5">
      <c r="B1077" s="143" t="s">
        <v>1100</v>
      </c>
      <c r="C1077" s="135" t="s">
        <v>25</v>
      </c>
      <c r="D1077" s="136" t="s">
        <v>1133</v>
      </c>
      <c r="E1077" s="144" t="s">
        <v>1</v>
      </c>
    </row>
    <row r="1078" spans="2:5">
      <c r="B1078" s="143" t="s">
        <v>1100</v>
      </c>
      <c r="C1078" s="135" t="s">
        <v>25</v>
      </c>
      <c r="D1078" s="136" t="s">
        <v>1134</v>
      </c>
      <c r="E1078" s="144" t="s">
        <v>1</v>
      </c>
    </row>
    <row r="1079" spans="2:5">
      <c r="B1079" s="143" t="s">
        <v>1100</v>
      </c>
      <c r="C1079" s="135" t="s">
        <v>25</v>
      </c>
      <c r="D1079" s="136" t="s">
        <v>1135</v>
      </c>
      <c r="E1079" s="144" t="s">
        <v>1738</v>
      </c>
    </row>
    <row r="1080" spans="2:5">
      <c r="B1080" s="143" t="s">
        <v>1100</v>
      </c>
      <c r="C1080" s="135" t="s">
        <v>25</v>
      </c>
      <c r="D1080" s="136" t="s">
        <v>1136</v>
      </c>
      <c r="E1080" s="144" t="s">
        <v>1738</v>
      </c>
    </row>
    <row r="1081" spans="2:5">
      <c r="B1081" s="143" t="s">
        <v>1100</v>
      </c>
      <c r="C1081" s="135" t="s">
        <v>25</v>
      </c>
      <c r="D1081" s="136" t="s">
        <v>1137</v>
      </c>
      <c r="E1081" s="144" t="s">
        <v>1</v>
      </c>
    </row>
    <row r="1082" spans="2:5">
      <c r="B1082" s="143" t="s">
        <v>1100</v>
      </c>
      <c r="C1082" s="135" t="s">
        <v>25</v>
      </c>
      <c r="D1082" s="136" t="s">
        <v>1138</v>
      </c>
      <c r="E1082" s="144" t="s">
        <v>1</v>
      </c>
    </row>
    <row r="1083" spans="2:5">
      <c r="B1083" s="143" t="s">
        <v>1100</v>
      </c>
      <c r="C1083" s="135" t="s">
        <v>25</v>
      </c>
      <c r="D1083" s="136" t="s">
        <v>1139</v>
      </c>
      <c r="E1083" s="144" t="s">
        <v>1</v>
      </c>
    </row>
    <row r="1084" spans="2:5">
      <c r="B1084" s="143" t="s">
        <v>1100</v>
      </c>
      <c r="C1084" s="135" t="s">
        <v>25</v>
      </c>
      <c r="D1084" s="136" t="s">
        <v>1140</v>
      </c>
      <c r="E1084" s="144" t="s">
        <v>1</v>
      </c>
    </row>
    <row r="1085" spans="2:5">
      <c r="B1085" s="143" t="s">
        <v>1100</v>
      </c>
      <c r="C1085" s="135" t="s">
        <v>25</v>
      </c>
      <c r="D1085" s="136" t="s">
        <v>1141</v>
      </c>
      <c r="E1085" s="144" t="s">
        <v>1</v>
      </c>
    </row>
    <row r="1086" spans="2:5">
      <c r="B1086" s="143" t="s">
        <v>1100</v>
      </c>
      <c r="C1086" s="135" t="s">
        <v>25</v>
      </c>
      <c r="D1086" s="136" t="s">
        <v>1142</v>
      </c>
      <c r="E1086" s="144" t="s">
        <v>1738</v>
      </c>
    </row>
    <row r="1087" spans="2:5">
      <c r="B1087" s="143" t="s">
        <v>1100</v>
      </c>
      <c r="C1087" s="135" t="s">
        <v>25</v>
      </c>
      <c r="D1087" s="136" t="s">
        <v>1143</v>
      </c>
      <c r="E1087" s="144" t="s">
        <v>1738</v>
      </c>
    </row>
    <row r="1088" spans="2:5">
      <c r="B1088" s="143" t="s">
        <v>1100</v>
      </c>
      <c r="C1088" s="135" t="s">
        <v>25</v>
      </c>
      <c r="D1088" s="136" t="s">
        <v>1144</v>
      </c>
      <c r="E1088" s="144" t="s">
        <v>1738</v>
      </c>
    </row>
    <row r="1089" spans="2:5">
      <c r="B1089" s="143" t="s">
        <v>1100</v>
      </c>
      <c r="C1089" s="135" t="s">
        <v>25</v>
      </c>
      <c r="D1089" s="136" t="s">
        <v>1145</v>
      </c>
      <c r="E1089" s="144" t="s">
        <v>1</v>
      </c>
    </row>
    <row r="1090" spans="2:5">
      <c r="B1090" s="143" t="s">
        <v>1100</v>
      </c>
      <c r="C1090" s="135" t="s">
        <v>25</v>
      </c>
      <c r="D1090" s="136" t="s">
        <v>1146</v>
      </c>
      <c r="E1090" s="144" t="s">
        <v>1</v>
      </c>
    </row>
    <row r="1091" spans="2:5">
      <c r="B1091" s="143" t="s">
        <v>1100</v>
      </c>
      <c r="C1091" s="135" t="s">
        <v>25</v>
      </c>
      <c r="D1091" s="136" t="s">
        <v>1147</v>
      </c>
      <c r="E1091" s="144" t="s">
        <v>1</v>
      </c>
    </row>
    <row r="1092" spans="2:5">
      <c r="B1092" s="143" t="s">
        <v>1100</v>
      </c>
      <c r="C1092" s="135" t="s">
        <v>25</v>
      </c>
      <c r="D1092" s="136" t="s">
        <v>1148</v>
      </c>
      <c r="E1092" s="144" t="s">
        <v>1</v>
      </c>
    </row>
    <row r="1093" spans="2:5">
      <c r="B1093" s="143" t="s">
        <v>1100</v>
      </c>
      <c r="C1093" s="135" t="s">
        <v>25</v>
      </c>
      <c r="D1093" s="136" t="s">
        <v>1149</v>
      </c>
      <c r="E1093" s="144" t="s">
        <v>1</v>
      </c>
    </row>
    <row r="1094" spans="2:5">
      <c r="B1094" s="143" t="s">
        <v>1100</v>
      </c>
      <c r="C1094" s="135" t="s">
        <v>25</v>
      </c>
      <c r="D1094" s="136" t="s">
        <v>1150</v>
      </c>
      <c r="E1094" s="144" t="s">
        <v>1</v>
      </c>
    </row>
    <row r="1095" spans="2:5">
      <c r="B1095" s="143" t="s">
        <v>1100</v>
      </c>
      <c r="C1095" s="135" t="s">
        <v>25</v>
      </c>
      <c r="D1095" s="136" t="s">
        <v>1151</v>
      </c>
      <c r="E1095" s="144" t="s">
        <v>1</v>
      </c>
    </row>
    <row r="1096" spans="2:5">
      <c r="B1096" s="143" t="s">
        <v>1100</v>
      </c>
      <c r="C1096" s="135" t="s">
        <v>25</v>
      </c>
      <c r="D1096" s="136" t="s">
        <v>1152</v>
      </c>
      <c r="E1096" s="144" t="s">
        <v>1</v>
      </c>
    </row>
    <row r="1097" spans="2:5">
      <c r="B1097" s="143" t="s">
        <v>1100</v>
      </c>
      <c r="C1097" s="135" t="s">
        <v>25</v>
      </c>
      <c r="D1097" s="136" t="s">
        <v>1153</v>
      </c>
      <c r="E1097" s="144" t="s">
        <v>1738</v>
      </c>
    </row>
    <row r="1098" spans="2:5">
      <c r="B1098" s="143" t="s">
        <v>1100</v>
      </c>
      <c r="C1098" s="135" t="s">
        <v>25</v>
      </c>
      <c r="D1098" s="136" t="s">
        <v>1154</v>
      </c>
      <c r="E1098" s="144" t="s">
        <v>1738</v>
      </c>
    </row>
    <row r="1099" spans="2:5">
      <c r="B1099" s="143" t="s">
        <v>1100</v>
      </c>
      <c r="C1099" s="135" t="s">
        <v>25</v>
      </c>
      <c r="D1099" s="136" t="s">
        <v>1155</v>
      </c>
      <c r="E1099" s="144" t="s">
        <v>1738</v>
      </c>
    </row>
    <row r="1100" spans="2:5">
      <c r="B1100" s="143" t="s">
        <v>1100</v>
      </c>
      <c r="C1100" s="135" t="s">
        <v>25</v>
      </c>
      <c r="D1100" s="136" t="s">
        <v>1156</v>
      </c>
      <c r="E1100" s="144" t="s">
        <v>1738</v>
      </c>
    </row>
    <row r="1101" spans="2:5">
      <c r="B1101" s="143" t="s">
        <v>1100</v>
      </c>
      <c r="C1101" s="135" t="s">
        <v>25</v>
      </c>
      <c r="D1101" s="136" t="s">
        <v>1157</v>
      </c>
      <c r="E1101" s="144" t="s">
        <v>1738</v>
      </c>
    </row>
    <row r="1102" spans="2:5">
      <c r="B1102" s="143" t="s">
        <v>1100</v>
      </c>
      <c r="C1102" s="135" t="s">
        <v>25</v>
      </c>
      <c r="D1102" s="136" t="s">
        <v>1158</v>
      </c>
      <c r="E1102" s="144" t="s">
        <v>1738</v>
      </c>
    </row>
    <row r="1103" spans="2:5">
      <c r="B1103" s="143" t="s">
        <v>1100</v>
      </c>
      <c r="C1103" s="135" t="s">
        <v>25</v>
      </c>
      <c r="D1103" s="136" t="s">
        <v>1159</v>
      </c>
      <c r="E1103" s="144" t="s">
        <v>1738</v>
      </c>
    </row>
    <row r="1104" spans="2:5">
      <c r="B1104" s="143" t="s">
        <v>1100</v>
      </c>
      <c r="C1104" s="135" t="s">
        <v>25</v>
      </c>
      <c r="D1104" s="136" t="s">
        <v>1160</v>
      </c>
      <c r="E1104" s="144" t="s">
        <v>1738</v>
      </c>
    </row>
    <row r="1105" spans="2:5">
      <c r="B1105" s="143" t="s">
        <v>1100</v>
      </c>
      <c r="C1105" s="135" t="s">
        <v>25</v>
      </c>
      <c r="D1105" s="136" t="s">
        <v>1161</v>
      </c>
      <c r="E1105" s="144" t="s">
        <v>1738</v>
      </c>
    </row>
    <row r="1106" spans="2:5">
      <c r="B1106" s="143" t="s">
        <v>1100</v>
      </c>
      <c r="C1106" s="135" t="s">
        <v>25</v>
      </c>
      <c r="D1106" s="136" t="s">
        <v>1162</v>
      </c>
      <c r="E1106" s="144" t="s">
        <v>1738</v>
      </c>
    </row>
    <row r="1107" spans="2:5">
      <c r="B1107" s="143" t="s">
        <v>1100</v>
      </c>
      <c r="C1107" s="135" t="s">
        <v>25</v>
      </c>
      <c r="D1107" s="136" t="s">
        <v>1163</v>
      </c>
      <c r="E1107" s="144" t="s">
        <v>1738</v>
      </c>
    </row>
    <row r="1108" spans="2:5">
      <c r="B1108" s="143" t="s">
        <v>1100</v>
      </c>
      <c r="C1108" s="135" t="s">
        <v>25</v>
      </c>
      <c r="D1108" s="136" t="s">
        <v>1164</v>
      </c>
      <c r="E1108" s="144" t="s">
        <v>1</v>
      </c>
    </row>
    <row r="1109" spans="2:5">
      <c r="B1109" s="143" t="s">
        <v>1100</v>
      </c>
      <c r="C1109" s="135" t="s">
        <v>25</v>
      </c>
      <c r="D1109" s="136" t="s">
        <v>1165</v>
      </c>
      <c r="E1109" s="144" t="s">
        <v>1</v>
      </c>
    </row>
    <row r="1110" spans="2:5">
      <c r="B1110" s="143" t="s">
        <v>1100</v>
      </c>
      <c r="C1110" s="135" t="s">
        <v>25</v>
      </c>
      <c r="D1110" s="136" t="s">
        <v>1166</v>
      </c>
      <c r="E1110" s="144" t="s">
        <v>1</v>
      </c>
    </row>
    <row r="1111" spans="2:5">
      <c r="B1111" s="143" t="s">
        <v>1100</v>
      </c>
      <c r="C1111" s="135" t="s">
        <v>25</v>
      </c>
      <c r="D1111" s="136" t="s">
        <v>1167</v>
      </c>
      <c r="E1111" s="144" t="s">
        <v>1</v>
      </c>
    </row>
    <row r="1112" spans="2:5">
      <c r="B1112" s="143" t="s">
        <v>1100</v>
      </c>
      <c r="C1112" s="135" t="s">
        <v>25</v>
      </c>
      <c r="D1112" s="136" t="s">
        <v>1168</v>
      </c>
      <c r="E1112" s="144" t="s">
        <v>1</v>
      </c>
    </row>
    <row r="1113" spans="2:5">
      <c r="B1113" s="143" t="s">
        <v>1100</v>
      </c>
      <c r="C1113" s="135" t="s">
        <v>25</v>
      </c>
      <c r="D1113" s="136" t="s">
        <v>1169</v>
      </c>
      <c r="E1113" s="144" t="s">
        <v>1</v>
      </c>
    </row>
    <row r="1114" spans="2:5">
      <c r="B1114" s="143" t="s">
        <v>1100</v>
      </c>
      <c r="C1114" s="135" t="s">
        <v>25</v>
      </c>
      <c r="D1114" s="136" t="s">
        <v>1170</v>
      </c>
      <c r="E1114" s="144" t="s">
        <v>1</v>
      </c>
    </row>
    <row r="1115" spans="2:5">
      <c r="B1115" s="143" t="s">
        <v>1100</v>
      </c>
      <c r="C1115" s="135" t="s">
        <v>25</v>
      </c>
      <c r="D1115" s="136" t="s">
        <v>1171</v>
      </c>
      <c r="E1115" s="144" t="s">
        <v>1</v>
      </c>
    </row>
    <row r="1116" spans="2:5">
      <c r="B1116" s="143" t="s">
        <v>1100</v>
      </c>
      <c r="C1116" s="135" t="s">
        <v>25</v>
      </c>
      <c r="D1116" s="136" t="s">
        <v>1172</v>
      </c>
      <c r="E1116" s="144" t="s">
        <v>1</v>
      </c>
    </row>
    <row r="1117" spans="2:5">
      <c r="B1117" s="143" t="s">
        <v>1100</v>
      </c>
      <c r="C1117" s="135" t="s">
        <v>25</v>
      </c>
      <c r="D1117" s="136" t="s">
        <v>1173</v>
      </c>
      <c r="E1117" s="144" t="s">
        <v>1</v>
      </c>
    </row>
    <row r="1118" spans="2:5">
      <c r="B1118" s="143" t="s">
        <v>1100</v>
      </c>
      <c r="C1118" s="135" t="s">
        <v>25</v>
      </c>
      <c r="D1118" s="136" t="s">
        <v>1174</v>
      </c>
      <c r="E1118" s="144" t="s">
        <v>1</v>
      </c>
    </row>
    <row r="1119" spans="2:5">
      <c r="B1119" s="143" t="s">
        <v>1100</v>
      </c>
      <c r="C1119" s="135" t="s">
        <v>25</v>
      </c>
      <c r="D1119" s="136" t="s">
        <v>1175</v>
      </c>
      <c r="E1119" s="144" t="s">
        <v>1738</v>
      </c>
    </row>
    <row r="1120" spans="2:5">
      <c r="B1120" s="143" t="s">
        <v>1100</v>
      </c>
      <c r="C1120" s="135" t="s">
        <v>25</v>
      </c>
      <c r="D1120" s="136" t="s">
        <v>1176</v>
      </c>
      <c r="E1120" s="144" t="s">
        <v>1</v>
      </c>
    </row>
    <row r="1121" spans="2:5">
      <c r="B1121" s="143" t="s">
        <v>1100</v>
      </c>
      <c r="C1121" s="135" t="s">
        <v>25</v>
      </c>
      <c r="D1121" s="136" t="s">
        <v>1177</v>
      </c>
      <c r="E1121" s="144" t="s">
        <v>1</v>
      </c>
    </row>
    <row r="1122" spans="2:5">
      <c r="B1122" s="143" t="s">
        <v>1100</v>
      </c>
      <c r="C1122" s="135" t="s">
        <v>25</v>
      </c>
      <c r="D1122" s="136" t="s">
        <v>1178</v>
      </c>
      <c r="E1122" s="144" t="s">
        <v>1</v>
      </c>
    </row>
    <row r="1123" spans="2:5">
      <c r="B1123" s="143" t="s">
        <v>1100</v>
      </c>
      <c r="C1123" s="135" t="s">
        <v>25</v>
      </c>
      <c r="D1123" s="136" t="s">
        <v>1179</v>
      </c>
      <c r="E1123" s="144" t="s">
        <v>1</v>
      </c>
    </row>
    <row r="1124" spans="2:5">
      <c r="B1124" s="143" t="s">
        <v>1100</v>
      </c>
      <c r="C1124" s="135" t="s">
        <v>25</v>
      </c>
      <c r="D1124" s="136" t="s">
        <v>1180</v>
      </c>
      <c r="E1124" s="144" t="s">
        <v>1</v>
      </c>
    </row>
    <row r="1125" spans="2:5">
      <c r="B1125" s="143" t="s">
        <v>1100</v>
      </c>
      <c r="C1125" s="135" t="s">
        <v>25</v>
      </c>
      <c r="D1125" s="136" t="s">
        <v>1181</v>
      </c>
      <c r="E1125" s="144" t="s">
        <v>1738</v>
      </c>
    </row>
    <row r="1126" spans="2:5">
      <c r="B1126" s="143" t="s">
        <v>1100</v>
      </c>
      <c r="C1126" s="135" t="s">
        <v>25</v>
      </c>
      <c r="D1126" s="136" t="s">
        <v>1182</v>
      </c>
      <c r="E1126" s="144" t="s">
        <v>1738</v>
      </c>
    </row>
    <row r="1127" spans="2:5">
      <c r="B1127" s="143" t="s">
        <v>1100</v>
      </c>
      <c r="C1127" s="135" t="s">
        <v>25</v>
      </c>
      <c r="D1127" s="136" t="s">
        <v>1183</v>
      </c>
      <c r="E1127" s="144" t="s">
        <v>1738</v>
      </c>
    </row>
    <row r="1128" spans="2:5">
      <c r="B1128" s="143" t="s">
        <v>1100</v>
      </c>
      <c r="C1128" s="135" t="s">
        <v>25</v>
      </c>
      <c r="D1128" s="136" t="s">
        <v>1184</v>
      </c>
      <c r="E1128" s="144" t="s">
        <v>1</v>
      </c>
    </row>
    <row r="1129" spans="2:5">
      <c r="B1129" s="143" t="s">
        <v>1100</v>
      </c>
      <c r="C1129" s="135" t="s">
        <v>25</v>
      </c>
      <c r="D1129" s="136" t="s">
        <v>1185</v>
      </c>
      <c r="E1129" s="144" t="s">
        <v>1</v>
      </c>
    </row>
    <row r="1130" spans="2:5">
      <c r="B1130" s="143" t="s">
        <v>1100</v>
      </c>
      <c r="C1130" s="135" t="s">
        <v>25</v>
      </c>
      <c r="D1130" s="136" t="s">
        <v>1186</v>
      </c>
      <c r="E1130" s="144" t="s">
        <v>1</v>
      </c>
    </row>
    <row r="1131" spans="2:5">
      <c r="B1131" s="143" t="s">
        <v>1100</v>
      </c>
      <c r="C1131" s="135" t="s">
        <v>25</v>
      </c>
      <c r="D1131" s="136" t="s">
        <v>1187</v>
      </c>
      <c r="E1131" s="144" t="s">
        <v>1</v>
      </c>
    </row>
    <row r="1132" spans="2:5">
      <c r="B1132" s="143" t="s">
        <v>1100</v>
      </c>
      <c r="C1132" s="135" t="s">
        <v>25</v>
      </c>
      <c r="D1132" s="136" t="s">
        <v>1188</v>
      </c>
      <c r="E1132" s="144" t="s">
        <v>1738</v>
      </c>
    </row>
    <row r="1133" spans="2:5">
      <c r="B1133" s="143" t="s">
        <v>1100</v>
      </c>
      <c r="C1133" s="135" t="s">
        <v>25</v>
      </c>
      <c r="D1133" s="136" t="s">
        <v>1189</v>
      </c>
      <c r="E1133" s="144" t="s">
        <v>1</v>
      </c>
    </row>
    <row r="1134" spans="2:5">
      <c r="B1134" s="143" t="s">
        <v>1100</v>
      </c>
      <c r="C1134" s="135" t="s">
        <v>25</v>
      </c>
      <c r="D1134" s="136" t="s">
        <v>1190</v>
      </c>
      <c r="E1134" s="144" t="s">
        <v>1738</v>
      </c>
    </row>
    <row r="1135" spans="2:5">
      <c r="B1135" s="143" t="s">
        <v>1100</v>
      </c>
      <c r="C1135" s="135" t="s">
        <v>25</v>
      </c>
      <c r="D1135" s="136" t="s">
        <v>1191</v>
      </c>
      <c r="E1135" s="144" t="s">
        <v>1</v>
      </c>
    </row>
    <row r="1136" spans="2:5">
      <c r="B1136" s="143" t="s">
        <v>1100</v>
      </c>
      <c r="C1136" s="135" t="s">
        <v>25</v>
      </c>
      <c r="D1136" s="136" t="s">
        <v>1192</v>
      </c>
      <c r="E1136" s="144" t="s">
        <v>1</v>
      </c>
    </row>
    <row r="1137" spans="2:5">
      <c r="B1137" s="143" t="s">
        <v>1100</v>
      </c>
      <c r="C1137" s="135" t="s">
        <v>25</v>
      </c>
      <c r="D1137" s="136" t="s">
        <v>1193</v>
      </c>
      <c r="E1137" s="144" t="s">
        <v>1</v>
      </c>
    </row>
    <row r="1138" spans="2:5">
      <c r="B1138" s="143" t="s">
        <v>1100</v>
      </c>
      <c r="C1138" s="135" t="s">
        <v>25</v>
      </c>
      <c r="D1138" s="136" t="s">
        <v>1194</v>
      </c>
      <c r="E1138" s="144" t="s">
        <v>1</v>
      </c>
    </row>
    <row r="1139" spans="2:5">
      <c r="B1139" s="143" t="s">
        <v>1100</v>
      </c>
      <c r="C1139" s="135" t="s">
        <v>25</v>
      </c>
      <c r="D1139" s="136" t="s">
        <v>1195</v>
      </c>
      <c r="E1139" s="144" t="s">
        <v>1738</v>
      </c>
    </row>
    <row r="1140" spans="2:5">
      <c r="B1140" s="143" t="s">
        <v>1100</v>
      </c>
      <c r="C1140" s="135" t="s">
        <v>25</v>
      </c>
      <c r="D1140" s="136" t="s">
        <v>1196</v>
      </c>
      <c r="E1140" s="144" t="s">
        <v>1</v>
      </c>
    </row>
    <row r="1141" spans="2:5">
      <c r="B1141" s="143" t="s">
        <v>1100</v>
      </c>
      <c r="C1141" s="135" t="s">
        <v>25</v>
      </c>
      <c r="D1141" s="136" t="s">
        <v>1197</v>
      </c>
      <c r="E1141" s="144" t="s">
        <v>1738</v>
      </c>
    </row>
    <row r="1142" spans="2:5">
      <c r="B1142" s="143" t="s">
        <v>1100</v>
      </c>
      <c r="C1142" s="135" t="s">
        <v>25</v>
      </c>
      <c r="D1142" s="136" t="s">
        <v>1198</v>
      </c>
      <c r="E1142" s="144" t="s">
        <v>1</v>
      </c>
    </row>
    <row r="1143" spans="2:5">
      <c r="B1143" s="143" t="s">
        <v>1100</v>
      </c>
      <c r="C1143" s="135" t="s">
        <v>25</v>
      </c>
      <c r="D1143" s="136" t="s">
        <v>1199</v>
      </c>
      <c r="E1143" s="144" t="s">
        <v>1</v>
      </c>
    </row>
    <row r="1144" spans="2:5">
      <c r="B1144" s="143" t="s">
        <v>1100</v>
      </c>
      <c r="C1144" s="135" t="s">
        <v>25</v>
      </c>
      <c r="D1144" s="136" t="s">
        <v>1200</v>
      </c>
      <c r="E1144" s="144" t="s">
        <v>1</v>
      </c>
    </row>
    <row r="1145" spans="2:5">
      <c r="B1145" s="143" t="s">
        <v>1100</v>
      </c>
      <c r="C1145" s="135" t="s">
        <v>25</v>
      </c>
      <c r="D1145" s="136" t="s">
        <v>1201</v>
      </c>
      <c r="E1145" s="144" t="s">
        <v>1</v>
      </c>
    </row>
    <row r="1146" spans="2:5">
      <c r="B1146" s="143" t="s">
        <v>1100</v>
      </c>
      <c r="C1146" s="135" t="s">
        <v>25</v>
      </c>
      <c r="D1146" s="136" t="s">
        <v>1202</v>
      </c>
      <c r="E1146" s="144" t="s">
        <v>1</v>
      </c>
    </row>
    <row r="1147" spans="2:5">
      <c r="B1147" s="143" t="s">
        <v>1100</v>
      </c>
      <c r="C1147" s="135" t="s">
        <v>25</v>
      </c>
      <c r="D1147" s="136" t="s">
        <v>1203</v>
      </c>
      <c r="E1147" s="144" t="s">
        <v>1738</v>
      </c>
    </row>
    <row r="1148" spans="2:5">
      <c r="B1148" s="143" t="s">
        <v>1100</v>
      </c>
      <c r="C1148" s="135" t="s">
        <v>25</v>
      </c>
      <c r="D1148" s="136" t="s">
        <v>1204</v>
      </c>
      <c r="E1148" s="144" t="s">
        <v>1</v>
      </c>
    </row>
    <row r="1149" spans="2:5">
      <c r="B1149" s="143" t="s">
        <v>1100</v>
      </c>
      <c r="C1149" s="135" t="s">
        <v>25</v>
      </c>
      <c r="D1149" s="136" t="s">
        <v>1205</v>
      </c>
      <c r="E1149" s="144" t="s">
        <v>1</v>
      </c>
    </row>
    <row r="1150" spans="2:5">
      <c r="B1150" s="143" t="s">
        <v>1100</v>
      </c>
      <c r="C1150" s="135" t="s">
        <v>25</v>
      </c>
      <c r="D1150" s="136" t="s">
        <v>1206</v>
      </c>
      <c r="E1150" s="144" t="s">
        <v>1</v>
      </c>
    </row>
    <row r="1151" spans="2:5">
      <c r="B1151" s="143" t="s">
        <v>1100</v>
      </c>
      <c r="C1151" s="135" t="s">
        <v>25</v>
      </c>
      <c r="D1151" s="136" t="s">
        <v>1207</v>
      </c>
      <c r="E1151" s="144" t="s">
        <v>1738</v>
      </c>
    </row>
    <row r="1152" spans="2:5">
      <c r="B1152" s="143" t="s">
        <v>1100</v>
      </c>
      <c r="C1152" s="135" t="s">
        <v>25</v>
      </c>
      <c r="D1152" s="136" t="s">
        <v>1208</v>
      </c>
      <c r="E1152" s="144" t="s">
        <v>1738</v>
      </c>
    </row>
    <row r="1153" spans="2:5">
      <c r="B1153" s="143" t="s">
        <v>1100</v>
      </c>
      <c r="C1153" s="135" t="s">
        <v>25</v>
      </c>
      <c r="D1153" s="136" t="s">
        <v>1209</v>
      </c>
      <c r="E1153" s="144" t="s">
        <v>1738</v>
      </c>
    </row>
    <row r="1154" spans="2:5">
      <c r="B1154" s="143" t="s">
        <v>1100</v>
      </c>
      <c r="C1154" s="135" t="s">
        <v>25</v>
      </c>
      <c r="D1154" s="136" t="s">
        <v>1210</v>
      </c>
      <c r="E1154" s="144" t="s">
        <v>1738</v>
      </c>
    </row>
    <row r="1155" spans="2:5">
      <c r="B1155" s="143" t="s">
        <v>1100</v>
      </c>
      <c r="C1155" s="135" t="s">
        <v>25</v>
      </c>
      <c r="D1155" s="136" t="s">
        <v>1211</v>
      </c>
      <c r="E1155" s="144" t="s">
        <v>1738</v>
      </c>
    </row>
    <row r="1156" spans="2:5">
      <c r="B1156" s="143" t="s">
        <v>1100</v>
      </c>
      <c r="C1156" s="135" t="s">
        <v>25</v>
      </c>
      <c r="D1156" s="136" t="s">
        <v>1212</v>
      </c>
      <c r="E1156" s="144" t="s">
        <v>1738</v>
      </c>
    </row>
    <row r="1157" spans="2:5">
      <c r="B1157" s="143" t="s">
        <v>1100</v>
      </c>
      <c r="C1157" s="135" t="s">
        <v>25</v>
      </c>
      <c r="D1157" s="136" t="s">
        <v>1213</v>
      </c>
      <c r="E1157" s="144" t="s">
        <v>1738</v>
      </c>
    </row>
    <row r="1158" spans="2:5">
      <c r="B1158" s="143" t="s">
        <v>1100</v>
      </c>
      <c r="C1158" s="135" t="s">
        <v>25</v>
      </c>
      <c r="D1158" s="136" t="s">
        <v>1214</v>
      </c>
      <c r="E1158" s="144" t="s">
        <v>1738</v>
      </c>
    </row>
    <row r="1159" spans="2:5">
      <c r="B1159" s="143" t="s">
        <v>1100</v>
      </c>
      <c r="C1159" s="135" t="s">
        <v>25</v>
      </c>
      <c r="D1159" s="136" t="s">
        <v>1215</v>
      </c>
      <c r="E1159" s="144" t="s">
        <v>1738</v>
      </c>
    </row>
    <row r="1160" spans="2:5">
      <c r="B1160" s="143" t="s">
        <v>1100</v>
      </c>
      <c r="C1160" s="135" t="s">
        <v>25</v>
      </c>
      <c r="D1160" s="136" t="s">
        <v>1216</v>
      </c>
      <c r="E1160" s="144" t="s">
        <v>1738</v>
      </c>
    </row>
    <row r="1161" spans="2:5">
      <c r="B1161" s="143" t="s">
        <v>1100</v>
      </c>
      <c r="C1161" s="135" t="s">
        <v>25</v>
      </c>
      <c r="D1161" s="136" t="s">
        <v>1217</v>
      </c>
      <c r="E1161" s="144" t="s">
        <v>1738</v>
      </c>
    </row>
    <row r="1162" spans="2:5">
      <c r="B1162" s="143" t="s">
        <v>1100</v>
      </c>
      <c r="C1162" s="135" t="s">
        <v>25</v>
      </c>
      <c r="D1162" s="136" t="s">
        <v>1218</v>
      </c>
      <c r="E1162" s="144" t="s">
        <v>1738</v>
      </c>
    </row>
    <row r="1163" spans="2:5">
      <c r="B1163" s="143" t="s">
        <v>1100</v>
      </c>
      <c r="C1163" s="135" t="s">
        <v>25</v>
      </c>
      <c r="D1163" s="136" t="s">
        <v>1219</v>
      </c>
      <c r="E1163" s="144" t="s">
        <v>1738</v>
      </c>
    </row>
    <row r="1164" spans="2:5">
      <c r="B1164" s="143" t="s">
        <v>1100</v>
      </c>
      <c r="C1164" s="135" t="s">
        <v>25</v>
      </c>
      <c r="D1164" s="136" t="s">
        <v>1220</v>
      </c>
      <c r="E1164" s="144" t="s">
        <v>1738</v>
      </c>
    </row>
    <row r="1165" spans="2:5">
      <c r="B1165" s="143" t="s">
        <v>1100</v>
      </c>
      <c r="C1165" s="135" t="s">
        <v>25</v>
      </c>
      <c r="D1165" s="136" t="s">
        <v>1221</v>
      </c>
      <c r="E1165" s="144" t="s">
        <v>1738</v>
      </c>
    </row>
    <row r="1166" spans="2:5">
      <c r="B1166" s="143" t="s">
        <v>1100</v>
      </c>
      <c r="C1166" s="135" t="s">
        <v>25</v>
      </c>
      <c r="D1166" s="136" t="s">
        <v>1222</v>
      </c>
      <c r="E1166" s="144" t="s">
        <v>1738</v>
      </c>
    </row>
    <row r="1167" spans="2:5">
      <c r="B1167" s="143" t="s">
        <v>1100</v>
      </c>
      <c r="C1167" s="135" t="s">
        <v>25</v>
      </c>
      <c r="D1167" s="136" t="s">
        <v>1223</v>
      </c>
      <c r="E1167" s="144" t="s">
        <v>1738</v>
      </c>
    </row>
    <row r="1168" spans="2:5">
      <c r="B1168" s="143" t="s">
        <v>1100</v>
      </c>
      <c r="C1168" s="135" t="s">
        <v>25</v>
      </c>
      <c r="D1168" s="136" t="s">
        <v>1224</v>
      </c>
      <c r="E1168" s="144" t="s">
        <v>1738</v>
      </c>
    </row>
    <row r="1169" spans="2:5">
      <c r="B1169" s="143" t="s">
        <v>1100</v>
      </c>
      <c r="C1169" s="135" t="s">
        <v>25</v>
      </c>
      <c r="D1169" s="136" t="s">
        <v>1225</v>
      </c>
      <c r="E1169" s="144" t="s">
        <v>1738</v>
      </c>
    </row>
    <row r="1170" spans="2:5">
      <c r="B1170" s="143" t="s">
        <v>1100</v>
      </c>
      <c r="C1170" s="135" t="s">
        <v>25</v>
      </c>
      <c r="D1170" s="136" t="s">
        <v>1226</v>
      </c>
      <c r="E1170" s="144" t="s">
        <v>1738</v>
      </c>
    </row>
    <row r="1171" spans="2:5">
      <c r="B1171" s="143" t="s">
        <v>1100</v>
      </c>
      <c r="C1171" s="135" t="s">
        <v>25</v>
      </c>
      <c r="D1171" s="136" t="s">
        <v>1227</v>
      </c>
      <c r="E1171" s="144" t="s">
        <v>1738</v>
      </c>
    </row>
    <row r="1172" spans="2:5">
      <c r="B1172" s="143" t="s">
        <v>1100</v>
      </c>
      <c r="C1172" s="135" t="s">
        <v>25</v>
      </c>
      <c r="D1172" s="136" t="s">
        <v>1228</v>
      </c>
      <c r="E1172" s="144" t="s">
        <v>1738</v>
      </c>
    </row>
    <row r="1173" spans="2:5">
      <c r="B1173" s="143" t="s">
        <v>1100</v>
      </c>
      <c r="C1173" s="135" t="s">
        <v>25</v>
      </c>
      <c r="D1173" s="136" t="s">
        <v>1229</v>
      </c>
      <c r="E1173" s="144" t="s">
        <v>1738</v>
      </c>
    </row>
    <row r="1174" spans="2:5">
      <c r="B1174" s="143" t="s">
        <v>1100</v>
      </c>
      <c r="C1174" s="135" t="s">
        <v>25</v>
      </c>
      <c r="D1174" s="136" t="s">
        <v>1230</v>
      </c>
      <c r="E1174" s="144" t="s">
        <v>1</v>
      </c>
    </row>
    <row r="1175" spans="2:5">
      <c r="B1175" s="143" t="s">
        <v>1100</v>
      </c>
      <c r="C1175" s="135" t="s">
        <v>25</v>
      </c>
      <c r="D1175" s="136" t="s">
        <v>1231</v>
      </c>
      <c r="E1175" s="144" t="s">
        <v>1738</v>
      </c>
    </row>
    <row r="1176" spans="2:5">
      <c r="B1176" s="143" t="s">
        <v>1100</v>
      </c>
      <c r="C1176" s="135" t="s">
        <v>25</v>
      </c>
      <c r="D1176" s="136" t="s">
        <v>1232</v>
      </c>
      <c r="E1176" s="144" t="s">
        <v>1</v>
      </c>
    </row>
    <row r="1177" spans="2:5">
      <c r="B1177" s="143" t="s">
        <v>1100</v>
      </c>
      <c r="C1177" s="135" t="s">
        <v>25</v>
      </c>
      <c r="D1177" s="136" t="s">
        <v>1233</v>
      </c>
      <c r="E1177" s="144" t="s">
        <v>1</v>
      </c>
    </row>
    <row r="1178" spans="2:5">
      <c r="B1178" s="143" t="s">
        <v>1100</v>
      </c>
      <c r="C1178" s="135" t="s">
        <v>25</v>
      </c>
      <c r="D1178" s="136" t="s">
        <v>1234</v>
      </c>
      <c r="E1178" s="144" t="s">
        <v>1738</v>
      </c>
    </row>
    <row r="1179" spans="2:5">
      <c r="B1179" s="143" t="s">
        <v>1100</v>
      </c>
      <c r="C1179" s="135" t="s">
        <v>25</v>
      </c>
      <c r="D1179" s="136" t="s">
        <v>1235</v>
      </c>
      <c r="E1179" s="144" t="s">
        <v>1</v>
      </c>
    </row>
    <row r="1180" spans="2:5">
      <c r="B1180" s="143" t="s">
        <v>1100</v>
      </c>
      <c r="C1180" s="135" t="s">
        <v>25</v>
      </c>
      <c r="D1180" s="136" t="s">
        <v>1236</v>
      </c>
      <c r="E1180" s="144" t="s">
        <v>1</v>
      </c>
    </row>
    <row r="1181" spans="2:5">
      <c r="B1181" s="143" t="s">
        <v>1100</v>
      </c>
      <c r="C1181" s="135" t="s">
        <v>25</v>
      </c>
      <c r="D1181" s="136" t="s">
        <v>1237</v>
      </c>
      <c r="E1181" s="144" t="s">
        <v>1</v>
      </c>
    </row>
    <row r="1182" spans="2:5">
      <c r="B1182" s="143" t="s">
        <v>1100</v>
      </c>
      <c r="C1182" s="135" t="s">
        <v>25</v>
      </c>
      <c r="D1182" s="136" t="s">
        <v>1238</v>
      </c>
      <c r="E1182" s="144" t="s">
        <v>1</v>
      </c>
    </row>
    <row r="1183" spans="2:5">
      <c r="B1183" s="143" t="s">
        <v>1100</v>
      </c>
      <c r="C1183" s="135" t="s">
        <v>25</v>
      </c>
      <c r="D1183" s="136" t="s">
        <v>1239</v>
      </c>
      <c r="E1183" s="144" t="s">
        <v>1738</v>
      </c>
    </row>
    <row r="1184" spans="2:5">
      <c r="B1184" s="143" t="s">
        <v>1100</v>
      </c>
      <c r="C1184" s="135" t="s">
        <v>25</v>
      </c>
      <c r="D1184" s="136" t="s">
        <v>1240</v>
      </c>
      <c r="E1184" s="144" t="s">
        <v>1738</v>
      </c>
    </row>
    <row r="1185" spans="2:5">
      <c r="B1185" s="143" t="s">
        <v>1100</v>
      </c>
      <c r="C1185" s="135" t="s">
        <v>25</v>
      </c>
      <c r="D1185" s="136" t="s">
        <v>1241</v>
      </c>
      <c r="E1185" s="144" t="s">
        <v>1738</v>
      </c>
    </row>
    <row r="1186" spans="2:5">
      <c r="B1186" s="143" t="s">
        <v>1100</v>
      </c>
      <c r="C1186" s="135" t="s">
        <v>25</v>
      </c>
      <c r="D1186" s="136" t="s">
        <v>1242</v>
      </c>
      <c r="E1186" s="144" t="s">
        <v>1738</v>
      </c>
    </row>
    <row r="1187" spans="2:5">
      <c r="B1187" s="143" t="s">
        <v>1100</v>
      </c>
      <c r="C1187" s="135" t="s">
        <v>25</v>
      </c>
      <c r="D1187" s="136" t="s">
        <v>1243</v>
      </c>
      <c r="E1187" s="144" t="s">
        <v>1738</v>
      </c>
    </row>
    <row r="1188" spans="2:5">
      <c r="B1188" s="143" t="s">
        <v>1100</v>
      </c>
      <c r="C1188" s="135" t="s">
        <v>25</v>
      </c>
      <c r="D1188" s="136" t="s">
        <v>1244</v>
      </c>
      <c r="E1188" s="144" t="s">
        <v>1738</v>
      </c>
    </row>
    <row r="1189" spans="2:5">
      <c r="B1189" s="143" t="s">
        <v>1100</v>
      </c>
      <c r="C1189" s="135" t="s">
        <v>25</v>
      </c>
      <c r="D1189" s="136" t="s">
        <v>1245</v>
      </c>
      <c r="E1189" s="144" t="s">
        <v>1738</v>
      </c>
    </row>
    <row r="1190" spans="2:5">
      <c r="B1190" s="143" t="s">
        <v>1100</v>
      </c>
      <c r="C1190" s="135" t="s">
        <v>25</v>
      </c>
      <c r="D1190" s="136" t="s">
        <v>1246</v>
      </c>
      <c r="E1190" s="144" t="s">
        <v>1</v>
      </c>
    </row>
    <row r="1191" spans="2:5">
      <c r="B1191" s="143" t="s">
        <v>1100</v>
      </c>
      <c r="C1191" s="135" t="s">
        <v>25</v>
      </c>
      <c r="D1191" s="136" t="s">
        <v>1247</v>
      </c>
      <c r="E1191" s="144" t="s">
        <v>1</v>
      </c>
    </row>
    <row r="1192" spans="2:5">
      <c r="B1192" s="143" t="s">
        <v>1100</v>
      </c>
      <c r="C1192" s="135" t="s">
        <v>25</v>
      </c>
      <c r="D1192" s="136" t="s">
        <v>1248</v>
      </c>
      <c r="E1192" s="144" t="s">
        <v>1</v>
      </c>
    </row>
    <row r="1193" spans="2:5">
      <c r="B1193" s="143" t="s">
        <v>1100</v>
      </c>
      <c r="C1193" s="135" t="s">
        <v>25</v>
      </c>
      <c r="D1193" s="136" t="s">
        <v>1249</v>
      </c>
      <c r="E1193" s="144" t="s">
        <v>1</v>
      </c>
    </row>
    <row r="1194" spans="2:5">
      <c r="B1194" s="143" t="s">
        <v>1100</v>
      </c>
      <c r="C1194" s="135" t="s">
        <v>25</v>
      </c>
      <c r="D1194" s="136" t="s">
        <v>1250</v>
      </c>
      <c r="E1194" s="144" t="s">
        <v>1</v>
      </c>
    </row>
    <row r="1195" spans="2:5">
      <c r="B1195" s="143" t="s">
        <v>1100</v>
      </c>
      <c r="C1195" s="135" t="s">
        <v>25</v>
      </c>
      <c r="D1195" s="136" t="s">
        <v>1251</v>
      </c>
      <c r="E1195" s="144" t="s">
        <v>1</v>
      </c>
    </row>
    <row r="1196" spans="2:5">
      <c r="B1196" s="143" t="s">
        <v>1100</v>
      </c>
      <c r="C1196" s="135" t="s">
        <v>25</v>
      </c>
      <c r="D1196" s="136" t="s">
        <v>1252</v>
      </c>
      <c r="E1196" s="144" t="s">
        <v>1</v>
      </c>
    </row>
    <row r="1197" spans="2:5">
      <c r="B1197" s="143" t="s">
        <v>1100</v>
      </c>
      <c r="C1197" s="135" t="s">
        <v>25</v>
      </c>
      <c r="D1197" s="136" t="s">
        <v>1253</v>
      </c>
      <c r="E1197" s="144" t="s">
        <v>1</v>
      </c>
    </row>
    <row r="1198" spans="2:5">
      <c r="B1198" s="143" t="s">
        <v>1100</v>
      </c>
      <c r="C1198" s="135" t="s">
        <v>25</v>
      </c>
      <c r="D1198" s="136" t="s">
        <v>1254</v>
      </c>
      <c r="E1198" s="144" t="s">
        <v>1</v>
      </c>
    </row>
    <row r="1199" spans="2:5">
      <c r="B1199" s="143" t="s">
        <v>1100</v>
      </c>
      <c r="C1199" s="135" t="s">
        <v>25</v>
      </c>
      <c r="D1199" s="136" t="s">
        <v>1255</v>
      </c>
      <c r="E1199" s="144" t="s">
        <v>1</v>
      </c>
    </row>
    <row r="1200" spans="2:5">
      <c r="B1200" s="143" t="s">
        <v>1100</v>
      </c>
      <c r="C1200" s="135" t="s">
        <v>25</v>
      </c>
      <c r="D1200" s="136" t="s">
        <v>1256</v>
      </c>
      <c r="E1200" s="144" t="s">
        <v>1738</v>
      </c>
    </row>
    <row r="1201" spans="2:5">
      <c r="B1201" s="143" t="s">
        <v>1100</v>
      </c>
      <c r="C1201" s="135" t="s">
        <v>25</v>
      </c>
      <c r="D1201" s="136" t="s">
        <v>1257</v>
      </c>
      <c r="E1201" s="144" t="s">
        <v>1738</v>
      </c>
    </row>
    <row r="1202" spans="2:5">
      <c r="B1202" s="143" t="s">
        <v>1100</v>
      </c>
      <c r="C1202" s="135" t="s">
        <v>25</v>
      </c>
      <c r="D1202" s="136" t="s">
        <v>1258</v>
      </c>
      <c r="E1202" s="144" t="s">
        <v>1738</v>
      </c>
    </row>
    <row r="1203" spans="2:5">
      <c r="B1203" s="143" t="s">
        <v>1100</v>
      </c>
      <c r="C1203" s="135" t="s">
        <v>25</v>
      </c>
      <c r="D1203" s="136" t="s">
        <v>1259</v>
      </c>
      <c r="E1203" s="144" t="s">
        <v>1738</v>
      </c>
    </row>
    <row r="1204" spans="2:5">
      <c r="B1204" s="143" t="s">
        <v>1100</v>
      </c>
      <c r="C1204" s="135" t="s">
        <v>25</v>
      </c>
      <c r="D1204" s="136" t="s">
        <v>1260</v>
      </c>
      <c r="E1204" s="144" t="s">
        <v>1738</v>
      </c>
    </row>
    <row r="1205" spans="2:5">
      <c r="B1205" s="143" t="s">
        <v>1100</v>
      </c>
      <c r="C1205" s="135" t="s">
        <v>25</v>
      </c>
      <c r="D1205" s="136" t="s">
        <v>1261</v>
      </c>
      <c r="E1205" s="144" t="s">
        <v>1738</v>
      </c>
    </row>
    <row r="1206" spans="2:5">
      <c r="B1206" s="143" t="s">
        <v>1100</v>
      </c>
      <c r="C1206" s="135" t="s">
        <v>25</v>
      </c>
      <c r="D1206" s="136" t="s">
        <v>1262</v>
      </c>
      <c r="E1206" s="144" t="s">
        <v>1738</v>
      </c>
    </row>
    <row r="1207" spans="2:5">
      <c r="B1207" s="143" t="s">
        <v>1100</v>
      </c>
      <c r="C1207" s="135" t="s">
        <v>25</v>
      </c>
      <c r="D1207" s="136" t="s">
        <v>1263</v>
      </c>
      <c r="E1207" s="144" t="s">
        <v>1738</v>
      </c>
    </row>
    <row r="1208" spans="2:5">
      <c r="B1208" s="143" t="s">
        <v>1100</v>
      </c>
      <c r="C1208" s="135" t="s">
        <v>25</v>
      </c>
      <c r="D1208" s="136" t="s">
        <v>1264</v>
      </c>
      <c r="E1208" s="144" t="s">
        <v>1</v>
      </c>
    </row>
    <row r="1209" spans="2:5">
      <c r="B1209" s="143" t="s">
        <v>1100</v>
      </c>
      <c r="C1209" s="135" t="s">
        <v>25</v>
      </c>
      <c r="D1209" s="136" t="s">
        <v>1265</v>
      </c>
      <c r="E1209" s="144" t="s">
        <v>1738</v>
      </c>
    </row>
    <row r="1210" spans="2:5">
      <c r="B1210" s="143" t="s">
        <v>1100</v>
      </c>
      <c r="C1210" s="135" t="s">
        <v>25</v>
      </c>
      <c r="D1210" s="136" t="s">
        <v>1266</v>
      </c>
      <c r="E1210" s="144" t="s">
        <v>1738</v>
      </c>
    </row>
    <row r="1211" spans="2:5">
      <c r="B1211" s="143" t="s">
        <v>1100</v>
      </c>
      <c r="C1211" s="135" t="s">
        <v>25</v>
      </c>
      <c r="D1211" s="136" t="s">
        <v>1267</v>
      </c>
      <c r="E1211" s="144" t="s">
        <v>1</v>
      </c>
    </row>
    <row r="1212" spans="2:5">
      <c r="B1212" s="143" t="s">
        <v>1100</v>
      </c>
      <c r="C1212" s="135" t="s">
        <v>25</v>
      </c>
      <c r="D1212" s="136" t="s">
        <v>1268</v>
      </c>
      <c r="E1212" s="144" t="s">
        <v>1738</v>
      </c>
    </row>
    <row r="1213" spans="2:5">
      <c r="B1213" s="143" t="s">
        <v>1100</v>
      </c>
      <c r="C1213" s="135" t="s">
        <v>25</v>
      </c>
      <c r="D1213" s="136" t="s">
        <v>1269</v>
      </c>
      <c r="E1213" s="144" t="s">
        <v>1738</v>
      </c>
    </row>
    <row r="1214" spans="2:5">
      <c r="B1214" s="143" t="s">
        <v>1100</v>
      </c>
      <c r="C1214" s="135" t="s">
        <v>25</v>
      </c>
      <c r="D1214" s="136" t="s">
        <v>1270</v>
      </c>
      <c r="E1214" s="144" t="s">
        <v>1738</v>
      </c>
    </row>
    <row r="1215" spans="2:5">
      <c r="B1215" s="143" t="s">
        <v>1100</v>
      </c>
      <c r="C1215" s="135" t="s">
        <v>25</v>
      </c>
      <c r="D1215" s="136" t="s">
        <v>1271</v>
      </c>
      <c r="E1215" s="144" t="s">
        <v>1738</v>
      </c>
    </row>
    <row r="1216" spans="2:5">
      <c r="B1216" s="143" t="s">
        <v>1100</v>
      </c>
      <c r="C1216" s="135" t="s">
        <v>25</v>
      </c>
      <c r="D1216" s="136" t="s">
        <v>1272</v>
      </c>
      <c r="E1216" s="144" t="s">
        <v>1</v>
      </c>
    </row>
    <row r="1217" spans="2:5">
      <c r="B1217" s="143" t="s">
        <v>1100</v>
      </c>
      <c r="C1217" s="135" t="s">
        <v>25</v>
      </c>
      <c r="D1217" s="136" t="s">
        <v>1273</v>
      </c>
      <c r="E1217" s="144" t="s">
        <v>1738</v>
      </c>
    </row>
    <row r="1218" spans="2:5">
      <c r="B1218" s="143" t="s">
        <v>1100</v>
      </c>
      <c r="C1218" s="135" t="s">
        <v>25</v>
      </c>
      <c r="D1218" s="136" t="s">
        <v>1274</v>
      </c>
      <c r="E1218" s="144" t="s">
        <v>1</v>
      </c>
    </row>
    <row r="1219" spans="2:5">
      <c r="B1219" s="143" t="s">
        <v>1100</v>
      </c>
      <c r="C1219" s="135" t="s">
        <v>25</v>
      </c>
      <c r="D1219" s="136" t="s">
        <v>1275</v>
      </c>
      <c r="E1219" s="144" t="s">
        <v>1738</v>
      </c>
    </row>
    <row r="1220" spans="2:5">
      <c r="B1220" s="143" t="s">
        <v>1100</v>
      </c>
      <c r="C1220" s="135" t="s">
        <v>25</v>
      </c>
      <c r="D1220" s="136" t="s">
        <v>1276</v>
      </c>
      <c r="E1220" s="144" t="s">
        <v>1</v>
      </c>
    </row>
    <row r="1221" spans="2:5">
      <c r="B1221" s="143" t="s">
        <v>1100</v>
      </c>
      <c r="C1221" s="135" t="s">
        <v>25</v>
      </c>
      <c r="D1221" s="136" t="s">
        <v>1277</v>
      </c>
      <c r="E1221" s="144" t="s">
        <v>1738</v>
      </c>
    </row>
    <row r="1222" spans="2:5">
      <c r="B1222" s="143" t="s">
        <v>1100</v>
      </c>
      <c r="C1222" s="135" t="s">
        <v>25</v>
      </c>
      <c r="D1222" s="136" t="s">
        <v>1278</v>
      </c>
      <c r="E1222" s="144" t="s">
        <v>1738</v>
      </c>
    </row>
    <row r="1223" spans="2:5">
      <c r="B1223" s="143" t="s">
        <v>1100</v>
      </c>
      <c r="C1223" s="135" t="s">
        <v>25</v>
      </c>
      <c r="D1223" s="136" t="s">
        <v>1279</v>
      </c>
      <c r="E1223" s="144" t="s">
        <v>1738</v>
      </c>
    </row>
    <row r="1224" spans="2:5">
      <c r="B1224" s="143" t="s">
        <v>1100</v>
      </c>
      <c r="C1224" s="135" t="s">
        <v>25</v>
      </c>
      <c r="D1224" s="136" t="s">
        <v>1280</v>
      </c>
      <c r="E1224" s="144" t="s">
        <v>1738</v>
      </c>
    </row>
    <row r="1225" spans="2:5">
      <c r="B1225" s="143" t="s">
        <v>1100</v>
      </c>
      <c r="C1225" s="135" t="s">
        <v>25</v>
      </c>
      <c r="D1225" s="136" t="s">
        <v>1281</v>
      </c>
      <c r="E1225" s="144" t="s">
        <v>1</v>
      </c>
    </row>
    <row r="1226" spans="2:5">
      <c r="B1226" s="143" t="s">
        <v>1100</v>
      </c>
      <c r="C1226" s="135" t="s">
        <v>25</v>
      </c>
      <c r="D1226" s="136" t="s">
        <v>1282</v>
      </c>
      <c r="E1226" s="144" t="s">
        <v>1738</v>
      </c>
    </row>
    <row r="1227" spans="2:5">
      <c r="B1227" s="143" t="s">
        <v>1100</v>
      </c>
      <c r="C1227" s="135" t="s">
        <v>25</v>
      </c>
      <c r="D1227" s="136" t="s">
        <v>1283</v>
      </c>
      <c r="E1227" s="144" t="s">
        <v>1738</v>
      </c>
    </row>
    <row r="1228" spans="2:5">
      <c r="B1228" s="143" t="s">
        <v>1100</v>
      </c>
      <c r="C1228" s="135" t="s">
        <v>25</v>
      </c>
      <c r="D1228" s="136" t="s">
        <v>1284</v>
      </c>
      <c r="E1228" s="144" t="s">
        <v>1738</v>
      </c>
    </row>
    <row r="1229" spans="2:5">
      <c r="B1229" s="143" t="s">
        <v>1100</v>
      </c>
      <c r="C1229" s="135" t="s">
        <v>25</v>
      </c>
      <c r="D1229" s="136" t="s">
        <v>1285</v>
      </c>
      <c r="E1229" s="144" t="s">
        <v>1738</v>
      </c>
    </row>
    <row r="1230" spans="2:5">
      <c r="B1230" s="143" t="s">
        <v>1100</v>
      </c>
      <c r="C1230" s="135" t="s">
        <v>25</v>
      </c>
      <c r="D1230" s="136" t="s">
        <v>1286</v>
      </c>
      <c r="E1230" s="144" t="s">
        <v>1738</v>
      </c>
    </row>
    <row r="1231" spans="2:5">
      <c r="B1231" s="143" t="s">
        <v>1100</v>
      </c>
      <c r="C1231" s="135" t="s">
        <v>25</v>
      </c>
      <c r="D1231" s="136" t="s">
        <v>1287</v>
      </c>
      <c r="E1231" s="144" t="s">
        <v>1738</v>
      </c>
    </row>
    <row r="1232" spans="2:5">
      <c r="B1232" s="143" t="s">
        <v>1100</v>
      </c>
      <c r="C1232" s="135" t="s">
        <v>25</v>
      </c>
      <c r="D1232" s="136" t="s">
        <v>1288</v>
      </c>
      <c r="E1232" s="144" t="s">
        <v>1738</v>
      </c>
    </row>
    <row r="1233" spans="2:5">
      <c r="B1233" s="143" t="s">
        <v>1100</v>
      </c>
      <c r="C1233" s="135" t="s">
        <v>25</v>
      </c>
      <c r="D1233" s="136" t="s">
        <v>1289</v>
      </c>
      <c r="E1233" s="144" t="s">
        <v>1738</v>
      </c>
    </row>
    <row r="1234" spans="2:5">
      <c r="B1234" s="143" t="s">
        <v>1100</v>
      </c>
      <c r="C1234" s="135" t="s">
        <v>25</v>
      </c>
      <c r="D1234" s="136" t="s">
        <v>1290</v>
      </c>
      <c r="E1234" s="144" t="s">
        <v>1738</v>
      </c>
    </row>
    <row r="1235" spans="2:5">
      <c r="B1235" s="143" t="s">
        <v>1100</v>
      </c>
      <c r="C1235" s="135" t="s">
        <v>25</v>
      </c>
      <c r="D1235" s="136" t="s">
        <v>1291</v>
      </c>
      <c r="E1235" s="144" t="s">
        <v>1738</v>
      </c>
    </row>
    <row r="1236" spans="2:5">
      <c r="B1236" s="143" t="s">
        <v>1100</v>
      </c>
      <c r="C1236" s="135" t="s">
        <v>25</v>
      </c>
      <c r="D1236" s="136" t="s">
        <v>1292</v>
      </c>
      <c r="E1236" s="144" t="s">
        <v>1738</v>
      </c>
    </row>
    <row r="1237" spans="2:5">
      <c r="B1237" s="143" t="s">
        <v>1100</v>
      </c>
      <c r="C1237" s="135" t="s">
        <v>25</v>
      </c>
      <c r="D1237" s="136" t="s">
        <v>1293</v>
      </c>
      <c r="E1237" s="144" t="s">
        <v>1738</v>
      </c>
    </row>
    <row r="1238" spans="2:5">
      <c r="B1238" s="143" t="s">
        <v>1100</v>
      </c>
      <c r="C1238" s="135" t="s">
        <v>25</v>
      </c>
      <c r="D1238" s="136" t="s">
        <v>1294</v>
      </c>
      <c r="E1238" s="144" t="s">
        <v>1738</v>
      </c>
    </row>
    <row r="1239" spans="2:5">
      <c r="B1239" s="143" t="s">
        <v>1100</v>
      </c>
      <c r="C1239" s="135" t="s">
        <v>25</v>
      </c>
      <c r="D1239" s="136" t="s">
        <v>1295</v>
      </c>
      <c r="E1239" s="144" t="s">
        <v>1738</v>
      </c>
    </row>
    <row r="1240" spans="2:5">
      <c r="B1240" s="143" t="s">
        <v>1100</v>
      </c>
      <c r="C1240" s="135" t="s">
        <v>25</v>
      </c>
      <c r="D1240" s="136" t="s">
        <v>1296</v>
      </c>
      <c r="E1240" s="144" t="s">
        <v>1</v>
      </c>
    </row>
    <row r="1241" spans="2:5">
      <c r="B1241" s="143" t="s">
        <v>1100</v>
      </c>
      <c r="C1241" s="135" t="s">
        <v>25</v>
      </c>
      <c r="D1241" s="136" t="s">
        <v>1297</v>
      </c>
      <c r="E1241" s="144" t="s">
        <v>1</v>
      </c>
    </row>
    <row r="1242" spans="2:5">
      <c r="B1242" s="143" t="s">
        <v>1100</v>
      </c>
      <c r="C1242" s="135" t="s">
        <v>25</v>
      </c>
      <c r="D1242" s="136" t="s">
        <v>1298</v>
      </c>
      <c r="E1242" s="144" t="s">
        <v>1</v>
      </c>
    </row>
    <row r="1243" spans="2:5">
      <c r="B1243" s="143" t="s">
        <v>1100</v>
      </c>
      <c r="C1243" s="135" t="s">
        <v>25</v>
      </c>
      <c r="D1243" s="136" t="s">
        <v>1299</v>
      </c>
      <c r="E1243" s="144" t="s">
        <v>1</v>
      </c>
    </row>
    <row r="1244" spans="2:5">
      <c r="B1244" s="143" t="s">
        <v>1100</v>
      </c>
      <c r="C1244" s="135" t="s">
        <v>25</v>
      </c>
      <c r="D1244" s="136" t="s">
        <v>1300</v>
      </c>
      <c r="E1244" s="144" t="s">
        <v>1</v>
      </c>
    </row>
    <row r="1245" spans="2:5">
      <c r="B1245" s="143" t="s">
        <v>1100</v>
      </c>
      <c r="C1245" s="135" t="s">
        <v>25</v>
      </c>
      <c r="D1245" s="136" t="s">
        <v>1301</v>
      </c>
      <c r="E1245" s="144" t="s">
        <v>1</v>
      </c>
    </row>
    <row r="1246" spans="2:5">
      <c r="B1246" s="143" t="s">
        <v>1100</v>
      </c>
      <c r="C1246" s="135" t="s">
        <v>25</v>
      </c>
      <c r="D1246" s="136" t="s">
        <v>1302</v>
      </c>
      <c r="E1246" s="144" t="s">
        <v>1738</v>
      </c>
    </row>
    <row r="1247" spans="2:5">
      <c r="B1247" s="143" t="s">
        <v>1100</v>
      </c>
      <c r="C1247" s="135" t="s">
        <v>25</v>
      </c>
      <c r="D1247" s="136" t="s">
        <v>1303</v>
      </c>
      <c r="E1247" s="144" t="s">
        <v>1738</v>
      </c>
    </row>
    <row r="1248" spans="2:5">
      <c r="B1248" s="143" t="s">
        <v>1100</v>
      </c>
      <c r="C1248" s="135" t="s">
        <v>25</v>
      </c>
      <c r="D1248" s="136" t="s">
        <v>1304</v>
      </c>
      <c r="E1248" s="144" t="s">
        <v>1</v>
      </c>
    </row>
    <row r="1249" spans="2:5">
      <c r="B1249" s="143" t="s">
        <v>1100</v>
      </c>
      <c r="C1249" s="135" t="s">
        <v>25</v>
      </c>
      <c r="D1249" s="136" t="s">
        <v>1305</v>
      </c>
      <c r="E1249" s="144" t="s">
        <v>1</v>
      </c>
    </row>
    <row r="1250" spans="2:5">
      <c r="B1250" s="143" t="s">
        <v>1100</v>
      </c>
      <c r="C1250" s="135" t="s">
        <v>25</v>
      </c>
      <c r="D1250" s="136" t="s">
        <v>1306</v>
      </c>
      <c r="E1250" s="144" t="s">
        <v>1</v>
      </c>
    </row>
    <row r="1251" spans="2:5">
      <c r="B1251" s="143" t="s">
        <v>1100</v>
      </c>
      <c r="C1251" s="135" t="s">
        <v>25</v>
      </c>
      <c r="D1251" s="136" t="s">
        <v>1307</v>
      </c>
      <c r="E1251" s="144" t="s">
        <v>1</v>
      </c>
    </row>
    <row r="1252" spans="2:5">
      <c r="B1252" s="143" t="s">
        <v>1100</v>
      </c>
      <c r="C1252" s="135" t="s">
        <v>25</v>
      </c>
      <c r="D1252" s="136" t="s">
        <v>1308</v>
      </c>
      <c r="E1252" s="144" t="s">
        <v>1738</v>
      </c>
    </row>
    <row r="1253" spans="2:5">
      <c r="B1253" s="143" t="s">
        <v>1100</v>
      </c>
      <c r="C1253" s="135" t="s">
        <v>25</v>
      </c>
      <c r="D1253" s="136" t="s">
        <v>1309</v>
      </c>
      <c r="E1253" s="144" t="s">
        <v>1738</v>
      </c>
    </row>
    <row r="1254" spans="2:5">
      <c r="B1254" s="143" t="s">
        <v>1100</v>
      </c>
      <c r="C1254" s="135" t="s">
        <v>25</v>
      </c>
      <c r="D1254" s="136" t="s">
        <v>1310</v>
      </c>
      <c r="E1254" s="144" t="s">
        <v>1</v>
      </c>
    </row>
    <row r="1255" spans="2:5">
      <c r="B1255" s="143" t="s">
        <v>1100</v>
      </c>
      <c r="C1255" s="135" t="s">
        <v>25</v>
      </c>
      <c r="D1255" s="136" t="s">
        <v>1311</v>
      </c>
      <c r="E1255" s="144" t="s">
        <v>1738</v>
      </c>
    </row>
    <row r="1256" spans="2:5">
      <c r="B1256" s="143" t="s">
        <v>1100</v>
      </c>
      <c r="C1256" s="135" t="s">
        <v>25</v>
      </c>
      <c r="D1256" s="136" t="s">
        <v>1312</v>
      </c>
      <c r="E1256" s="144" t="s">
        <v>1</v>
      </c>
    </row>
    <row r="1257" spans="2:5">
      <c r="B1257" s="143" t="s">
        <v>1100</v>
      </c>
      <c r="C1257" s="135" t="s">
        <v>25</v>
      </c>
      <c r="D1257" s="136" t="s">
        <v>1313</v>
      </c>
      <c r="E1257" s="144" t="s">
        <v>1738</v>
      </c>
    </row>
    <row r="1258" spans="2:5">
      <c r="B1258" s="143" t="s">
        <v>1100</v>
      </c>
      <c r="C1258" s="135" t="s">
        <v>25</v>
      </c>
      <c r="D1258" s="136" t="s">
        <v>1314</v>
      </c>
      <c r="E1258" s="144" t="s">
        <v>1738</v>
      </c>
    </row>
    <row r="1259" spans="2:5">
      <c r="B1259" s="143" t="s">
        <v>1100</v>
      </c>
      <c r="C1259" s="135" t="s">
        <v>25</v>
      </c>
      <c r="D1259" s="136" t="s">
        <v>1315</v>
      </c>
      <c r="E1259" s="144" t="s">
        <v>1</v>
      </c>
    </row>
    <row r="1260" spans="2:5">
      <c r="B1260" s="143" t="s">
        <v>1100</v>
      </c>
      <c r="C1260" s="135" t="s">
        <v>25</v>
      </c>
      <c r="D1260" s="136" t="s">
        <v>1316</v>
      </c>
      <c r="E1260" s="144" t="s">
        <v>1</v>
      </c>
    </row>
    <row r="1261" spans="2:5">
      <c r="B1261" s="143" t="s">
        <v>1100</v>
      </c>
      <c r="C1261" s="135" t="s">
        <v>25</v>
      </c>
      <c r="D1261" s="136" t="s">
        <v>1317</v>
      </c>
      <c r="E1261" s="144" t="s">
        <v>1</v>
      </c>
    </row>
    <row r="1262" spans="2:5">
      <c r="B1262" s="143" t="s">
        <v>1100</v>
      </c>
      <c r="C1262" s="135" t="s">
        <v>25</v>
      </c>
      <c r="D1262" s="136" t="s">
        <v>1318</v>
      </c>
      <c r="E1262" s="144" t="s">
        <v>1</v>
      </c>
    </row>
    <row r="1263" spans="2:5">
      <c r="B1263" s="143" t="s">
        <v>1100</v>
      </c>
      <c r="C1263" s="135" t="s">
        <v>25</v>
      </c>
      <c r="D1263" s="136" t="s">
        <v>1319</v>
      </c>
      <c r="E1263" s="144" t="s">
        <v>1738</v>
      </c>
    </row>
    <row r="1264" spans="2:5">
      <c r="B1264" s="143" t="s">
        <v>1100</v>
      </c>
      <c r="C1264" s="135" t="s">
        <v>25</v>
      </c>
      <c r="D1264" s="136" t="s">
        <v>1320</v>
      </c>
      <c r="E1264" s="144" t="s">
        <v>1738</v>
      </c>
    </row>
    <row r="1265" spans="2:5">
      <c r="B1265" s="143" t="s">
        <v>1100</v>
      </c>
      <c r="C1265" s="135" t="s">
        <v>25</v>
      </c>
      <c r="D1265" s="136" t="s">
        <v>1321</v>
      </c>
      <c r="E1265" s="144" t="s">
        <v>1738</v>
      </c>
    </row>
    <row r="1266" spans="2:5">
      <c r="B1266" s="143" t="s">
        <v>1100</v>
      </c>
      <c r="C1266" s="135" t="s">
        <v>25</v>
      </c>
      <c r="D1266" s="136" t="s">
        <v>1322</v>
      </c>
      <c r="E1266" s="144" t="s">
        <v>1</v>
      </c>
    </row>
    <row r="1267" spans="2:5">
      <c r="B1267" s="143" t="s">
        <v>1100</v>
      </c>
      <c r="C1267" s="135" t="s">
        <v>25</v>
      </c>
      <c r="D1267" s="136" t="s">
        <v>1323</v>
      </c>
      <c r="E1267" s="144" t="s">
        <v>1</v>
      </c>
    </row>
    <row r="1268" spans="2:5">
      <c r="B1268" s="143" t="s">
        <v>1100</v>
      </c>
      <c r="C1268" s="135" t="s">
        <v>25</v>
      </c>
      <c r="D1268" s="136" t="s">
        <v>1324</v>
      </c>
      <c r="E1268" s="144" t="s">
        <v>1</v>
      </c>
    </row>
    <row r="1269" spans="2:5">
      <c r="B1269" s="143" t="s">
        <v>1100</v>
      </c>
      <c r="C1269" s="135" t="s">
        <v>25</v>
      </c>
      <c r="D1269" s="136" t="s">
        <v>1325</v>
      </c>
      <c r="E1269" s="144" t="s">
        <v>1</v>
      </c>
    </row>
    <row r="1270" spans="2:5">
      <c r="B1270" s="143" t="s">
        <v>1100</v>
      </c>
      <c r="C1270" s="135" t="s">
        <v>25</v>
      </c>
      <c r="D1270" s="136" t="s">
        <v>1326</v>
      </c>
      <c r="E1270" s="144" t="s">
        <v>1</v>
      </c>
    </row>
    <row r="1271" spans="2:5">
      <c r="B1271" s="143" t="s">
        <v>1100</v>
      </c>
      <c r="C1271" s="135" t="s">
        <v>25</v>
      </c>
      <c r="D1271" s="136" t="s">
        <v>1327</v>
      </c>
      <c r="E1271" s="144" t="s">
        <v>1</v>
      </c>
    </row>
    <row r="1272" spans="2:5">
      <c r="B1272" s="143" t="s">
        <v>1100</v>
      </c>
      <c r="C1272" s="135" t="s">
        <v>25</v>
      </c>
      <c r="D1272" s="136" t="s">
        <v>1328</v>
      </c>
      <c r="E1272" s="144" t="s">
        <v>1</v>
      </c>
    </row>
    <row r="1273" spans="2:5">
      <c r="B1273" s="143" t="s">
        <v>1100</v>
      </c>
      <c r="C1273" s="135" t="s">
        <v>25</v>
      </c>
      <c r="D1273" s="136" t="s">
        <v>1329</v>
      </c>
      <c r="E1273" s="144" t="s">
        <v>1</v>
      </c>
    </row>
    <row r="1274" spans="2:5">
      <c r="B1274" s="143" t="s">
        <v>1100</v>
      </c>
      <c r="C1274" s="135" t="s">
        <v>25</v>
      </c>
      <c r="D1274" s="136" t="s">
        <v>1330</v>
      </c>
      <c r="E1274" s="144" t="s">
        <v>1</v>
      </c>
    </row>
    <row r="1275" spans="2:5">
      <c r="B1275" s="143" t="s">
        <v>1100</v>
      </c>
      <c r="C1275" s="135" t="s">
        <v>25</v>
      </c>
      <c r="D1275" s="136" t="s">
        <v>1331</v>
      </c>
      <c r="E1275" s="144" t="s">
        <v>1</v>
      </c>
    </row>
    <row r="1276" spans="2:5">
      <c r="B1276" s="143" t="s">
        <v>1100</v>
      </c>
      <c r="C1276" s="135" t="s">
        <v>25</v>
      </c>
      <c r="D1276" s="136" t="s">
        <v>1332</v>
      </c>
      <c r="E1276" s="144" t="s">
        <v>1</v>
      </c>
    </row>
    <row r="1277" spans="2:5">
      <c r="B1277" s="143" t="s">
        <v>1100</v>
      </c>
      <c r="C1277" s="135" t="s">
        <v>25</v>
      </c>
      <c r="D1277" s="136" t="s">
        <v>1333</v>
      </c>
      <c r="E1277" s="144" t="s">
        <v>1</v>
      </c>
    </row>
    <row r="1278" spans="2:5">
      <c r="B1278" s="143" t="s">
        <v>1100</v>
      </c>
      <c r="C1278" s="135" t="s">
        <v>25</v>
      </c>
      <c r="D1278" s="136" t="s">
        <v>1334</v>
      </c>
      <c r="E1278" s="144" t="s">
        <v>1</v>
      </c>
    </row>
    <row r="1279" spans="2:5">
      <c r="B1279" s="143" t="s">
        <v>1100</v>
      </c>
      <c r="C1279" s="135" t="s">
        <v>25</v>
      </c>
      <c r="D1279" s="136" t="s">
        <v>1335</v>
      </c>
      <c r="E1279" s="144" t="s">
        <v>1</v>
      </c>
    </row>
    <row r="1280" spans="2:5">
      <c r="B1280" s="143" t="s">
        <v>1100</v>
      </c>
      <c r="C1280" s="135" t="s">
        <v>25</v>
      </c>
      <c r="D1280" s="136" t="s">
        <v>1336</v>
      </c>
      <c r="E1280" s="144" t="s">
        <v>1738</v>
      </c>
    </row>
    <row r="1281" spans="2:5">
      <c r="B1281" s="143" t="s">
        <v>1100</v>
      </c>
      <c r="C1281" s="135" t="s">
        <v>25</v>
      </c>
      <c r="D1281" s="136" t="s">
        <v>1337</v>
      </c>
      <c r="E1281" s="144" t="s">
        <v>1</v>
      </c>
    </row>
    <row r="1282" spans="2:5">
      <c r="B1282" s="143" t="s">
        <v>1100</v>
      </c>
      <c r="C1282" s="135" t="s">
        <v>25</v>
      </c>
      <c r="D1282" s="136" t="s">
        <v>1338</v>
      </c>
      <c r="E1282" s="144" t="s">
        <v>1</v>
      </c>
    </row>
    <row r="1283" spans="2:5">
      <c r="B1283" s="143" t="s">
        <v>1100</v>
      </c>
      <c r="C1283" s="135" t="s">
        <v>25</v>
      </c>
      <c r="D1283" s="136" t="s">
        <v>1339</v>
      </c>
      <c r="E1283" s="144" t="s">
        <v>1</v>
      </c>
    </row>
    <row r="1284" spans="2:5">
      <c r="B1284" s="143" t="s">
        <v>1100</v>
      </c>
      <c r="C1284" s="135" t="s">
        <v>25</v>
      </c>
      <c r="D1284" s="136" t="s">
        <v>1340</v>
      </c>
      <c r="E1284" s="144" t="s">
        <v>1738</v>
      </c>
    </row>
    <row r="1285" spans="2:5">
      <c r="B1285" s="143" t="s">
        <v>1100</v>
      </c>
      <c r="C1285" s="135" t="s">
        <v>25</v>
      </c>
      <c r="D1285" s="136" t="s">
        <v>1341</v>
      </c>
      <c r="E1285" s="144" t="s">
        <v>1738</v>
      </c>
    </row>
    <row r="1286" spans="2:5">
      <c r="B1286" s="143" t="s">
        <v>1100</v>
      </c>
      <c r="C1286" s="135" t="s">
        <v>25</v>
      </c>
      <c r="D1286" s="136" t="s">
        <v>1342</v>
      </c>
      <c r="E1286" s="144" t="s">
        <v>1738</v>
      </c>
    </row>
    <row r="1287" spans="2:5">
      <c r="B1287" s="143" t="s">
        <v>1100</v>
      </c>
      <c r="C1287" s="135" t="s">
        <v>25</v>
      </c>
      <c r="D1287" s="136" t="s">
        <v>1343</v>
      </c>
      <c r="E1287" s="144" t="s">
        <v>1738</v>
      </c>
    </row>
    <row r="1288" spans="2:5">
      <c r="B1288" s="143" t="s">
        <v>1100</v>
      </c>
      <c r="C1288" s="135" t="s">
        <v>25</v>
      </c>
      <c r="D1288" s="136" t="s">
        <v>1344</v>
      </c>
      <c r="E1288" s="144" t="s">
        <v>1</v>
      </c>
    </row>
    <row r="1289" spans="2:5">
      <c r="B1289" s="143" t="s">
        <v>1100</v>
      </c>
      <c r="C1289" s="135" t="s">
        <v>25</v>
      </c>
      <c r="D1289" s="136" t="s">
        <v>1345</v>
      </c>
      <c r="E1289" s="144" t="s">
        <v>1</v>
      </c>
    </row>
    <row r="1290" spans="2:5">
      <c r="B1290" s="143" t="s">
        <v>1100</v>
      </c>
      <c r="C1290" s="135" t="s">
        <v>25</v>
      </c>
      <c r="D1290" s="136" t="s">
        <v>1346</v>
      </c>
      <c r="E1290" s="144" t="s">
        <v>1738</v>
      </c>
    </row>
    <row r="1291" spans="2:5">
      <c r="B1291" s="143" t="s">
        <v>1100</v>
      </c>
      <c r="C1291" s="135" t="s">
        <v>25</v>
      </c>
      <c r="D1291" s="136" t="s">
        <v>1347</v>
      </c>
      <c r="E1291" s="144" t="s">
        <v>1738</v>
      </c>
    </row>
    <row r="1292" spans="2:5">
      <c r="B1292" s="143" t="s">
        <v>1100</v>
      </c>
      <c r="C1292" s="135" t="s">
        <v>25</v>
      </c>
      <c r="D1292" s="136" t="s">
        <v>1348</v>
      </c>
      <c r="E1292" s="144" t="s">
        <v>1</v>
      </c>
    </row>
    <row r="1293" spans="2:5">
      <c r="B1293" s="143" t="s">
        <v>1100</v>
      </c>
      <c r="C1293" s="135" t="s">
        <v>25</v>
      </c>
      <c r="D1293" s="136" t="s">
        <v>1349</v>
      </c>
      <c r="E1293" s="144" t="s">
        <v>1</v>
      </c>
    </row>
    <row r="1294" spans="2:5">
      <c r="B1294" s="143" t="s">
        <v>1100</v>
      </c>
      <c r="C1294" s="135" t="s">
        <v>25</v>
      </c>
      <c r="D1294" s="136" t="s">
        <v>1350</v>
      </c>
      <c r="E1294" s="144" t="s">
        <v>1</v>
      </c>
    </row>
    <row r="1295" spans="2:5">
      <c r="B1295" s="143" t="s">
        <v>1100</v>
      </c>
      <c r="C1295" s="135" t="s">
        <v>25</v>
      </c>
      <c r="D1295" s="136" t="s">
        <v>1351</v>
      </c>
      <c r="E1295" s="144" t="s">
        <v>1</v>
      </c>
    </row>
    <row r="1296" spans="2:5">
      <c r="B1296" s="143" t="s">
        <v>1100</v>
      </c>
      <c r="C1296" s="135" t="s">
        <v>25</v>
      </c>
      <c r="D1296" s="136" t="s">
        <v>1352</v>
      </c>
      <c r="E1296" s="144" t="s">
        <v>1</v>
      </c>
    </row>
    <row r="1297" spans="2:5">
      <c r="B1297" s="143" t="s">
        <v>1100</v>
      </c>
      <c r="C1297" s="135" t="s">
        <v>25</v>
      </c>
      <c r="D1297" s="136" t="s">
        <v>1353</v>
      </c>
      <c r="E1297" s="144" t="s">
        <v>1</v>
      </c>
    </row>
    <row r="1298" spans="2:5">
      <c r="B1298" s="143" t="s">
        <v>1100</v>
      </c>
      <c r="C1298" s="135" t="s">
        <v>25</v>
      </c>
      <c r="D1298" s="136" t="s">
        <v>1354</v>
      </c>
      <c r="E1298" s="144" t="s">
        <v>1</v>
      </c>
    </row>
    <row r="1299" spans="2:5">
      <c r="B1299" s="143" t="s">
        <v>1100</v>
      </c>
      <c r="C1299" s="135" t="s">
        <v>25</v>
      </c>
      <c r="D1299" s="136" t="s">
        <v>1355</v>
      </c>
      <c r="E1299" s="144" t="s">
        <v>1</v>
      </c>
    </row>
    <row r="1300" spans="2:5">
      <c r="B1300" s="143" t="s">
        <v>1100</v>
      </c>
      <c r="C1300" s="135" t="s">
        <v>25</v>
      </c>
      <c r="D1300" s="136" t="s">
        <v>1356</v>
      </c>
      <c r="E1300" s="144" t="s">
        <v>1</v>
      </c>
    </row>
    <row r="1301" spans="2:5">
      <c r="B1301" s="143" t="s">
        <v>1100</v>
      </c>
      <c r="C1301" s="135" t="s">
        <v>25</v>
      </c>
      <c r="D1301" s="136" t="s">
        <v>1357</v>
      </c>
      <c r="E1301" s="144" t="s">
        <v>1</v>
      </c>
    </row>
    <row r="1302" spans="2:5">
      <c r="B1302" s="143" t="s">
        <v>1100</v>
      </c>
      <c r="C1302" s="135" t="s">
        <v>25</v>
      </c>
      <c r="D1302" s="136" t="s">
        <v>1358</v>
      </c>
      <c r="E1302" s="144" t="s">
        <v>1</v>
      </c>
    </row>
    <row r="1303" spans="2:5">
      <c r="B1303" s="143" t="s">
        <v>1100</v>
      </c>
      <c r="C1303" s="135" t="s">
        <v>25</v>
      </c>
      <c r="D1303" s="136" t="s">
        <v>1359</v>
      </c>
      <c r="E1303" s="144" t="s">
        <v>1</v>
      </c>
    </row>
    <row r="1304" spans="2:5">
      <c r="B1304" s="143" t="s">
        <v>1100</v>
      </c>
      <c r="C1304" s="135" t="s">
        <v>25</v>
      </c>
      <c r="D1304" s="136" t="s">
        <v>1360</v>
      </c>
      <c r="E1304" s="144" t="s">
        <v>1</v>
      </c>
    </row>
    <row r="1305" spans="2:5">
      <c r="B1305" s="143" t="s">
        <v>1100</v>
      </c>
      <c r="C1305" s="135" t="s">
        <v>25</v>
      </c>
      <c r="D1305" s="136" t="s">
        <v>1361</v>
      </c>
      <c r="E1305" s="144" t="s">
        <v>1</v>
      </c>
    </row>
    <row r="1306" spans="2:5">
      <c r="B1306" s="143" t="s">
        <v>1100</v>
      </c>
      <c r="C1306" s="135" t="s">
        <v>25</v>
      </c>
      <c r="D1306" s="136" t="s">
        <v>1362</v>
      </c>
      <c r="E1306" s="144" t="s">
        <v>1</v>
      </c>
    </row>
    <row r="1307" spans="2:5">
      <c r="B1307" s="143" t="s">
        <v>1100</v>
      </c>
      <c r="C1307" s="135" t="s">
        <v>25</v>
      </c>
      <c r="D1307" s="136" t="s">
        <v>1363</v>
      </c>
      <c r="E1307" s="144" t="s">
        <v>1</v>
      </c>
    </row>
    <row r="1308" spans="2:5">
      <c r="B1308" s="143" t="s">
        <v>1100</v>
      </c>
      <c r="C1308" s="135" t="s">
        <v>25</v>
      </c>
      <c r="D1308" s="136" t="s">
        <v>1364</v>
      </c>
      <c r="E1308" s="144" t="s">
        <v>1</v>
      </c>
    </row>
    <row r="1309" spans="2:5">
      <c r="B1309" s="143" t="s">
        <v>1100</v>
      </c>
      <c r="C1309" s="135" t="s">
        <v>25</v>
      </c>
      <c r="D1309" s="136" t="s">
        <v>1365</v>
      </c>
      <c r="E1309" s="144" t="s">
        <v>1</v>
      </c>
    </row>
    <row r="1310" spans="2:5">
      <c r="B1310" s="143" t="s">
        <v>1100</v>
      </c>
      <c r="C1310" s="135" t="s">
        <v>25</v>
      </c>
      <c r="D1310" s="136" t="s">
        <v>1366</v>
      </c>
      <c r="E1310" s="144" t="s">
        <v>1738</v>
      </c>
    </row>
    <row r="1311" spans="2:5">
      <c r="B1311" s="143" t="s">
        <v>1100</v>
      </c>
      <c r="C1311" s="135" t="s">
        <v>25</v>
      </c>
      <c r="D1311" s="136" t="s">
        <v>1367</v>
      </c>
      <c r="E1311" s="144" t="s">
        <v>1</v>
      </c>
    </row>
    <row r="1312" spans="2:5">
      <c r="B1312" s="143" t="s">
        <v>1100</v>
      </c>
      <c r="C1312" s="135" t="s">
        <v>25</v>
      </c>
      <c r="D1312" s="136" t="s">
        <v>1368</v>
      </c>
      <c r="E1312" s="144" t="s">
        <v>1738</v>
      </c>
    </row>
    <row r="1313" spans="2:5">
      <c r="B1313" s="143" t="s">
        <v>1100</v>
      </c>
      <c r="C1313" s="135" t="s">
        <v>25</v>
      </c>
      <c r="D1313" s="136" t="s">
        <v>1369</v>
      </c>
      <c r="E1313" s="144" t="s">
        <v>1</v>
      </c>
    </row>
    <row r="1314" spans="2:5">
      <c r="B1314" s="143" t="s">
        <v>1100</v>
      </c>
      <c r="C1314" s="135" t="s">
        <v>25</v>
      </c>
      <c r="D1314" s="136" t="s">
        <v>1370</v>
      </c>
      <c r="E1314" s="144" t="s">
        <v>1</v>
      </c>
    </row>
    <row r="1315" spans="2:5">
      <c r="B1315" s="143" t="s">
        <v>1100</v>
      </c>
      <c r="C1315" s="135" t="s">
        <v>25</v>
      </c>
      <c r="D1315" s="136" t="s">
        <v>1371</v>
      </c>
      <c r="E1315" s="144" t="s">
        <v>1</v>
      </c>
    </row>
    <row r="1316" spans="2:5">
      <c r="B1316" s="143" t="s">
        <v>1100</v>
      </c>
      <c r="C1316" s="135" t="s">
        <v>25</v>
      </c>
      <c r="D1316" s="136" t="s">
        <v>1372</v>
      </c>
      <c r="E1316" s="144" t="s">
        <v>1</v>
      </c>
    </row>
    <row r="1317" spans="2:5">
      <c r="B1317" s="143" t="s">
        <v>1100</v>
      </c>
      <c r="C1317" s="135" t="s">
        <v>25</v>
      </c>
      <c r="D1317" s="136" t="s">
        <v>1373</v>
      </c>
      <c r="E1317" s="144" t="s">
        <v>1</v>
      </c>
    </row>
    <row r="1318" spans="2:5">
      <c r="B1318" s="143" t="s">
        <v>1100</v>
      </c>
      <c r="C1318" s="135" t="s">
        <v>25</v>
      </c>
      <c r="D1318" s="136" t="s">
        <v>1374</v>
      </c>
      <c r="E1318" s="144" t="s">
        <v>1</v>
      </c>
    </row>
    <row r="1319" spans="2:5">
      <c r="B1319" s="143" t="s">
        <v>1100</v>
      </c>
      <c r="C1319" s="135" t="s">
        <v>25</v>
      </c>
      <c r="D1319" s="136" t="s">
        <v>1375</v>
      </c>
      <c r="E1319" s="144" t="s">
        <v>1738</v>
      </c>
    </row>
    <row r="1320" spans="2:5">
      <c r="B1320" s="143" t="s">
        <v>1100</v>
      </c>
      <c r="C1320" s="135" t="s">
        <v>25</v>
      </c>
      <c r="D1320" s="136" t="s">
        <v>1376</v>
      </c>
      <c r="E1320" s="144" t="s">
        <v>1</v>
      </c>
    </row>
    <row r="1321" spans="2:5">
      <c r="B1321" s="143" t="s">
        <v>1100</v>
      </c>
      <c r="C1321" s="135" t="s">
        <v>25</v>
      </c>
      <c r="D1321" s="136" t="s">
        <v>1377</v>
      </c>
      <c r="E1321" s="144" t="s">
        <v>1738</v>
      </c>
    </row>
    <row r="1322" spans="2:5">
      <c r="B1322" s="143" t="s">
        <v>1100</v>
      </c>
      <c r="C1322" s="135" t="s">
        <v>25</v>
      </c>
      <c r="D1322" s="136" t="s">
        <v>1378</v>
      </c>
      <c r="E1322" s="144" t="s">
        <v>1</v>
      </c>
    </row>
    <row r="1323" spans="2:5">
      <c r="B1323" s="143" t="s">
        <v>1100</v>
      </c>
      <c r="C1323" s="135" t="s">
        <v>25</v>
      </c>
      <c r="D1323" s="136" t="s">
        <v>1379</v>
      </c>
      <c r="E1323" s="144" t="s">
        <v>1738</v>
      </c>
    </row>
    <row r="1324" spans="2:5">
      <c r="B1324" s="143" t="s">
        <v>1100</v>
      </c>
      <c r="C1324" s="135" t="s">
        <v>25</v>
      </c>
      <c r="D1324" s="136" t="s">
        <v>1380</v>
      </c>
      <c r="E1324" s="144" t="s">
        <v>1738</v>
      </c>
    </row>
    <row r="1325" spans="2:5">
      <c r="B1325" s="143" t="s">
        <v>1100</v>
      </c>
      <c r="C1325" s="135" t="s">
        <v>25</v>
      </c>
      <c r="D1325" s="136" t="s">
        <v>1381</v>
      </c>
      <c r="E1325" s="144" t="s">
        <v>1738</v>
      </c>
    </row>
    <row r="1326" spans="2:5">
      <c r="B1326" s="143" t="s">
        <v>1100</v>
      </c>
      <c r="C1326" s="135" t="s">
        <v>25</v>
      </c>
      <c r="D1326" s="136" t="s">
        <v>1382</v>
      </c>
      <c r="E1326" s="144" t="s">
        <v>1</v>
      </c>
    </row>
    <row r="1327" spans="2:5">
      <c r="B1327" s="143" t="s">
        <v>1100</v>
      </c>
      <c r="C1327" s="135" t="s">
        <v>25</v>
      </c>
      <c r="D1327" s="136" t="s">
        <v>1383</v>
      </c>
      <c r="E1327" s="144" t="s">
        <v>1</v>
      </c>
    </row>
    <row r="1328" spans="2:5">
      <c r="B1328" s="143" t="s">
        <v>1100</v>
      </c>
      <c r="C1328" s="135" t="s">
        <v>25</v>
      </c>
      <c r="D1328" s="136" t="s">
        <v>1384</v>
      </c>
      <c r="E1328" s="144" t="s">
        <v>1738</v>
      </c>
    </row>
    <row r="1329" spans="2:5">
      <c r="B1329" s="143" t="s">
        <v>1100</v>
      </c>
      <c r="C1329" s="135" t="s">
        <v>25</v>
      </c>
      <c r="D1329" s="136" t="s">
        <v>1385</v>
      </c>
      <c r="E1329" s="144" t="s">
        <v>1</v>
      </c>
    </row>
    <row r="1330" spans="2:5">
      <c r="B1330" s="143" t="s">
        <v>1100</v>
      </c>
      <c r="C1330" s="135" t="s">
        <v>25</v>
      </c>
      <c r="D1330" s="136" t="s">
        <v>1386</v>
      </c>
      <c r="E1330" s="144" t="s">
        <v>1738</v>
      </c>
    </row>
    <row r="1331" spans="2:5">
      <c r="B1331" s="143" t="s">
        <v>1100</v>
      </c>
      <c r="C1331" s="135" t="s">
        <v>25</v>
      </c>
      <c r="D1331" s="136" t="s">
        <v>1387</v>
      </c>
      <c r="E1331" s="144" t="s">
        <v>1</v>
      </c>
    </row>
    <row r="1332" spans="2:5">
      <c r="B1332" s="143" t="s">
        <v>1100</v>
      </c>
      <c r="C1332" s="135" t="s">
        <v>25</v>
      </c>
      <c r="D1332" s="136" t="s">
        <v>1388</v>
      </c>
      <c r="E1332" s="144" t="s">
        <v>1</v>
      </c>
    </row>
    <row r="1333" spans="2:5">
      <c r="B1333" s="143" t="s">
        <v>1100</v>
      </c>
      <c r="C1333" s="135" t="s">
        <v>25</v>
      </c>
      <c r="D1333" s="136" t="s">
        <v>1389</v>
      </c>
      <c r="E1333" s="144" t="s">
        <v>1738</v>
      </c>
    </row>
    <row r="1334" spans="2:5">
      <c r="B1334" s="143" t="s">
        <v>1100</v>
      </c>
      <c r="C1334" s="135" t="s">
        <v>25</v>
      </c>
      <c r="D1334" s="136" t="s">
        <v>1390</v>
      </c>
      <c r="E1334" s="144" t="s">
        <v>1738</v>
      </c>
    </row>
    <row r="1335" spans="2:5">
      <c r="B1335" s="143" t="s">
        <v>1100</v>
      </c>
      <c r="C1335" s="135" t="s">
        <v>25</v>
      </c>
      <c r="D1335" s="136" t="s">
        <v>1391</v>
      </c>
      <c r="E1335" s="144" t="s">
        <v>1</v>
      </c>
    </row>
    <row r="1336" spans="2:5">
      <c r="B1336" s="143" t="s">
        <v>1100</v>
      </c>
      <c r="C1336" s="135" t="s">
        <v>25</v>
      </c>
      <c r="D1336" s="136" t="s">
        <v>1392</v>
      </c>
      <c r="E1336" s="144" t="s">
        <v>1738</v>
      </c>
    </row>
    <row r="1337" spans="2:5">
      <c r="B1337" s="143" t="s">
        <v>1100</v>
      </c>
      <c r="C1337" s="135" t="s">
        <v>25</v>
      </c>
      <c r="D1337" s="136" t="s">
        <v>1393</v>
      </c>
      <c r="E1337" s="144" t="s">
        <v>1738</v>
      </c>
    </row>
    <row r="1338" spans="2:5">
      <c r="B1338" s="143" t="s">
        <v>1100</v>
      </c>
      <c r="C1338" s="135" t="s">
        <v>25</v>
      </c>
      <c r="D1338" s="136" t="s">
        <v>1394</v>
      </c>
      <c r="E1338" s="144" t="s">
        <v>1738</v>
      </c>
    </row>
    <row r="1339" spans="2:5">
      <c r="B1339" s="143" t="s">
        <v>1100</v>
      </c>
      <c r="C1339" s="135" t="s">
        <v>25</v>
      </c>
      <c r="D1339" s="136" t="s">
        <v>1395</v>
      </c>
      <c r="E1339" s="144" t="s">
        <v>1</v>
      </c>
    </row>
    <row r="1340" spans="2:5">
      <c r="B1340" s="143" t="s">
        <v>1100</v>
      </c>
      <c r="C1340" s="135" t="s">
        <v>25</v>
      </c>
      <c r="D1340" s="136" t="s">
        <v>1396</v>
      </c>
      <c r="E1340" s="144" t="s">
        <v>1</v>
      </c>
    </row>
    <row r="1341" spans="2:5">
      <c r="B1341" s="143" t="s">
        <v>1100</v>
      </c>
      <c r="C1341" s="135" t="s">
        <v>25</v>
      </c>
      <c r="D1341" s="136" t="s">
        <v>1397</v>
      </c>
      <c r="E1341" s="144" t="s">
        <v>1</v>
      </c>
    </row>
    <row r="1342" spans="2:5">
      <c r="B1342" s="143" t="s">
        <v>1100</v>
      </c>
      <c r="C1342" s="135" t="s">
        <v>25</v>
      </c>
      <c r="D1342" s="136" t="s">
        <v>1398</v>
      </c>
      <c r="E1342" s="144" t="s">
        <v>1</v>
      </c>
    </row>
    <row r="1343" spans="2:5">
      <c r="B1343" s="143" t="s">
        <v>1100</v>
      </c>
      <c r="C1343" s="135" t="s">
        <v>25</v>
      </c>
      <c r="D1343" s="136" t="s">
        <v>1399</v>
      </c>
      <c r="E1343" s="144" t="s">
        <v>1</v>
      </c>
    </row>
    <row r="1344" spans="2:5">
      <c r="B1344" s="143" t="s">
        <v>1100</v>
      </c>
      <c r="C1344" s="135" t="s">
        <v>25</v>
      </c>
      <c r="D1344" s="136" t="s">
        <v>1400</v>
      </c>
      <c r="E1344" s="144" t="s">
        <v>1</v>
      </c>
    </row>
    <row r="1345" spans="2:5">
      <c r="B1345" s="143" t="s">
        <v>1100</v>
      </c>
      <c r="C1345" s="135" t="s">
        <v>25</v>
      </c>
      <c r="D1345" s="136" t="s">
        <v>1401</v>
      </c>
      <c r="E1345" s="144" t="s">
        <v>1</v>
      </c>
    </row>
    <row r="1346" spans="2:5">
      <c r="B1346" s="143" t="s">
        <v>1100</v>
      </c>
      <c r="C1346" s="135" t="s">
        <v>25</v>
      </c>
      <c r="D1346" s="136" t="s">
        <v>1402</v>
      </c>
      <c r="E1346" s="144" t="s">
        <v>1</v>
      </c>
    </row>
    <row r="1347" spans="2:5">
      <c r="B1347" s="143" t="s">
        <v>1100</v>
      </c>
      <c r="C1347" s="135" t="s">
        <v>25</v>
      </c>
      <c r="D1347" s="136" t="s">
        <v>1403</v>
      </c>
      <c r="E1347" s="144" t="s">
        <v>1</v>
      </c>
    </row>
    <row r="1348" spans="2:5">
      <c r="B1348" s="143" t="s">
        <v>1100</v>
      </c>
      <c r="C1348" s="135" t="s">
        <v>25</v>
      </c>
      <c r="D1348" s="136" t="s">
        <v>1404</v>
      </c>
      <c r="E1348" s="144" t="s">
        <v>1</v>
      </c>
    </row>
    <row r="1349" spans="2:5">
      <c r="B1349" s="143" t="s">
        <v>1100</v>
      </c>
      <c r="C1349" s="135" t="s">
        <v>25</v>
      </c>
      <c r="D1349" s="136" t="s">
        <v>1405</v>
      </c>
      <c r="E1349" s="144" t="s">
        <v>1</v>
      </c>
    </row>
    <row r="1350" spans="2:5">
      <c r="B1350" s="143" t="s">
        <v>1100</v>
      </c>
      <c r="C1350" s="135" t="s">
        <v>25</v>
      </c>
      <c r="D1350" s="136" t="s">
        <v>1406</v>
      </c>
      <c r="E1350" s="144" t="s">
        <v>1738</v>
      </c>
    </row>
    <row r="1351" spans="2:5">
      <c r="B1351" s="143" t="s">
        <v>1100</v>
      </c>
      <c r="C1351" s="135" t="s">
        <v>25</v>
      </c>
      <c r="D1351" s="136" t="s">
        <v>1407</v>
      </c>
      <c r="E1351" s="144" t="s">
        <v>1</v>
      </c>
    </row>
    <row r="1352" spans="2:5">
      <c r="B1352" s="143" t="s">
        <v>1100</v>
      </c>
      <c r="C1352" s="135" t="s">
        <v>25</v>
      </c>
      <c r="D1352" s="136" t="s">
        <v>1408</v>
      </c>
      <c r="E1352" s="144" t="s">
        <v>1738</v>
      </c>
    </row>
    <row r="1353" spans="2:5">
      <c r="B1353" s="143" t="s">
        <v>1100</v>
      </c>
      <c r="C1353" s="135" t="s">
        <v>25</v>
      </c>
      <c r="D1353" s="136" t="s">
        <v>1409</v>
      </c>
      <c r="E1353" s="144" t="s">
        <v>1738</v>
      </c>
    </row>
    <row r="1354" spans="2:5">
      <c r="B1354" s="143" t="s">
        <v>1100</v>
      </c>
      <c r="C1354" s="135" t="s">
        <v>25</v>
      </c>
      <c r="D1354" s="136" t="s">
        <v>1410</v>
      </c>
      <c r="E1354" s="144" t="s">
        <v>1738</v>
      </c>
    </row>
    <row r="1355" spans="2:5">
      <c r="B1355" s="143" t="s">
        <v>1100</v>
      </c>
      <c r="C1355" s="135" t="s">
        <v>25</v>
      </c>
      <c r="D1355" s="136" t="s">
        <v>1411</v>
      </c>
      <c r="E1355" s="144" t="s">
        <v>1738</v>
      </c>
    </row>
    <row r="1356" spans="2:5">
      <c r="B1356" s="143" t="s">
        <v>1100</v>
      </c>
      <c r="C1356" s="135" t="s">
        <v>25</v>
      </c>
      <c r="D1356" s="136" t="s">
        <v>1412</v>
      </c>
      <c r="E1356" s="144" t="s">
        <v>1</v>
      </c>
    </row>
    <row r="1357" spans="2:5">
      <c r="B1357" s="143" t="s">
        <v>1100</v>
      </c>
      <c r="C1357" s="135" t="s">
        <v>25</v>
      </c>
      <c r="D1357" s="136" t="s">
        <v>1413</v>
      </c>
      <c r="E1357" s="144" t="s">
        <v>1738</v>
      </c>
    </row>
    <row r="1358" spans="2:5">
      <c r="B1358" s="143" t="s">
        <v>1100</v>
      </c>
      <c r="C1358" s="135" t="s">
        <v>25</v>
      </c>
      <c r="D1358" s="136" t="s">
        <v>1414</v>
      </c>
      <c r="E1358" s="144" t="s">
        <v>1</v>
      </c>
    </row>
    <row r="1359" spans="2:5">
      <c r="B1359" s="143" t="s">
        <v>1100</v>
      </c>
      <c r="C1359" s="135" t="s">
        <v>25</v>
      </c>
      <c r="D1359" s="136" t="s">
        <v>1415</v>
      </c>
      <c r="E1359" s="144" t="s">
        <v>1738</v>
      </c>
    </row>
    <row r="1360" spans="2:5">
      <c r="B1360" s="143" t="s">
        <v>1100</v>
      </c>
      <c r="C1360" s="135" t="s">
        <v>25</v>
      </c>
      <c r="D1360" s="136" t="s">
        <v>1416</v>
      </c>
      <c r="E1360" s="144" t="s">
        <v>1</v>
      </c>
    </row>
    <row r="1361" spans="2:5">
      <c r="B1361" s="143" t="s">
        <v>1100</v>
      </c>
      <c r="C1361" s="135" t="s">
        <v>25</v>
      </c>
      <c r="D1361" s="136" t="s">
        <v>1417</v>
      </c>
      <c r="E1361" s="144" t="s">
        <v>1738</v>
      </c>
    </row>
    <row r="1362" spans="2:5">
      <c r="B1362" s="143" t="s">
        <v>1100</v>
      </c>
      <c r="C1362" s="135" t="s">
        <v>25</v>
      </c>
      <c r="D1362" s="136" t="s">
        <v>1418</v>
      </c>
      <c r="E1362" s="144" t="s">
        <v>1738</v>
      </c>
    </row>
    <row r="1363" spans="2:5">
      <c r="B1363" s="143" t="s">
        <v>1100</v>
      </c>
      <c r="C1363" s="135" t="s">
        <v>25</v>
      </c>
      <c r="D1363" s="136" t="s">
        <v>1419</v>
      </c>
      <c r="E1363" s="144" t="s">
        <v>1738</v>
      </c>
    </row>
    <row r="1364" spans="2:5">
      <c r="B1364" s="143" t="s">
        <v>1100</v>
      </c>
      <c r="C1364" s="135" t="s">
        <v>25</v>
      </c>
      <c r="D1364" s="136" t="s">
        <v>1420</v>
      </c>
      <c r="E1364" s="144" t="s">
        <v>1738</v>
      </c>
    </row>
    <row r="1365" spans="2:5">
      <c r="B1365" s="143" t="s">
        <v>1100</v>
      </c>
      <c r="C1365" s="135" t="s">
        <v>25</v>
      </c>
      <c r="D1365" s="136" t="s">
        <v>1421</v>
      </c>
      <c r="E1365" s="144" t="s">
        <v>1738</v>
      </c>
    </row>
    <row r="1366" spans="2:5">
      <c r="B1366" s="143" t="s">
        <v>1100</v>
      </c>
      <c r="C1366" s="135" t="s">
        <v>25</v>
      </c>
      <c r="D1366" s="136" t="s">
        <v>1422</v>
      </c>
      <c r="E1366" s="144" t="s">
        <v>1</v>
      </c>
    </row>
    <row r="1367" spans="2:5">
      <c r="B1367" s="143" t="s">
        <v>1100</v>
      </c>
      <c r="C1367" s="135" t="s">
        <v>25</v>
      </c>
      <c r="D1367" s="136" t="s">
        <v>1423</v>
      </c>
      <c r="E1367" s="144" t="s">
        <v>1</v>
      </c>
    </row>
    <row r="1368" spans="2:5">
      <c r="B1368" s="143" t="s">
        <v>1100</v>
      </c>
      <c r="C1368" s="135" t="s">
        <v>25</v>
      </c>
      <c r="D1368" s="136" t="s">
        <v>1424</v>
      </c>
      <c r="E1368" s="144" t="s">
        <v>1738</v>
      </c>
    </row>
    <row r="1369" spans="2:5">
      <c r="B1369" s="143" t="s">
        <v>1100</v>
      </c>
      <c r="C1369" s="135" t="s">
        <v>25</v>
      </c>
      <c r="D1369" s="136" t="s">
        <v>1425</v>
      </c>
      <c r="E1369" s="144" t="s">
        <v>1</v>
      </c>
    </row>
    <row r="1370" spans="2:5">
      <c r="B1370" s="143" t="s">
        <v>1100</v>
      </c>
      <c r="C1370" s="135" t="s">
        <v>25</v>
      </c>
      <c r="D1370" s="136" t="s">
        <v>1426</v>
      </c>
      <c r="E1370" s="144" t="s">
        <v>1</v>
      </c>
    </row>
    <row r="1371" spans="2:5">
      <c r="B1371" s="143" t="s">
        <v>1100</v>
      </c>
      <c r="C1371" s="135" t="s">
        <v>25</v>
      </c>
      <c r="D1371" s="136" t="s">
        <v>1427</v>
      </c>
      <c r="E1371" s="144" t="s">
        <v>1738</v>
      </c>
    </row>
    <row r="1372" spans="2:5">
      <c r="B1372" s="143" t="s">
        <v>1100</v>
      </c>
      <c r="C1372" s="135" t="s">
        <v>25</v>
      </c>
      <c r="D1372" s="136" t="s">
        <v>1428</v>
      </c>
      <c r="E1372" s="144" t="s">
        <v>1</v>
      </c>
    </row>
    <row r="1373" spans="2:5">
      <c r="B1373" s="143" t="s">
        <v>1100</v>
      </c>
      <c r="C1373" s="135" t="s">
        <v>25</v>
      </c>
      <c r="D1373" s="136" t="s">
        <v>1429</v>
      </c>
      <c r="E1373" s="144" t="s">
        <v>1738</v>
      </c>
    </row>
    <row r="1374" spans="2:5">
      <c r="B1374" s="143" t="s">
        <v>1100</v>
      </c>
      <c r="C1374" s="135" t="s">
        <v>25</v>
      </c>
      <c r="D1374" s="136" t="s">
        <v>1430</v>
      </c>
      <c r="E1374" s="144" t="s">
        <v>1</v>
      </c>
    </row>
    <row r="1375" spans="2:5">
      <c r="B1375" s="143" t="s">
        <v>1100</v>
      </c>
      <c r="C1375" s="135" t="s">
        <v>25</v>
      </c>
      <c r="D1375" s="136" t="s">
        <v>1431</v>
      </c>
      <c r="E1375" s="144" t="s">
        <v>1</v>
      </c>
    </row>
    <row r="1376" spans="2:5">
      <c r="B1376" s="143" t="s">
        <v>1100</v>
      </c>
      <c r="C1376" s="135" t="s">
        <v>25</v>
      </c>
      <c r="D1376" s="136" t="s">
        <v>1432</v>
      </c>
      <c r="E1376" s="144" t="s">
        <v>1</v>
      </c>
    </row>
    <row r="1377" spans="2:5">
      <c r="B1377" s="143" t="s">
        <v>1100</v>
      </c>
      <c r="C1377" s="135" t="s">
        <v>25</v>
      </c>
      <c r="D1377" s="136" t="s">
        <v>1433</v>
      </c>
      <c r="E1377" s="144" t="s">
        <v>1</v>
      </c>
    </row>
    <row r="1378" spans="2:5">
      <c r="B1378" s="143" t="s">
        <v>1100</v>
      </c>
      <c r="C1378" s="135" t="s">
        <v>25</v>
      </c>
      <c r="D1378" s="136" t="s">
        <v>1434</v>
      </c>
      <c r="E1378" s="144" t="s">
        <v>1</v>
      </c>
    </row>
    <row r="1379" spans="2:5">
      <c r="B1379" s="143" t="s">
        <v>1100</v>
      </c>
      <c r="C1379" s="135" t="s">
        <v>25</v>
      </c>
      <c r="D1379" s="136" t="s">
        <v>1435</v>
      </c>
      <c r="E1379" s="144" t="s">
        <v>1</v>
      </c>
    </row>
    <row r="1380" spans="2:5">
      <c r="B1380" s="143" t="s">
        <v>1100</v>
      </c>
      <c r="C1380" s="135" t="s">
        <v>25</v>
      </c>
      <c r="D1380" s="136" t="s">
        <v>1436</v>
      </c>
      <c r="E1380" s="144" t="s">
        <v>1</v>
      </c>
    </row>
    <row r="1381" spans="2:5">
      <c r="B1381" s="143" t="s">
        <v>1100</v>
      </c>
      <c r="C1381" s="135" t="s">
        <v>25</v>
      </c>
      <c r="D1381" s="136" t="s">
        <v>1437</v>
      </c>
      <c r="E1381" s="144" t="s">
        <v>1</v>
      </c>
    </row>
    <row r="1382" spans="2:5">
      <c r="B1382" s="143" t="s">
        <v>1100</v>
      </c>
      <c r="C1382" s="135" t="s">
        <v>25</v>
      </c>
      <c r="D1382" s="136" t="s">
        <v>1438</v>
      </c>
      <c r="E1382" s="144" t="s">
        <v>1</v>
      </c>
    </row>
    <row r="1383" spans="2:5">
      <c r="B1383" s="143" t="s">
        <v>1100</v>
      </c>
      <c r="C1383" s="135" t="s">
        <v>25</v>
      </c>
      <c r="D1383" s="136" t="s">
        <v>1439</v>
      </c>
      <c r="E1383" s="144" t="s">
        <v>1</v>
      </c>
    </row>
    <row r="1384" spans="2:5">
      <c r="B1384" s="143" t="s">
        <v>1100</v>
      </c>
      <c r="C1384" s="135" t="s">
        <v>25</v>
      </c>
      <c r="D1384" s="136" t="s">
        <v>1440</v>
      </c>
      <c r="E1384" s="144" t="s">
        <v>1</v>
      </c>
    </row>
    <row r="1385" spans="2:5">
      <c r="B1385" s="143" t="s">
        <v>1100</v>
      </c>
      <c r="C1385" s="135" t="s">
        <v>25</v>
      </c>
      <c r="D1385" s="136" t="s">
        <v>1441</v>
      </c>
      <c r="E1385" s="144" t="s">
        <v>1</v>
      </c>
    </row>
    <row r="1386" spans="2:5">
      <c r="B1386" s="143" t="s">
        <v>1100</v>
      </c>
      <c r="C1386" s="135" t="s">
        <v>25</v>
      </c>
      <c r="D1386" s="136" t="s">
        <v>1442</v>
      </c>
      <c r="E1386" s="144" t="s">
        <v>1</v>
      </c>
    </row>
    <row r="1387" spans="2:5">
      <c r="B1387" s="143" t="s">
        <v>1100</v>
      </c>
      <c r="C1387" s="135" t="s">
        <v>25</v>
      </c>
      <c r="D1387" s="136" t="s">
        <v>1443</v>
      </c>
      <c r="E1387" s="144" t="s">
        <v>1</v>
      </c>
    </row>
    <row r="1388" spans="2:5">
      <c r="B1388" s="143" t="s">
        <v>1100</v>
      </c>
      <c r="C1388" s="135" t="s">
        <v>25</v>
      </c>
      <c r="D1388" s="136" t="s">
        <v>1444</v>
      </c>
      <c r="E1388" s="144" t="s">
        <v>1</v>
      </c>
    </row>
    <row r="1389" spans="2:5">
      <c r="B1389" s="143" t="s">
        <v>1100</v>
      </c>
      <c r="C1389" s="135" t="s">
        <v>25</v>
      </c>
      <c r="D1389" s="136" t="s">
        <v>1445</v>
      </c>
      <c r="E1389" s="144" t="s">
        <v>1</v>
      </c>
    </row>
    <row r="1390" spans="2:5">
      <c r="B1390" s="143" t="s">
        <v>1100</v>
      </c>
      <c r="C1390" s="135" t="s">
        <v>25</v>
      </c>
      <c r="D1390" s="136" t="s">
        <v>1446</v>
      </c>
      <c r="E1390" s="144" t="s">
        <v>1</v>
      </c>
    </row>
    <row r="1391" spans="2:5">
      <c r="B1391" s="143" t="s">
        <v>1100</v>
      </c>
      <c r="C1391" s="135" t="s">
        <v>25</v>
      </c>
      <c r="D1391" s="136" t="s">
        <v>1447</v>
      </c>
      <c r="E1391" s="144" t="s">
        <v>1</v>
      </c>
    </row>
    <row r="1392" spans="2:5">
      <c r="B1392" s="143" t="s">
        <v>1100</v>
      </c>
      <c r="C1392" s="135" t="s">
        <v>25</v>
      </c>
      <c r="D1392" s="136" t="s">
        <v>1448</v>
      </c>
      <c r="E1392" s="144" t="s">
        <v>1</v>
      </c>
    </row>
    <row r="1393" spans="2:5">
      <c r="B1393" s="143" t="s">
        <v>1100</v>
      </c>
      <c r="C1393" s="135" t="s">
        <v>25</v>
      </c>
      <c r="D1393" s="136" t="s">
        <v>1449</v>
      </c>
      <c r="E1393" s="144" t="s">
        <v>1</v>
      </c>
    </row>
    <row r="1394" spans="2:5">
      <c r="B1394" s="143" t="s">
        <v>1100</v>
      </c>
      <c r="C1394" s="135" t="s">
        <v>25</v>
      </c>
      <c r="D1394" s="136" t="s">
        <v>1450</v>
      </c>
      <c r="E1394" s="144" t="s">
        <v>1</v>
      </c>
    </row>
    <row r="1395" spans="2:5">
      <c r="B1395" s="143" t="s">
        <v>1100</v>
      </c>
      <c r="C1395" s="135" t="s">
        <v>25</v>
      </c>
      <c r="D1395" s="136" t="s">
        <v>1451</v>
      </c>
      <c r="E1395" s="144" t="s">
        <v>1</v>
      </c>
    </row>
    <row r="1396" spans="2:5">
      <c r="B1396" s="143" t="s">
        <v>1100</v>
      </c>
      <c r="C1396" s="135" t="s">
        <v>25</v>
      </c>
      <c r="D1396" s="136" t="s">
        <v>1452</v>
      </c>
      <c r="E1396" s="144" t="s">
        <v>1</v>
      </c>
    </row>
    <row r="1397" spans="2:5">
      <c r="B1397" s="143" t="s">
        <v>1100</v>
      </c>
      <c r="C1397" s="135" t="s">
        <v>25</v>
      </c>
      <c r="D1397" s="136" t="s">
        <v>1453</v>
      </c>
      <c r="E1397" s="144" t="s">
        <v>1</v>
      </c>
    </row>
    <row r="1398" spans="2:5">
      <c r="B1398" s="143" t="s">
        <v>1100</v>
      </c>
      <c r="C1398" s="135" t="s">
        <v>25</v>
      </c>
      <c r="D1398" s="136" t="s">
        <v>1454</v>
      </c>
      <c r="E1398" s="144" t="s">
        <v>1</v>
      </c>
    </row>
    <row r="1399" spans="2:5">
      <c r="B1399" s="143" t="s">
        <v>1100</v>
      </c>
      <c r="C1399" s="135" t="s">
        <v>25</v>
      </c>
      <c r="D1399" s="136" t="s">
        <v>1455</v>
      </c>
      <c r="E1399" s="144" t="s">
        <v>1</v>
      </c>
    </row>
    <row r="1400" spans="2:5">
      <c r="B1400" s="143" t="s">
        <v>1100</v>
      </c>
      <c r="C1400" s="135" t="s">
        <v>25</v>
      </c>
      <c r="D1400" s="136" t="s">
        <v>1456</v>
      </c>
      <c r="E1400" s="144" t="s">
        <v>1</v>
      </c>
    </row>
    <row r="1401" spans="2:5">
      <c r="B1401" s="143" t="s">
        <v>1100</v>
      </c>
      <c r="C1401" s="135" t="s">
        <v>25</v>
      </c>
      <c r="D1401" s="136" t="s">
        <v>1457</v>
      </c>
      <c r="E1401" s="144" t="s">
        <v>1</v>
      </c>
    </row>
    <row r="1402" spans="2:5">
      <c r="B1402" s="143" t="s">
        <v>1100</v>
      </c>
      <c r="C1402" s="135" t="s">
        <v>25</v>
      </c>
      <c r="D1402" s="136" t="s">
        <v>1458</v>
      </c>
      <c r="E1402" s="144" t="s">
        <v>1</v>
      </c>
    </row>
    <row r="1403" spans="2:5">
      <c r="B1403" s="143" t="s">
        <v>1100</v>
      </c>
      <c r="C1403" s="135" t="s">
        <v>25</v>
      </c>
      <c r="D1403" s="136" t="s">
        <v>1459</v>
      </c>
      <c r="E1403" s="144" t="s">
        <v>1</v>
      </c>
    </row>
    <row r="1404" spans="2:5">
      <c r="B1404" s="143" t="s">
        <v>1100</v>
      </c>
      <c r="C1404" s="135" t="s">
        <v>25</v>
      </c>
      <c r="D1404" s="136" t="s">
        <v>1460</v>
      </c>
      <c r="E1404" s="144" t="s">
        <v>1738</v>
      </c>
    </row>
    <row r="1405" spans="2:5">
      <c r="B1405" s="143" t="s">
        <v>1100</v>
      </c>
      <c r="C1405" s="135" t="s">
        <v>25</v>
      </c>
      <c r="D1405" s="136" t="s">
        <v>1461</v>
      </c>
      <c r="E1405" s="144" t="s">
        <v>1738</v>
      </c>
    </row>
    <row r="1406" spans="2:5">
      <c r="B1406" s="143" t="s">
        <v>1100</v>
      </c>
      <c r="C1406" s="135" t="s">
        <v>25</v>
      </c>
      <c r="D1406" s="136" t="s">
        <v>1462</v>
      </c>
      <c r="E1406" s="144" t="s">
        <v>1738</v>
      </c>
    </row>
    <row r="1407" spans="2:5">
      <c r="B1407" s="143" t="s">
        <v>1100</v>
      </c>
      <c r="C1407" s="135" t="s">
        <v>25</v>
      </c>
      <c r="D1407" s="136" t="s">
        <v>1463</v>
      </c>
      <c r="E1407" s="144" t="s">
        <v>1738</v>
      </c>
    </row>
    <row r="1408" spans="2:5">
      <c r="B1408" s="143" t="s">
        <v>1100</v>
      </c>
      <c r="C1408" s="135" t="s">
        <v>25</v>
      </c>
      <c r="D1408" s="136" t="s">
        <v>1464</v>
      </c>
      <c r="E1408" s="144" t="s">
        <v>1</v>
      </c>
    </row>
    <row r="1409" spans="2:5">
      <c r="B1409" s="143" t="s">
        <v>1100</v>
      </c>
      <c r="C1409" s="135" t="s">
        <v>25</v>
      </c>
      <c r="D1409" s="136" t="s">
        <v>1465</v>
      </c>
      <c r="E1409" s="144" t="s">
        <v>1738</v>
      </c>
    </row>
    <row r="1410" spans="2:5">
      <c r="B1410" s="143" t="s">
        <v>1100</v>
      </c>
      <c r="C1410" s="135" t="s">
        <v>25</v>
      </c>
      <c r="D1410" s="136" t="s">
        <v>1466</v>
      </c>
      <c r="E1410" s="144" t="s">
        <v>1</v>
      </c>
    </row>
    <row r="1411" spans="2:5">
      <c r="B1411" s="143" t="s">
        <v>1100</v>
      </c>
      <c r="C1411" s="135" t="s">
        <v>25</v>
      </c>
      <c r="D1411" s="136" t="s">
        <v>1467</v>
      </c>
      <c r="E1411" s="144" t="s">
        <v>1</v>
      </c>
    </row>
    <row r="1412" spans="2:5">
      <c r="B1412" s="143" t="s">
        <v>1468</v>
      </c>
      <c r="C1412" s="135" t="s">
        <v>27</v>
      </c>
      <c r="D1412" s="136" t="s">
        <v>1469</v>
      </c>
      <c r="E1412" s="144" t="s">
        <v>1738</v>
      </c>
    </row>
    <row r="1413" spans="2:5">
      <c r="B1413" s="143" t="s">
        <v>1468</v>
      </c>
      <c r="C1413" s="135" t="s">
        <v>27</v>
      </c>
      <c r="D1413" s="136" t="s">
        <v>1470</v>
      </c>
      <c r="E1413" s="144" t="s">
        <v>1738</v>
      </c>
    </row>
    <row r="1414" spans="2:5">
      <c r="B1414" s="143" t="s">
        <v>1468</v>
      </c>
      <c r="C1414" s="135" t="s">
        <v>27</v>
      </c>
      <c r="D1414" s="136" t="s">
        <v>1471</v>
      </c>
      <c r="E1414" s="144" t="s">
        <v>1738</v>
      </c>
    </row>
    <row r="1415" spans="2:5">
      <c r="B1415" s="143" t="s">
        <v>1468</v>
      </c>
      <c r="C1415" s="135" t="s">
        <v>27</v>
      </c>
      <c r="D1415" s="136" t="s">
        <v>1472</v>
      </c>
      <c r="E1415" s="144" t="s">
        <v>1738</v>
      </c>
    </row>
    <row r="1416" spans="2:5">
      <c r="B1416" s="143" t="s">
        <v>1468</v>
      </c>
      <c r="C1416" s="135" t="s">
        <v>27</v>
      </c>
      <c r="D1416" s="136" t="s">
        <v>1473</v>
      </c>
      <c r="E1416" s="144" t="s">
        <v>1738</v>
      </c>
    </row>
    <row r="1417" spans="2:5">
      <c r="B1417" s="143" t="s">
        <v>1468</v>
      </c>
      <c r="C1417" s="135" t="s">
        <v>27</v>
      </c>
      <c r="D1417" s="136" t="s">
        <v>1474</v>
      </c>
      <c r="E1417" s="144" t="s">
        <v>1738</v>
      </c>
    </row>
    <row r="1418" spans="2:5">
      <c r="B1418" s="143" t="s">
        <v>1468</v>
      </c>
      <c r="C1418" s="135" t="s">
        <v>27</v>
      </c>
      <c r="D1418" s="136" t="s">
        <v>1475</v>
      </c>
      <c r="E1418" s="144" t="s">
        <v>1738</v>
      </c>
    </row>
    <row r="1419" spans="2:5">
      <c r="B1419" s="143" t="s">
        <v>1468</v>
      </c>
      <c r="C1419" s="135" t="s">
        <v>27</v>
      </c>
      <c r="D1419" s="136" t="s">
        <v>1476</v>
      </c>
      <c r="E1419" s="144" t="s">
        <v>1738</v>
      </c>
    </row>
    <row r="1420" spans="2:5">
      <c r="B1420" s="143" t="s">
        <v>1468</v>
      </c>
      <c r="C1420" s="135" t="s">
        <v>27</v>
      </c>
      <c r="D1420" s="136" t="s">
        <v>1477</v>
      </c>
      <c r="E1420" s="144" t="s">
        <v>1738</v>
      </c>
    </row>
    <row r="1421" spans="2:5">
      <c r="B1421" s="143" t="s">
        <v>1468</v>
      </c>
      <c r="C1421" s="135" t="s">
        <v>27</v>
      </c>
      <c r="D1421" s="136" t="s">
        <v>1478</v>
      </c>
      <c r="E1421" s="144" t="s">
        <v>1738</v>
      </c>
    </row>
    <row r="1422" spans="2:5">
      <c r="B1422" s="143" t="s">
        <v>1468</v>
      </c>
      <c r="C1422" s="135" t="s">
        <v>27</v>
      </c>
      <c r="D1422" s="136" t="s">
        <v>1479</v>
      </c>
      <c r="E1422" s="144" t="s">
        <v>1738</v>
      </c>
    </row>
    <row r="1423" spans="2:5">
      <c r="B1423" s="143" t="s">
        <v>1468</v>
      </c>
      <c r="C1423" s="135" t="s">
        <v>27</v>
      </c>
      <c r="D1423" s="136" t="s">
        <v>1480</v>
      </c>
      <c r="E1423" s="144" t="s">
        <v>1738</v>
      </c>
    </row>
    <row r="1424" spans="2:5">
      <c r="B1424" s="143" t="s">
        <v>1468</v>
      </c>
      <c r="C1424" s="135" t="s">
        <v>27</v>
      </c>
      <c r="D1424" s="136" t="s">
        <v>1481</v>
      </c>
      <c r="E1424" s="144" t="s">
        <v>1738</v>
      </c>
    </row>
    <row r="1425" spans="2:5">
      <c r="B1425" s="143" t="s">
        <v>1468</v>
      </c>
      <c r="C1425" s="135" t="s">
        <v>27</v>
      </c>
      <c r="D1425" s="136" t="s">
        <v>1482</v>
      </c>
      <c r="E1425" s="144" t="s">
        <v>1738</v>
      </c>
    </row>
    <row r="1426" spans="2:5">
      <c r="B1426" s="143" t="s">
        <v>1468</v>
      </c>
      <c r="C1426" s="135" t="s">
        <v>27</v>
      </c>
      <c r="D1426" s="136" t="s">
        <v>1483</v>
      </c>
      <c r="E1426" s="144" t="s">
        <v>1738</v>
      </c>
    </row>
    <row r="1427" spans="2:5">
      <c r="B1427" s="143" t="s">
        <v>1468</v>
      </c>
      <c r="C1427" s="135" t="s">
        <v>27</v>
      </c>
      <c r="D1427" s="136" t="s">
        <v>1484</v>
      </c>
      <c r="E1427" s="144" t="s">
        <v>1738</v>
      </c>
    </row>
    <row r="1428" spans="2:5">
      <c r="B1428" s="143" t="s">
        <v>1468</v>
      </c>
      <c r="C1428" s="135" t="s">
        <v>27</v>
      </c>
      <c r="D1428" s="136" t="s">
        <v>1485</v>
      </c>
      <c r="E1428" s="144" t="s">
        <v>1738</v>
      </c>
    </row>
    <row r="1429" spans="2:5">
      <c r="B1429" s="143" t="s">
        <v>1468</v>
      </c>
      <c r="C1429" s="135" t="s">
        <v>27</v>
      </c>
      <c r="D1429" s="136" t="s">
        <v>1486</v>
      </c>
      <c r="E1429" s="144" t="s">
        <v>1738</v>
      </c>
    </row>
    <row r="1430" spans="2:5">
      <c r="B1430" s="143" t="s">
        <v>1468</v>
      </c>
      <c r="C1430" s="135" t="s">
        <v>27</v>
      </c>
      <c r="D1430" s="136" t="s">
        <v>1487</v>
      </c>
      <c r="E1430" s="144" t="s">
        <v>1738</v>
      </c>
    </row>
    <row r="1431" spans="2:5">
      <c r="B1431" s="143" t="s">
        <v>1468</v>
      </c>
      <c r="C1431" s="135" t="s">
        <v>27</v>
      </c>
      <c r="D1431" s="136" t="s">
        <v>1488</v>
      </c>
      <c r="E1431" s="144" t="s">
        <v>1738</v>
      </c>
    </row>
    <row r="1432" spans="2:5">
      <c r="B1432" s="143" t="s">
        <v>1468</v>
      </c>
      <c r="C1432" s="135" t="s">
        <v>27</v>
      </c>
      <c r="D1432" s="136" t="s">
        <v>1489</v>
      </c>
      <c r="E1432" s="144" t="s">
        <v>1738</v>
      </c>
    </row>
    <row r="1433" spans="2:5">
      <c r="B1433" s="143" t="s">
        <v>1468</v>
      </c>
      <c r="C1433" s="135" t="s">
        <v>27</v>
      </c>
      <c r="D1433" s="136" t="s">
        <v>1490</v>
      </c>
      <c r="E1433" s="144" t="s">
        <v>1738</v>
      </c>
    </row>
    <row r="1434" spans="2:5">
      <c r="B1434" s="143" t="s">
        <v>1468</v>
      </c>
      <c r="C1434" s="135" t="s">
        <v>27</v>
      </c>
      <c r="D1434" s="136" t="s">
        <v>1491</v>
      </c>
      <c r="E1434" s="144" t="s">
        <v>1738</v>
      </c>
    </row>
    <row r="1435" spans="2:5">
      <c r="B1435" s="143" t="s">
        <v>1468</v>
      </c>
      <c r="C1435" s="135" t="s">
        <v>27</v>
      </c>
      <c r="D1435" s="136" t="s">
        <v>1492</v>
      </c>
      <c r="E1435" s="144" t="s">
        <v>1738</v>
      </c>
    </row>
    <row r="1436" spans="2:5">
      <c r="B1436" s="143" t="s">
        <v>1468</v>
      </c>
      <c r="C1436" s="135" t="s">
        <v>27</v>
      </c>
      <c r="D1436" s="136" t="s">
        <v>1493</v>
      </c>
      <c r="E1436" s="144" t="s">
        <v>1738</v>
      </c>
    </row>
    <row r="1437" spans="2:5">
      <c r="B1437" s="143" t="s">
        <v>1468</v>
      </c>
      <c r="C1437" s="135" t="s">
        <v>27</v>
      </c>
      <c r="D1437" s="136" t="s">
        <v>1494</v>
      </c>
      <c r="E1437" s="144" t="s">
        <v>1738</v>
      </c>
    </row>
    <row r="1438" spans="2:5">
      <c r="B1438" s="143" t="s">
        <v>1468</v>
      </c>
      <c r="C1438" s="135" t="s">
        <v>27</v>
      </c>
      <c r="D1438" s="136" t="s">
        <v>1495</v>
      </c>
      <c r="E1438" s="144" t="s">
        <v>1738</v>
      </c>
    </row>
    <row r="1439" spans="2:5">
      <c r="B1439" s="143" t="s">
        <v>1468</v>
      </c>
      <c r="C1439" s="135" t="s">
        <v>27</v>
      </c>
      <c r="D1439" s="136" t="s">
        <v>1496</v>
      </c>
      <c r="E1439" s="144" t="s">
        <v>1738</v>
      </c>
    </row>
    <row r="1440" spans="2:5">
      <c r="B1440" s="143" t="s">
        <v>1468</v>
      </c>
      <c r="C1440" s="135" t="s">
        <v>27</v>
      </c>
      <c r="D1440" s="136" t="s">
        <v>1497</v>
      </c>
      <c r="E1440" s="144" t="s">
        <v>1738</v>
      </c>
    </row>
    <row r="1441" spans="2:5">
      <c r="B1441" s="143" t="s">
        <v>1468</v>
      </c>
      <c r="C1441" s="135" t="s">
        <v>27</v>
      </c>
      <c r="D1441" s="136" t="s">
        <v>1498</v>
      </c>
      <c r="E1441" s="144" t="s">
        <v>1738</v>
      </c>
    </row>
    <row r="1442" spans="2:5">
      <c r="B1442" s="143" t="s">
        <v>1468</v>
      </c>
      <c r="C1442" s="135" t="s">
        <v>27</v>
      </c>
      <c r="D1442" s="136" t="s">
        <v>1499</v>
      </c>
      <c r="E1442" s="144" t="s">
        <v>1738</v>
      </c>
    </row>
    <row r="1443" spans="2:5">
      <c r="B1443" s="143" t="s">
        <v>1468</v>
      </c>
      <c r="C1443" s="135" t="s">
        <v>27</v>
      </c>
      <c r="D1443" s="136" t="s">
        <v>1500</v>
      </c>
      <c r="E1443" s="144" t="s">
        <v>1738</v>
      </c>
    </row>
    <row r="1444" spans="2:5">
      <c r="B1444" s="143" t="s">
        <v>1468</v>
      </c>
      <c r="C1444" s="135" t="s">
        <v>27</v>
      </c>
      <c r="D1444" s="136" t="s">
        <v>1501</v>
      </c>
      <c r="E1444" s="144" t="s">
        <v>1738</v>
      </c>
    </row>
    <row r="1445" spans="2:5">
      <c r="B1445" s="143" t="s">
        <v>1468</v>
      </c>
      <c r="C1445" s="135" t="s">
        <v>27</v>
      </c>
      <c r="D1445" s="136" t="s">
        <v>1502</v>
      </c>
      <c r="E1445" s="144" t="s">
        <v>1738</v>
      </c>
    </row>
    <row r="1446" spans="2:5">
      <c r="B1446" s="143" t="s">
        <v>1468</v>
      </c>
      <c r="C1446" s="135" t="s">
        <v>27</v>
      </c>
      <c r="D1446" s="136" t="s">
        <v>1503</v>
      </c>
      <c r="E1446" s="144" t="s">
        <v>1738</v>
      </c>
    </row>
    <row r="1447" spans="2:5">
      <c r="B1447" s="143" t="s">
        <v>1468</v>
      </c>
      <c r="C1447" s="135" t="s">
        <v>27</v>
      </c>
      <c r="D1447" s="136" t="s">
        <v>1504</v>
      </c>
      <c r="E1447" s="144" t="s">
        <v>1</v>
      </c>
    </row>
    <row r="1448" spans="2:5">
      <c r="B1448" s="143" t="s">
        <v>1468</v>
      </c>
      <c r="C1448" s="135" t="s">
        <v>27</v>
      </c>
      <c r="D1448" s="136" t="s">
        <v>1505</v>
      </c>
      <c r="E1448" s="144" t="s">
        <v>1</v>
      </c>
    </row>
    <row r="1449" spans="2:5">
      <c r="B1449" s="143" t="s">
        <v>1468</v>
      </c>
      <c r="C1449" s="135" t="s">
        <v>27</v>
      </c>
      <c r="D1449" s="136" t="s">
        <v>1506</v>
      </c>
      <c r="E1449" s="144" t="s">
        <v>1</v>
      </c>
    </row>
    <row r="1450" spans="2:5">
      <c r="B1450" s="143" t="s">
        <v>1468</v>
      </c>
      <c r="C1450" s="135" t="s">
        <v>27</v>
      </c>
      <c r="D1450" s="136" t="s">
        <v>1507</v>
      </c>
      <c r="E1450" s="144" t="s">
        <v>1</v>
      </c>
    </row>
    <row r="1451" spans="2:5">
      <c r="B1451" s="143" t="s">
        <v>1468</v>
      </c>
      <c r="C1451" s="135" t="s">
        <v>27</v>
      </c>
      <c r="D1451" s="136" t="s">
        <v>1508</v>
      </c>
      <c r="E1451" s="144" t="s">
        <v>1</v>
      </c>
    </row>
    <row r="1452" spans="2:5">
      <c r="B1452" s="143" t="s">
        <v>1468</v>
      </c>
      <c r="C1452" s="135" t="s">
        <v>27</v>
      </c>
      <c r="D1452" s="136" t="s">
        <v>1509</v>
      </c>
      <c r="E1452" s="144" t="s">
        <v>1</v>
      </c>
    </row>
    <row r="1453" spans="2:5">
      <c r="B1453" s="143" t="s">
        <v>1468</v>
      </c>
      <c r="C1453" s="135" t="s">
        <v>27</v>
      </c>
      <c r="D1453" s="136" t="s">
        <v>1510</v>
      </c>
      <c r="E1453" s="144" t="s">
        <v>1</v>
      </c>
    </row>
    <row r="1454" spans="2:5">
      <c r="B1454" s="143" t="s">
        <v>1468</v>
      </c>
      <c r="C1454" s="135" t="s">
        <v>27</v>
      </c>
      <c r="D1454" s="136" t="s">
        <v>1511</v>
      </c>
      <c r="E1454" s="144" t="s">
        <v>1</v>
      </c>
    </row>
    <row r="1455" spans="2:5">
      <c r="B1455" s="143" t="s">
        <v>1468</v>
      </c>
      <c r="C1455" s="135" t="s">
        <v>27</v>
      </c>
      <c r="D1455" s="136" t="s">
        <v>1512</v>
      </c>
      <c r="E1455" s="144" t="s">
        <v>1</v>
      </c>
    </row>
    <row r="1456" spans="2:5">
      <c r="B1456" s="143" t="s">
        <v>1468</v>
      </c>
      <c r="C1456" s="135" t="s">
        <v>27</v>
      </c>
      <c r="D1456" s="136" t="s">
        <v>1513</v>
      </c>
      <c r="E1456" s="144" t="s">
        <v>1</v>
      </c>
    </row>
    <row r="1457" spans="2:5">
      <c r="B1457" s="143" t="s">
        <v>1468</v>
      </c>
      <c r="C1457" s="135" t="s">
        <v>27</v>
      </c>
      <c r="D1457" s="136" t="s">
        <v>1514</v>
      </c>
      <c r="E1457" s="144" t="s">
        <v>1</v>
      </c>
    </row>
    <row r="1458" spans="2:5">
      <c r="B1458" s="143" t="s">
        <v>1468</v>
      </c>
      <c r="C1458" s="135" t="s">
        <v>27</v>
      </c>
      <c r="D1458" s="136" t="s">
        <v>1515</v>
      </c>
      <c r="E1458" s="144" t="s">
        <v>1</v>
      </c>
    </row>
    <row r="1459" spans="2:5">
      <c r="B1459" s="143" t="s">
        <v>1468</v>
      </c>
      <c r="C1459" s="135" t="s">
        <v>27</v>
      </c>
      <c r="D1459" s="136" t="s">
        <v>1516</v>
      </c>
      <c r="E1459" s="144" t="s">
        <v>1</v>
      </c>
    </row>
    <row r="1460" spans="2:5">
      <c r="B1460" s="143" t="s">
        <v>1468</v>
      </c>
      <c r="C1460" s="135" t="s">
        <v>27</v>
      </c>
      <c r="D1460" s="136" t="s">
        <v>1517</v>
      </c>
      <c r="E1460" s="144" t="s">
        <v>1</v>
      </c>
    </row>
    <row r="1461" spans="2:5">
      <c r="B1461" s="143" t="s">
        <v>1468</v>
      </c>
      <c r="C1461" s="135" t="s">
        <v>27</v>
      </c>
      <c r="D1461" s="136" t="s">
        <v>1518</v>
      </c>
      <c r="E1461" s="144" t="s">
        <v>1</v>
      </c>
    </row>
    <row r="1462" spans="2:5">
      <c r="B1462" s="143" t="s">
        <v>1468</v>
      </c>
      <c r="C1462" s="135" t="s">
        <v>27</v>
      </c>
      <c r="D1462" s="136" t="s">
        <v>1519</v>
      </c>
      <c r="E1462" s="144" t="s">
        <v>1</v>
      </c>
    </row>
    <row r="1463" spans="2:5">
      <c r="B1463" s="143" t="s">
        <v>1468</v>
      </c>
      <c r="C1463" s="135" t="s">
        <v>27</v>
      </c>
      <c r="D1463" s="136" t="s">
        <v>1520</v>
      </c>
      <c r="E1463" s="144" t="s">
        <v>1</v>
      </c>
    </row>
    <row r="1464" spans="2:5">
      <c r="B1464" s="143" t="s">
        <v>1468</v>
      </c>
      <c r="C1464" s="135" t="s">
        <v>27</v>
      </c>
      <c r="D1464" s="136" t="s">
        <v>1521</v>
      </c>
      <c r="E1464" s="144" t="s">
        <v>1</v>
      </c>
    </row>
    <row r="1465" spans="2:5">
      <c r="B1465" s="143" t="s">
        <v>1468</v>
      </c>
      <c r="C1465" s="135" t="s">
        <v>27</v>
      </c>
      <c r="D1465" s="136" t="s">
        <v>1522</v>
      </c>
      <c r="E1465" s="144" t="s">
        <v>1</v>
      </c>
    </row>
    <row r="1466" spans="2:5">
      <c r="B1466" s="143" t="s">
        <v>1468</v>
      </c>
      <c r="C1466" s="135" t="s">
        <v>27</v>
      </c>
      <c r="D1466" s="136" t="s">
        <v>1523</v>
      </c>
      <c r="E1466" s="144" t="s">
        <v>1</v>
      </c>
    </row>
    <row r="1467" spans="2:5">
      <c r="B1467" s="143" t="s">
        <v>1468</v>
      </c>
      <c r="C1467" s="135" t="s">
        <v>27</v>
      </c>
      <c r="D1467" s="136" t="s">
        <v>1524</v>
      </c>
      <c r="E1467" s="144" t="s">
        <v>1</v>
      </c>
    </row>
    <row r="1468" spans="2:5">
      <c r="B1468" s="143" t="s">
        <v>1468</v>
      </c>
      <c r="C1468" s="135" t="s">
        <v>27</v>
      </c>
      <c r="D1468" s="136" t="s">
        <v>1525</v>
      </c>
      <c r="E1468" s="144" t="s">
        <v>1</v>
      </c>
    </row>
    <row r="1469" spans="2:5">
      <c r="B1469" s="143" t="s">
        <v>1468</v>
      </c>
      <c r="C1469" s="135" t="s">
        <v>27</v>
      </c>
      <c r="D1469" s="136" t="s">
        <v>1526</v>
      </c>
      <c r="E1469" s="144" t="s">
        <v>1</v>
      </c>
    </row>
    <row r="1470" spans="2:5">
      <c r="B1470" s="143" t="s">
        <v>1468</v>
      </c>
      <c r="C1470" s="135" t="s">
        <v>27</v>
      </c>
      <c r="D1470" s="136" t="s">
        <v>1527</v>
      </c>
      <c r="E1470" s="144" t="s">
        <v>1</v>
      </c>
    </row>
    <row r="1471" spans="2:5">
      <c r="B1471" s="143" t="s">
        <v>1468</v>
      </c>
      <c r="C1471" s="135" t="s">
        <v>27</v>
      </c>
      <c r="D1471" s="136" t="s">
        <v>1528</v>
      </c>
      <c r="E1471" s="144" t="s">
        <v>1</v>
      </c>
    </row>
    <row r="1472" spans="2:5">
      <c r="B1472" s="143" t="s">
        <v>1468</v>
      </c>
      <c r="C1472" s="135" t="s">
        <v>27</v>
      </c>
      <c r="D1472" s="136" t="s">
        <v>1529</v>
      </c>
      <c r="E1472" s="144" t="s">
        <v>1</v>
      </c>
    </row>
    <row r="1473" spans="2:5">
      <c r="B1473" s="143" t="s">
        <v>1468</v>
      </c>
      <c r="C1473" s="135" t="s">
        <v>27</v>
      </c>
      <c r="D1473" s="136" t="s">
        <v>1530</v>
      </c>
      <c r="E1473" s="144" t="s">
        <v>1</v>
      </c>
    </row>
    <row r="1474" spans="2:5">
      <c r="B1474" s="143" t="s">
        <v>1468</v>
      </c>
      <c r="C1474" s="135" t="s">
        <v>27</v>
      </c>
      <c r="D1474" s="136" t="s">
        <v>1531</v>
      </c>
      <c r="E1474" s="144" t="s">
        <v>1</v>
      </c>
    </row>
    <row r="1475" spans="2:5">
      <c r="B1475" s="143" t="s">
        <v>1468</v>
      </c>
      <c r="C1475" s="135" t="s">
        <v>27</v>
      </c>
      <c r="D1475" s="136" t="s">
        <v>1532</v>
      </c>
      <c r="E1475" s="144" t="s">
        <v>1</v>
      </c>
    </row>
    <row r="1476" spans="2:5">
      <c r="B1476" s="143" t="s">
        <v>1468</v>
      </c>
      <c r="C1476" s="135" t="s">
        <v>27</v>
      </c>
      <c r="D1476" s="136" t="s">
        <v>1533</v>
      </c>
      <c r="E1476" s="144" t="s">
        <v>1</v>
      </c>
    </row>
    <row r="1477" spans="2:5">
      <c r="B1477" s="143" t="s">
        <v>1468</v>
      </c>
      <c r="C1477" s="135" t="s">
        <v>27</v>
      </c>
      <c r="D1477" s="136" t="s">
        <v>1534</v>
      </c>
      <c r="E1477" s="144" t="s">
        <v>1</v>
      </c>
    </row>
    <row r="1478" spans="2:5">
      <c r="B1478" s="143" t="s">
        <v>1468</v>
      </c>
      <c r="C1478" s="135" t="s">
        <v>27</v>
      </c>
      <c r="D1478" s="136" t="s">
        <v>1535</v>
      </c>
      <c r="E1478" s="144" t="s">
        <v>1</v>
      </c>
    </row>
    <row r="1479" spans="2:5">
      <c r="B1479" s="143" t="s">
        <v>1468</v>
      </c>
      <c r="C1479" s="135" t="s">
        <v>27</v>
      </c>
      <c r="D1479" s="136" t="s">
        <v>1536</v>
      </c>
      <c r="E1479" s="144" t="s">
        <v>1</v>
      </c>
    </row>
    <row r="1480" spans="2:5">
      <c r="B1480" s="143" t="s">
        <v>1468</v>
      </c>
      <c r="C1480" s="135" t="s">
        <v>27</v>
      </c>
      <c r="D1480" s="136" t="s">
        <v>1537</v>
      </c>
      <c r="E1480" s="144" t="s">
        <v>1</v>
      </c>
    </row>
    <row r="1481" spans="2:5">
      <c r="B1481" s="143" t="s">
        <v>1468</v>
      </c>
      <c r="C1481" s="135" t="s">
        <v>27</v>
      </c>
      <c r="D1481" s="136" t="s">
        <v>1538</v>
      </c>
      <c r="E1481" s="144" t="s">
        <v>1</v>
      </c>
    </row>
    <row r="1482" spans="2:5">
      <c r="B1482" s="143" t="s">
        <v>1468</v>
      </c>
      <c r="C1482" s="135" t="s">
        <v>27</v>
      </c>
      <c r="D1482" s="136" t="s">
        <v>1539</v>
      </c>
      <c r="E1482" s="144" t="s">
        <v>1</v>
      </c>
    </row>
    <row r="1483" spans="2:5">
      <c r="B1483" s="143" t="s">
        <v>1468</v>
      </c>
      <c r="C1483" s="135" t="s">
        <v>27</v>
      </c>
      <c r="D1483" s="136" t="s">
        <v>1540</v>
      </c>
      <c r="E1483" s="144" t="s">
        <v>1</v>
      </c>
    </row>
    <row r="1484" spans="2:5">
      <c r="B1484" s="143" t="s">
        <v>1468</v>
      </c>
      <c r="C1484" s="135" t="s">
        <v>27</v>
      </c>
      <c r="D1484" s="136" t="s">
        <v>1541</v>
      </c>
      <c r="E1484" s="144" t="s">
        <v>1</v>
      </c>
    </row>
    <row r="1485" spans="2:5">
      <c r="B1485" s="143" t="s">
        <v>1468</v>
      </c>
      <c r="C1485" s="135" t="s">
        <v>27</v>
      </c>
      <c r="D1485" s="136" t="s">
        <v>1542</v>
      </c>
      <c r="E1485" s="144" t="s">
        <v>1</v>
      </c>
    </row>
    <row r="1486" spans="2:5">
      <c r="B1486" s="143" t="s">
        <v>1468</v>
      </c>
      <c r="C1486" s="135" t="s">
        <v>27</v>
      </c>
      <c r="D1486" s="136" t="s">
        <v>1543</v>
      </c>
      <c r="E1486" s="144" t="s">
        <v>1</v>
      </c>
    </row>
    <row r="1487" spans="2:5">
      <c r="B1487" s="143" t="s">
        <v>1468</v>
      </c>
      <c r="C1487" s="135" t="s">
        <v>27</v>
      </c>
      <c r="D1487" s="136" t="s">
        <v>1544</v>
      </c>
      <c r="E1487" s="144" t="s">
        <v>1</v>
      </c>
    </row>
    <row r="1488" spans="2:5">
      <c r="B1488" s="143" t="s">
        <v>1468</v>
      </c>
      <c r="C1488" s="135" t="s">
        <v>27</v>
      </c>
      <c r="D1488" s="136" t="s">
        <v>1545</v>
      </c>
      <c r="E1488" s="144" t="s">
        <v>1</v>
      </c>
    </row>
    <row r="1489" spans="2:5">
      <c r="B1489" s="143" t="s">
        <v>1468</v>
      </c>
      <c r="C1489" s="135" t="s">
        <v>27</v>
      </c>
      <c r="D1489" s="136" t="s">
        <v>1546</v>
      </c>
      <c r="E1489" s="144" t="s">
        <v>1</v>
      </c>
    </row>
    <row r="1490" spans="2:5">
      <c r="B1490" s="143" t="s">
        <v>1468</v>
      </c>
      <c r="C1490" s="135" t="s">
        <v>27</v>
      </c>
      <c r="D1490" s="136" t="s">
        <v>1547</v>
      </c>
      <c r="E1490" s="144" t="s">
        <v>1</v>
      </c>
    </row>
    <row r="1491" spans="2:5">
      <c r="B1491" s="143" t="s">
        <v>1468</v>
      </c>
      <c r="C1491" s="135" t="s">
        <v>27</v>
      </c>
      <c r="D1491" s="136" t="s">
        <v>1548</v>
      </c>
      <c r="E1491" s="144" t="s">
        <v>1</v>
      </c>
    </row>
    <row r="1492" spans="2:5">
      <c r="B1492" s="143" t="s">
        <v>1468</v>
      </c>
      <c r="C1492" s="135" t="s">
        <v>27</v>
      </c>
      <c r="D1492" s="136" t="s">
        <v>1549</v>
      </c>
      <c r="E1492" s="144" t="s">
        <v>1</v>
      </c>
    </row>
    <row r="1493" spans="2:5">
      <c r="B1493" s="143" t="s">
        <v>1468</v>
      </c>
      <c r="C1493" s="135" t="s">
        <v>27</v>
      </c>
      <c r="D1493" s="136" t="s">
        <v>1550</v>
      </c>
      <c r="E1493" s="144" t="s">
        <v>1</v>
      </c>
    </row>
    <row r="1494" spans="2:5">
      <c r="B1494" s="143" t="s">
        <v>1468</v>
      </c>
      <c r="C1494" s="135" t="s">
        <v>27</v>
      </c>
      <c r="D1494" s="136" t="s">
        <v>1551</v>
      </c>
      <c r="E1494" s="144" t="s">
        <v>1</v>
      </c>
    </row>
    <row r="1495" spans="2:5">
      <c r="B1495" s="143" t="s">
        <v>1468</v>
      </c>
      <c r="C1495" s="135" t="s">
        <v>27</v>
      </c>
      <c r="D1495" s="136" t="s">
        <v>1552</v>
      </c>
      <c r="E1495" s="144" t="s">
        <v>1</v>
      </c>
    </row>
    <row r="1496" spans="2:5">
      <c r="B1496" s="143" t="s">
        <v>1468</v>
      </c>
      <c r="C1496" s="135" t="s">
        <v>27</v>
      </c>
      <c r="D1496" s="136" t="s">
        <v>1553</v>
      </c>
      <c r="E1496" s="144" t="s">
        <v>1</v>
      </c>
    </row>
    <row r="1497" spans="2:5">
      <c r="B1497" s="143" t="s">
        <v>1468</v>
      </c>
      <c r="C1497" s="135" t="s">
        <v>27</v>
      </c>
      <c r="D1497" s="136" t="s">
        <v>1554</v>
      </c>
      <c r="E1497" s="144" t="s">
        <v>1</v>
      </c>
    </row>
    <row r="1498" spans="2:5">
      <c r="B1498" s="143" t="s">
        <v>1468</v>
      </c>
      <c r="C1498" s="135" t="s">
        <v>27</v>
      </c>
      <c r="D1498" s="136" t="s">
        <v>1555</v>
      </c>
      <c r="E1498" s="144" t="s">
        <v>1</v>
      </c>
    </row>
    <row r="1499" spans="2:5">
      <c r="B1499" s="143" t="s">
        <v>1468</v>
      </c>
      <c r="C1499" s="135" t="s">
        <v>27</v>
      </c>
      <c r="D1499" s="136" t="s">
        <v>1556</v>
      </c>
      <c r="E1499" s="144" t="s">
        <v>1</v>
      </c>
    </row>
    <row r="1500" spans="2:5">
      <c r="B1500" s="143" t="s">
        <v>1468</v>
      </c>
      <c r="C1500" s="135" t="s">
        <v>27</v>
      </c>
      <c r="D1500" s="136" t="s">
        <v>1557</v>
      </c>
      <c r="E1500" s="144" t="s">
        <v>1</v>
      </c>
    </row>
    <row r="1501" spans="2:5">
      <c r="B1501" s="143" t="s">
        <v>1468</v>
      </c>
      <c r="C1501" s="135" t="s">
        <v>27</v>
      </c>
      <c r="D1501" s="136" t="s">
        <v>1558</v>
      </c>
      <c r="E1501" s="144" t="s">
        <v>1</v>
      </c>
    </row>
    <row r="1502" spans="2:5">
      <c r="B1502" s="143" t="s">
        <v>1468</v>
      </c>
      <c r="C1502" s="135" t="s">
        <v>27</v>
      </c>
      <c r="D1502" s="136" t="s">
        <v>1559</v>
      </c>
      <c r="E1502" s="144" t="s">
        <v>1</v>
      </c>
    </row>
    <row r="1503" spans="2:5">
      <c r="B1503" s="143" t="s">
        <v>1468</v>
      </c>
      <c r="C1503" s="135" t="s">
        <v>27</v>
      </c>
      <c r="D1503" s="136" t="s">
        <v>1560</v>
      </c>
      <c r="E1503" s="144" t="s">
        <v>1</v>
      </c>
    </row>
    <row r="1504" spans="2:5">
      <c r="B1504" s="143" t="s">
        <v>1468</v>
      </c>
      <c r="C1504" s="135" t="s">
        <v>27</v>
      </c>
      <c r="D1504" s="136" t="s">
        <v>1561</v>
      </c>
      <c r="E1504" s="144" t="s">
        <v>1</v>
      </c>
    </row>
    <row r="1505" spans="2:5">
      <c r="B1505" s="143" t="s">
        <v>1468</v>
      </c>
      <c r="C1505" s="135" t="s">
        <v>27</v>
      </c>
      <c r="D1505" s="136" t="s">
        <v>1562</v>
      </c>
      <c r="E1505" s="144" t="s">
        <v>1</v>
      </c>
    </row>
    <row r="1506" spans="2:5">
      <c r="B1506" s="143" t="s">
        <v>1468</v>
      </c>
      <c r="C1506" s="135" t="s">
        <v>27</v>
      </c>
      <c r="D1506" s="136" t="s">
        <v>1563</v>
      </c>
      <c r="E1506" s="144" t="s">
        <v>1</v>
      </c>
    </row>
    <row r="1507" spans="2:5">
      <c r="B1507" s="143" t="s">
        <v>1468</v>
      </c>
      <c r="C1507" s="135" t="s">
        <v>27</v>
      </c>
      <c r="D1507" s="136" t="s">
        <v>1564</v>
      </c>
      <c r="E1507" s="144" t="s">
        <v>1</v>
      </c>
    </row>
    <row r="1508" spans="2:5">
      <c r="B1508" s="143" t="s">
        <v>1468</v>
      </c>
      <c r="C1508" s="135" t="s">
        <v>27</v>
      </c>
      <c r="D1508" s="136" t="s">
        <v>1565</v>
      </c>
      <c r="E1508" s="144" t="s">
        <v>1</v>
      </c>
    </row>
    <row r="1509" spans="2:5">
      <c r="B1509" s="143" t="s">
        <v>1468</v>
      </c>
      <c r="C1509" s="135" t="s">
        <v>27</v>
      </c>
      <c r="D1509" s="136" t="s">
        <v>1566</v>
      </c>
      <c r="E1509" s="144" t="s">
        <v>1</v>
      </c>
    </row>
    <row r="1510" spans="2:5">
      <c r="B1510" s="143" t="s">
        <v>1468</v>
      </c>
      <c r="C1510" s="135" t="s">
        <v>27</v>
      </c>
      <c r="D1510" s="136" t="s">
        <v>1567</v>
      </c>
      <c r="E1510" s="144" t="s">
        <v>1</v>
      </c>
    </row>
    <row r="1511" spans="2:5">
      <c r="B1511" s="143" t="s">
        <v>1468</v>
      </c>
      <c r="C1511" s="135" t="s">
        <v>27</v>
      </c>
      <c r="D1511" s="136" t="s">
        <v>1568</v>
      </c>
      <c r="E1511" s="144" t="s">
        <v>1</v>
      </c>
    </row>
    <row r="1512" spans="2:5">
      <c r="B1512" s="143" t="s">
        <v>1468</v>
      </c>
      <c r="C1512" s="135" t="s">
        <v>27</v>
      </c>
      <c r="D1512" s="136" t="s">
        <v>1569</v>
      </c>
      <c r="E1512" s="144" t="s">
        <v>1</v>
      </c>
    </row>
    <row r="1513" spans="2:5">
      <c r="B1513" s="143" t="s">
        <v>1468</v>
      </c>
      <c r="C1513" s="135" t="s">
        <v>27</v>
      </c>
      <c r="D1513" s="136" t="s">
        <v>1570</v>
      </c>
      <c r="E1513" s="144" t="s">
        <v>1</v>
      </c>
    </row>
    <row r="1514" spans="2:5">
      <c r="B1514" s="143" t="s">
        <v>1468</v>
      </c>
      <c r="C1514" s="135" t="s">
        <v>27</v>
      </c>
      <c r="D1514" s="136" t="s">
        <v>1571</v>
      </c>
      <c r="E1514" s="144" t="s">
        <v>1</v>
      </c>
    </row>
    <row r="1515" spans="2:5">
      <c r="B1515" s="143" t="s">
        <v>1468</v>
      </c>
      <c r="C1515" s="135" t="s">
        <v>27</v>
      </c>
      <c r="D1515" s="136" t="s">
        <v>1572</v>
      </c>
      <c r="E1515" s="144" t="s">
        <v>1</v>
      </c>
    </row>
    <row r="1516" spans="2:5">
      <c r="B1516" s="143" t="s">
        <v>1468</v>
      </c>
      <c r="C1516" s="135" t="s">
        <v>27</v>
      </c>
      <c r="D1516" s="136" t="s">
        <v>1573</v>
      </c>
      <c r="E1516" s="144" t="s">
        <v>1</v>
      </c>
    </row>
    <row r="1517" spans="2:5">
      <c r="B1517" s="143" t="s">
        <v>1468</v>
      </c>
      <c r="C1517" s="135" t="s">
        <v>27</v>
      </c>
      <c r="D1517" s="136" t="s">
        <v>1574</v>
      </c>
      <c r="E1517" s="144" t="s">
        <v>1</v>
      </c>
    </row>
    <row r="1518" spans="2:5">
      <c r="B1518" s="143" t="s">
        <v>1468</v>
      </c>
      <c r="C1518" s="135" t="s">
        <v>27</v>
      </c>
      <c r="D1518" s="136" t="s">
        <v>1575</v>
      </c>
      <c r="E1518" s="144" t="s">
        <v>1</v>
      </c>
    </row>
    <row r="1519" spans="2:5">
      <c r="B1519" s="143" t="s">
        <v>1468</v>
      </c>
      <c r="C1519" s="135" t="s">
        <v>27</v>
      </c>
      <c r="D1519" s="136" t="s">
        <v>1576</v>
      </c>
      <c r="E1519" s="144" t="s">
        <v>1</v>
      </c>
    </row>
    <row r="1520" spans="2:5">
      <c r="B1520" s="143" t="s">
        <v>1468</v>
      </c>
      <c r="C1520" s="135" t="s">
        <v>27</v>
      </c>
      <c r="D1520" s="136" t="s">
        <v>1577</v>
      </c>
      <c r="E1520" s="144" t="s">
        <v>1</v>
      </c>
    </row>
    <row r="1521" spans="2:5">
      <c r="B1521" s="143" t="s">
        <v>1468</v>
      </c>
      <c r="C1521" s="135" t="s">
        <v>27</v>
      </c>
      <c r="D1521" s="136" t="s">
        <v>1578</v>
      </c>
      <c r="E1521" s="144" t="s">
        <v>1</v>
      </c>
    </row>
    <row r="1522" spans="2:5">
      <c r="B1522" s="143" t="s">
        <v>1468</v>
      </c>
      <c r="C1522" s="135" t="s">
        <v>27</v>
      </c>
      <c r="D1522" s="136" t="s">
        <v>1579</v>
      </c>
      <c r="E1522" s="144" t="s">
        <v>1</v>
      </c>
    </row>
    <row r="1523" spans="2:5">
      <c r="B1523" s="143" t="s">
        <v>1468</v>
      </c>
      <c r="C1523" s="135" t="s">
        <v>27</v>
      </c>
      <c r="D1523" s="136" t="s">
        <v>1580</v>
      </c>
      <c r="E1523" s="144" t="s">
        <v>1</v>
      </c>
    </row>
    <row r="1524" spans="2:5">
      <c r="B1524" s="143" t="s">
        <v>1468</v>
      </c>
      <c r="C1524" s="135" t="s">
        <v>27</v>
      </c>
      <c r="D1524" s="136" t="s">
        <v>1581</v>
      </c>
      <c r="E1524" s="144" t="s">
        <v>1</v>
      </c>
    </row>
    <row r="1525" spans="2:5">
      <c r="B1525" s="143" t="s">
        <v>1468</v>
      </c>
      <c r="C1525" s="135" t="s">
        <v>27</v>
      </c>
      <c r="D1525" s="136" t="s">
        <v>1582</v>
      </c>
      <c r="E1525" s="144" t="s">
        <v>1</v>
      </c>
    </row>
    <row r="1526" spans="2:5">
      <c r="B1526" s="143" t="s">
        <v>1468</v>
      </c>
      <c r="C1526" s="135" t="s">
        <v>27</v>
      </c>
      <c r="D1526" s="136" t="s">
        <v>1583</v>
      </c>
      <c r="E1526" s="144" t="s">
        <v>1</v>
      </c>
    </row>
    <row r="1527" spans="2:5">
      <c r="B1527" s="143" t="s">
        <v>1468</v>
      </c>
      <c r="C1527" s="135" t="s">
        <v>27</v>
      </c>
      <c r="D1527" s="136" t="s">
        <v>1584</v>
      </c>
      <c r="E1527" s="144" t="s">
        <v>1</v>
      </c>
    </row>
    <row r="1528" spans="2:5">
      <c r="B1528" s="143" t="s">
        <v>1468</v>
      </c>
      <c r="C1528" s="135" t="s">
        <v>27</v>
      </c>
      <c r="D1528" s="136" t="s">
        <v>1585</v>
      </c>
      <c r="E1528" s="144" t="s">
        <v>1</v>
      </c>
    </row>
    <row r="1529" spans="2:5">
      <c r="B1529" s="143" t="s">
        <v>1468</v>
      </c>
      <c r="C1529" s="135" t="s">
        <v>27</v>
      </c>
      <c r="D1529" s="136" t="s">
        <v>1586</v>
      </c>
      <c r="E1529" s="144" t="s">
        <v>1</v>
      </c>
    </row>
    <row r="1530" spans="2:5">
      <c r="B1530" s="143" t="s">
        <v>1468</v>
      </c>
      <c r="C1530" s="135" t="s">
        <v>27</v>
      </c>
      <c r="D1530" s="136" t="s">
        <v>1587</v>
      </c>
      <c r="E1530" s="144" t="s">
        <v>1</v>
      </c>
    </row>
    <row r="1531" spans="2:5">
      <c r="B1531" s="143" t="s">
        <v>1468</v>
      </c>
      <c r="C1531" s="135" t="s">
        <v>27</v>
      </c>
      <c r="D1531" s="136" t="s">
        <v>1588</v>
      </c>
      <c r="E1531" s="144" t="s">
        <v>1</v>
      </c>
    </row>
    <row r="1532" spans="2:5">
      <c r="B1532" s="143" t="s">
        <v>1468</v>
      </c>
      <c r="C1532" s="135" t="s">
        <v>27</v>
      </c>
      <c r="D1532" s="136" t="s">
        <v>1589</v>
      </c>
      <c r="E1532" s="144" t="s">
        <v>1</v>
      </c>
    </row>
    <row r="1533" spans="2:5">
      <c r="B1533" s="143" t="s">
        <v>1468</v>
      </c>
      <c r="C1533" s="135" t="s">
        <v>27</v>
      </c>
      <c r="D1533" s="136" t="s">
        <v>1590</v>
      </c>
      <c r="E1533" s="144" t="s">
        <v>1</v>
      </c>
    </row>
    <row r="1534" spans="2:5">
      <c r="B1534" s="143" t="s">
        <v>1468</v>
      </c>
      <c r="C1534" s="135" t="s">
        <v>27</v>
      </c>
      <c r="D1534" s="136" t="s">
        <v>1591</v>
      </c>
      <c r="E1534" s="144" t="s">
        <v>1</v>
      </c>
    </row>
    <row r="1535" spans="2:5">
      <c r="B1535" s="143" t="s">
        <v>1468</v>
      </c>
      <c r="C1535" s="135" t="s">
        <v>27</v>
      </c>
      <c r="D1535" s="136" t="s">
        <v>1592</v>
      </c>
      <c r="E1535" s="144" t="s">
        <v>1</v>
      </c>
    </row>
    <row r="1536" spans="2:5">
      <c r="B1536" s="143" t="s">
        <v>1468</v>
      </c>
      <c r="C1536" s="135" t="s">
        <v>27</v>
      </c>
      <c r="D1536" s="136" t="s">
        <v>1593</v>
      </c>
      <c r="E1536" s="144" t="s">
        <v>1</v>
      </c>
    </row>
    <row r="1537" spans="2:5">
      <c r="B1537" s="143" t="s">
        <v>1468</v>
      </c>
      <c r="C1537" s="135" t="s">
        <v>27</v>
      </c>
      <c r="D1537" s="136" t="s">
        <v>1594</v>
      </c>
      <c r="E1537" s="144" t="s">
        <v>1</v>
      </c>
    </row>
    <row r="1538" spans="2:5">
      <c r="B1538" s="143" t="s">
        <v>1468</v>
      </c>
      <c r="C1538" s="135" t="s">
        <v>27</v>
      </c>
      <c r="D1538" s="136" t="s">
        <v>1595</v>
      </c>
      <c r="E1538" s="144" t="s">
        <v>1</v>
      </c>
    </row>
    <row r="1539" spans="2:5">
      <c r="B1539" s="143" t="s">
        <v>1468</v>
      </c>
      <c r="C1539" s="135" t="s">
        <v>27</v>
      </c>
      <c r="D1539" s="136" t="s">
        <v>1596</v>
      </c>
      <c r="E1539" s="144" t="s">
        <v>1</v>
      </c>
    </row>
    <row r="1540" spans="2:5">
      <c r="B1540" s="143" t="s">
        <v>1468</v>
      </c>
      <c r="C1540" s="135" t="s">
        <v>27</v>
      </c>
      <c r="D1540" s="136" t="s">
        <v>1597</v>
      </c>
      <c r="E1540" s="144" t="e">
        <v>#N/A</v>
      </c>
    </row>
    <row r="1541" spans="2:5">
      <c r="B1541" s="143" t="s">
        <v>1468</v>
      </c>
      <c r="C1541" s="135" t="s">
        <v>27</v>
      </c>
      <c r="D1541" s="136" t="s">
        <v>1598</v>
      </c>
      <c r="E1541" s="144" t="s">
        <v>1</v>
      </c>
    </row>
    <row r="1542" spans="2:5">
      <c r="B1542" s="143" t="s">
        <v>1468</v>
      </c>
      <c r="C1542" s="135" t="s">
        <v>27</v>
      </c>
      <c r="D1542" s="136" t="s">
        <v>1599</v>
      </c>
      <c r="E1542" s="144" t="s">
        <v>1</v>
      </c>
    </row>
    <row r="1543" spans="2:5">
      <c r="B1543" s="143" t="s">
        <v>1468</v>
      </c>
      <c r="C1543" s="135" t="s">
        <v>27</v>
      </c>
      <c r="D1543" s="136" t="s">
        <v>1600</v>
      </c>
      <c r="E1543" s="144" t="s">
        <v>1</v>
      </c>
    </row>
    <row r="1544" spans="2:5">
      <c r="B1544" s="143" t="s">
        <v>1468</v>
      </c>
      <c r="C1544" s="135" t="s">
        <v>27</v>
      </c>
      <c r="D1544" s="136" t="s">
        <v>1601</v>
      </c>
      <c r="E1544" s="144" t="s">
        <v>1</v>
      </c>
    </row>
    <row r="1545" spans="2:5">
      <c r="B1545" s="143" t="s">
        <v>1468</v>
      </c>
      <c r="C1545" s="135" t="s">
        <v>27</v>
      </c>
      <c r="D1545" s="136" t="s">
        <v>1602</v>
      </c>
      <c r="E1545" s="144" t="s">
        <v>1</v>
      </c>
    </row>
    <row r="1546" spans="2:5">
      <c r="B1546" s="143" t="s">
        <v>1468</v>
      </c>
      <c r="C1546" s="135" t="s">
        <v>27</v>
      </c>
      <c r="D1546" s="136" t="s">
        <v>1603</v>
      </c>
      <c r="E1546" s="144" t="s">
        <v>1</v>
      </c>
    </row>
    <row r="1547" spans="2:5">
      <c r="B1547" s="143" t="s">
        <v>1468</v>
      </c>
      <c r="C1547" s="135" t="s">
        <v>27</v>
      </c>
      <c r="D1547" s="136" t="s">
        <v>1604</v>
      </c>
      <c r="E1547" s="144" t="s">
        <v>1</v>
      </c>
    </row>
    <row r="1548" spans="2:5">
      <c r="B1548" s="143" t="s">
        <v>1468</v>
      </c>
      <c r="C1548" s="135" t="s">
        <v>27</v>
      </c>
      <c r="D1548" s="136" t="s">
        <v>1605</v>
      </c>
      <c r="E1548" s="144" t="s">
        <v>1</v>
      </c>
    </row>
    <row r="1549" spans="2:5">
      <c r="B1549" s="143" t="s">
        <v>1468</v>
      </c>
      <c r="C1549" s="135" t="s">
        <v>27</v>
      </c>
      <c r="D1549" s="136" t="s">
        <v>1606</v>
      </c>
      <c r="E1549" s="144" t="s">
        <v>1</v>
      </c>
    </row>
    <row r="1550" spans="2:5">
      <c r="B1550" s="143" t="s">
        <v>1468</v>
      </c>
      <c r="C1550" s="135" t="s">
        <v>27</v>
      </c>
      <c r="D1550" s="136" t="s">
        <v>1607</v>
      </c>
      <c r="E1550" s="144" t="s">
        <v>1</v>
      </c>
    </row>
    <row r="1551" spans="2:5">
      <c r="B1551" s="143" t="s">
        <v>1468</v>
      </c>
      <c r="C1551" s="135" t="s">
        <v>27</v>
      </c>
      <c r="D1551" s="136" t="s">
        <v>1608</v>
      </c>
      <c r="E1551" s="144" t="s">
        <v>1</v>
      </c>
    </row>
    <row r="1552" spans="2:5">
      <c r="B1552" s="143" t="s">
        <v>1468</v>
      </c>
      <c r="C1552" s="135" t="s">
        <v>27</v>
      </c>
      <c r="D1552" s="136" t="s">
        <v>1609</v>
      </c>
      <c r="E1552" s="144" t="s">
        <v>1</v>
      </c>
    </row>
    <row r="1553" spans="2:5">
      <c r="B1553" s="143" t="s">
        <v>1468</v>
      </c>
      <c r="C1553" s="135" t="s">
        <v>27</v>
      </c>
      <c r="D1553" s="136" t="s">
        <v>1610</v>
      </c>
      <c r="E1553" s="144" t="s">
        <v>1</v>
      </c>
    </row>
    <row r="1554" spans="2:5">
      <c r="B1554" s="143" t="s">
        <v>1468</v>
      </c>
      <c r="C1554" s="135" t="s">
        <v>27</v>
      </c>
      <c r="D1554" s="136" t="s">
        <v>1611</v>
      </c>
      <c r="E1554" s="144" t="s">
        <v>1</v>
      </c>
    </row>
    <row r="1555" spans="2:5">
      <c r="B1555" s="143" t="s">
        <v>1468</v>
      </c>
      <c r="C1555" s="135" t="s">
        <v>27</v>
      </c>
      <c r="D1555" s="136" t="s">
        <v>1612</v>
      </c>
      <c r="E1555" s="144" t="s">
        <v>1</v>
      </c>
    </row>
    <row r="1556" spans="2:5">
      <c r="B1556" s="143" t="s">
        <v>1468</v>
      </c>
      <c r="C1556" s="135" t="s">
        <v>27</v>
      </c>
      <c r="D1556" s="136" t="s">
        <v>1613</v>
      </c>
      <c r="E1556" s="144" t="s">
        <v>1</v>
      </c>
    </row>
    <row r="1557" spans="2:5">
      <c r="B1557" s="143" t="s">
        <v>1468</v>
      </c>
      <c r="C1557" s="135" t="s">
        <v>27</v>
      </c>
      <c r="D1557" s="136" t="s">
        <v>1614</v>
      </c>
      <c r="E1557" s="144" t="s">
        <v>1</v>
      </c>
    </row>
    <row r="1558" spans="2:5">
      <c r="B1558" s="143" t="s">
        <v>1468</v>
      </c>
      <c r="C1558" s="135" t="s">
        <v>27</v>
      </c>
      <c r="D1558" s="136" t="s">
        <v>1615</v>
      </c>
      <c r="E1558" s="144" t="s">
        <v>1</v>
      </c>
    </row>
    <row r="1559" spans="2:5">
      <c r="B1559" s="143" t="s">
        <v>1468</v>
      </c>
      <c r="C1559" s="135" t="s">
        <v>27</v>
      </c>
      <c r="D1559" s="136" t="s">
        <v>1616</v>
      </c>
      <c r="E1559" s="144" t="s">
        <v>1</v>
      </c>
    </row>
    <row r="1560" spans="2:5">
      <c r="B1560" s="143" t="s">
        <v>1468</v>
      </c>
      <c r="C1560" s="135" t="s">
        <v>27</v>
      </c>
      <c r="D1560" s="136" t="s">
        <v>1617</v>
      </c>
      <c r="E1560" s="144" t="s">
        <v>1</v>
      </c>
    </row>
    <row r="1561" spans="2:5">
      <c r="B1561" s="143" t="s">
        <v>1468</v>
      </c>
      <c r="C1561" s="135" t="s">
        <v>27</v>
      </c>
      <c r="D1561" s="136" t="s">
        <v>1618</v>
      </c>
      <c r="E1561" s="144" t="s">
        <v>1</v>
      </c>
    </row>
    <row r="1562" spans="2:5">
      <c r="B1562" s="143" t="s">
        <v>1468</v>
      </c>
      <c r="C1562" s="135" t="s">
        <v>27</v>
      </c>
      <c r="D1562" s="136" t="s">
        <v>1619</v>
      </c>
      <c r="E1562" s="144" t="s">
        <v>1</v>
      </c>
    </row>
    <row r="1563" spans="2:5">
      <c r="B1563" s="143" t="s">
        <v>1468</v>
      </c>
      <c r="C1563" s="135" t="s">
        <v>27</v>
      </c>
      <c r="D1563" s="136" t="s">
        <v>1620</v>
      </c>
      <c r="E1563" s="144" t="s">
        <v>1</v>
      </c>
    </row>
    <row r="1564" spans="2:5">
      <c r="B1564" s="143" t="s">
        <v>1468</v>
      </c>
      <c r="C1564" s="135" t="s">
        <v>27</v>
      </c>
      <c r="D1564" s="136" t="s">
        <v>1621</v>
      </c>
      <c r="E1564" s="144" t="s">
        <v>1</v>
      </c>
    </row>
    <row r="1565" spans="2:5">
      <c r="B1565" s="143" t="s">
        <v>1468</v>
      </c>
      <c r="C1565" s="135" t="s">
        <v>27</v>
      </c>
      <c r="D1565" s="136" t="s">
        <v>1622</v>
      </c>
      <c r="E1565" s="144" t="s">
        <v>1</v>
      </c>
    </row>
    <row r="1566" spans="2:5">
      <c r="B1566" s="143" t="s">
        <v>1468</v>
      </c>
      <c r="C1566" s="135" t="s">
        <v>27</v>
      </c>
      <c r="D1566" s="136" t="s">
        <v>1623</v>
      </c>
      <c r="E1566" s="144" t="s">
        <v>1</v>
      </c>
    </row>
    <row r="1567" spans="2:5">
      <c r="B1567" s="143" t="s">
        <v>1468</v>
      </c>
      <c r="C1567" s="135" t="s">
        <v>27</v>
      </c>
      <c r="D1567" s="136" t="s">
        <v>1624</v>
      </c>
      <c r="E1567" s="144" t="s">
        <v>1</v>
      </c>
    </row>
    <row r="1568" spans="2:5">
      <c r="B1568" s="143" t="s">
        <v>1468</v>
      </c>
      <c r="C1568" s="135" t="s">
        <v>27</v>
      </c>
      <c r="D1568" s="136" t="s">
        <v>1625</v>
      </c>
      <c r="E1568" s="144" t="s">
        <v>1</v>
      </c>
    </row>
    <row r="1569" spans="2:5">
      <c r="B1569" s="143" t="s">
        <v>1468</v>
      </c>
      <c r="C1569" s="135" t="s">
        <v>27</v>
      </c>
      <c r="D1569" s="136" t="s">
        <v>1626</v>
      </c>
      <c r="E1569" s="144" t="s">
        <v>1</v>
      </c>
    </row>
    <row r="1570" spans="2:5">
      <c r="B1570" s="143" t="s">
        <v>1468</v>
      </c>
      <c r="C1570" s="135" t="s">
        <v>27</v>
      </c>
      <c r="D1570" s="136" t="s">
        <v>1627</v>
      </c>
      <c r="E1570" s="144" t="s">
        <v>1</v>
      </c>
    </row>
    <row r="1571" spans="2:5">
      <c r="B1571" s="143" t="s">
        <v>1468</v>
      </c>
      <c r="C1571" s="135" t="s">
        <v>27</v>
      </c>
      <c r="D1571" s="136" t="s">
        <v>1628</v>
      </c>
      <c r="E1571" s="144" t="s">
        <v>1</v>
      </c>
    </row>
    <row r="1572" spans="2:5">
      <c r="B1572" s="143" t="s">
        <v>1468</v>
      </c>
      <c r="C1572" s="135" t="s">
        <v>27</v>
      </c>
      <c r="D1572" s="136" t="s">
        <v>1629</v>
      </c>
      <c r="E1572" s="144" t="s">
        <v>1</v>
      </c>
    </row>
    <row r="1573" spans="2:5">
      <c r="B1573" s="143" t="s">
        <v>1468</v>
      </c>
      <c r="C1573" s="135" t="s">
        <v>27</v>
      </c>
      <c r="D1573" s="136" t="s">
        <v>1630</v>
      </c>
      <c r="E1573" s="144" t="s">
        <v>1</v>
      </c>
    </row>
    <row r="1574" spans="2:5">
      <c r="B1574" s="143" t="s">
        <v>1468</v>
      </c>
      <c r="C1574" s="135" t="s">
        <v>27</v>
      </c>
      <c r="D1574" s="136" t="s">
        <v>1631</v>
      </c>
      <c r="E1574" s="144" t="s">
        <v>1</v>
      </c>
    </row>
    <row r="1575" spans="2:5">
      <c r="B1575" s="143" t="s">
        <v>1468</v>
      </c>
      <c r="C1575" s="135" t="s">
        <v>27</v>
      </c>
      <c r="D1575" s="136" t="s">
        <v>1632</v>
      </c>
      <c r="E1575" s="144" t="s">
        <v>1</v>
      </c>
    </row>
    <row r="1576" spans="2:5">
      <c r="B1576" s="143" t="s">
        <v>1468</v>
      </c>
      <c r="C1576" s="135" t="s">
        <v>27</v>
      </c>
      <c r="D1576" s="136" t="s">
        <v>1633</v>
      </c>
      <c r="E1576" s="144" t="s">
        <v>1</v>
      </c>
    </row>
    <row r="1577" spans="2:5">
      <c r="B1577" s="143" t="s">
        <v>1468</v>
      </c>
      <c r="C1577" s="135" t="s">
        <v>27</v>
      </c>
      <c r="D1577" s="136" t="s">
        <v>1634</v>
      </c>
      <c r="E1577" s="144" t="s">
        <v>1</v>
      </c>
    </row>
    <row r="1578" spans="2:5">
      <c r="B1578" s="143" t="s">
        <v>1468</v>
      </c>
      <c r="C1578" s="135" t="s">
        <v>27</v>
      </c>
      <c r="D1578" s="136" t="s">
        <v>1635</v>
      </c>
      <c r="E1578" s="144" t="s">
        <v>1</v>
      </c>
    </row>
    <row r="1579" spans="2:5">
      <c r="B1579" s="143" t="s">
        <v>1468</v>
      </c>
      <c r="C1579" s="135" t="s">
        <v>27</v>
      </c>
      <c r="D1579" s="136" t="s">
        <v>1636</v>
      </c>
      <c r="E1579" s="144" t="s">
        <v>1</v>
      </c>
    </row>
    <row r="1580" spans="2:5">
      <c r="B1580" s="143" t="s">
        <v>1468</v>
      </c>
      <c r="C1580" s="135" t="s">
        <v>27</v>
      </c>
      <c r="D1580" s="136" t="s">
        <v>1637</v>
      </c>
      <c r="E1580" s="144" t="s">
        <v>1</v>
      </c>
    </row>
    <row r="1581" spans="2:5">
      <c r="B1581" s="143" t="s">
        <v>1468</v>
      </c>
      <c r="C1581" s="135" t="s">
        <v>27</v>
      </c>
      <c r="D1581" s="136" t="s">
        <v>1638</v>
      </c>
      <c r="E1581" s="144" t="s">
        <v>1</v>
      </c>
    </row>
    <row r="1582" spans="2:5">
      <c r="B1582" s="143" t="s">
        <v>1468</v>
      </c>
      <c r="C1582" s="135" t="s">
        <v>27</v>
      </c>
      <c r="D1582" s="136" t="s">
        <v>1639</v>
      </c>
      <c r="E1582" s="144" t="s">
        <v>1</v>
      </c>
    </row>
    <row r="1583" spans="2:5">
      <c r="B1583" s="143" t="s">
        <v>1468</v>
      </c>
      <c r="C1583" s="135" t="s">
        <v>27</v>
      </c>
      <c r="D1583" s="136" t="s">
        <v>1640</v>
      </c>
      <c r="E1583" s="144" t="s">
        <v>1</v>
      </c>
    </row>
    <row r="1584" spans="2:5">
      <c r="B1584" s="143" t="s">
        <v>1468</v>
      </c>
      <c r="C1584" s="135" t="s">
        <v>27</v>
      </c>
      <c r="D1584" s="136" t="s">
        <v>1641</v>
      </c>
      <c r="E1584" s="144" t="s">
        <v>1</v>
      </c>
    </row>
    <row r="1585" spans="2:5">
      <c r="B1585" s="143" t="s">
        <v>1468</v>
      </c>
      <c r="C1585" s="135" t="s">
        <v>27</v>
      </c>
      <c r="D1585" s="136" t="s">
        <v>1642</v>
      </c>
      <c r="E1585" s="144" t="s">
        <v>1</v>
      </c>
    </row>
    <row r="1586" spans="2:5">
      <c r="B1586" s="143" t="s">
        <v>1468</v>
      </c>
      <c r="C1586" s="135" t="s">
        <v>27</v>
      </c>
      <c r="D1586" s="136" t="s">
        <v>1643</v>
      </c>
      <c r="E1586" s="144" t="s">
        <v>1</v>
      </c>
    </row>
    <row r="1587" spans="2:5">
      <c r="B1587" s="143" t="s">
        <v>1468</v>
      </c>
      <c r="C1587" s="135" t="s">
        <v>27</v>
      </c>
      <c r="D1587" s="136" t="s">
        <v>1644</v>
      </c>
      <c r="E1587" s="144" t="s">
        <v>1</v>
      </c>
    </row>
    <row r="1588" spans="2:5">
      <c r="B1588" s="143" t="s">
        <v>1468</v>
      </c>
      <c r="C1588" s="135" t="s">
        <v>27</v>
      </c>
      <c r="D1588" s="136" t="s">
        <v>1645</v>
      </c>
      <c r="E1588" s="144" t="s">
        <v>1</v>
      </c>
    </row>
    <row r="1589" spans="2:5">
      <c r="B1589" s="143" t="s">
        <v>1468</v>
      </c>
      <c r="C1589" s="135" t="s">
        <v>27</v>
      </c>
      <c r="D1589" s="136" t="s">
        <v>1646</v>
      </c>
      <c r="E1589" s="144" t="s">
        <v>1</v>
      </c>
    </row>
    <row r="1590" spans="2:5">
      <c r="B1590" s="143" t="s">
        <v>1468</v>
      </c>
      <c r="C1590" s="135" t="s">
        <v>27</v>
      </c>
      <c r="D1590" s="136" t="s">
        <v>1647</v>
      </c>
      <c r="E1590" s="144" t="s">
        <v>1</v>
      </c>
    </row>
    <row r="1591" spans="2:5">
      <c r="B1591" s="143" t="s">
        <v>1468</v>
      </c>
      <c r="C1591" s="135" t="s">
        <v>27</v>
      </c>
      <c r="D1591" s="136" t="s">
        <v>1648</v>
      </c>
      <c r="E1591" s="144" t="s">
        <v>1</v>
      </c>
    </row>
    <row r="1592" spans="2:5">
      <c r="B1592" s="143" t="s">
        <v>1468</v>
      </c>
      <c r="C1592" s="135" t="s">
        <v>27</v>
      </c>
      <c r="D1592" s="136" t="s">
        <v>1649</v>
      </c>
      <c r="E1592" s="144" t="s">
        <v>1</v>
      </c>
    </row>
    <row r="1593" spans="2:5">
      <c r="B1593" s="143" t="s">
        <v>1468</v>
      </c>
      <c r="C1593" s="135" t="s">
        <v>27</v>
      </c>
      <c r="D1593" s="136" t="s">
        <v>1650</v>
      </c>
      <c r="E1593" s="144" t="s">
        <v>1</v>
      </c>
    </row>
    <row r="1594" spans="2:5">
      <c r="B1594" s="143" t="s">
        <v>1468</v>
      </c>
      <c r="C1594" s="135" t="s">
        <v>27</v>
      </c>
      <c r="D1594" s="136" t="s">
        <v>1651</v>
      </c>
      <c r="E1594" s="144" t="s">
        <v>1</v>
      </c>
    </row>
    <row r="1595" spans="2:5">
      <c r="B1595" s="143" t="s">
        <v>1468</v>
      </c>
      <c r="C1595" s="135" t="s">
        <v>27</v>
      </c>
      <c r="D1595" s="136" t="s">
        <v>1652</v>
      </c>
      <c r="E1595" s="144" t="s">
        <v>1</v>
      </c>
    </row>
    <row r="1596" spans="2:5">
      <c r="B1596" s="143" t="s">
        <v>1468</v>
      </c>
      <c r="C1596" s="135" t="s">
        <v>27</v>
      </c>
      <c r="D1596" s="136" t="s">
        <v>1653</v>
      </c>
      <c r="E1596" s="144" t="s">
        <v>1</v>
      </c>
    </row>
    <row r="1597" spans="2:5">
      <c r="B1597" s="143" t="s">
        <v>1468</v>
      </c>
      <c r="C1597" s="135" t="s">
        <v>27</v>
      </c>
      <c r="D1597" s="136" t="s">
        <v>1654</v>
      </c>
      <c r="E1597" s="144" t="s">
        <v>1</v>
      </c>
    </row>
    <row r="1598" spans="2:5">
      <c r="B1598" s="143" t="s">
        <v>1468</v>
      </c>
      <c r="C1598" s="135" t="s">
        <v>27</v>
      </c>
      <c r="D1598" s="136" t="s">
        <v>1655</v>
      </c>
      <c r="E1598" s="144" t="s">
        <v>1</v>
      </c>
    </row>
    <row r="1599" spans="2:5">
      <c r="B1599" s="143" t="s">
        <v>1468</v>
      </c>
      <c r="C1599" s="135" t="s">
        <v>27</v>
      </c>
      <c r="D1599" s="136" t="s">
        <v>1656</v>
      </c>
      <c r="E1599" s="144" t="s">
        <v>1</v>
      </c>
    </row>
    <row r="1600" spans="2:5">
      <c r="B1600" s="143" t="s">
        <v>1468</v>
      </c>
      <c r="C1600" s="135" t="s">
        <v>27</v>
      </c>
      <c r="D1600" s="136" t="s">
        <v>1657</v>
      </c>
      <c r="E1600" s="144" t="s">
        <v>1</v>
      </c>
    </row>
    <row r="1601" spans="2:5">
      <c r="B1601" s="143" t="s">
        <v>1468</v>
      </c>
      <c r="C1601" s="135" t="s">
        <v>27</v>
      </c>
      <c r="D1601" s="136" t="s">
        <v>1658</v>
      </c>
      <c r="E1601" s="144" t="s">
        <v>1</v>
      </c>
    </row>
    <row r="1602" spans="2:5">
      <c r="B1602" s="143" t="s">
        <v>1468</v>
      </c>
      <c r="C1602" s="135" t="s">
        <v>27</v>
      </c>
      <c r="D1602" s="136" t="s">
        <v>1659</v>
      </c>
      <c r="E1602" s="144" t="s">
        <v>1</v>
      </c>
    </row>
    <row r="1603" spans="2:5">
      <c r="B1603" s="143" t="s">
        <v>1468</v>
      </c>
      <c r="C1603" s="135" t="s">
        <v>27</v>
      </c>
      <c r="D1603" s="136" t="s">
        <v>1660</v>
      </c>
      <c r="E1603" s="144" t="s">
        <v>1</v>
      </c>
    </row>
    <row r="1604" spans="2:5">
      <c r="B1604" s="143" t="s">
        <v>1468</v>
      </c>
      <c r="C1604" s="135" t="s">
        <v>27</v>
      </c>
      <c r="D1604" s="136" t="s">
        <v>1661</v>
      </c>
      <c r="E1604" s="144" t="s">
        <v>1</v>
      </c>
    </row>
    <row r="1605" spans="2:5">
      <c r="B1605" s="143" t="s">
        <v>1468</v>
      </c>
      <c r="C1605" s="135" t="s">
        <v>27</v>
      </c>
      <c r="D1605" s="136" t="s">
        <v>1662</v>
      </c>
      <c r="E1605" s="144" t="s">
        <v>1</v>
      </c>
    </row>
    <row r="1606" spans="2:5">
      <c r="B1606" s="143" t="s">
        <v>1468</v>
      </c>
      <c r="C1606" s="135" t="s">
        <v>27</v>
      </c>
      <c r="D1606" s="136" t="s">
        <v>1663</v>
      </c>
      <c r="E1606" s="144" t="s">
        <v>1</v>
      </c>
    </row>
    <row r="1607" spans="2:5">
      <c r="B1607" s="143" t="s">
        <v>1468</v>
      </c>
      <c r="C1607" s="135" t="s">
        <v>27</v>
      </c>
      <c r="D1607" s="136" t="s">
        <v>1664</v>
      </c>
      <c r="E1607" s="144" t="s">
        <v>1</v>
      </c>
    </row>
    <row r="1608" spans="2:5">
      <c r="B1608" s="143" t="s">
        <v>1468</v>
      </c>
      <c r="C1608" s="135" t="s">
        <v>27</v>
      </c>
      <c r="D1608" s="136" t="s">
        <v>1665</v>
      </c>
      <c r="E1608" s="144" t="s">
        <v>1</v>
      </c>
    </row>
    <row r="1609" spans="2:5">
      <c r="B1609" s="143" t="s">
        <v>1468</v>
      </c>
      <c r="C1609" s="135" t="s">
        <v>27</v>
      </c>
      <c r="D1609" s="136" t="s">
        <v>1666</v>
      </c>
      <c r="E1609" s="144" t="s">
        <v>1</v>
      </c>
    </row>
    <row r="1610" spans="2:5">
      <c r="B1610" s="143" t="s">
        <v>1468</v>
      </c>
      <c r="C1610" s="135" t="s">
        <v>27</v>
      </c>
      <c r="D1610" s="136" t="s">
        <v>1667</v>
      </c>
      <c r="E1610" s="144" t="s">
        <v>1</v>
      </c>
    </row>
    <row r="1611" spans="2:5">
      <c r="B1611" s="143" t="s">
        <v>1468</v>
      </c>
      <c r="C1611" s="135" t="s">
        <v>27</v>
      </c>
      <c r="D1611" s="136" t="s">
        <v>1668</v>
      </c>
      <c r="E1611" s="144" t="s">
        <v>1</v>
      </c>
    </row>
    <row r="1612" spans="2:5">
      <c r="B1612" s="143" t="s">
        <v>1468</v>
      </c>
      <c r="C1612" s="135" t="s">
        <v>27</v>
      </c>
      <c r="D1612" s="136" t="s">
        <v>1669</v>
      </c>
      <c r="E1612" s="144" t="s">
        <v>1</v>
      </c>
    </row>
    <row r="1613" spans="2:5">
      <c r="B1613" s="143" t="s">
        <v>1468</v>
      </c>
      <c r="C1613" s="135" t="s">
        <v>27</v>
      </c>
      <c r="D1613" s="136" t="s">
        <v>1670</v>
      </c>
      <c r="E1613" s="144" t="s">
        <v>1</v>
      </c>
    </row>
    <row r="1614" spans="2:5">
      <c r="B1614" s="143" t="s">
        <v>1468</v>
      </c>
      <c r="C1614" s="135" t="s">
        <v>27</v>
      </c>
      <c r="D1614" s="136" t="s">
        <v>1671</v>
      </c>
      <c r="E1614" s="144" t="s">
        <v>1</v>
      </c>
    </row>
    <row r="1615" spans="2:5">
      <c r="B1615" s="143" t="s">
        <v>1468</v>
      </c>
      <c r="C1615" s="135" t="s">
        <v>27</v>
      </c>
      <c r="D1615" s="136" t="s">
        <v>1672</v>
      </c>
      <c r="E1615" s="144" t="s">
        <v>1</v>
      </c>
    </row>
    <row r="1616" spans="2:5">
      <c r="B1616" s="143" t="s">
        <v>1468</v>
      </c>
      <c r="C1616" s="135" t="s">
        <v>27</v>
      </c>
      <c r="D1616" s="136" t="s">
        <v>1673</v>
      </c>
      <c r="E1616" s="144" t="s">
        <v>1</v>
      </c>
    </row>
    <row r="1617" spans="2:5">
      <c r="B1617" s="143" t="s">
        <v>1468</v>
      </c>
      <c r="C1617" s="135" t="s">
        <v>27</v>
      </c>
      <c r="D1617" s="136" t="s">
        <v>1674</v>
      </c>
      <c r="E1617" s="144" t="s">
        <v>1</v>
      </c>
    </row>
    <row r="1618" spans="2:5">
      <c r="B1618" s="143" t="s">
        <v>1468</v>
      </c>
      <c r="C1618" s="135" t="s">
        <v>27</v>
      </c>
      <c r="D1618" s="136" t="s">
        <v>1675</v>
      </c>
      <c r="E1618" s="144" t="s">
        <v>1</v>
      </c>
    </row>
    <row r="1619" spans="2:5">
      <c r="B1619" s="143" t="s">
        <v>1468</v>
      </c>
      <c r="C1619" s="135" t="s">
        <v>27</v>
      </c>
      <c r="D1619" s="136" t="s">
        <v>1676</v>
      </c>
      <c r="E1619" s="144" t="s">
        <v>1</v>
      </c>
    </row>
    <row r="1620" spans="2:5">
      <c r="B1620" s="143" t="s">
        <v>1468</v>
      </c>
      <c r="C1620" s="135" t="s">
        <v>27</v>
      </c>
      <c r="D1620" s="136" t="s">
        <v>1677</v>
      </c>
      <c r="E1620" s="144" t="s">
        <v>1</v>
      </c>
    </row>
    <row r="1621" spans="2:5">
      <c r="B1621" s="143" t="s">
        <v>1468</v>
      </c>
      <c r="C1621" s="135" t="s">
        <v>27</v>
      </c>
      <c r="D1621" s="136" t="s">
        <v>1678</v>
      </c>
      <c r="E1621" s="144" t="s">
        <v>1</v>
      </c>
    </row>
    <row r="1622" spans="2:5">
      <c r="B1622" s="143" t="s">
        <v>1468</v>
      </c>
      <c r="C1622" s="135" t="s">
        <v>27</v>
      </c>
      <c r="D1622" s="136" t="s">
        <v>1679</v>
      </c>
      <c r="E1622" s="144" t="s">
        <v>1</v>
      </c>
    </row>
    <row r="1623" spans="2:5">
      <c r="B1623" s="143" t="s">
        <v>1468</v>
      </c>
      <c r="C1623" s="135" t="s">
        <v>27</v>
      </c>
      <c r="D1623" s="136" t="s">
        <v>1680</v>
      </c>
      <c r="E1623" s="144" t="s">
        <v>1</v>
      </c>
    </row>
    <row r="1624" spans="2:5">
      <c r="B1624" s="143" t="s">
        <v>1468</v>
      </c>
      <c r="C1624" s="135" t="s">
        <v>27</v>
      </c>
      <c r="D1624" s="136" t="s">
        <v>1681</v>
      </c>
      <c r="E1624" s="144" t="s">
        <v>1</v>
      </c>
    </row>
    <row r="1625" spans="2:5">
      <c r="B1625" s="143" t="s">
        <v>1468</v>
      </c>
      <c r="C1625" s="135" t="s">
        <v>27</v>
      </c>
      <c r="D1625" s="136" t="s">
        <v>1682</v>
      </c>
      <c r="E1625" s="144" t="s">
        <v>1</v>
      </c>
    </row>
    <row r="1626" spans="2:5">
      <c r="B1626" s="143" t="s">
        <v>1468</v>
      </c>
      <c r="C1626" s="135" t="s">
        <v>27</v>
      </c>
      <c r="D1626" s="136" t="s">
        <v>1683</v>
      </c>
      <c r="E1626" s="144" t="s">
        <v>1</v>
      </c>
    </row>
    <row r="1627" spans="2:5">
      <c r="B1627" s="143" t="s">
        <v>1468</v>
      </c>
      <c r="C1627" s="135" t="s">
        <v>27</v>
      </c>
      <c r="D1627" s="136" t="s">
        <v>1684</v>
      </c>
      <c r="E1627" s="144" t="s">
        <v>1</v>
      </c>
    </row>
    <row r="1628" spans="2:5">
      <c r="B1628" s="143" t="s">
        <v>1468</v>
      </c>
      <c r="C1628" s="135" t="s">
        <v>27</v>
      </c>
      <c r="D1628" s="136" t="s">
        <v>1685</v>
      </c>
      <c r="E1628" s="144" t="s">
        <v>1</v>
      </c>
    </row>
    <row r="1629" spans="2:5">
      <c r="B1629" s="143" t="s">
        <v>1468</v>
      </c>
      <c r="C1629" s="135" t="s">
        <v>27</v>
      </c>
      <c r="D1629" s="136" t="s">
        <v>1686</v>
      </c>
      <c r="E1629" s="144" t="s">
        <v>1</v>
      </c>
    </row>
    <row r="1630" spans="2:5">
      <c r="B1630" s="143" t="s">
        <v>1468</v>
      </c>
      <c r="C1630" s="135" t="s">
        <v>27</v>
      </c>
      <c r="D1630" s="136" t="s">
        <v>1687</v>
      </c>
      <c r="E1630" s="144" t="s">
        <v>1</v>
      </c>
    </row>
    <row r="1631" spans="2:5">
      <c r="B1631" s="143" t="s">
        <v>1468</v>
      </c>
      <c r="C1631" s="135" t="s">
        <v>27</v>
      </c>
      <c r="D1631" s="136" t="s">
        <v>1688</v>
      </c>
      <c r="E1631" s="144" t="s">
        <v>1</v>
      </c>
    </row>
    <row r="1632" spans="2:5">
      <c r="B1632" s="143" t="s">
        <v>1468</v>
      </c>
      <c r="C1632" s="135" t="s">
        <v>27</v>
      </c>
      <c r="D1632" s="136" t="s">
        <v>1689</v>
      </c>
      <c r="E1632" s="144" t="s">
        <v>1</v>
      </c>
    </row>
    <row r="1633" spans="2:5">
      <c r="B1633" s="143" t="s">
        <v>1468</v>
      </c>
      <c r="C1633" s="135" t="s">
        <v>27</v>
      </c>
      <c r="D1633" s="136" t="s">
        <v>1690</v>
      </c>
      <c r="E1633" s="144" t="s">
        <v>1</v>
      </c>
    </row>
    <row r="1634" spans="2:5">
      <c r="B1634" s="143" t="s">
        <v>1468</v>
      </c>
      <c r="C1634" s="135" t="s">
        <v>27</v>
      </c>
      <c r="D1634" s="136" t="s">
        <v>1691</v>
      </c>
      <c r="E1634" s="144" t="s">
        <v>1</v>
      </c>
    </row>
    <row r="1635" spans="2:5">
      <c r="B1635" s="143" t="s">
        <v>1468</v>
      </c>
      <c r="C1635" s="135" t="s">
        <v>27</v>
      </c>
      <c r="D1635" s="136" t="s">
        <v>1692</v>
      </c>
      <c r="E1635" s="144" t="s">
        <v>1</v>
      </c>
    </row>
    <row r="1636" spans="2:5">
      <c r="B1636" s="143" t="s">
        <v>1468</v>
      </c>
      <c r="C1636" s="135" t="s">
        <v>27</v>
      </c>
      <c r="D1636" s="136" t="s">
        <v>1693</v>
      </c>
      <c r="E1636" s="144" t="s">
        <v>1</v>
      </c>
    </row>
    <row r="1637" spans="2:5">
      <c r="B1637" s="143" t="s">
        <v>1468</v>
      </c>
      <c r="C1637" s="135" t="s">
        <v>27</v>
      </c>
      <c r="D1637" s="136" t="s">
        <v>1694</v>
      </c>
      <c r="E1637" s="144" t="s">
        <v>1</v>
      </c>
    </row>
    <row r="1638" spans="2:5">
      <c r="B1638" s="143" t="s">
        <v>1468</v>
      </c>
      <c r="C1638" s="135" t="s">
        <v>27</v>
      </c>
      <c r="D1638" s="136" t="s">
        <v>1695</v>
      </c>
      <c r="E1638" s="144" t="s">
        <v>1</v>
      </c>
    </row>
    <row r="1639" spans="2:5">
      <c r="B1639" s="143" t="s">
        <v>1468</v>
      </c>
      <c r="C1639" s="135" t="s">
        <v>27</v>
      </c>
      <c r="D1639" s="136" t="s">
        <v>1696</v>
      </c>
      <c r="E1639" s="144" t="s">
        <v>1</v>
      </c>
    </row>
    <row r="1640" spans="2:5">
      <c r="B1640" s="143" t="s">
        <v>1468</v>
      </c>
      <c r="C1640" s="135" t="s">
        <v>27</v>
      </c>
      <c r="D1640" s="136" t="s">
        <v>1697</v>
      </c>
      <c r="E1640" s="144" t="s">
        <v>1</v>
      </c>
    </row>
    <row r="1641" spans="2:5">
      <c r="B1641" s="143" t="s">
        <v>1468</v>
      </c>
      <c r="C1641" s="135" t="s">
        <v>27</v>
      </c>
      <c r="D1641" s="136" t="s">
        <v>1698</v>
      </c>
      <c r="E1641" s="144" t="e">
        <v>#N/A</v>
      </c>
    </row>
    <row r="1642" spans="2:5">
      <c r="B1642" s="143" t="s">
        <v>1468</v>
      </c>
      <c r="C1642" s="135" t="s">
        <v>27</v>
      </c>
      <c r="D1642" s="136" t="s">
        <v>1699</v>
      </c>
      <c r="E1642" s="144" t="e">
        <v>#N/A</v>
      </c>
    </row>
    <row r="1643" spans="2:5">
      <c r="B1643" s="143" t="s">
        <v>1468</v>
      </c>
      <c r="C1643" s="135" t="s">
        <v>27</v>
      </c>
      <c r="D1643" s="136" t="s">
        <v>1700</v>
      </c>
      <c r="E1643" s="144" t="s">
        <v>1738</v>
      </c>
    </row>
    <row r="1644" spans="2:5">
      <c r="B1644" s="143" t="s">
        <v>1468</v>
      </c>
      <c r="C1644" s="135" t="s">
        <v>27</v>
      </c>
      <c r="D1644" s="136" t="s">
        <v>1701</v>
      </c>
      <c r="E1644" s="144" t="s">
        <v>1</v>
      </c>
    </row>
    <row r="1645" spans="2:5">
      <c r="B1645" s="143" t="s">
        <v>1468</v>
      </c>
      <c r="C1645" s="135" t="s">
        <v>27</v>
      </c>
      <c r="D1645" s="136" t="s">
        <v>1702</v>
      </c>
      <c r="E1645" s="144" t="s">
        <v>1</v>
      </c>
    </row>
    <row r="1646" spans="2:5">
      <c r="B1646" s="143" t="s">
        <v>1468</v>
      </c>
      <c r="C1646" s="135" t="s">
        <v>27</v>
      </c>
      <c r="D1646" s="136" t="s">
        <v>1703</v>
      </c>
      <c r="E1646" s="144" t="s">
        <v>1</v>
      </c>
    </row>
    <row r="1647" spans="2:5">
      <c r="B1647" s="143" t="s">
        <v>1468</v>
      </c>
      <c r="C1647" s="135" t="s">
        <v>27</v>
      </c>
      <c r="D1647" s="136" t="s">
        <v>1704</v>
      </c>
      <c r="E1647" s="144" t="s">
        <v>1</v>
      </c>
    </row>
    <row r="1648" spans="2:5">
      <c r="B1648" s="143" t="s">
        <v>1468</v>
      </c>
      <c r="C1648" s="135" t="s">
        <v>27</v>
      </c>
      <c r="D1648" s="136" t="s">
        <v>1705</v>
      </c>
      <c r="E1648" s="144" t="s">
        <v>1</v>
      </c>
    </row>
    <row r="1649" spans="2:5">
      <c r="B1649" s="143" t="s">
        <v>1468</v>
      </c>
      <c r="C1649" s="135" t="s">
        <v>27</v>
      </c>
      <c r="D1649" s="136" t="s">
        <v>1706</v>
      </c>
      <c r="E1649" s="144" t="s">
        <v>1</v>
      </c>
    </row>
    <row r="1650" spans="2:5">
      <c r="B1650" s="143" t="s">
        <v>1468</v>
      </c>
      <c r="C1650" s="135" t="s">
        <v>27</v>
      </c>
      <c r="D1650" s="136" t="s">
        <v>1707</v>
      </c>
      <c r="E1650" s="144" t="s">
        <v>1</v>
      </c>
    </row>
    <row r="1651" spans="2:5">
      <c r="B1651" s="143" t="s">
        <v>1468</v>
      </c>
      <c r="C1651" s="135" t="s">
        <v>27</v>
      </c>
      <c r="D1651" s="136" t="s">
        <v>1708</v>
      </c>
      <c r="E1651" s="144" t="s">
        <v>1</v>
      </c>
    </row>
    <row r="1652" spans="2:5">
      <c r="B1652" s="143" t="s">
        <v>1468</v>
      </c>
      <c r="C1652" s="135" t="s">
        <v>27</v>
      </c>
      <c r="D1652" s="136" t="s">
        <v>1709</v>
      </c>
      <c r="E1652" s="144" t="s">
        <v>1</v>
      </c>
    </row>
    <row r="1653" spans="2:5">
      <c r="B1653" s="143" t="s">
        <v>1468</v>
      </c>
      <c r="C1653" s="135" t="s">
        <v>27</v>
      </c>
      <c r="D1653" s="136" t="s">
        <v>1710</v>
      </c>
      <c r="E1653" s="144" t="s">
        <v>1</v>
      </c>
    </row>
    <row r="1654" spans="2:5">
      <c r="B1654" s="143" t="s">
        <v>1468</v>
      </c>
      <c r="C1654" s="135" t="s">
        <v>27</v>
      </c>
      <c r="D1654" s="136" t="s">
        <v>1711</v>
      </c>
      <c r="E1654" s="144" t="s">
        <v>1</v>
      </c>
    </row>
    <row r="1655" spans="2:5">
      <c r="B1655" s="143" t="s">
        <v>1468</v>
      </c>
      <c r="C1655" s="135" t="s">
        <v>27</v>
      </c>
      <c r="D1655" s="136" t="s">
        <v>1712</v>
      </c>
      <c r="E1655" s="144" t="s">
        <v>1</v>
      </c>
    </row>
    <row r="1656" spans="2:5">
      <c r="B1656" s="143" t="s">
        <v>1468</v>
      </c>
      <c r="C1656" s="135" t="s">
        <v>27</v>
      </c>
      <c r="D1656" s="136" t="s">
        <v>1713</v>
      </c>
      <c r="E1656" s="144" t="s">
        <v>1</v>
      </c>
    </row>
    <row r="1657" spans="2:5">
      <c r="B1657" s="143" t="s">
        <v>1468</v>
      </c>
      <c r="C1657" s="135" t="s">
        <v>27</v>
      </c>
      <c r="D1657" s="136" t="s">
        <v>1714</v>
      </c>
      <c r="E1657" s="144" t="s">
        <v>1</v>
      </c>
    </row>
    <row r="1658" spans="2:5">
      <c r="B1658" s="143" t="s">
        <v>1468</v>
      </c>
      <c r="C1658" s="135" t="s">
        <v>27</v>
      </c>
      <c r="D1658" s="136" t="s">
        <v>1715</v>
      </c>
      <c r="E1658" s="144" t="s">
        <v>1</v>
      </c>
    </row>
    <row r="1659" spans="2:5">
      <c r="B1659" s="143" t="s">
        <v>1468</v>
      </c>
      <c r="C1659" s="135" t="s">
        <v>27</v>
      </c>
      <c r="D1659" s="136" t="s">
        <v>1716</v>
      </c>
      <c r="E1659" s="144" t="s">
        <v>1</v>
      </c>
    </row>
    <row r="1660" spans="2:5">
      <c r="B1660" s="143" t="s">
        <v>1468</v>
      </c>
      <c r="C1660" s="135" t="s">
        <v>27</v>
      </c>
      <c r="D1660" s="136" t="s">
        <v>1717</v>
      </c>
      <c r="E1660" s="144" t="s">
        <v>1</v>
      </c>
    </row>
    <row r="1661" spans="2:5">
      <c r="B1661" s="143" t="s">
        <v>1468</v>
      </c>
      <c r="C1661" s="135" t="s">
        <v>27</v>
      </c>
      <c r="D1661" s="136" t="s">
        <v>1718</v>
      </c>
      <c r="E1661" s="144" t="s">
        <v>1</v>
      </c>
    </row>
    <row r="1662" spans="2:5">
      <c r="B1662" s="143" t="s">
        <v>1468</v>
      </c>
      <c r="C1662" s="135" t="s">
        <v>27</v>
      </c>
      <c r="D1662" s="136" t="s">
        <v>1719</v>
      </c>
      <c r="E1662" s="144" t="s">
        <v>1</v>
      </c>
    </row>
    <row r="1663" spans="2:5">
      <c r="B1663" s="143" t="s">
        <v>1468</v>
      </c>
      <c r="C1663" s="135" t="s">
        <v>27</v>
      </c>
      <c r="D1663" s="136" t="s">
        <v>1720</v>
      </c>
      <c r="E1663" s="144" t="s">
        <v>1</v>
      </c>
    </row>
    <row r="1664" spans="2:5">
      <c r="B1664" s="143" t="s">
        <v>1468</v>
      </c>
      <c r="C1664" s="135" t="s">
        <v>27</v>
      </c>
      <c r="D1664" s="136" t="s">
        <v>1721</v>
      </c>
      <c r="E1664" s="144" t="s">
        <v>1</v>
      </c>
    </row>
    <row r="1665" spans="2:5">
      <c r="B1665" s="143" t="s">
        <v>1468</v>
      </c>
      <c r="C1665" s="135" t="s">
        <v>27</v>
      </c>
      <c r="D1665" s="136" t="s">
        <v>1722</v>
      </c>
      <c r="E1665" s="144" t="s">
        <v>1</v>
      </c>
    </row>
    <row r="1666" spans="2:5">
      <c r="B1666" s="143" t="s">
        <v>1468</v>
      </c>
      <c r="C1666" s="135" t="s">
        <v>27</v>
      </c>
      <c r="D1666" s="136" t="s">
        <v>1723</v>
      </c>
      <c r="E1666" s="144" t="s">
        <v>1</v>
      </c>
    </row>
    <row r="1667" spans="2:5">
      <c r="B1667" s="143" t="s">
        <v>1468</v>
      </c>
      <c r="C1667" s="135" t="s">
        <v>27</v>
      </c>
      <c r="D1667" s="136" t="s">
        <v>1724</v>
      </c>
      <c r="E1667" s="144" t="s">
        <v>1</v>
      </c>
    </row>
    <row r="1668" spans="2:5">
      <c r="B1668" s="143" t="s">
        <v>1468</v>
      </c>
      <c r="C1668" s="135" t="s">
        <v>27</v>
      </c>
      <c r="D1668" s="136" t="s">
        <v>1725</v>
      </c>
      <c r="E1668" s="144" t="s">
        <v>1</v>
      </c>
    </row>
    <row r="1669" spans="2:5">
      <c r="B1669" s="143" t="s">
        <v>1468</v>
      </c>
      <c r="C1669" s="135" t="s">
        <v>27</v>
      </c>
      <c r="D1669" s="136" t="s">
        <v>1726</v>
      </c>
      <c r="E1669" s="144" t="s">
        <v>1</v>
      </c>
    </row>
    <row r="1670" spans="2:5" ht="15" thickBot="1">
      <c r="B1670" s="145" t="s">
        <v>1468</v>
      </c>
      <c r="C1670" s="146" t="s">
        <v>27</v>
      </c>
      <c r="D1670" s="147" t="s">
        <v>1727</v>
      </c>
      <c r="E1670" s="148" t="s">
        <v>1</v>
      </c>
    </row>
  </sheetData>
  <mergeCells count="4">
    <mergeCell ref="B2:B4"/>
    <mergeCell ref="C2:C4"/>
    <mergeCell ref="D2:D4"/>
    <mergeCell ref="E2:E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06.30, 07.30, &amp; 12.00</vt:lpstr>
      <vt:lpstr>R-2, TPTW, Persentase TTD</vt:lpstr>
      <vt:lpstr>Pickup &amp; Retur Non Ecom</vt:lpstr>
      <vt:lpstr>ALL DP DATA</vt:lpstr>
      <vt:lpstr>Fr&amp;Ag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dennis.huang</dc:creator>
  <cp:lastModifiedBy>Dennis Huang</cp:lastModifiedBy>
  <dcterms:created xsi:type="dcterms:W3CDTF">2026-07-24T09:48:00Z</dcterms:created>
  <dcterms:modified xsi:type="dcterms:W3CDTF">2026-08-09T12:33:30Z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1194BD22EF5F4AC0862E63ECE80D29E3_13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1</vt:i4>
  </property>
</Properties>
</file>